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ETES_MASSENA_0" sheetId="1" state="visible" r:id="rId1"/>
    <sheet name="Entetes_TriNumInterne" sheetId="2" state="visible" r:id="rId2"/>
    <sheet name="Entetes_CtrlCoherence" sheetId="3" state="visible" r:id="rId3"/>
    <sheet name="Entetes_sequentialite" sheetId="4" state="visible" r:id="rId4"/>
    <sheet name="TD_OccurenceNumInterne" sheetId="5" state="visible" r:id="rId5"/>
    <sheet name="DoublonNumInterne" sheetId="6" state="visible" r:id="rId6"/>
    <sheet name="TD_OccurenceNumTicket" sheetId="7" state="visible" r:id="rId7"/>
    <sheet name="DoublonNumTicket" sheetId="8" state="visible" r:id="rId8"/>
    <sheet name="Entetes_CplteAnneeMois" sheetId="9" state="visible" r:id="rId9"/>
    <sheet name="TD_TotalEnctTTC" sheetId="10" state="visible" r:id="rId10"/>
    <sheet name="enct_mensuels_MASSENA" sheetId="11" state="visible" r:id="rId11"/>
    <sheet name="TD_TotalHtTvaTtc" sheetId="12" state="visible" r:id="rId12"/>
    <sheet name="recettes_mensuelles_MASSENA" sheetId="13" state="visible" r:id="rId13"/>
  </sheets>
  <definedNames>
    <definedName name="_xlnm._FilterDatabase" localSheetId="0" hidden="1">'ENTETES_MASSENA_0'!$A$1:$R$1154</definedName>
    <definedName name="_xlnm._FilterDatabase" localSheetId="1" hidden="1">'Entetes_TriNumInterne'!$A$1:$R$1154</definedName>
    <definedName name="_xlnm._FilterDatabase" localSheetId="2" hidden="1">'Entetes_CtrlCoherence'!$A$1:$X$1154</definedName>
    <definedName name="_xlnm._FilterDatabase" localSheetId="3" hidden="1">'Entetes_sequentialite'!$A$1:$H$1154</definedName>
    <definedName name="_xlnm._FilterDatabase" localSheetId="4" hidden="1">'TD_OccurenceNumInterne'!$A$1:$B$1154</definedName>
    <definedName name="_xlnm._FilterDatabase" localSheetId="5" hidden="1">'DoublonNumInterne'!$A$1:$B$2</definedName>
    <definedName name="_xlnm._FilterDatabase" localSheetId="6" hidden="1">'TD_OccurenceNumTicket'!$A$1:$B$1154</definedName>
    <definedName name="_xlnm._FilterDatabase" localSheetId="7" hidden="1">'DoublonNumTicket'!$A$1:$B$2</definedName>
    <definedName name="_xlnm._FilterDatabase" localSheetId="8" hidden="1">'Entetes_CplteAnneeMois'!$A$1:$V$1154</definedName>
    <definedName name="_xlnm._FilterDatabase" localSheetId="9" hidden="1">'TD_TotalEnctTTC'!$A$1:$F$33</definedName>
    <definedName name="_xlnm._FilterDatabase" localSheetId="10" hidden="1">'enct_mensuels_MASSENA'!$A$1:$F$33</definedName>
    <definedName name="_xlnm._FilterDatabase" localSheetId="11" hidden="1">'TD_TotalHtTvaTtc'!$A$1:$E$33</definedName>
    <definedName name="_xlnm._FilterDatabase" localSheetId="12" hidden="1">'recettes_mensuelles_MASSENA'!$A$1:$E$33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mm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</cellXfs>
  <cellStyles count="1">
    <cellStyle name="Normal" xfId="0" builtinId="0" hidden="0"/>
  </cellStyles>
  <dxfs count="2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  <dxf>
      <font>
        <name val="Aptos"/>
        <b val="1"/>
        <color rgb="0092400E"/>
        <sz val="9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Entetes0" displayName="Entetes0" ref="A1:R1154" headerRowCount="1">
  <autoFilter ref="A1:R1154"/>
  <tableColumns count="18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ntetesTri" displayName="EntetesTri" ref="A1:R1154" headerRowCount="1">
  <autoFilter ref="A1:R1154"/>
  <tableColumns count="18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ntetesCtrl" displayName="EntetesCtrl" ref="A1:X1154" headerRowCount="1">
  <autoFilter ref="A1:X1154"/>
  <tableColumns count="24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AJ_TVA1_CALCULE"/>
    <tableColumn id="20" name="AJ_ECART_TVA1"/>
    <tableColumn id="21" name="AJ_TTC_CALCULE"/>
    <tableColumn id="22" name="AJ_ECART_TTC"/>
    <tableColumn id="23" name="AJ_SOLDE_DU"/>
    <tableColumn id="24" name="AJ_SOLDE_TOUS_MD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ntetesSeq" displayName="EntetesSeq" ref="A1:H1154" headerRowCount="1">
  <autoFilter ref="A1:H1154"/>
  <tableColumns count="8">
    <tableColumn id="1" name="nomfichier"/>
    <tableColumn id="2" name="E_NUM_INTERNE"/>
    <tableColumn id="3" name="E_NUM_TICKET"/>
    <tableColumn id="4" name="E_DATE_TICKET"/>
    <tableColumn id="5" name="E_HEURE_TICKET"/>
    <tableColumn id="6" name="AJ_TROU_NUM_TICKET"/>
    <tableColumn id="7" name="AJ_TROU_NUM_INTERNE"/>
    <tableColumn id="8" name="OBSERV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ccInt" displayName="OccInt" ref="A1:B1154" headerRowCount="1">
  <autoFilter ref="A1:B1154"/>
  <tableColumns count="2">
    <tableColumn id="1" name="E_NUM_INTERNE"/>
    <tableColumn id="2" name="COMPTER_E_NUM_INTER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upInt" displayName="DupInt" ref="A1:B2" headerRowCount="1">
  <autoFilter ref="A1:B2"/>
  <tableColumns count="2">
    <tableColumn id="1" name="E_NUM_INTERNE"/>
    <tableColumn id="2" name="COMPTER_E_NUM_INTER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ccTicket" displayName="OccTicket" ref="A1:B1154" headerRowCount="1">
  <autoFilter ref="A1:B1154"/>
  <tableColumns count="2">
    <tableColumn id="1" name="E_NUM_TICKET"/>
    <tableColumn id="2" name="COMPTER_E_NUM_TICKE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upTicket" displayName="DupTicket" ref="A1:B2" headerRowCount="1">
  <autoFilter ref="A1:B2"/>
  <tableColumns count="2">
    <tableColumn id="1" name="E_NUM_TICKET"/>
    <tableColumn id="2" name="COMPTER_E_NUM_TICKE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ntetesCplte" displayName="EntetesCplte" ref="A1:V1154" headerRowCount="1">
  <autoFilter ref="A1:V1154"/>
  <tableColumns count="22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AJ_TOTAL_HT"/>
    <tableColumn id="20" name="AJ_TOTAL_TVA_20"/>
    <tableColumn id="21" name="AJ_ANNEE"/>
    <tableColumn id="22" name="AJ_MOI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ncMensuelTD" displayName="EncMensuelTD" ref="A1:F33" headerRowCount="1">
  <autoFilter ref="A1:F33"/>
  <tableColumns count="6">
    <tableColumn id="1" name="AJ_ANNEE"/>
    <tableColumn id="2" name="AJ_MOIS"/>
    <tableColumn id="3" name="SOMME_E_TTC"/>
    <tableColumn id="4" name="SOMME_E_MDP_CB"/>
    <tableColumn id="5" name="SOMME_E_MDP_CHEQUES"/>
    <tableColumn id="6" name="SOMME_E_MDP_ESPEC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ncMensuelCopie" displayName="EncMensuelCopie" ref="A1:F33" headerRowCount="1">
  <autoFilter ref="A1:F33"/>
  <tableColumns count="6">
    <tableColumn id="1" name="AJ_ANNEE"/>
    <tableColumn id="2" name="AJ_MOIS"/>
    <tableColumn id="3" name="SOMME_E_TTC"/>
    <tableColumn id="4" name="SOMME_E_MDP_CB"/>
    <tableColumn id="5" name="SOMME_E_MDP_CHEQUES"/>
    <tableColumn id="6" name="SOMME_E_MDP_ESPEC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RecMensuelTD" displayName="RecMensuelTD" ref="A1:E33" headerRowCount="1">
  <autoFilter ref="A1:E33"/>
  <tableColumns count="5">
    <tableColumn id="1" name="AJ_ANNEE"/>
    <tableColumn id="2" name="AJ_MOIS"/>
    <tableColumn id="3" name="SOMME_AJ_TOTAL_HT"/>
    <tableColumn id="4" name="SOMME_AJ_TOTAL_TVA_20"/>
    <tableColumn id="5" name="SOMME_E_TTC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RecMensuelCopie" displayName="RecMensuelCopie" ref="A1:E33" headerRowCount="1">
  <autoFilter ref="A1:E33"/>
  <tableColumns count="5">
    <tableColumn id="1" name="AJ_ANNEE"/>
    <tableColumn id="2" name="AJ_MOIS"/>
    <tableColumn id="3" name="SOMME_AJ_TOTAL_HT"/>
    <tableColumn id="4" name="SOMME_AJ_TOTAL_TVA_20"/>
    <tableColumn id="5" name="SOMME_E_TT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</row>
    <row r="2">
      <c r="A2" s="2" t="inlineStr">
        <is>
          <t>EJ310123.TXT</t>
        </is>
      </c>
      <c r="B2" s="3" t="inlineStr">
        <is>
          <t>004517</t>
        </is>
      </c>
      <c r="C2" s="3" t="inlineStr">
        <is>
          <t>003562</t>
        </is>
      </c>
      <c r="D2" s="4" t="n">
        <v>44928</v>
      </c>
      <c r="E2" s="2" t="inlineStr">
        <is>
          <t>11:25</t>
        </is>
      </c>
      <c r="F2" s="5" t="n">
        <v>249.17</v>
      </c>
      <c r="G2" s="5" t="n"/>
      <c r="H2" s="5" t="n"/>
      <c r="I2" s="5" t="n"/>
      <c r="J2" s="5" t="n">
        <v>49.83</v>
      </c>
      <c r="K2" s="5" t="n"/>
      <c r="L2" s="5" t="n"/>
      <c r="M2" s="5" t="n"/>
      <c r="N2" s="5" t="n"/>
      <c r="O2" s="5" t="n">
        <v>299</v>
      </c>
      <c r="P2" s="5" t="n">
        <v>299</v>
      </c>
      <c r="Q2" s="5" t="n"/>
      <c r="R2" s="5" t="n"/>
    </row>
    <row r="3">
      <c r="A3" s="2" t="inlineStr">
        <is>
          <t>EJ310123.TXT</t>
        </is>
      </c>
      <c r="B3" s="3" t="inlineStr">
        <is>
          <t>004518</t>
        </is>
      </c>
      <c r="C3" s="3" t="inlineStr">
        <is>
          <t>003563</t>
        </is>
      </c>
      <c r="D3" s="4" t="n">
        <v>44928</v>
      </c>
      <c r="E3" s="2" t="inlineStr">
        <is>
          <t>12:34</t>
        </is>
      </c>
      <c r="F3" s="5" t="n">
        <v>208.33</v>
      </c>
      <c r="G3" s="5" t="n"/>
      <c r="H3" s="5" t="n"/>
      <c r="I3" s="5" t="n"/>
      <c r="J3" s="5" t="n">
        <v>41.67</v>
      </c>
      <c r="K3" s="5" t="n"/>
      <c r="L3" s="5" t="n"/>
      <c r="M3" s="5" t="n"/>
      <c r="N3" s="5" t="n"/>
      <c r="O3" s="5" t="n">
        <v>250</v>
      </c>
      <c r="P3" s="5" t="n"/>
      <c r="Q3" s="5" t="n">
        <v>250</v>
      </c>
      <c r="R3" s="5" t="n"/>
    </row>
    <row r="4">
      <c r="A4" s="2" t="inlineStr">
        <is>
          <t>EJ310123.TXT</t>
        </is>
      </c>
      <c r="B4" s="3" t="inlineStr">
        <is>
          <t>004519</t>
        </is>
      </c>
      <c r="C4" s="3" t="inlineStr">
        <is>
          <t>003564</t>
        </is>
      </c>
      <c r="D4" s="4" t="n">
        <v>44928</v>
      </c>
      <c r="E4" s="2" t="inlineStr">
        <is>
          <t>16:36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/>
      <c r="Q4" s="5" t="n">
        <v>580</v>
      </c>
      <c r="R4" s="5" t="n"/>
    </row>
    <row r="5">
      <c r="A5" s="2" t="inlineStr">
        <is>
          <t>EJ310123.TXT</t>
        </is>
      </c>
      <c r="B5" s="3" t="inlineStr">
        <is>
          <t>004520</t>
        </is>
      </c>
      <c r="C5" s="3" t="inlineStr">
        <is>
          <t>003565</t>
        </is>
      </c>
      <c r="D5" s="4" t="n">
        <v>44929</v>
      </c>
      <c r="E5" s="2" t="inlineStr">
        <is>
          <t>15:02</t>
        </is>
      </c>
      <c r="F5" s="5" t="n">
        <v>720.83</v>
      </c>
      <c r="G5" s="5" t="n"/>
      <c r="H5" s="5" t="n"/>
      <c r="I5" s="5" t="n"/>
      <c r="J5" s="5" t="n">
        <v>144.17</v>
      </c>
      <c r="K5" s="5" t="n"/>
      <c r="L5" s="5" t="n"/>
      <c r="M5" s="5" t="n"/>
      <c r="N5" s="5" t="n"/>
      <c r="O5" s="5" t="n">
        <v>865</v>
      </c>
      <c r="P5" s="5" t="n"/>
      <c r="Q5" s="5" t="n">
        <v>865</v>
      </c>
      <c r="R5" s="5" t="n"/>
    </row>
    <row r="6">
      <c r="A6" s="2" t="inlineStr">
        <is>
          <t>EJ310123.TXT</t>
        </is>
      </c>
      <c r="B6" s="3" t="inlineStr">
        <is>
          <t>004521</t>
        </is>
      </c>
      <c r="C6" s="3" t="inlineStr">
        <is>
          <t>003566</t>
        </is>
      </c>
      <c r="D6" s="4" t="n">
        <v>44929</v>
      </c>
      <c r="E6" s="2" t="inlineStr">
        <is>
          <t>15:03</t>
        </is>
      </c>
      <c r="F6" s="5" t="n">
        <v>144.17</v>
      </c>
      <c r="G6" s="5" t="n"/>
      <c r="H6" s="5" t="n"/>
      <c r="I6" s="5" t="n"/>
      <c r="J6" s="5" t="n">
        <v>28.83</v>
      </c>
      <c r="K6" s="5" t="n"/>
      <c r="L6" s="5" t="n"/>
      <c r="M6" s="5" t="n"/>
      <c r="N6" s="5" t="n"/>
      <c r="O6" s="5" t="n">
        <v>173</v>
      </c>
      <c r="P6" s="5" t="n"/>
      <c r="Q6" s="5" t="n">
        <v>173</v>
      </c>
      <c r="R6" s="5" t="n"/>
    </row>
    <row r="7">
      <c r="A7" s="2" t="inlineStr">
        <is>
          <t>EJ310123.TXT</t>
        </is>
      </c>
      <c r="B7" s="3" t="inlineStr">
        <is>
          <t>004522</t>
        </is>
      </c>
      <c r="C7" s="3" t="inlineStr">
        <is>
          <t>003567</t>
        </is>
      </c>
      <c r="D7" s="4" t="n">
        <v>44929</v>
      </c>
      <c r="E7" s="2" t="inlineStr">
        <is>
          <t>15:19</t>
        </is>
      </c>
      <c r="F7" s="5" t="n">
        <v>823.33</v>
      </c>
      <c r="G7" s="5" t="n"/>
      <c r="H7" s="5" t="n"/>
      <c r="I7" s="5" t="n"/>
      <c r="J7" s="5" t="n">
        <v>164.67</v>
      </c>
      <c r="K7" s="5" t="n"/>
      <c r="L7" s="5" t="n"/>
      <c r="M7" s="5" t="n"/>
      <c r="N7" s="5" t="n"/>
      <c r="O7" s="5" t="n">
        <v>988</v>
      </c>
      <c r="P7" s="5" t="n"/>
      <c r="Q7" s="5" t="n">
        <v>988</v>
      </c>
      <c r="R7" s="5" t="n"/>
    </row>
    <row r="8">
      <c r="A8" s="2" t="inlineStr">
        <is>
          <t>EJ310123.TXT</t>
        </is>
      </c>
      <c r="B8" s="3" t="inlineStr">
        <is>
          <t>004523</t>
        </is>
      </c>
      <c r="C8" s="3" t="inlineStr">
        <is>
          <t>003568</t>
        </is>
      </c>
      <c r="D8" s="4" t="n">
        <v>44929</v>
      </c>
      <c r="E8" s="2" t="inlineStr">
        <is>
          <t>15:19</t>
        </is>
      </c>
      <c r="F8" s="5" t="n">
        <v>823.33</v>
      </c>
      <c r="G8" s="5" t="n"/>
      <c r="H8" s="5" t="n"/>
      <c r="I8" s="5" t="n"/>
      <c r="J8" s="5" t="n">
        <v>164.67</v>
      </c>
      <c r="K8" s="5" t="n"/>
      <c r="L8" s="5" t="n"/>
      <c r="M8" s="5" t="n"/>
      <c r="N8" s="5" t="n"/>
      <c r="O8" s="5" t="n">
        <v>988</v>
      </c>
      <c r="P8" s="5" t="n"/>
      <c r="Q8" s="5" t="n">
        <v>988</v>
      </c>
      <c r="R8" s="5" t="n"/>
    </row>
    <row r="9">
      <c r="A9" s="2" t="inlineStr">
        <is>
          <t>EJ310123.TXT</t>
        </is>
      </c>
      <c r="B9" s="3" t="inlineStr">
        <is>
          <t>004524</t>
        </is>
      </c>
      <c r="C9" s="3" t="inlineStr">
        <is>
          <t>003569</t>
        </is>
      </c>
      <c r="D9" s="4" t="n">
        <v>44929</v>
      </c>
      <c r="E9" s="2" t="inlineStr">
        <is>
          <t>15:45</t>
        </is>
      </c>
      <c r="F9" s="5" t="n">
        <v>1450</v>
      </c>
      <c r="G9" s="5" t="n"/>
      <c r="H9" s="5" t="n"/>
      <c r="I9" s="5" t="n"/>
      <c r="J9" s="5" t="n">
        <v>290</v>
      </c>
      <c r="K9" s="5" t="n"/>
      <c r="L9" s="5" t="n"/>
      <c r="M9" s="5" t="n"/>
      <c r="N9" s="5" t="n"/>
      <c r="O9" s="5" t="n">
        <v>1740</v>
      </c>
      <c r="P9" s="5" t="n">
        <v>1740</v>
      </c>
      <c r="Q9" s="5" t="n"/>
      <c r="R9" s="5" t="n"/>
    </row>
    <row r="10">
      <c r="A10" s="2" t="inlineStr">
        <is>
          <t>EJ310123.TXT</t>
        </is>
      </c>
      <c r="B10" s="3" t="inlineStr">
        <is>
          <t>004525</t>
        </is>
      </c>
      <c r="C10" s="3" t="inlineStr">
        <is>
          <t>003570</t>
        </is>
      </c>
      <c r="D10" s="4" t="n">
        <v>44929</v>
      </c>
      <c r="E10" s="2" t="inlineStr">
        <is>
          <t>16:16</t>
        </is>
      </c>
      <c r="F10" s="5" t="n">
        <v>498.33</v>
      </c>
      <c r="G10" s="5" t="n"/>
      <c r="H10" s="5" t="n"/>
      <c r="I10" s="5" t="n"/>
      <c r="J10" s="5" t="n">
        <v>99.67</v>
      </c>
      <c r="K10" s="5" t="n"/>
      <c r="L10" s="5" t="n"/>
      <c r="M10" s="5" t="n"/>
      <c r="N10" s="5" t="n"/>
      <c r="O10" s="5" t="n">
        <v>598</v>
      </c>
      <c r="P10" s="5" t="n">
        <v>598</v>
      </c>
      <c r="Q10" s="5" t="n"/>
      <c r="R10" s="5" t="n"/>
    </row>
    <row r="11">
      <c r="A11" s="2" t="inlineStr">
        <is>
          <t>EJ310123.TXT</t>
        </is>
      </c>
      <c r="B11" s="3" t="inlineStr">
        <is>
          <t>004526</t>
        </is>
      </c>
      <c r="C11" s="3" t="inlineStr">
        <is>
          <t>003571</t>
        </is>
      </c>
      <c r="D11" s="4" t="n">
        <v>44930</v>
      </c>
      <c r="E11" s="2" t="inlineStr">
        <is>
          <t>10:54</t>
        </is>
      </c>
      <c r="F11" s="5" t="n">
        <v>725</v>
      </c>
      <c r="G11" s="5" t="n"/>
      <c r="H11" s="5" t="n"/>
      <c r="I11" s="5" t="n"/>
      <c r="J11" s="5" t="n">
        <v>145</v>
      </c>
      <c r="K11" s="5" t="n"/>
      <c r="L11" s="5" t="n"/>
      <c r="M11" s="5" t="n"/>
      <c r="N11" s="5" t="n"/>
      <c r="O11" s="5" t="n">
        <v>870</v>
      </c>
      <c r="P11" s="5" t="n"/>
      <c r="Q11" s="5" t="n">
        <v>870</v>
      </c>
      <c r="R11" s="5" t="n"/>
    </row>
    <row r="12">
      <c r="A12" s="2" t="inlineStr">
        <is>
          <t>EJ310123.TXT</t>
        </is>
      </c>
      <c r="B12" s="3" t="inlineStr">
        <is>
          <t>004527</t>
        </is>
      </c>
      <c r="C12" s="3" t="inlineStr">
        <is>
          <t>003572</t>
        </is>
      </c>
      <c r="D12" s="4" t="n">
        <v>44932</v>
      </c>
      <c r="E12" s="2" t="inlineStr">
        <is>
          <t>11:36</t>
        </is>
      </c>
      <c r="F12" s="5" t="n">
        <v>37.5</v>
      </c>
      <c r="G12" s="5" t="n"/>
      <c r="H12" s="5" t="n"/>
      <c r="I12" s="5" t="n"/>
      <c r="J12" s="5" t="n">
        <v>7.5</v>
      </c>
      <c r="K12" s="5" t="n"/>
      <c r="L12" s="5" t="n"/>
      <c r="M12" s="5" t="n"/>
      <c r="N12" s="5" t="n"/>
      <c r="O12" s="5" t="n">
        <v>45</v>
      </c>
      <c r="P12" s="5" t="n"/>
      <c r="Q12" s="5" t="n">
        <v>45</v>
      </c>
      <c r="R12" s="5" t="n"/>
    </row>
    <row r="13">
      <c r="A13" s="2" t="inlineStr">
        <is>
          <t>EJ310123.TXT</t>
        </is>
      </c>
      <c r="B13" s="3" t="inlineStr">
        <is>
          <t>004528</t>
        </is>
      </c>
      <c r="C13" s="3" t="inlineStr">
        <is>
          <t>003573</t>
        </is>
      </c>
      <c r="D13" s="4" t="n">
        <v>44932</v>
      </c>
      <c r="E13" s="2" t="inlineStr">
        <is>
          <t>13:56</t>
        </is>
      </c>
      <c r="F13" s="5" t="n">
        <v>498.33</v>
      </c>
      <c r="G13" s="5" t="n"/>
      <c r="H13" s="5" t="n"/>
      <c r="I13" s="5" t="n"/>
      <c r="J13" s="5" t="n">
        <v>99.67</v>
      </c>
      <c r="K13" s="5" t="n"/>
      <c r="L13" s="5" t="n"/>
      <c r="M13" s="5" t="n"/>
      <c r="N13" s="5" t="n"/>
      <c r="O13" s="5" t="n">
        <v>598</v>
      </c>
      <c r="P13" s="5" t="n"/>
      <c r="Q13" s="5" t="n">
        <v>598</v>
      </c>
      <c r="R13" s="5" t="n"/>
    </row>
    <row r="14">
      <c r="A14" s="2" t="inlineStr">
        <is>
          <t>EJ310123.TXT</t>
        </is>
      </c>
      <c r="B14" s="3" t="inlineStr">
        <is>
          <t>004529</t>
        </is>
      </c>
      <c r="C14" s="3" t="inlineStr">
        <is>
          <t>003574</t>
        </is>
      </c>
      <c r="D14" s="4" t="n">
        <v>44932</v>
      </c>
      <c r="E14" s="2" t="inlineStr">
        <is>
          <t>17:29</t>
        </is>
      </c>
      <c r="F14" s="5" t="n">
        <v>5035</v>
      </c>
      <c r="G14" s="5" t="n"/>
      <c r="H14" s="5" t="n"/>
      <c r="I14" s="5" t="n"/>
      <c r="J14" s="5" t="n">
        <v>1007</v>
      </c>
      <c r="K14" s="5" t="n"/>
      <c r="L14" s="5" t="n"/>
      <c r="M14" s="5" t="n"/>
      <c r="N14" s="5" t="n"/>
      <c r="O14" s="5" t="n">
        <v>6042</v>
      </c>
      <c r="P14" s="5" t="n"/>
      <c r="Q14" s="5" t="n"/>
      <c r="R14" s="5" t="n">
        <v>6042</v>
      </c>
    </row>
    <row r="15">
      <c r="A15" s="2" t="inlineStr">
        <is>
          <t>EJ310123.TXT</t>
        </is>
      </c>
      <c r="B15" s="3" t="inlineStr">
        <is>
          <t>004530</t>
        </is>
      </c>
      <c r="C15" s="3" t="inlineStr">
        <is>
          <t>003575</t>
        </is>
      </c>
      <c r="D15" s="4" t="n">
        <v>44933</v>
      </c>
      <c r="E15" s="2" t="inlineStr">
        <is>
          <t>15:33</t>
        </is>
      </c>
      <c r="F15" s="5" t="n">
        <v>581.67</v>
      </c>
      <c r="G15" s="5" t="n"/>
      <c r="H15" s="5" t="n"/>
      <c r="I15" s="5" t="n"/>
      <c r="J15" s="5" t="n">
        <v>116.33</v>
      </c>
      <c r="K15" s="5" t="n"/>
      <c r="L15" s="5" t="n"/>
      <c r="M15" s="5" t="n"/>
      <c r="N15" s="5" t="n"/>
      <c r="O15" s="5" t="n">
        <v>698</v>
      </c>
      <c r="P15" s="5" t="n">
        <v>698</v>
      </c>
      <c r="Q15" s="5" t="n"/>
      <c r="R15" s="5" t="n"/>
    </row>
    <row r="16">
      <c r="A16" s="2" t="inlineStr">
        <is>
          <t>EJ310123.TXT</t>
        </is>
      </c>
      <c r="B16" s="3" t="inlineStr">
        <is>
          <t>004531</t>
        </is>
      </c>
      <c r="C16" s="3" t="inlineStr">
        <is>
          <t>003576</t>
        </is>
      </c>
      <c r="D16" s="4" t="n">
        <v>44933</v>
      </c>
      <c r="E16" s="2" t="inlineStr">
        <is>
          <t>16:22</t>
        </is>
      </c>
      <c r="F16" s="5" t="n">
        <v>540</v>
      </c>
      <c r="G16" s="5" t="n"/>
      <c r="H16" s="5" t="n"/>
      <c r="I16" s="5" t="n"/>
      <c r="J16" s="5" t="n">
        <v>108</v>
      </c>
      <c r="K16" s="5" t="n"/>
      <c r="L16" s="5" t="n"/>
      <c r="M16" s="5" t="n"/>
      <c r="N16" s="5" t="n"/>
      <c r="O16" s="5" t="n">
        <v>648</v>
      </c>
      <c r="P16" s="5" t="n">
        <v>648</v>
      </c>
      <c r="Q16" s="5" t="n"/>
      <c r="R16" s="5" t="n"/>
    </row>
    <row r="17">
      <c r="A17" s="2" t="inlineStr">
        <is>
          <t>EJ310123.TXT</t>
        </is>
      </c>
      <c r="B17" s="3" t="inlineStr">
        <is>
          <t>004532</t>
        </is>
      </c>
      <c r="C17" s="3" t="inlineStr">
        <is>
          <t>003577</t>
        </is>
      </c>
      <c r="D17" s="4" t="n">
        <v>44935</v>
      </c>
      <c r="E17" s="2" t="inlineStr">
        <is>
          <t>15:13</t>
        </is>
      </c>
      <c r="F17" s="5" t="n">
        <v>648.33</v>
      </c>
      <c r="G17" s="5" t="n"/>
      <c r="H17" s="5" t="n"/>
      <c r="I17" s="5" t="n"/>
      <c r="J17" s="5" t="n">
        <v>129.67</v>
      </c>
      <c r="K17" s="5" t="n"/>
      <c r="L17" s="5" t="n"/>
      <c r="M17" s="5" t="n"/>
      <c r="N17" s="5" t="n"/>
      <c r="O17" s="5" t="n">
        <v>778</v>
      </c>
      <c r="P17" s="5" t="n"/>
      <c r="Q17" s="5" t="n">
        <v>778</v>
      </c>
      <c r="R17" s="5" t="n"/>
    </row>
    <row r="18">
      <c r="A18" s="2" t="inlineStr">
        <is>
          <t>EJ310123.TXT</t>
        </is>
      </c>
      <c r="B18" s="3" t="inlineStr">
        <is>
          <t>004533</t>
        </is>
      </c>
      <c r="C18" s="3" t="inlineStr">
        <is>
          <t>003578</t>
        </is>
      </c>
      <c r="D18" s="4" t="n">
        <v>44935</v>
      </c>
      <c r="E18" s="2" t="inlineStr">
        <is>
          <t>15:42</t>
        </is>
      </c>
      <c r="F18" s="5" t="n">
        <v>288.33</v>
      </c>
      <c r="G18" s="5" t="n"/>
      <c r="H18" s="5" t="n"/>
      <c r="I18" s="5" t="n"/>
      <c r="J18" s="5" t="n">
        <v>57.67</v>
      </c>
      <c r="K18" s="5" t="n"/>
      <c r="L18" s="5" t="n"/>
      <c r="M18" s="5" t="n"/>
      <c r="N18" s="5" t="n"/>
      <c r="O18" s="5" t="n">
        <v>346</v>
      </c>
      <c r="P18" s="5" t="n"/>
      <c r="Q18" s="5" t="n">
        <v>346</v>
      </c>
      <c r="R18" s="5" t="n"/>
    </row>
    <row r="19">
      <c r="A19" s="2" t="inlineStr">
        <is>
          <t>EJ310123.TXT</t>
        </is>
      </c>
      <c r="B19" s="3" t="inlineStr">
        <is>
          <t>004534</t>
        </is>
      </c>
      <c r="C19" s="3" t="inlineStr">
        <is>
          <t>003579</t>
        </is>
      </c>
      <c r="D19" s="4" t="n">
        <v>44936</v>
      </c>
      <c r="E19" s="2" t="inlineStr">
        <is>
          <t>15:49</t>
        </is>
      </c>
      <c r="F19" s="5" t="n">
        <v>483.33</v>
      </c>
      <c r="G19" s="5" t="n"/>
      <c r="H19" s="5" t="n"/>
      <c r="I19" s="5" t="n"/>
      <c r="J19" s="5" t="n">
        <v>96.67</v>
      </c>
      <c r="K19" s="5" t="n"/>
      <c r="L19" s="5" t="n"/>
      <c r="M19" s="5" t="n"/>
      <c r="N19" s="5" t="n"/>
      <c r="O19" s="5" t="n">
        <v>580</v>
      </c>
      <c r="P19" s="5" t="n"/>
      <c r="Q19" s="5" t="n">
        <v>580</v>
      </c>
      <c r="R19" s="5" t="n"/>
    </row>
    <row r="20">
      <c r="A20" s="2" t="inlineStr">
        <is>
          <t>EJ310123.TXT</t>
        </is>
      </c>
      <c r="B20" s="3" t="inlineStr">
        <is>
          <t>004535</t>
        </is>
      </c>
      <c r="C20" s="3" t="inlineStr">
        <is>
          <t>003580</t>
        </is>
      </c>
      <c r="D20" s="4" t="n">
        <v>44936</v>
      </c>
      <c r="E20" s="2" t="inlineStr">
        <is>
          <t>15:49</t>
        </is>
      </c>
      <c r="F20" s="5" t="n">
        <v>483.33</v>
      </c>
      <c r="G20" s="5" t="n"/>
      <c r="H20" s="5" t="n"/>
      <c r="I20" s="5" t="n"/>
      <c r="J20" s="5" t="n">
        <v>96.67</v>
      </c>
      <c r="K20" s="5" t="n"/>
      <c r="L20" s="5" t="n"/>
      <c r="M20" s="5" t="n"/>
      <c r="N20" s="5" t="n"/>
      <c r="O20" s="5" t="n">
        <v>580</v>
      </c>
      <c r="P20" s="5" t="n"/>
      <c r="Q20" s="5" t="n">
        <v>580</v>
      </c>
      <c r="R20" s="5" t="n"/>
    </row>
    <row r="21">
      <c r="A21" s="2" t="inlineStr">
        <is>
          <t>EJ310123.TXT</t>
        </is>
      </c>
      <c r="B21" s="3" t="inlineStr">
        <is>
          <t>004536</t>
        </is>
      </c>
      <c r="C21" s="3" t="inlineStr">
        <is>
          <t>003581</t>
        </is>
      </c>
      <c r="D21" s="4" t="n">
        <v>44938</v>
      </c>
      <c r="E21" s="2" t="inlineStr">
        <is>
          <t>15:51</t>
        </is>
      </c>
      <c r="F21" s="5" t="n">
        <v>522.5</v>
      </c>
      <c r="G21" s="5" t="n"/>
      <c r="H21" s="5" t="n"/>
      <c r="I21" s="5" t="n"/>
      <c r="J21" s="5" t="n">
        <v>104.5</v>
      </c>
      <c r="K21" s="5" t="n"/>
      <c r="L21" s="5" t="n"/>
      <c r="M21" s="5" t="n"/>
      <c r="N21" s="5" t="n"/>
      <c r="O21" s="5" t="n">
        <v>627</v>
      </c>
      <c r="P21" s="5" t="n"/>
      <c r="Q21" s="5" t="n">
        <v>627</v>
      </c>
      <c r="R21" s="5" t="n"/>
    </row>
    <row r="22">
      <c r="A22" s="2" t="inlineStr">
        <is>
          <t>EJ310123.TXT</t>
        </is>
      </c>
      <c r="B22" s="3" t="inlineStr">
        <is>
          <t>004537</t>
        </is>
      </c>
      <c r="C22" s="3" t="inlineStr">
        <is>
          <t>003582</t>
        </is>
      </c>
      <c r="D22" s="4" t="n">
        <v>44938</v>
      </c>
      <c r="E22" s="2" t="inlineStr">
        <is>
          <t>18:15</t>
        </is>
      </c>
      <c r="F22" s="5" t="n">
        <v>747.5</v>
      </c>
      <c r="G22" s="5" t="n"/>
      <c r="H22" s="5" t="n"/>
      <c r="I22" s="5" t="n"/>
      <c r="J22" s="5" t="n">
        <v>149.5</v>
      </c>
      <c r="K22" s="5" t="n"/>
      <c r="L22" s="5" t="n"/>
      <c r="M22" s="5" t="n"/>
      <c r="N22" s="5" t="n"/>
      <c r="O22" s="5" t="n">
        <v>897</v>
      </c>
      <c r="P22" s="5" t="n"/>
      <c r="Q22" s="5" t="n">
        <v>897</v>
      </c>
      <c r="R22" s="5" t="n"/>
    </row>
    <row r="23">
      <c r="A23" s="2" t="inlineStr">
        <is>
          <t>EJ310123.TXT</t>
        </is>
      </c>
      <c r="B23" s="3" t="inlineStr">
        <is>
          <t>004538</t>
        </is>
      </c>
      <c r="C23" s="3" t="inlineStr">
        <is>
          <t>003583</t>
        </is>
      </c>
      <c r="D23" s="4" t="n">
        <v>44938</v>
      </c>
      <c r="E23" s="2" t="inlineStr">
        <is>
          <t>18:15</t>
        </is>
      </c>
      <c r="F23" s="5" t="n">
        <v>249.17</v>
      </c>
      <c r="G23" s="5" t="n"/>
      <c r="H23" s="5" t="n"/>
      <c r="I23" s="5" t="n"/>
      <c r="J23" s="5" t="n">
        <v>49.83</v>
      </c>
      <c r="K23" s="5" t="n"/>
      <c r="L23" s="5" t="n"/>
      <c r="M23" s="5" t="n"/>
      <c r="N23" s="5" t="n"/>
      <c r="O23" s="5" t="n">
        <v>299</v>
      </c>
      <c r="P23" s="5" t="n"/>
      <c r="Q23" s="5" t="n">
        <v>299</v>
      </c>
      <c r="R23" s="5" t="n"/>
    </row>
    <row r="24">
      <c r="A24" s="2" t="inlineStr">
        <is>
          <t>EJ310123.TXT</t>
        </is>
      </c>
      <c r="B24" s="3" t="inlineStr">
        <is>
          <t>004539</t>
        </is>
      </c>
      <c r="C24" s="3" t="inlineStr">
        <is>
          <t>003584</t>
        </is>
      </c>
      <c r="D24" s="4" t="n">
        <v>44938</v>
      </c>
      <c r="E24" s="2" t="inlineStr">
        <is>
          <t>18:52</t>
        </is>
      </c>
      <c r="F24" s="5" t="n">
        <v>725</v>
      </c>
      <c r="G24" s="5" t="n"/>
      <c r="H24" s="5" t="n"/>
      <c r="I24" s="5" t="n"/>
      <c r="J24" s="5" t="n">
        <v>145</v>
      </c>
      <c r="K24" s="5" t="n"/>
      <c r="L24" s="5" t="n"/>
      <c r="M24" s="5" t="n"/>
      <c r="N24" s="5" t="n"/>
      <c r="O24" s="5" t="n">
        <v>870</v>
      </c>
      <c r="P24" s="5" t="n"/>
      <c r="Q24" s="5" t="n">
        <v>870</v>
      </c>
      <c r="R24" s="5" t="n"/>
    </row>
    <row r="25">
      <c r="A25" s="2" t="inlineStr">
        <is>
          <t>EJ310123.TXT</t>
        </is>
      </c>
      <c r="B25" s="3" t="inlineStr">
        <is>
          <t>004540</t>
        </is>
      </c>
      <c r="C25" s="3" t="inlineStr">
        <is>
          <t>003585</t>
        </is>
      </c>
      <c r="D25" s="4" t="n">
        <v>44939</v>
      </c>
      <c r="E25" s="2" t="inlineStr">
        <is>
          <t>10:29</t>
        </is>
      </c>
      <c r="F25" s="5" t="n">
        <v>582.5</v>
      </c>
      <c r="G25" s="5" t="n"/>
      <c r="H25" s="5" t="n"/>
      <c r="I25" s="5" t="n"/>
      <c r="J25" s="5" t="n">
        <v>116.5</v>
      </c>
      <c r="K25" s="5" t="n"/>
      <c r="L25" s="5" t="n"/>
      <c r="M25" s="5" t="n"/>
      <c r="N25" s="5" t="n"/>
      <c r="O25" s="5" t="n">
        <v>699</v>
      </c>
      <c r="P25" s="5" t="n"/>
      <c r="Q25" s="5" t="n">
        <v>699</v>
      </c>
      <c r="R25" s="5" t="n"/>
    </row>
    <row r="26">
      <c r="A26" s="2" t="inlineStr">
        <is>
          <t>EJ310123.TXT</t>
        </is>
      </c>
      <c r="B26" s="3" t="inlineStr">
        <is>
          <t>004541</t>
        </is>
      </c>
      <c r="C26" s="3" t="inlineStr">
        <is>
          <t>003586</t>
        </is>
      </c>
      <c r="D26" s="4" t="n">
        <v>44939</v>
      </c>
      <c r="E26" s="2" t="inlineStr">
        <is>
          <t>10:29</t>
        </is>
      </c>
      <c r="F26" s="5" t="n">
        <v>582.5</v>
      </c>
      <c r="G26" s="5" t="n"/>
      <c r="H26" s="5" t="n"/>
      <c r="I26" s="5" t="n"/>
      <c r="J26" s="5" t="n">
        <v>116.5</v>
      </c>
      <c r="K26" s="5" t="n"/>
      <c r="L26" s="5" t="n"/>
      <c r="M26" s="5" t="n"/>
      <c r="N26" s="5" t="n"/>
      <c r="O26" s="5" t="n">
        <v>699</v>
      </c>
      <c r="P26" s="5" t="n"/>
      <c r="Q26" s="5" t="n">
        <v>699</v>
      </c>
      <c r="R26" s="5" t="n"/>
    </row>
    <row r="27">
      <c r="A27" s="2" t="inlineStr">
        <is>
          <t>EJ310123.TXT</t>
        </is>
      </c>
      <c r="B27" s="3" t="inlineStr">
        <is>
          <t>004542</t>
        </is>
      </c>
      <c r="C27" s="3" t="inlineStr">
        <is>
          <t>003587</t>
        </is>
      </c>
      <c r="D27" s="4" t="n">
        <v>44939</v>
      </c>
      <c r="E27" s="2" t="inlineStr">
        <is>
          <t>14:36</t>
        </is>
      </c>
      <c r="F27" s="5" t="n">
        <v>747.5</v>
      </c>
      <c r="G27" s="5" t="n"/>
      <c r="H27" s="5" t="n"/>
      <c r="I27" s="5" t="n"/>
      <c r="J27" s="5" t="n">
        <v>149.5</v>
      </c>
      <c r="K27" s="5" t="n"/>
      <c r="L27" s="5" t="n"/>
      <c r="M27" s="5" t="n"/>
      <c r="N27" s="5" t="n"/>
      <c r="O27" s="5" t="n">
        <v>897</v>
      </c>
      <c r="P27" s="5" t="n"/>
      <c r="Q27" s="5" t="n">
        <v>897</v>
      </c>
      <c r="R27" s="5" t="n"/>
    </row>
    <row r="28">
      <c r="A28" s="2" t="inlineStr">
        <is>
          <t>EJ310123.TXT</t>
        </is>
      </c>
      <c r="B28" s="3" t="inlineStr">
        <is>
          <t>004543</t>
        </is>
      </c>
      <c r="C28" s="3" t="inlineStr">
        <is>
          <t>003588</t>
        </is>
      </c>
      <c r="D28" s="4" t="n">
        <v>44939</v>
      </c>
      <c r="E28" s="2" t="inlineStr">
        <is>
          <t>15:42</t>
        </is>
      </c>
      <c r="F28" s="5" t="n">
        <v>181.67</v>
      </c>
      <c r="G28" s="5" t="n"/>
      <c r="H28" s="5" t="n"/>
      <c r="I28" s="5" t="n"/>
      <c r="J28" s="5" t="n">
        <v>36.33</v>
      </c>
      <c r="K28" s="5" t="n"/>
      <c r="L28" s="5" t="n"/>
      <c r="M28" s="5" t="n"/>
      <c r="N28" s="5" t="n"/>
      <c r="O28" s="5" t="n">
        <v>218</v>
      </c>
      <c r="P28" s="5" t="n"/>
      <c r="Q28" s="5" t="n">
        <v>218</v>
      </c>
      <c r="R28" s="5" t="n"/>
    </row>
    <row r="29">
      <c r="A29" s="2" t="inlineStr">
        <is>
          <t>EJ310123.TXT</t>
        </is>
      </c>
      <c r="B29" s="3" t="inlineStr">
        <is>
          <t>004544</t>
        </is>
      </c>
      <c r="C29" s="3" t="inlineStr">
        <is>
          <t>003589</t>
        </is>
      </c>
      <c r="D29" s="4" t="n">
        <v>44939</v>
      </c>
      <c r="E29" s="2" t="inlineStr">
        <is>
          <t>15:43</t>
        </is>
      </c>
      <c r="F29" s="5" t="n">
        <v>144.17</v>
      </c>
      <c r="G29" s="5" t="n"/>
      <c r="H29" s="5" t="n"/>
      <c r="I29" s="5" t="n"/>
      <c r="J29" s="5" t="n">
        <v>28.83</v>
      </c>
      <c r="K29" s="5" t="n"/>
      <c r="L29" s="5" t="n"/>
      <c r="M29" s="5" t="n"/>
      <c r="N29" s="5" t="n"/>
      <c r="O29" s="5" t="n">
        <v>173</v>
      </c>
      <c r="P29" s="5" t="n"/>
      <c r="Q29" s="5" t="n">
        <v>173</v>
      </c>
      <c r="R29" s="5" t="n"/>
    </row>
    <row r="30">
      <c r="A30" s="2" t="inlineStr">
        <is>
          <t>EJ310123.TXT</t>
        </is>
      </c>
      <c r="B30" s="3" t="inlineStr">
        <is>
          <t>004545</t>
        </is>
      </c>
      <c r="C30" s="3" t="inlineStr">
        <is>
          <t>003590</t>
        </is>
      </c>
      <c r="D30" s="4" t="n">
        <v>44939</v>
      </c>
      <c r="E30" s="2" t="inlineStr">
        <is>
          <t>16:03</t>
        </is>
      </c>
      <c r="F30" s="5" t="n">
        <v>249.17</v>
      </c>
      <c r="G30" s="5" t="n"/>
      <c r="H30" s="5" t="n"/>
      <c r="I30" s="5" t="n"/>
      <c r="J30" s="5" t="n">
        <v>49.83</v>
      </c>
      <c r="K30" s="5" t="n"/>
      <c r="L30" s="5" t="n"/>
      <c r="M30" s="5" t="n"/>
      <c r="N30" s="5" t="n"/>
      <c r="O30" s="5" t="n">
        <v>299</v>
      </c>
      <c r="P30" s="5" t="n"/>
      <c r="Q30" s="5" t="n">
        <v>299</v>
      </c>
      <c r="R30" s="5" t="n"/>
    </row>
    <row r="31">
      <c r="A31" s="2" t="inlineStr">
        <is>
          <t>EJ310123.TXT</t>
        </is>
      </c>
      <c r="B31" s="3" t="inlineStr">
        <is>
          <t>004546</t>
        </is>
      </c>
      <c r="C31" s="3" t="inlineStr">
        <is>
          <t>003591</t>
        </is>
      </c>
      <c r="D31" s="4" t="n">
        <v>44939</v>
      </c>
      <c r="E31" s="2" t="inlineStr">
        <is>
          <t>16:04</t>
        </is>
      </c>
      <c r="F31" s="5" t="n">
        <v>208.33</v>
      </c>
      <c r="G31" s="5" t="n"/>
      <c r="H31" s="5" t="n"/>
      <c r="I31" s="5" t="n"/>
      <c r="J31" s="5" t="n">
        <v>41.67</v>
      </c>
      <c r="K31" s="5" t="n"/>
      <c r="L31" s="5" t="n"/>
      <c r="M31" s="5" t="n"/>
      <c r="N31" s="5" t="n"/>
      <c r="O31" s="5" t="n">
        <v>250</v>
      </c>
      <c r="P31" s="5" t="n"/>
      <c r="Q31" s="5" t="n">
        <v>250</v>
      </c>
      <c r="R31" s="5" t="n"/>
    </row>
    <row r="32">
      <c r="A32" s="2" t="inlineStr">
        <is>
          <t>EJ310123.TXT</t>
        </is>
      </c>
      <c r="B32" s="3" t="inlineStr">
        <is>
          <t>004547</t>
        </is>
      </c>
      <c r="C32" s="3" t="inlineStr">
        <is>
          <t>003592</t>
        </is>
      </c>
      <c r="D32" s="4" t="n">
        <v>44940</v>
      </c>
      <c r="E32" s="2" t="inlineStr">
        <is>
          <t>15:12</t>
        </is>
      </c>
      <c r="F32" s="5" t="n">
        <v>747.5</v>
      </c>
      <c r="G32" s="5" t="n"/>
      <c r="H32" s="5" t="n"/>
      <c r="I32" s="5" t="n"/>
      <c r="J32" s="5" t="n">
        <v>149.5</v>
      </c>
      <c r="K32" s="5" t="n"/>
      <c r="L32" s="5" t="n"/>
      <c r="M32" s="5" t="n"/>
      <c r="N32" s="5" t="n"/>
      <c r="O32" s="5" t="n">
        <v>897</v>
      </c>
      <c r="P32" s="5" t="n"/>
      <c r="Q32" s="5" t="n">
        <v>897</v>
      </c>
      <c r="R32" s="5" t="n"/>
    </row>
    <row r="33">
      <c r="A33" s="2" t="inlineStr">
        <is>
          <t>EJ310123.TXT</t>
        </is>
      </c>
      <c r="B33" s="3" t="inlineStr">
        <is>
          <t>004548</t>
        </is>
      </c>
      <c r="C33" s="3" t="inlineStr">
        <is>
          <t>003593</t>
        </is>
      </c>
      <c r="D33" s="4" t="n">
        <v>44942</v>
      </c>
      <c r="E33" s="2" t="inlineStr">
        <is>
          <t>11:27</t>
        </is>
      </c>
      <c r="F33" s="5" t="n">
        <v>747.5</v>
      </c>
      <c r="G33" s="5" t="n"/>
      <c r="H33" s="5" t="n"/>
      <c r="I33" s="5" t="n"/>
      <c r="J33" s="5" t="n">
        <v>149.5</v>
      </c>
      <c r="K33" s="5" t="n"/>
      <c r="L33" s="5" t="n"/>
      <c r="M33" s="5" t="n"/>
      <c r="N33" s="5" t="n"/>
      <c r="O33" s="5" t="n">
        <v>897</v>
      </c>
      <c r="P33" s="5" t="n"/>
      <c r="Q33" s="5" t="n">
        <v>897</v>
      </c>
      <c r="R33" s="5" t="n"/>
    </row>
    <row r="34">
      <c r="A34" s="2" t="inlineStr">
        <is>
          <t>EJ310123.TXT</t>
        </is>
      </c>
      <c r="B34" s="3" t="inlineStr">
        <is>
          <t>004549</t>
        </is>
      </c>
      <c r="C34" s="3" t="inlineStr">
        <is>
          <t>003594</t>
        </is>
      </c>
      <c r="D34" s="4" t="n">
        <v>44942</v>
      </c>
      <c r="E34" s="2" t="inlineStr">
        <is>
          <t>11:27</t>
        </is>
      </c>
      <c r="F34" s="5" t="n">
        <v>747.5</v>
      </c>
      <c r="G34" s="5" t="n"/>
      <c r="H34" s="5" t="n"/>
      <c r="I34" s="5" t="n"/>
      <c r="J34" s="5" t="n">
        <v>149.5</v>
      </c>
      <c r="K34" s="5" t="n"/>
      <c r="L34" s="5" t="n"/>
      <c r="M34" s="5" t="n"/>
      <c r="N34" s="5" t="n"/>
      <c r="O34" s="5" t="n">
        <v>897</v>
      </c>
      <c r="P34" s="5" t="n"/>
      <c r="Q34" s="5" t="n">
        <v>897</v>
      </c>
      <c r="R34" s="5" t="n"/>
    </row>
    <row r="35">
      <c r="A35" s="2" t="inlineStr">
        <is>
          <t>EJ310123.TXT</t>
        </is>
      </c>
      <c r="B35" s="3" t="inlineStr">
        <is>
          <t>004550</t>
        </is>
      </c>
      <c r="C35" s="3" t="inlineStr">
        <is>
          <t>003595</t>
        </is>
      </c>
      <c r="D35" s="4" t="n">
        <v>44942</v>
      </c>
      <c r="E35" s="2" t="inlineStr">
        <is>
          <t>11:28</t>
        </is>
      </c>
      <c r="F35" s="5" t="n">
        <v>747.5</v>
      </c>
      <c r="G35" s="5" t="n"/>
      <c r="H35" s="5" t="n"/>
      <c r="I35" s="5" t="n"/>
      <c r="J35" s="5" t="n">
        <v>149.5</v>
      </c>
      <c r="K35" s="5" t="n"/>
      <c r="L35" s="5" t="n"/>
      <c r="M35" s="5" t="n"/>
      <c r="N35" s="5" t="n"/>
      <c r="O35" s="5" t="n">
        <v>897</v>
      </c>
      <c r="P35" s="5" t="n"/>
      <c r="Q35" s="5" t="n">
        <v>897</v>
      </c>
      <c r="R35" s="5" t="n"/>
    </row>
    <row r="36">
      <c r="A36" s="2" t="inlineStr">
        <is>
          <t>EJ310123.TXT</t>
        </is>
      </c>
      <c r="B36" s="3" t="inlineStr">
        <is>
          <t>004551</t>
        </is>
      </c>
      <c r="C36" s="3" t="inlineStr">
        <is>
          <t>003596</t>
        </is>
      </c>
      <c r="D36" s="4" t="n">
        <v>44942</v>
      </c>
      <c r="E36" s="2" t="inlineStr">
        <is>
          <t>11:28</t>
        </is>
      </c>
      <c r="F36" s="5" t="n">
        <v>747.5</v>
      </c>
      <c r="G36" s="5" t="n"/>
      <c r="H36" s="5" t="n"/>
      <c r="I36" s="5" t="n"/>
      <c r="J36" s="5" t="n">
        <v>149.5</v>
      </c>
      <c r="K36" s="5" t="n"/>
      <c r="L36" s="5" t="n"/>
      <c r="M36" s="5" t="n"/>
      <c r="N36" s="5" t="n"/>
      <c r="O36" s="5" t="n">
        <v>897</v>
      </c>
      <c r="P36" s="5" t="n"/>
      <c r="Q36" s="5" t="n">
        <v>897</v>
      </c>
      <c r="R36" s="5" t="n"/>
    </row>
    <row r="37">
      <c r="A37" s="2" t="inlineStr">
        <is>
          <t>EJ310123.TXT</t>
        </is>
      </c>
      <c r="B37" s="3" t="inlineStr">
        <is>
          <t>004552</t>
        </is>
      </c>
      <c r="C37" s="3" t="inlineStr">
        <is>
          <t>003597</t>
        </is>
      </c>
      <c r="D37" s="4" t="n">
        <v>44942</v>
      </c>
      <c r="E37" s="2" t="inlineStr">
        <is>
          <t>11:42</t>
        </is>
      </c>
      <c r="F37" s="5" t="n">
        <v>581.67</v>
      </c>
      <c r="G37" s="5" t="n"/>
      <c r="H37" s="5" t="n"/>
      <c r="I37" s="5" t="n"/>
      <c r="J37" s="5" t="n">
        <v>116.33</v>
      </c>
      <c r="K37" s="5" t="n"/>
      <c r="L37" s="5" t="n"/>
      <c r="M37" s="5" t="n"/>
      <c r="N37" s="5" t="n"/>
      <c r="O37" s="5" t="n">
        <v>698</v>
      </c>
      <c r="P37" s="5" t="n"/>
      <c r="Q37" s="5" t="n">
        <v>698</v>
      </c>
      <c r="R37" s="5" t="n"/>
    </row>
    <row r="38">
      <c r="A38" s="2" t="inlineStr">
        <is>
          <t>EJ310123.TXT</t>
        </is>
      </c>
      <c r="B38" s="3" t="inlineStr">
        <is>
          <t>004553</t>
        </is>
      </c>
      <c r="C38" s="3" t="inlineStr">
        <is>
          <t>003598</t>
        </is>
      </c>
      <c r="D38" s="4" t="n">
        <v>44942</v>
      </c>
      <c r="E38" s="2" t="inlineStr">
        <is>
          <t>11:44</t>
        </is>
      </c>
      <c r="F38" s="5" t="n">
        <v>581.67</v>
      </c>
      <c r="G38" s="5" t="n"/>
      <c r="H38" s="5" t="n"/>
      <c r="I38" s="5" t="n"/>
      <c r="J38" s="5" t="n">
        <v>116.33</v>
      </c>
      <c r="K38" s="5" t="n"/>
      <c r="L38" s="5" t="n"/>
      <c r="M38" s="5" t="n"/>
      <c r="N38" s="5" t="n"/>
      <c r="O38" s="5" t="n">
        <v>698</v>
      </c>
      <c r="P38" s="5" t="n"/>
      <c r="Q38" s="5" t="n">
        <v>698</v>
      </c>
      <c r="R38" s="5" t="n"/>
    </row>
    <row r="39">
      <c r="A39" s="2" t="inlineStr">
        <is>
          <t>EJ310123.TXT</t>
        </is>
      </c>
      <c r="B39" s="3" t="inlineStr">
        <is>
          <t>004554</t>
        </is>
      </c>
      <c r="C39" s="3" t="inlineStr">
        <is>
          <t>003599</t>
        </is>
      </c>
      <c r="D39" s="4" t="n">
        <v>44942</v>
      </c>
      <c r="E39" s="2" t="inlineStr">
        <is>
          <t>11:45</t>
        </is>
      </c>
      <c r="F39" s="5" t="n">
        <v>581.67</v>
      </c>
      <c r="G39" s="5" t="n"/>
      <c r="H39" s="5" t="n"/>
      <c r="I39" s="5" t="n"/>
      <c r="J39" s="5" t="n">
        <v>116.33</v>
      </c>
      <c r="K39" s="5" t="n"/>
      <c r="L39" s="5" t="n"/>
      <c r="M39" s="5" t="n"/>
      <c r="N39" s="5" t="n"/>
      <c r="O39" s="5" t="n">
        <v>698</v>
      </c>
      <c r="P39" s="5" t="n"/>
      <c r="Q39" s="5" t="n">
        <v>698</v>
      </c>
      <c r="R39" s="5" t="n"/>
    </row>
    <row r="40">
      <c r="A40" s="2" t="inlineStr">
        <is>
          <t>EJ310123.TXT</t>
        </is>
      </c>
      <c r="B40" s="3" t="inlineStr">
        <is>
          <t>004555</t>
        </is>
      </c>
      <c r="C40" s="3" t="inlineStr">
        <is>
          <t>003600</t>
        </is>
      </c>
      <c r="D40" s="4" t="n">
        <v>44942</v>
      </c>
      <c r="E40" s="2" t="inlineStr">
        <is>
          <t>12:07</t>
        </is>
      </c>
      <c r="F40" s="5" t="n">
        <v>350</v>
      </c>
      <c r="G40" s="5" t="n"/>
      <c r="H40" s="5" t="n"/>
      <c r="I40" s="5" t="n"/>
      <c r="J40" s="5" t="n">
        <v>70</v>
      </c>
      <c r="K40" s="5" t="n"/>
      <c r="L40" s="5" t="n"/>
      <c r="M40" s="5" t="n"/>
      <c r="N40" s="5" t="n"/>
      <c r="O40" s="5" t="n">
        <v>420</v>
      </c>
      <c r="P40" s="5" t="n">
        <v>420</v>
      </c>
      <c r="Q40" s="5" t="n"/>
      <c r="R40" s="5" t="n"/>
    </row>
    <row r="41">
      <c r="A41" s="2" t="inlineStr">
        <is>
          <t>EJ310123.TXT</t>
        </is>
      </c>
      <c r="B41" s="3" t="inlineStr">
        <is>
          <t>004556</t>
        </is>
      </c>
      <c r="C41" s="3" t="inlineStr">
        <is>
          <t>003601</t>
        </is>
      </c>
      <c r="D41" s="4" t="n">
        <v>44942</v>
      </c>
      <c r="E41" s="2" t="inlineStr">
        <is>
          <t>16:10</t>
        </is>
      </c>
      <c r="F41" s="5" t="n">
        <v>288.33</v>
      </c>
      <c r="G41" s="5" t="n"/>
      <c r="H41" s="5" t="n"/>
      <c r="I41" s="5" t="n"/>
      <c r="J41" s="5" t="n">
        <v>57.67</v>
      </c>
      <c r="K41" s="5" t="n"/>
      <c r="L41" s="5" t="n"/>
      <c r="M41" s="5" t="n"/>
      <c r="N41" s="5" t="n"/>
      <c r="O41" s="5" t="n">
        <v>346</v>
      </c>
      <c r="P41" s="5" t="n"/>
      <c r="Q41" s="5" t="n">
        <v>346</v>
      </c>
      <c r="R41" s="5" t="n"/>
    </row>
    <row r="42">
      <c r="A42" s="2" t="inlineStr">
        <is>
          <t>EJ310123.TXT</t>
        </is>
      </c>
      <c r="B42" s="3" t="inlineStr">
        <is>
          <t>004557</t>
        </is>
      </c>
      <c r="C42" s="3" t="inlineStr">
        <is>
          <t>003602</t>
        </is>
      </c>
      <c r="D42" s="4" t="n">
        <v>44942</v>
      </c>
      <c r="E42" s="2" t="inlineStr">
        <is>
          <t>18:23</t>
        </is>
      </c>
      <c r="F42" s="5" t="n">
        <v>299.17</v>
      </c>
      <c r="G42" s="5" t="n"/>
      <c r="H42" s="5" t="n"/>
      <c r="I42" s="5" t="n"/>
      <c r="J42" s="5" t="n">
        <v>59.83</v>
      </c>
      <c r="K42" s="5" t="n"/>
      <c r="L42" s="5" t="n"/>
      <c r="M42" s="5" t="n"/>
      <c r="N42" s="5" t="n"/>
      <c r="O42" s="5" t="n">
        <v>359</v>
      </c>
      <c r="P42" s="5" t="n"/>
      <c r="Q42" s="5" t="n">
        <v>359</v>
      </c>
      <c r="R42" s="5" t="n"/>
    </row>
    <row r="43">
      <c r="A43" s="2" t="inlineStr">
        <is>
          <t>EJ310123.TXT</t>
        </is>
      </c>
      <c r="B43" s="3" t="inlineStr">
        <is>
          <t>004558</t>
        </is>
      </c>
      <c r="C43" s="3" t="inlineStr">
        <is>
          <t>003603</t>
        </is>
      </c>
      <c r="D43" s="4" t="n">
        <v>44942</v>
      </c>
      <c r="E43" s="2" t="inlineStr">
        <is>
          <t>18:25</t>
        </is>
      </c>
      <c r="F43" s="5" t="n">
        <v>299.17</v>
      </c>
      <c r="G43" s="5" t="n"/>
      <c r="H43" s="5" t="n"/>
      <c r="I43" s="5" t="n"/>
      <c r="J43" s="5" t="n">
        <v>59.83</v>
      </c>
      <c r="K43" s="5" t="n"/>
      <c r="L43" s="5" t="n"/>
      <c r="M43" s="5" t="n"/>
      <c r="N43" s="5" t="n"/>
      <c r="O43" s="5" t="n">
        <v>359</v>
      </c>
      <c r="P43" s="5" t="n">
        <v>359</v>
      </c>
      <c r="Q43" s="5" t="n"/>
      <c r="R43" s="5" t="n"/>
    </row>
    <row r="44">
      <c r="A44" s="2" t="inlineStr">
        <is>
          <t>EJ310123.TXT</t>
        </is>
      </c>
      <c r="B44" s="3" t="inlineStr">
        <is>
          <t>004559</t>
        </is>
      </c>
      <c r="C44" s="3" t="inlineStr">
        <is>
          <t>003604</t>
        </is>
      </c>
      <c r="D44" s="4" t="n">
        <v>44943</v>
      </c>
      <c r="E44" s="2" t="inlineStr">
        <is>
          <t>12:25</t>
        </is>
      </c>
      <c r="F44" s="5" t="n">
        <v>581.67</v>
      </c>
      <c r="G44" s="5" t="n"/>
      <c r="H44" s="5" t="n"/>
      <c r="I44" s="5" t="n"/>
      <c r="J44" s="5" t="n">
        <v>116.33</v>
      </c>
      <c r="K44" s="5" t="n"/>
      <c r="L44" s="5" t="n"/>
      <c r="M44" s="5" t="n"/>
      <c r="N44" s="5" t="n"/>
      <c r="O44" s="5" t="n">
        <v>698</v>
      </c>
      <c r="P44" s="5" t="n"/>
      <c r="Q44" s="5" t="n">
        <v>698</v>
      </c>
      <c r="R44" s="5" t="n"/>
    </row>
    <row r="45">
      <c r="A45" s="2" t="inlineStr">
        <is>
          <t>EJ310123.TXT</t>
        </is>
      </c>
      <c r="B45" s="3" t="inlineStr">
        <is>
          <t>004560</t>
        </is>
      </c>
      <c r="C45" s="3" t="inlineStr">
        <is>
          <t>003605</t>
        </is>
      </c>
      <c r="D45" s="4" t="n">
        <v>44943</v>
      </c>
      <c r="E45" s="2" t="inlineStr">
        <is>
          <t>12:25</t>
        </is>
      </c>
      <c r="F45" s="5" t="n">
        <v>581.67</v>
      </c>
      <c r="G45" s="5" t="n"/>
      <c r="H45" s="5" t="n"/>
      <c r="I45" s="5" t="n"/>
      <c r="J45" s="5" t="n">
        <v>116.33</v>
      </c>
      <c r="K45" s="5" t="n"/>
      <c r="L45" s="5" t="n"/>
      <c r="M45" s="5" t="n"/>
      <c r="N45" s="5" t="n"/>
      <c r="O45" s="5" t="n">
        <v>698</v>
      </c>
      <c r="P45" s="5" t="n"/>
      <c r="Q45" s="5" t="n">
        <v>698</v>
      </c>
      <c r="R45" s="5" t="n"/>
    </row>
    <row r="46">
      <c r="A46" s="2" t="inlineStr">
        <is>
          <t>EJ310123.TXT</t>
        </is>
      </c>
      <c r="B46" s="3" t="inlineStr">
        <is>
          <t>004561</t>
        </is>
      </c>
      <c r="C46" s="3" t="inlineStr">
        <is>
          <t>003606</t>
        </is>
      </c>
      <c r="D46" s="4" t="n">
        <v>44943</v>
      </c>
      <c r="E46" s="2" t="inlineStr">
        <is>
          <t>12:25</t>
        </is>
      </c>
      <c r="F46" s="5" t="n">
        <v>581.67</v>
      </c>
      <c r="G46" s="5" t="n"/>
      <c r="H46" s="5" t="n"/>
      <c r="I46" s="5" t="n"/>
      <c r="J46" s="5" t="n">
        <v>116.33</v>
      </c>
      <c r="K46" s="5" t="n"/>
      <c r="L46" s="5" t="n"/>
      <c r="M46" s="5" t="n"/>
      <c r="N46" s="5" t="n"/>
      <c r="O46" s="5" t="n">
        <v>698</v>
      </c>
      <c r="P46" s="5" t="n"/>
      <c r="Q46" s="5" t="n">
        <v>698</v>
      </c>
      <c r="R46" s="5" t="n"/>
    </row>
    <row r="47">
      <c r="A47" s="2" t="inlineStr">
        <is>
          <t>EJ310123.TXT</t>
        </is>
      </c>
      <c r="B47" s="3" t="inlineStr">
        <is>
          <t>004562</t>
        </is>
      </c>
      <c r="C47" s="3" t="inlineStr">
        <is>
          <t>003607</t>
        </is>
      </c>
      <c r="D47" s="4" t="n">
        <v>44943</v>
      </c>
      <c r="E47" s="2" t="inlineStr">
        <is>
          <t>15:31</t>
        </is>
      </c>
      <c r="F47" s="5" t="n">
        <v>37.5</v>
      </c>
      <c r="G47" s="5" t="n"/>
      <c r="H47" s="5" t="n"/>
      <c r="I47" s="5" t="n"/>
      <c r="J47" s="5" t="n">
        <v>7.5</v>
      </c>
      <c r="K47" s="5" t="n"/>
      <c r="L47" s="5" t="n"/>
      <c r="M47" s="5" t="n"/>
      <c r="N47" s="5" t="n"/>
      <c r="O47" s="5" t="n">
        <v>45</v>
      </c>
      <c r="P47" s="5" t="n"/>
      <c r="Q47" s="5" t="n">
        <v>45</v>
      </c>
      <c r="R47" s="5" t="n"/>
    </row>
    <row r="48">
      <c r="A48" s="2" t="inlineStr">
        <is>
          <t>EJ310123.TXT</t>
        </is>
      </c>
      <c r="B48" s="3" t="inlineStr">
        <is>
          <t>004563</t>
        </is>
      </c>
      <c r="C48" s="3" t="inlineStr">
        <is>
          <t>003608</t>
        </is>
      </c>
      <c r="D48" s="4" t="n">
        <v>44944</v>
      </c>
      <c r="E48" s="2" t="inlineStr">
        <is>
          <t>11:13</t>
        </is>
      </c>
      <c r="F48" s="5" t="n">
        <v>166.67</v>
      </c>
      <c r="G48" s="5" t="n"/>
      <c r="H48" s="5" t="n"/>
      <c r="I48" s="5" t="n"/>
      <c r="J48" s="5" t="n">
        <v>33.33</v>
      </c>
      <c r="K48" s="5" t="n"/>
      <c r="L48" s="5" t="n"/>
      <c r="M48" s="5" t="n"/>
      <c r="N48" s="5" t="n"/>
      <c r="O48" s="5" t="n">
        <v>200</v>
      </c>
      <c r="P48" s="5" t="n"/>
      <c r="Q48" s="5" t="n">
        <v>200</v>
      </c>
      <c r="R48" s="5" t="n"/>
    </row>
    <row r="49">
      <c r="A49" s="2" t="inlineStr">
        <is>
          <t>EJ310123.TXT</t>
        </is>
      </c>
      <c r="B49" s="3" t="inlineStr">
        <is>
          <t>004564</t>
        </is>
      </c>
      <c r="C49" s="3" t="inlineStr">
        <is>
          <t>003609</t>
        </is>
      </c>
      <c r="D49" s="4" t="n">
        <v>44944</v>
      </c>
      <c r="E49" s="2" t="inlineStr">
        <is>
          <t>12:09</t>
        </is>
      </c>
      <c r="F49" s="5" t="n">
        <v>581.67</v>
      </c>
      <c r="G49" s="5" t="n"/>
      <c r="H49" s="5" t="n"/>
      <c r="I49" s="5" t="n"/>
      <c r="J49" s="5" t="n">
        <v>116.33</v>
      </c>
      <c r="K49" s="5" t="n"/>
      <c r="L49" s="5" t="n"/>
      <c r="M49" s="5" t="n"/>
      <c r="N49" s="5" t="n"/>
      <c r="O49" s="5" t="n">
        <v>698</v>
      </c>
      <c r="P49" s="5" t="n"/>
      <c r="Q49" s="5" t="n">
        <v>698</v>
      </c>
      <c r="R49" s="5" t="n"/>
    </row>
    <row r="50">
      <c r="A50" s="2" t="inlineStr">
        <is>
          <t>EJ310123.TXT</t>
        </is>
      </c>
      <c r="B50" s="3" t="inlineStr">
        <is>
          <t>004565</t>
        </is>
      </c>
      <c r="C50" s="3" t="inlineStr">
        <is>
          <t>003610</t>
        </is>
      </c>
      <c r="D50" s="4" t="n">
        <v>44944</v>
      </c>
      <c r="E50" s="2" t="inlineStr">
        <is>
          <t>12:10</t>
        </is>
      </c>
      <c r="F50" s="5" t="n">
        <v>299.17</v>
      </c>
      <c r="G50" s="5" t="n"/>
      <c r="H50" s="5" t="n"/>
      <c r="I50" s="5" t="n"/>
      <c r="J50" s="5" t="n">
        <v>59.83</v>
      </c>
      <c r="K50" s="5" t="n"/>
      <c r="L50" s="5" t="n"/>
      <c r="M50" s="5" t="n"/>
      <c r="N50" s="5" t="n"/>
      <c r="O50" s="5" t="n">
        <v>359</v>
      </c>
      <c r="P50" s="5" t="n"/>
      <c r="Q50" s="5" t="n">
        <v>359</v>
      </c>
      <c r="R50" s="5" t="n"/>
    </row>
    <row r="51">
      <c r="A51" s="2" t="inlineStr">
        <is>
          <t>EJ310123.TXT</t>
        </is>
      </c>
      <c r="B51" s="3" t="inlineStr">
        <is>
          <t>004566</t>
        </is>
      </c>
      <c r="C51" s="3" t="inlineStr">
        <is>
          <t>003611</t>
        </is>
      </c>
      <c r="D51" s="4" t="n">
        <v>44944</v>
      </c>
      <c r="E51" s="2" t="inlineStr">
        <is>
          <t>15:26</t>
        </is>
      </c>
      <c r="F51" s="5" t="n">
        <v>598.33</v>
      </c>
      <c r="G51" s="5" t="n"/>
      <c r="H51" s="5" t="n"/>
      <c r="I51" s="5" t="n"/>
      <c r="J51" s="5" t="n">
        <v>119.67</v>
      </c>
      <c r="K51" s="5" t="n"/>
      <c r="L51" s="5" t="n"/>
      <c r="M51" s="5" t="n"/>
      <c r="N51" s="5" t="n"/>
      <c r="O51" s="5" t="n">
        <v>718</v>
      </c>
      <c r="P51" s="5" t="n"/>
      <c r="Q51" s="5" t="n">
        <v>718</v>
      </c>
      <c r="R51" s="5" t="n"/>
    </row>
    <row r="52">
      <c r="A52" s="2" t="inlineStr">
        <is>
          <t>EJ310123.TXT</t>
        </is>
      </c>
      <c r="B52" s="3" t="inlineStr">
        <is>
          <t>004567</t>
        </is>
      </c>
      <c r="C52" s="3" t="inlineStr">
        <is>
          <t>003612</t>
        </is>
      </c>
      <c r="D52" s="4" t="n">
        <v>44944</v>
      </c>
      <c r="E52" s="2" t="inlineStr">
        <is>
          <t>15:26</t>
        </is>
      </c>
      <c r="F52" s="5" t="n">
        <v>598.33</v>
      </c>
      <c r="G52" s="5" t="n"/>
      <c r="H52" s="5" t="n"/>
      <c r="I52" s="5" t="n"/>
      <c r="J52" s="5" t="n">
        <v>119.67</v>
      </c>
      <c r="K52" s="5" t="n"/>
      <c r="L52" s="5" t="n"/>
      <c r="M52" s="5" t="n"/>
      <c r="N52" s="5" t="n"/>
      <c r="O52" s="5" t="n">
        <v>718</v>
      </c>
      <c r="P52" s="5" t="n"/>
      <c r="Q52" s="5" t="n">
        <v>718</v>
      </c>
      <c r="R52" s="5" t="n"/>
    </row>
    <row r="53">
      <c r="A53" s="2" t="inlineStr">
        <is>
          <t>EJ310123.TXT</t>
        </is>
      </c>
      <c r="B53" s="3" t="inlineStr">
        <is>
          <t>004568</t>
        </is>
      </c>
      <c r="C53" s="3" t="inlineStr">
        <is>
          <t>003613</t>
        </is>
      </c>
      <c r="D53" s="4" t="n">
        <v>44944</v>
      </c>
      <c r="E53" s="2" t="inlineStr">
        <is>
          <t>15:27</t>
        </is>
      </c>
      <c r="F53" s="5" t="n">
        <v>290.83</v>
      </c>
      <c r="G53" s="5" t="n"/>
      <c r="H53" s="5" t="n"/>
      <c r="I53" s="5" t="n"/>
      <c r="J53" s="5" t="n">
        <v>58.17</v>
      </c>
      <c r="K53" s="5" t="n"/>
      <c r="L53" s="5" t="n"/>
      <c r="M53" s="5" t="n"/>
      <c r="N53" s="5" t="n"/>
      <c r="O53" s="5" t="n">
        <v>349</v>
      </c>
      <c r="P53" s="5" t="n"/>
      <c r="Q53" s="5" t="n">
        <v>349</v>
      </c>
      <c r="R53" s="5" t="n"/>
    </row>
    <row r="54">
      <c r="A54" s="2" t="inlineStr">
        <is>
          <t>EJ310123.TXT</t>
        </is>
      </c>
      <c r="B54" s="3" t="inlineStr">
        <is>
          <t>004569</t>
        </is>
      </c>
      <c r="C54" s="3" t="inlineStr">
        <is>
          <t>003614</t>
        </is>
      </c>
      <c r="D54" s="4" t="n">
        <v>44944</v>
      </c>
      <c r="E54" s="2" t="inlineStr">
        <is>
          <t>17:26</t>
        </is>
      </c>
      <c r="F54" s="5" t="n">
        <v>115.83</v>
      </c>
      <c r="G54" s="5" t="n"/>
      <c r="H54" s="5" t="n"/>
      <c r="I54" s="5" t="n"/>
      <c r="J54" s="5" t="n">
        <v>23.17</v>
      </c>
      <c r="K54" s="5" t="n"/>
      <c r="L54" s="5" t="n"/>
      <c r="M54" s="5" t="n"/>
      <c r="N54" s="5" t="n"/>
      <c r="O54" s="5" t="n">
        <v>139</v>
      </c>
      <c r="P54" s="5" t="n">
        <v>139</v>
      </c>
      <c r="Q54" s="5" t="n"/>
      <c r="R54" s="5" t="n"/>
    </row>
    <row r="55">
      <c r="A55" s="2" t="inlineStr">
        <is>
          <t>EJ310123.TXT</t>
        </is>
      </c>
      <c r="B55" s="3" t="inlineStr">
        <is>
          <t>004570</t>
        </is>
      </c>
      <c r="C55" s="3" t="inlineStr">
        <is>
          <t>003615</t>
        </is>
      </c>
      <c r="D55" s="4" t="n">
        <v>44944</v>
      </c>
      <c r="E55" s="2" t="inlineStr">
        <is>
          <t>18:12</t>
        </is>
      </c>
      <c r="F55" s="5" t="n">
        <v>598.33</v>
      </c>
      <c r="G55" s="5" t="n"/>
      <c r="H55" s="5" t="n"/>
      <c r="I55" s="5" t="n"/>
      <c r="J55" s="5" t="n">
        <v>119.67</v>
      </c>
      <c r="K55" s="5" t="n"/>
      <c r="L55" s="5" t="n"/>
      <c r="M55" s="5" t="n"/>
      <c r="N55" s="5" t="n"/>
      <c r="O55" s="5" t="n">
        <v>718</v>
      </c>
      <c r="P55" s="5" t="n"/>
      <c r="Q55" s="5" t="n">
        <v>718</v>
      </c>
      <c r="R55" s="5" t="n"/>
    </row>
    <row r="56">
      <c r="A56" s="2" t="inlineStr">
        <is>
          <t>EJ310123.TXT</t>
        </is>
      </c>
      <c r="B56" s="3" t="inlineStr">
        <is>
          <t>004571</t>
        </is>
      </c>
      <c r="C56" s="3" t="inlineStr">
        <is>
          <t>003616</t>
        </is>
      </c>
      <c r="D56" s="4" t="n">
        <v>44944</v>
      </c>
      <c r="E56" s="2" t="inlineStr">
        <is>
          <t>18:16</t>
        </is>
      </c>
      <c r="F56" s="5" t="n">
        <v>598.33</v>
      </c>
      <c r="G56" s="5" t="n"/>
      <c r="H56" s="5" t="n"/>
      <c r="I56" s="5" t="n"/>
      <c r="J56" s="5" t="n">
        <v>119.67</v>
      </c>
      <c r="K56" s="5" t="n"/>
      <c r="L56" s="5" t="n"/>
      <c r="M56" s="5" t="n"/>
      <c r="N56" s="5" t="n"/>
      <c r="O56" s="5" t="n">
        <v>718</v>
      </c>
      <c r="P56" s="5" t="n">
        <v>718</v>
      </c>
      <c r="Q56" s="5" t="n"/>
      <c r="R56" s="5" t="n"/>
    </row>
    <row r="57">
      <c r="A57" s="2" t="inlineStr">
        <is>
          <t>EJ310123.TXT</t>
        </is>
      </c>
      <c r="B57" s="3" t="inlineStr">
        <is>
          <t>004572</t>
        </is>
      </c>
      <c r="C57" s="3" t="inlineStr">
        <is>
          <t>003617</t>
        </is>
      </c>
      <c r="D57" s="4" t="n">
        <v>44944</v>
      </c>
      <c r="E57" s="2" t="inlineStr">
        <is>
          <t>18:18</t>
        </is>
      </c>
      <c r="F57" s="5" t="n">
        <v>175</v>
      </c>
      <c r="G57" s="5" t="n"/>
      <c r="H57" s="5" t="n"/>
      <c r="I57" s="5" t="n"/>
      <c r="J57" s="5" t="n">
        <v>35</v>
      </c>
      <c r="K57" s="5" t="n"/>
      <c r="L57" s="5" t="n"/>
      <c r="M57" s="5" t="n"/>
      <c r="N57" s="5" t="n"/>
      <c r="O57" s="5" t="n">
        <v>210</v>
      </c>
      <c r="P57" s="5" t="n"/>
      <c r="Q57" s="5" t="n">
        <v>210</v>
      </c>
      <c r="R57" s="5" t="n"/>
    </row>
    <row r="58">
      <c r="A58" s="2" t="inlineStr">
        <is>
          <t>EJ310123.TXT</t>
        </is>
      </c>
      <c r="B58" s="3" t="inlineStr">
        <is>
          <t>004573</t>
        </is>
      </c>
      <c r="C58" s="3" t="inlineStr">
        <is>
          <t>003618</t>
        </is>
      </c>
      <c r="D58" s="4" t="n">
        <v>44944</v>
      </c>
      <c r="E58" s="2" t="inlineStr">
        <is>
          <t>18:22</t>
        </is>
      </c>
      <c r="F58" s="5" t="n">
        <v>75</v>
      </c>
      <c r="G58" s="5" t="n"/>
      <c r="H58" s="5" t="n"/>
      <c r="I58" s="5" t="n"/>
      <c r="J58" s="5" t="n">
        <v>15</v>
      </c>
      <c r="K58" s="5" t="n"/>
      <c r="L58" s="5" t="n"/>
      <c r="M58" s="5" t="n"/>
      <c r="N58" s="5" t="n"/>
      <c r="O58" s="5" t="n">
        <v>90</v>
      </c>
      <c r="P58" s="5" t="n"/>
      <c r="Q58" s="5" t="n">
        <v>90</v>
      </c>
      <c r="R58" s="5" t="n"/>
    </row>
    <row r="59">
      <c r="A59" s="2" t="inlineStr">
        <is>
          <t>EJ310123.TXT</t>
        </is>
      </c>
      <c r="B59" s="3" t="inlineStr">
        <is>
          <t>004574</t>
        </is>
      </c>
      <c r="C59" s="3" t="inlineStr">
        <is>
          <t>003619</t>
        </is>
      </c>
      <c r="D59" s="4" t="n">
        <v>44945</v>
      </c>
      <c r="E59" s="2" t="inlineStr">
        <is>
          <t>15:50</t>
        </is>
      </c>
      <c r="F59" s="5" t="n">
        <v>299.17</v>
      </c>
      <c r="G59" s="5" t="n"/>
      <c r="H59" s="5" t="n"/>
      <c r="I59" s="5" t="n"/>
      <c r="J59" s="5" t="n">
        <v>59.83</v>
      </c>
      <c r="K59" s="5" t="n"/>
      <c r="L59" s="5" t="n"/>
      <c r="M59" s="5" t="n"/>
      <c r="N59" s="5" t="n"/>
      <c r="O59" s="5" t="n">
        <v>359</v>
      </c>
      <c r="P59" s="5" t="n"/>
      <c r="Q59" s="5" t="n">
        <v>359</v>
      </c>
      <c r="R59" s="5" t="n"/>
    </row>
    <row r="60">
      <c r="A60" s="2" t="inlineStr">
        <is>
          <t>EJ310123.TXT</t>
        </is>
      </c>
      <c r="B60" s="3" t="inlineStr">
        <is>
          <t>004575</t>
        </is>
      </c>
      <c r="C60" s="3" t="inlineStr">
        <is>
          <t>003620</t>
        </is>
      </c>
      <c r="D60" s="4" t="n">
        <v>44945</v>
      </c>
      <c r="E60" s="2" t="inlineStr">
        <is>
          <t>16:56</t>
        </is>
      </c>
      <c r="F60" s="5" t="n">
        <v>299.17</v>
      </c>
      <c r="G60" s="5" t="n"/>
      <c r="H60" s="5" t="n"/>
      <c r="I60" s="5" t="n"/>
      <c r="J60" s="5" t="n">
        <v>59.83</v>
      </c>
      <c r="K60" s="5" t="n"/>
      <c r="L60" s="5" t="n"/>
      <c r="M60" s="5" t="n"/>
      <c r="N60" s="5" t="n"/>
      <c r="O60" s="5" t="n">
        <v>359</v>
      </c>
      <c r="P60" s="5" t="n">
        <v>359</v>
      </c>
      <c r="Q60" s="5" t="n"/>
      <c r="R60" s="5" t="n"/>
    </row>
    <row r="61">
      <c r="A61" s="2" t="inlineStr">
        <is>
          <t>EJ310123.TXT</t>
        </is>
      </c>
      <c r="B61" s="3" t="inlineStr">
        <is>
          <t>004576</t>
        </is>
      </c>
      <c r="C61" s="3" t="inlineStr">
        <is>
          <t>003621</t>
        </is>
      </c>
      <c r="D61" s="4" t="n">
        <v>44945</v>
      </c>
      <c r="E61" s="2" t="inlineStr">
        <is>
          <t>18:15</t>
        </is>
      </c>
      <c r="F61" s="5" t="n">
        <v>582.5</v>
      </c>
      <c r="G61" s="5" t="n"/>
      <c r="H61" s="5" t="n"/>
      <c r="I61" s="5" t="n"/>
      <c r="J61" s="5" t="n">
        <v>116.5</v>
      </c>
      <c r="K61" s="5" t="n"/>
      <c r="L61" s="5" t="n"/>
      <c r="M61" s="5" t="n"/>
      <c r="N61" s="5" t="n"/>
      <c r="O61" s="5" t="n">
        <v>699</v>
      </c>
      <c r="P61" s="5" t="n"/>
      <c r="Q61" s="5" t="n">
        <v>699</v>
      </c>
      <c r="R61" s="5" t="n"/>
    </row>
    <row r="62">
      <c r="A62" s="2" t="inlineStr">
        <is>
          <t>EJ310123.TXT</t>
        </is>
      </c>
      <c r="B62" s="3" t="inlineStr">
        <is>
          <t>004577</t>
        </is>
      </c>
      <c r="C62" s="3" t="inlineStr">
        <is>
          <t>003622</t>
        </is>
      </c>
      <c r="D62" s="4" t="n">
        <v>44945</v>
      </c>
      <c r="E62" s="2" t="inlineStr">
        <is>
          <t>18:15</t>
        </is>
      </c>
      <c r="F62" s="5" t="n">
        <v>582.5</v>
      </c>
      <c r="G62" s="5" t="n"/>
      <c r="H62" s="5" t="n"/>
      <c r="I62" s="5" t="n"/>
      <c r="J62" s="5" t="n">
        <v>116.5</v>
      </c>
      <c r="K62" s="5" t="n"/>
      <c r="L62" s="5" t="n"/>
      <c r="M62" s="5" t="n"/>
      <c r="N62" s="5" t="n"/>
      <c r="O62" s="5" t="n">
        <v>699</v>
      </c>
      <c r="P62" s="5" t="n"/>
      <c r="Q62" s="5" t="n">
        <v>699</v>
      </c>
      <c r="R62" s="5" t="n"/>
    </row>
    <row r="63">
      <c r="A63" s="2" t="inlineStr">
        <is>
          <t>EJ310123.TXT</t>
        </is>
      </c>
      <c r="B63" s="3" t="inlineStr">
        <is>
          <t>004578</t>
        </is>
      </c>
      <c r="C63" s="3" t="inlineStr">
        <is>
          <t>003623</t>
        </is>
      </c>
      <c r="D63" s="4" t="n">
        <v>44946</v>
      </c>
      <c r="E63" s="2" t="inlineStr">
        <is>
          <t>11:51</t>
        </is>
      </c>
      <c r="F63" s="5" t="n">
        <v>249.17</v>
      </c>
      <c r="G63" s="5" t="n"/>
      <c r="H63" s="5" t="n"/>
      <c r="I63" s="5" t="n"/>
      <c r="J63" s="5" t="n">
        <v>49.83</v>
      </c>
      <c r="K63" s="5" t="n"/>
      <c r="L63" s="5" t="n"/>
      <c r="M63" s="5" t="n"/>
      <c r="N63" s="5" t="n"/>
      <c r="O63" s="5" t="n">
        <v>299</v>
      </c>
      <c r="P63" s="5" t="n"/>
      <c r="Q63" s="5" t="n">
        <v>299</v>
      </c>
      <c r="R63" s="5" t="n"/>
    </row>
    <row r="64">
      <c r="A64" s="2" t="inlineStr">
        <is>
          <t>EJ310123.TXT</t>
        </is>
      </c>
      <c r="B64" s="3" t="inlineStr">
        <is>
          <t>004579</t>
        </is>
      </c>
      <c r="C64" s="3" t="inlineStr">
        <is>
          <t>003624</t>
        </is>
      </c>
      <c r="D64" s="4" t="n">
        <v>44946</v>
      </c>
      <c r="E64" s="2" t="inlineStr">
        <is>
          <t>12:17</t>
        </is>
      </c>
      <c r="F64" s="5" t="n">
        <v>37.5</v>
      </c>
      <c r="G64" s="5" t="n"/>
      <c r="H64" s="5" t="n"/>
      <c r="I64" s="5" t="n"/>
      <c r="J64" s="5" t="n">
        <v>7.5</v>
      </c>
      <c r="K64" s="5" t="n"/>
      <c r="L64" s="5" t="n"/>
      <c r="M64" s="5" t="n"/>
      <c r="N64" s="5" t="n"/>
      <c r="O64" s="5" t="n">
        <v>45</v>
      </c>
      <c r="P64" s="5" t="n">
        <v>45</v>
      </c>
      <c r="Q64" s="5" t="n"/>
      <c r="R64" s="5" t="n"/>
    </row>
    <row r="65">
      <c r="A65" s="2" t="inlineStr">
        <is>
          <t>EJ310123.TXT</t>
        </is>
      </c>
      <c r="B65" s="3" t="inlineStr">
        <is>
          <t>004580</t>
        </is>
      </c>
      <c r="C65" s="3" t="inlineStr">
        <is>
          <t>003625</t>
        </is>
      </c>
      <c r="D65" s="4" t="n">
        <v>44946</v>
      </c>
      <c r="E65" s="2" t="inlineStr">
        <is>
          <t>12:32</t>
        </is>
      </c>
      <c r="F65" s="5" t="n">
        <v>725</v>
      </c>
      <c r="G65" s="5" t="n"/>
      <c r="H65" s="5" t="n"/>
      <c r="I65" s="5" t="n"/>
      <c r="J65" s="5" t="n">
        <v>145</v>
      </c>
      <c r="K65" s="5" t="n"/>
      <c r="L65" s="5" t="n"/>
      <c r="M65" s="5" t="n"/>
      <c r="N65" s="5" t="n"/>
      <c r="O65" s="5" t="n">
        <v>870</v>
      </c>
      <c r="P65" s="5" t="n"/>
      <c r="Q65" s="5" t="n">
        <v>870</v>
      </c>
      <c r="R65" s="5" t="n"/>
    </row>
    <row r="66">
      <c r="A66" s="2" t="inlineStr">
        <is>
          <t>EJ310123.TXT</t>
        </is>
      </c>
      <c r="B66" s="3" t="inlineStr">
        <is>
          <t>004581</t>
        </is>
      </c>
      <c r="C66" s="3" t="inlineStr">
        <is>
          <t>003626</t>
        </is>
      </c>
      <c r="D66" s="4" t="n">
        <v>44946</v>
      </c>
      <c r="E66" s="2" t="inlineStr">
        <is>
          <t>13:04</t>
        </is>
      </c>
      <c r="F66" s="5" t="n">
        <v>249.17</v>
      </c>
      <c r="G66" s="5" t="n"/>
      <c r="H66" s="5" t="n"/>
      <c r="I66" s="5" t="n"/>
      <c r="J66" s="5" t="n">
        <v>49.83</v>
      </c>
      <c r="K66" s="5" t="n"/>
      <c r="L66" s="5" t="n"/>
      <c r="M66" s="5" t="n"/>
      <c r="N66" s="5" t="n"/>
      <c r="O66" s="5" t="n">
        <v>299</v>
      </c>
      <c r="P66" s="5" t="n">
        <v>299</v>
      </c>
      <c r="Q66" s="5" t="n"/>
      <c r="R66" s="5" t="n"/>
    </row>
    <row r="67">
      <c r="A67" s="2" t="inlineStr">
        <is>
          <t>EJ310123.TXT</t>
        </is>
      </c>
      <c r="B67" s="3" t="inlineStr">
        <is>
          <t>004582</t>
        </is>
      </c>
      <c r="C67" s="3" t="inlineStr">
        <is>
          <t>003627</t>
        </is>
      </c>
      <c r="D67" s="4" t="n">
        <v>44946</v>
      </c>
      <c r="E67" s="2" t="inlineStr">
        <is>
          <t>14:32</t>
        </is>
      </c>
      <c r="F67" s="5" t="n">
        <v>166.67</v>
      </c>
      <c r="G67" s="5" t="n"/>
      <c r="H67" s="5" t="n"/>
      <c r="I67" s="5" t="n"/>
      <c r="J67" s="5" t="n">
        <v>33.33</v>
      </c>
      <c r="K67" s="5" t="n"/>
      <c r="L67" s="5" t="n"/>
      <c r="M67" s="5" t="n"/>
      <c r="N67" s="5" t="n"/>
      <c r="O67" s="5" t="n">
        <v>200</v>
      </c>
      <c r="P67" s="5" t="n"/>
      <c r="Q67" s="5" t="n">
        <v>200</v>
      </c>
      <c r="R67" s="5" t="n"/>
    </row>
    <row r="68">
      <c r="A68" s="2" t="inlineStr">
        <is>
          <t>EJ310123.TXT</t>
        </is>
      </c>
      <c r="B68" s="3" t="inlineStr">
        <is>
          <t>004583</t>
        </is>
      </c>
      <c r="C68" s="3" t="inlineStr">
        <is>
          <t>003628</t>
        </is>
      </c>
      <c r="D68" s="4" t="n">
        <v>44946</v>
      </c>
      <c r="E68" s="2" t="inlineStr">
        <is>
          <t>14:50</t>
        </is>
      </c>
      <c r="F68" s="5" t="n">
        <v>319.17</v>
      </c>
      <c r="G68" s="5" t="n"/>
      <c r="H68" s="5" t="n"/>
      <c r="I68" s="5" t="n"/>
      <c r="J68" s="5" t="n">
        <v>63.83</v>
      </c>
      <c r="K68" s="5" t="n"/>
      <c r="L68" s="5" t="n"/>
      <c r="M68" s="5" t="n"/>
      <c r="N68" s="5" t="n"/>
      <c r="O68" s="5" t="n">
        <v>383</v>
      </c>
      <c r="P68" s="5" t="n">
        <v>383</v>
      </c>
      <c r="Q68" s="5" t="n"/>
      <c r="R68" s="5" t="n"/>
    </row>
    <row r="69">
      <c r="A69" s="2" t="inlineStr">
        <is>
          <t>EJ310123.TXT</t>
        </is>
      </c>
      <c r="B69" s="3" t="inlineStr">
        <is>
          <t>004584</t>
        </is>
      </c>
      <c r="C69" s="3" t="inlineStr">
        <is>
          <t>003629</t>
        </is>
      </c>
      <c r="D69" s="4" t="n">
        <v>44946</v>
      </c>
      <c r="E69" s="2" t="inlineStr">
        <is>
          <t>15:10</t>
        </is>
      </c>
      <c r="F69" s="5" t="n">
        <v>175</v>
      </c>
      <c r="G69" s="5" t="n"/>
      <c r="H69" s="5" t="n"/>
      <c r="I69" s="5" t="n"/>
      <c r="J69" s="5" t="n">
        <v>35</v>
      </c>
      <c r="K69" s="5" t="n"/>
      <c r="L69" s="5" t="n"/>
      <c r="M69" s="5" t="n"/>
      <c r="N69" s="5" t="n"/>
      <c r="O69" s="5" t="n">
        <v>210</v>
      </c>
      <c r="P69" s="5" t="n">
        <v>210</v>
      </c>
      <c r="Q69" s="5" t="n"/>
      <c r="R69" s="5" t="n"/>
    </row>
    <row r="70">
      <c r="A70" s="2" t="inlineStr">
        <is>
          <t>EJ310123.TXT</t>
        </is>
      </c>
      <c r="B70" s="3" t="inlineStr">
        <is>
          <t>004585</t>
        </is>
      </c>
      <c r="C70" s="3" t="inlineStr">
        <is>
          <t>003630</t>
        </is>
      </c>
      <c r="D70" s="4" t="n">
        <v>44946</v>
      </c>
      <c r="E70" s="2" t="inlineStr">
        <is>
          <t>15:46</t>
        </is>
      </c>
      <c r="F70" s="5" t="n">
        <v>249.17</v>
      </c>
      <c r="G70" s="5" t="n"/>
      <c r="H70" s="5" t="n"/>
      <c r="I70" s="5" t="n"/>
      <c r="J70" s="5" t="n">
        <v>49.83</v>
      </c>
      <c r="K70" s="5" t="n"/>
      <c r="L70" s="5" t="n"/>
      <c r="M70" s="5" t="n"/>
      <c r="N70" s="5" t="n"/>
      <c r="O70" s="5" t="n">
        <v>299</v>
      </c>
      <c r="P70" s="5" t="n">
        <v>299</v>
      </c>
      <c r="Q70" s="5" t="n"/>
      <c r="R70" s="5" t="n"/>
    </row>
    <row r="71">
      <c r="A71" s="2" t="inlineStr">
        <is>
          <t>EJ310123.TXT</t>
        </is>
      </c>
      <c r="B71" s="3" t="inlineStr">
        <is>
          <t>004586</t>
        </is>
      </c>
      <c r="C71" s="3" t="inlineStr">
        <is>
          <t>003631</t>
        </is>
      </c>
      <c r="D71" s="4" t="n">
        <v>44946</v>
      </c>
      <c r="E71" s="2" t="inlineStr">
        <is>
          <t>18:22</t>
        </is>
      </c>
      <c r="F71" s="5" t="n">
        <v>483.33</v>
      </c>
      <c r="G71" s="5" t="n"/>
      <c r="H71" s="5" t="n"/>
      <c r="I71" s="5" t="n"/>
      <c r="J71" s="5" t="n">
        <v>96.67</v>
      </c>
      <c r="K71" s="5" t="n"/>
      <c r="L71" s="5" t="n"/>
      <c r="M71" s="5" t="n"/>
      <c r="N71" s="5" t="n"/>
      <c r="O71" s="5" t="n">
        <v>580</v>
      </c>
      <c r="P71" s="5" t="n"/>
      <c r="Q71" s="5" t="n">
        <v>580</v>
      </c>
      <c r="R71" s="5" t="n"/>
    </row>
    <row r="72">
      <c r="A72" s="2" t="inlineStr">
        <is>
          <t>EJ310123.TXT</t>
        </is>
      </c>
      <c r="B72" s="3" t="inlineStr">
        <is>
          <t>004587</t>
        </is>
      </c>
      <c r="C72" s="3" t="inlineStr">
        <is>
          <t>003632</t>
        </is>
      </c>
      <c r="D72" s="4" t="n">
        <v>44947</v>
      </c>
      <c r="E72" s="2" t="inlineStr">
        <is>
          <t>15:25</t>
        </is>
      </c>
      <c r="F72" s="5" t="n">
        <v>2100</v>
      </c>
      <c r="G72" s="5" t="n"/>
      <c r="H72" s="5" t="n"/>
      <c r="I72" s="5" t="n"/>
      <c r="J72" s="5" t="n">
        <v>420</v>
      </c>
      <c r="K72" s="5" t="n"/>
      <c r="L72" s="5" t="n"/>
      <c r="M72" s="5" t="n"/>
      <c r="N72" s="5" t="n"/>
      <c r="O72" s="5" t="n">
        <v>2520</v>
      </c>
      <c r="P72" s="5" t="n">
        <v>2520</v>
      </c>
      <c r="Q72" s="5" t="n"/>
      <c r="R72" s="5" t="n"/>
    </row>
    <row r="73">
      <c r="A73" s="2" t="inlineStr">
        <is>
          <t>EJ310123.TXT</t>
        </is>
      </c>
      <c r="B73" s="3" t="inlineStr">
        <is>
          <t>004588</t>
        </is>
      </c>
      <c r="C73" s="3" t="inlineStr">
        <is>
          <t>003633</t>
        </is>
      </c>
      <c r="D73" s="4" t="n">
        <v>44947</v>
      </c>
      <c r="E73" s="2" t="inlineStr">
        <is>
          <t>15:37</t>
        </is>
      </c>
      <c r="F73" s="5" t="n">
        <v>494.17</v>
      </c>
      <c r="G73" s="5" t="n"/>
      <c r="H73" s="5" t="n"/>
      <c r="I73" s="5" t="n"/>
      <c r="J73" s="5" t="n">
        <v>98.83</v>
      </c>
      <c r="K73" s="5" t="n"/>
      <c r="L73" s="5" t="n"/>
      <c r="M73" s="5" t="n"/>
      <c r="N73" s="5" t="n"/>
      <c r="O73" s="5" t="n">
        <v>593</v>
      </c>
      <c r="P73" s="5" t="n"/>
      <c r="Q73" s="5" t="n">
        <v>593</v>
      </c>
      <c r="R73" s="5" t="n"/>
    </row>
    <row r="74">
      <c r="A74" s="2" t="inlineStr">
        <is>
          <t>EJ310123.TXT</t>
        </is>
      </c>
      <c r="B74" s="3" t="inlineStr">
        <is>
          <t>004589</t>
        </is>
      </c>
      <c r="C74" s="3" t="inlineStr">
        <is>
          <t>003634</t>
        </is>
      </c>
      <c r="D74" s="4" t="n">
        <v>44947</v>
      </c>
      <c r="E74" s="2" t="inlineStr">
        <is>
          <t>15:40</t>
        </is>
      </c>
      <c r="F74" s="5" t="n">
        <v>747.5</v>
      </c>
      <c r="G74" s="5" t="n"/>
      <c r="H74" s="5" t="n"/>
      <c r="I74" s="5" t="n"/>
      <c r="J74" s="5" t="n">
        <v>149.5</v>
      </c>
      <c r="K74" s="5" t="n"/>
      <c r="L74" s="5" t="n"/>
      <c r="M74" s="5" t="n"/>
      <c r="N74" s="5" t="n"/>
      <c r="O74" s="5" t="n">
        <v>897</v>
      </c>
      <c r="P74" s="5" t="n"/>
      <c r="Q74" s="5" t="n">
        <v>897</v>
      </c>
      <c r="R74" s="5" t="n"/>
    </row>
    <row r="75">
      <c r="A75" s="2" t="inlineStr">
        <is>
          <t>EJ310123.TXT</t>
        </is>
      </c>
      <c r="B75" s="3" t="inlineStr">
        <is>
          <t>004590</t>
        </is>
      </c>
      <c r="C75" s="3" t="inlineStr">
        <is>
          <t>003635</t>
        </is>
      </c>
      <c r="D75" s="4" t="n">
        <v>44947</v>
      </c>
      <c r="E75" s="2" t="inlineStr">
        <is>
          <t>15:44</t>
        </is>
      </c>
      <c r="F75" s="5" t="n">
        <v>747.5</v>
      </c>
      <c r="G75" s="5" t="n"/>
      <c r="H75" s="5" t="n"/>
      <c r="I75" s="5" t="n"/>
      <c r="J75" s="5" t="n">
        <v>149.5</v>
      </c>
      <c r="K75" s="5" t="n"/>
      <c r="L75" s="5" t="n"/>
      <c r="M75" s="5" t="n"/>
      <c r="N75" s="5" t="n"/>
      <c r="O75" s="5" t="n">
        <v>897</v>
      </c>
      <c r="P75" s="5" t="n"/>
      <c r="Q75" s="5" t="n">
        <v>897</v>
      </c>
      <c r="R75" s="5" t="n"/>
    </row>
    <row r="76">
      <c r="A76" s="2" t="inlineStr">
        <is>
          <t>EJ310123.TXT</t>
        </is>
      </c>
      <c r="B76" s="3" t="inlineStr">
        <is>
          <t>004591</t>
        </is>
      </c>
      <c r="C76" s="3" t="inlineStr">
        <is>
          <t>003636</t>
        </is>
      </c>
      <c r="D76" s="4" t="n">
        <v>44947</v>
      </c>
      <c r="E76" s="2" t="inlineStr">
        <is>
          <t>15:46</t>
        </is>
      </c>
      <c r="F76" s="5" t="n">
        <v>498.33</v>
      </c>
      <c r="G76" s="5" t="n"/>
      <c r="H76" s="5" t="n"/>
      <c r="I76" s="5" t="n"/>
      <c r="J76" s="5" t="n">
        <v>99.67</v>
      </c>
      <c r="K76" s="5" t="n"/>
      <c r="L76" s="5" t="n"/>
      <c r="M76" s="5" t="n"/>
      <c r="N76" s="5" t="n"/>
      <c r="O76" s="5" t="n">
        <v>598</v>
      </c>
      <c r="P76" s="5" t="n"/>
      <c r="Q76" s="5" t="n">
        <v>598</v>
      </c>
      <c r="R76" s="5" t="n"/>
    </row>
    <row r="77">
      <c r="A77" s="2" t="inlineStr">
        <is>
          <t>EJ310123.TXT</t>
        </is>
      </c>
      <c r="B77" s="3" t="inlineStr">
        <is>
          <t>004592</t>
        </is>
      </c>
      <c r="C77" s="3" t="inlineStr">
        <is>
          <t>003637</t>
        </is>
      </c>
      <c r="D77" s="4" t="n">
        <v>44947</v>
      </c>
      <c r="E77" s="2" t="inlineStr">
        <is>
          <t>15:47</t>
        </is>
      </c>
      <c r="F77" s="5" t="n">
        <v>725</v>
      </c>
      <c r="G77" s="5" t="n"/>
      <c r="H77" s="5" t="n"/>
      <c r="I77" s="5" t="n"/>
      <c r="J77" s="5" t="n">
        <v>145</v>
      </c>
      <c r="K77" s="5" t="n"/>
      <c r="L77" s="5" t="n"/>
      <c r="M77" s="5" t="n"/>
      <c r="N77" s="5" t="n"/>
      <c r="O77" s="5" t="n">
        <v>870</v>
      </c>
      <c r="P77" s="5" t="n"/>
      <c r="Q77" s="5" t="n">
        <v>870</v>
      </c>
      <c r="R77" s="5" t="n"/>
    </row>
    <row r="78">
      <c r="A78" s="2" t="inlineStr">
        <is>
          <t>EJ310123.TXT</t>
        </is>
      </c>
      <c r="B78" s="3" t="inlineStr">
        <is>
          <t>004593</t>
        </is>
      </c>
      <c r="C78" s="3" t="inlineStr">
        <is>
          <t>003638</t>
        </is>
      </c>
      <c r="D78" s="4" t="n">
        <v>44947</v>
      </c>
      <c r="E78" s="2" t="inlineStr">
        <is>
          <t>15:48</t>
        </is>
      </c>
      <c r="F78" s="5" t="n">
        <v>702.5</v>
      </c>
      <c r="G78" s="5" t="n"/>
      <c r="H78" s="5" t="n"/>
      <c r="I78" s="5" t="n"/>
      <c r="J78" s="5" t="n">
        <v>140.5</v>
      </c>
      <c r="K78" s="5" t="n"/>
      <c r="L78" s="5" t="n"/>
      <c r="M78" s="5" t="n"/>
      <c r="N78" s="5" t="n"/>
      <c r="O78" s="5" t="n">
        <v>843</v>
      </c>
      <c r="P78" s="5" t="n"/>
      <c r="Q78" s="5" t="n">
        <v>843</v>
      </c>
      <c r="R78" s="5" t="n"/>
    </row>
    <row r="79">
      <c r="A79" s="2" t="inlineStr">
        <is>
          <t>EJ310123.TXT</t>
        </is>
      </c>
      <c r="B79" s="3" t="inlineStr">
        <is>
          <t>004594</t>
        </is>
      </c>
      <c r="C79" s="3" t="inlineStr">
        <is>
          <t>003639</t>
        </is>
      </c>
      <c r="D79" s="4" t="n">
        <v>44947</v>
      </c>
      <c r="E79" s="2" t="inlineStr">
        <is>
          <t>15:49</t>
        </is>
      </c>
      <c r="F79" s="5" t="n">
        <v>226.67</v>
      </c>
      <c r="G79" s="5" t="n"/>
      <c r="H79" s="5" t="n"/>
      <c r="I79" s="5" t="n"/>
      <c r="J79" s="5" t="n">
        <v>45.33</v>
      </c>
      <c r="K79" s="5" t="n"/>
      <c r="L79" s="5" t="n"/>
      <c r="M79" s="5" t="n"/>
      <c r="N79" s="5" t="n"/>
      <c r="O79" s="5" t="n">
        <v>272</v>
      </c>
      <c r="P79" s="5" t="n"/>
      <c r="Q79" s="5" t="n">
        <v>272</v>
      </c>
      <c r="R79" s="5" t="n"/>
    </row>
    <row r="80">
      <c r="A80" s="2" t="inlineStr">
        <is>
          <t>EJ310123.TXT</t>
        </is>
      </c>
      <c r="B80" s="3" t="inlineStr">
        <is>
          <t>004595</t>
        </is>
      </c>
      <c r="C80" s="3" t="inlineStr">
        <is>
          <t>003640</t>
        </is>
      </c>
      <c r="D80" s="4" t="n">
        <v>44947</v>
      </c>
      <c r="E80" s="2" t="inlineStr">
        <is>
          <t>16:04</t>
        </is>
      </c>
      <c r="F80" s="5" t="n">
        <v>582.5</v>
      </c>
      <c r="G80" s="5" t="n"/>
      <c r="H80" s="5" t="n"/>
      <c r="I80" s="5" t="n"/>
      <c r="J80" s="5" t="n">
        <v>116.5</v>
      </c>
      <c r="K80" s="5" t="n"/>
      <c r="L80" s="5" t="n"/>
      <c r="M80" s="5" t="n"/>
      <c r="N80" s="5" t="n"/>
      <c r="O80" s="5" t="n">
        <v>699</v>
      </c>
      <c r="P80" s="5" t="n"/>
      <c r="Q80" s="5" t="n">
        <v>699</v>
      </c>
      <c r="R80" s="5" t="n"/>
    </row>
    <row r="81">
      <c r="A81" s="2" t="inlineStr">
        <is>
          <t>EJ310123.TXT</t>
        </is>
      </c>
      <c r="B81" s="3" t="inlineStr">
        <is>
          <t>004596</t>
        </is>
      </c>
      <c r="C81" s="3" t="inlineStr">
        <is>
          <t>003641</t>
        </is>
      </c>
      <c r="D81" s="4" t="n">
        <v>44947</v>
      </c>
      <c r="E81" s="2" t="inlineStr">
        <is>
          <t>16:52</t>
        </is>
      </c>
      <c r="F81" s="5" t="n">
        <v>175</v>
      </c>
      <c r="G81" s="5" t="n"/>
      <c r="H81" s="5" t="n"/>
      <c r="I81" s="5" t="n"/>
      <c r="J81" s="5" t="n">
        <v>35</v>
      </c>
      <c r="K81" s="5" t="n"/>
      <c r="L81" s="5" t="n"/>
      <c r="M81" s="5" t="n"/>
      <c r="N81" s="5" t="n"/>
      <c r="O81" s="5" t="n">
        <v>210</v>
      </c>
      <c r="P81" s="5" t="n">
        <v>210</v>
      </c>
      <c r="Q81" s="5" t="n"/>
      <c r="R81" s="5" t="n"/>
    </row>
    <row r="82">
      <c r="A82" s="2" t="inlineStr">
        <is>
          <t>EJ310123.TXT</t>
        </is>
      </c>
      <c r="B82" s="3" t="inlineStr">
        <is>
          <t>004597</t>
        </is>
      </c>
      <c r="C82" s="3" t="inlineStr">
        <is>
          <t>003642</t>
        </is>
      </c>
      <c r="D82" s="4" t="n">
        <v>44947</v>
      </c>
      <c r="E82" s="2" t="inlineStr">
        <is>
          <t>18:18</t>
        </is>
      </c>
      <c r="F82" s="5" t="n">
        <v>249.17</v>
      </c>
      <c r="G82" s="5" t="n"/>
      <c r="H82" s="5" t="n"/>
      <c r="I82" s="5" t="n"/>
      <c r="J82" s="5" t="n">
        <v>49.83</v>
      </c>
      <c r="K82" s="5" t="n"/>
      <c r="L82" s="5" t="n"/>
      <c r="M82" s="5" t="n"/>
      <c r="N82" s="5" t="n"/>
      <c r="O82" s="5" t="n">
        <v>299</v>
      </c>
      <c r="P82" s="5" t="n"/>
      <c r="Q82" s="5" t="n">
        <v>299</v>
      </c>
      <c r="R82" s="5" t="n"/>
    </row>
    <row r="83">
      <c r="A83" s="2" t="inlineStr">
        <is>
          <t>EJ310123.TXT</t>
        </is>
      </c>
      <c r="B83" s="3" t="inlineStr">
        <is>
          <t>004598</t>
        </is>
      </c>
      <c r="C83" s="3" t="inlineStr">
        <is>
          <t>003643</t>
        </is>
      </c>
      <c r="D83" s="4" t="n">
        <v>44947</v>
      </c>
      <c r="E83" s="2" t="inlineStr">
        <is>
          <t>18:40</t>
        </is>
      </c>
      <c r="F83" s="5" t="n">
        <v>1245.83</v>
      </c>
      <c r="G83" s="5" t="n"/>
      <c r="H83" s="5" t="n"/>
      <c r="I83" s="5" t="n"/>
      <c r="J83" s="5" t="n">
        <v>249.17</v>
      </c>
      <c r="K83" s="5" t="n"/>
      <c r="L83" s="5" t="n"/>
      <c r="M83" s="5" t="n"/>
      <c r="N83" s="5" t="n"/>
      <c r="O83" s="5" t="n">
        <v>1495</v>
      </c>
      <c r="P83" s="5" t="n">
        <v>1495</v>
      </c>
      <c r="Q83" s="5" t="n"/>
      <c r="R83" s="5" t="n"/>
    </row>
    <row r="84">
      <c r="A84" s="2" t="inlineStr">
        <is>
          <t>EJ310123.TXT</t>
        </is>
      </c>
      <c r="B84" s="3" t="inlineStr">
        <is>
          <t>004599</t>
        </is>
      </c>
      <c r="C84" s="3" t="inlineStr">
        <is>
          <t>003644</t>
        </is>
      </c>
      <c r="D84" s="4" t="n">
        <v>44949</v>
      </c>
      <c r="E84" s="2" t="inlineStr">
        <is>
          <t>14:44</t>
        </is>
      </c>
      <c r="F84" s="5" t="n">
        <v>747.5</v>
      </c>
      <c r="G84" s="5" t="n"/>
      <c r="H84" s="5" t="n"/>
      <c r="I84" s="5" t="n"/>
      <c r="J84" s="5" t="n">
        <v>149.5</v>
      </c>
      <c r="K84" s="5" t="n"/>
      <c r="L84" s="5" t="n"/>
      <c r="M84" s="5" t="n"/>
      <c r="N84" s="5" t="n"/>
      <c r="O84" s="5" t="n">
        <v>897</v>
      </c>
      <c r="P84" s="5" t="n"/>
      <c r="Q84" s="5" t="n">
        <v>897</v>
      </c>
      <c r="R84" s="5" t="n"/>
    </row>
    <row r="85">
      <c r="A85" s="2" t="inlineStr">
        <is>
          <t>EJ310123.TXT</t>
        </is>
      </c>
      <c r="B85" s="3" t="inlineStr">
        <is>
          <t>004600</t>
        </is>
      </c>
      <c r="C85" s="3" t="inlineStr">
        <is>
          <t>003645</t>
        </is>
      </c>
      <c r="D85" s="4" t="n">
        <v>44949</v>
      </c>
      <c r="E85" s="2" t="inlineStr">
        <is>
          <t>14:45</t>
        </is>
      </c>
      <c r="F85" s="5" t="n">
        <v>747.5</v>
      </c>
      <c r="G85" s="5" t="n"/>
      <c r="H85" s="5" t="n"/>
      <c r="I85" s="5" t="n"/>
      <c r="J85" s="5" t="n">
        <v>149.5</v>
      </c>
      <c r="K85" s="5" t="n"/>
      <c r="L85" s="5" t="n"/>
      <c r="M85" s="5" t="n"/>
      <c r="N85" s="5" t="n"/>
      <c r="O85" s="5" t="n">
        <v>897</v>
      </c>
      <c r="P85" s="5" t="n"/>
      <c r="Q85" s="5" t="n">
        <v>897</v>
      </c>
      <c r="R85" s="5" t="n"/>
    </row>
    <row r="86">
      <c r="A86" s="2" t="inlineStr">
        <is>
          <t>EJ310123.TXT</t>
        </is>
      </c>
      <c r="B86" s="3" t="inlineStr">
        <is>
          <t>004601</t>
        </is>
      </c>
      <c r="C86" s="3" t="inlineStr">
        <is>
          <t>003646</t>
        </is>
      </c>
      <c r="D86" s="4" t="n">
        <v>44949</v>
      </c>
      <c r="E86" s="2" t="inlineStr">
        <is>
          <t>15:36</t>
        </is>
      </c>
      <c r="F86" s="5" t="n">
        <v>156.67</v>
      </c>
      <c r="G86" s="5" t="n"/>
      <c r="H86" s="5" t="n"/>
      <c r="I86" s="5" t="n"/>
      <c r="J86" s="5" t="n">
        <v>31.33</v>
      </c>
      <c r="K86" s="5" t="n"/>
      <c r="L86" s="5" t="n"/>
      <c r="M86" s="5" t="n"/>
      <c r="N86" s="5" t="n"/>
      <c r="O86" s="5" t="n">
        <v>188</v>
      </c>
      <c r="P86" s="5" t="n"/>
      <c r="Q86" s="5" t="n">
        <v>188</v>
      </c>
      <c r="R86" s="5" t="n"/>
    </row>
    <row r="87">
      <c r="A87" s="2" t="inlineStr">
        <is>
          <t>EJ310123.TXT</t>
        </is>
      </c>
      <c r="B87" s="3" t="inlineStr">
        <is>
          <t>004602</t>
        </is>
      </c>
      <c r="C87" s="3" t="inlineStr">
        <is>
          <t>003647</t>
        </is>
      </c>
      <c r="D87" s="4" t="n">
        <v>44949</v>
      </c>
      <c r="E87" s="2" t="inlineStr">
        <is>
          <t>15:36</t>
        </is>
      </c>
      <c r="F87" s="5" t="n">
        <v>725</v>
      </c>
      <c r="G87" s="5" t="n"/>
      <c r="H87" s="5" t="n"/>
      <c r="I87" s="5" t="n"/>
      <c r="J87" s="5" t="n">
        <v>145</v>
      </c>
      <c r="K87" s="5" t="n"/>
      <c r="L87" s="5" t="n"/>
      <c r="M87" s="5" t="n"/>
      <c r="N87" s="5" t="n"/>
      <c r="O87" s="5" t="n">
        <v>870</v>
      </c>
      <c r="P87" s="5" t="n"/>
      <c r="Q87" s="5" t="n">
        <v>870</v>
      </c>
      <c r="R87" s="5" t="n"/>
    </row>
    <row r="88">
      <c r="A88" s="2" t="inlineStr">
        <is>
          <t>EJ310123.TXT</t>
        </is>
      </c>
      <c r="B88" s="3" t="inlineStr">
        <is>
          <t>004603</t>
        </is>
      </c>
      <c r="C88" s="3" t="inlineStr">
        <is>
          <t>003648</t>
        </is>
      </c>
      <c r="D88" s="4" t="n">
        <v>44949</v>
      </c>
      <c r="E88" s="2" t="inlineStr">
        <is>
          <t>15:36</t>
        </is>
      </c>
      <c r="F88" s="5" t="n">
        <v>241.67</v>
      </c>
      <c r="G88" s="5" t="n"/>
      <c r="H88" s="5" t="n"/>
      <c r="I88" s="5" t="n"/>
      <c r="J88" s="5" t="n">
        <v>48.33</v>
      </c>
      <c r="K88" s="5" t="n"/>
      <c r="L88" s="5" t="n"/>
      <c r="M88" s="5" t="n"/>
      <c r="N88" s="5" t="n"/>
      <c r="O88" s="5" t="n">
        <v>290</v>
      </c>
      <c r="P88" s="5" t="n"/>
      <c r="Q88" s="5" t="n">
        <v>290</v>
      </c>
      <c r="R88" s="5" t="n"/>
    </row>
    <row r="89">
      <c r="A89" s="2" t="inlineStr">
        <is>
          <t>EJ310123.TXT</t>
        </is>
      </c>
      <c r="B89" s="3" t="inlineStr">
        <is>
          <t>004604</t>
        </is>
      </c>
      <c r="C89" s="3" t="inlineStr">
        <is>
          <t>003649</t>
        </is>
      </c>
      <c r="D89" s="4" t="n">
        <v>44949</v>
      </c>
      <c r="E89" s="2" t="inlineStr">
        <is>
          <t>15:36</t>
        </is>
      </c>
      <c r="F89" s="5" t="n">
        <v>483.33</v>
      </c>
      <c r="G89" s="5" t="n"/>
      <c r="H89" s="5" t="n"/>
      <c r="I89" s="5" t="n"/>
      <c r="J89" s="5" t="n">
        <v>96.67</v>
      </c>
      <c r="K89" s="5" t="n"/>
      <c r="L89" s="5" t="n"/>
      <c r="M89" s="5" t="n"/>
      <c r="N89" s="5" t="n"/>
      <c r="O89" s="5" t="n">
        <v>580</v>
      </c>
      <c r="P89" s="5" t="n"/>
      <c r="Q89" s="5" t="n">
        <v>580</v>
      </c>
      <c r="R89" s="5" t="n"/>
    </row>
    <row r="90">
      <c r="A90" s="2" t="inlineStr">
        <is>
          <t>EJ310123.TXT</t>
        </is>
      </c>
      <c r="B90" s="3" t="inlineStr">
        <is>
          <t>004605</t>
        </is>
      </c>
      <c r="C90" s="3" t="inlineStr">
        <is>
          <t>003650</t>
        </is>
      </c>
      <c r="D90" s="4" t="n">
        <v>44949</v>
      </c>
      <c r="E90" s="2" t="inlineStr">
        <is>
          <t>17:28</t>
        </is>
      </c>
      <c r="F90" s="5" t="n">
        <v>115.83</v>
      </c>
      <c r="G90" s="5" t="n"/>
      <c r="H90" s="5" t="n"/>
      <c r="I90" s="5" t="n"/>
      <c r="J90" s="5" t="n">
        <v>23.17</v>
      </c>
      <c r="K90" s="5" t="n"/>
      <c r="L90" s="5" t="n"/>
      <c r="M90" s="5" t="n"/>
      <c r="N90" s="5" t="n"/>
      <c r="O90" s="5" t="n">
        <v>139</v>
      </c>
      <c r="P90" s="5" t="n"/>
      <c r="Q90" s="5" t="n">
        <v>139</v>
      </c>
      <c r="R90" s="5" t="n"/>
    </row>
    <row r="91">
      <c r="A91" s="2" t="inlineStr">
        <is>
          <t>EJ310123.TXT</t>
        </is>
      </c>
      <c r="B91" s="3" t="inlineStr">
        <is>
          <t>004606</t>
        </is>
      </c>
      <c r="C91" s="3" t="inlineStr">
        <is>
          <t>003651</t>
        </is>
      </c>
      <c r="D91" s="4" t="n">
        <v>44949</v>
      </c>
      <c r="E91" s="2" t="inlineStr">
        <is>
          <t>17:50</t>
        </is>
      </c>
      <c r="F91" s="5" t="n">
        <v>249.17</v>
      </c>
      <c r="G91" s="5" t="n"/>
      <c r="H91" s="5" t="n"/>
      <c r="I91" s="5" t="n"/>
      <c r="J91" s="5" t="n">
        <v>49.83</v>
      </c>
      <c r="K91" s="5" t="n"/>
      <c r="L91" s="5" t="n"/>
      <c r="M91" s="5" t="n"/>
      <c r="N91" s="5" t="n"/>
      <c r="O91" s="5" t="n">
        <v>299</v>
      </c>
      <c r="P91" s="5" t="n"/>
      <c r="Q91" s="5" t="n">
        <v>299</v>
      </c>
      <c r="R91" s="5" t="n"/>
    </row>
    <row r="92">
      <c r="A92" s="2" t="inlineStr">
        <is>
          <t>EJ310123.TXT</t>
        </is>
      </c>
      <c r="B92" s="3" t="inlineStr">
        <is>
          <t>004607</t>
        </is>
      </c>
      <c r="C92" s="3" t="inlineStr">
        <is>
          <t>003652</t>
        </is>
      </c>
      <c r="D92" s="4" t="n">
        <v>44950</v>
      </c>
      <c r="E92" s="2" t="inlineStr">
        <is>
          <t>12:25</t>
        </is>
      </c>
      <c r="F92" s="5" t="n">
        <v>747.5</v>
      </c>
      <c r="G92" s="5" t="n"/>
      <c r="H92" s="5" t="n"/>
      <c r="I92" s="5" t="n"/>
      <c r="J92" s="5" t="n">
        <v>149.5</v>
      </c>
      <c r="K92" s="5" t="n"/>
      <c r="L92" s="5" t="n"/>
      <c r="M92" s="5" t="n"/>
      <c r="N92" s="5" t="n"/>
      <c r="O92" s="5" t="n">
        <v>897</v>
      </c>
      <c r="P92" s="5" t="n"/>
      <c r="Q92" s="5" t="n">
        <v>897</v>
      </c>
      <c r="R92" s="5" t="n"/>
    </row>
    <row r="93">
      <c r="A93" s="2" t="inlineStr">
        <is>
          <t>EJ310123.TXT</t>
        </is>
      </c>
      <c r="B93" s="3" t="inlineStr">
        <is>
          <t>004608</t>
        </is>
      </c>
      <c r="C93" s="3" t="inlineStr">
        <is>
          <t>003653</t>
        </is>
      </c>
      <c r="D93" s="4" t="n">
        <v>44950</v>
      </c>
      <c r="E93" s="2" t="inlineStr">
        <is>
          <t>12:27</t>
        </is>
      </c>
      <c r="F93" s="5" t="n">
        <v>747.5</v>
      </c>
      <c r="G93" s="5" t="n"/>
      <c r="H93" s="5" t="n"/>
      <c r="I93" s="5" t="n"/>
      <c r="J93" s="5" t="n">
        <v>149.5</v>
      </c>
      <c r="K93" s="5" t="n"/>
      <c r="L93" s="5" t="n"/>
      <c r="M93" s="5" t="n"/>
      <c r="N93" s="5" t="n"/>
      <c r="O93" s="5" t="n">
        <v>897</v>
      </c>
      <c r="P93" s="5" t="n"/>
      <c r="Q93" s="5" t="n">
        <v>897</v>
      </c>
      <c r="R93" s="5" t="n"/>
    </row>
    <row r="94">
      <c r="A94" s="2" t="inlineStr">
        <is>
          <t>EJ310123.TXT</t>
        </is>
      </c>
      <c r="B94" s="3" t="inlineStr">
        <is>
          <t>004609</t>
        </is>
      </c>
      <c r="C94" s="3" t="inlineStr">
        <is>
          <t>003654</t>
        </is>
      </c>
      <c r="D94" s="4" t="n">
        <v>44950</v>
      </c>
      <c r="E94" s="2" t="inlineStr">
        <is>
          <t>12:27</t>
        </is>
      </c>
      <c r="F94" s="5" t="n">
        <v>747.5</v>
      </c>
      <c r="G94" s="5" t="n"/>
      <c r="H94" s="5" t="n"/>
      <c r="I94" s="5" t="n"/>
      <c r="J94" s="5" t="n">
        <v>149.5</v>
      </c>
      <c r="K94" s="5" t="n"/>
      <c r="L94" s="5" t="n"/>
      <c r="M94" s="5" t="n"/>
      <c r="N94" s="5" t="n"/>
      <c r="O94" s="5" t="n">
        <v>897</v>
      </c>
      <c r="P94" s="5" t="n"/>
      <c r="Q94" s="5" t="n">
        <v>897</v>
      </c>
      <c r="R94" s="5" t="n"/>
    </row>
    <row r="95">
      <c r="A95" s="2" t="inlineStr">
        <is>
          <t>EJ310123.TXT</t>
        </is>
      </c>
      <c r="B95" s="3" t="inlineStr">
        <is>
          <t>004610</t>
        </is>
      </c>
      <c r="C95" s="3" t="inlineStr">
        <is>
          <t>003655</t>
        </is>
      </c>
      <c r="D95" s="4" t="n">
        <v>44950</v>
      </c>
      <c r="E95" s="2" t="inlineStr">
        <is>
          <t>12:27</t>
        </is>
      </c>
      <c r="F95" s="5" t="n">
        <v>747.5</v>
      </c>
      <c r="G95" s="5" t="n"/>
      <c r="H95" s="5" t="n"/>
      <c r="I95" s="5" t="n"/>
      <c r="J95" s="5" t="n">
        <v>149.5</v>
      </c>
      <c r="K95" s="5" t="n"/>
      <c r="L95" s="5" t="n"/>
      <c r="M95" s="5" t="n"/>
      <c r="N95" s="5" t="n"/>
      <c r="O95" s="5" t="n">
        <v>897</v>
      </c>
      <c r="P95" s="5" t="n"/>
      <c r="Q95" s="5" t="n">
        <v>897</v>
      </c>
      <c r="R95" s="5" t="n"/>
    </row>
    <row r="96">
      <c r="A96" s="2" t="inlineStr">
        <is>
          <t>EJ310123.TXT</t>
        </is>
      </c>
      <c r="B96" s="3" t="inlineStr">
        <is>
          <t>004611</t>
        </is>
      </c>
      <c r="C96" s="3" t="inlineStr">
        <is>
          <t>003656</t>
        </is>
      </c>
      <c r="D96" s="4" t="n">
        <v>44950</v>
      </c>
      <c r="E96" s="2" t="inlineStr">
        <is>
          <t>15:08</t>
        </is>
      </c>
      <c r="F96" s="5" t="n">
        <v>747.5</v>
      </c>
      <c r="G96" s="5" t="n"/>
      <c r="H96" s="5" t="n"/>
      <c r="I96" s="5" t="n"/>
      <c r="J96" s="5" t="n">
        <v>149.5</v>
      </c>
      <c r="K96" s="5" t="n"/>
      <c r="L96" s="5" t="n"/>
      <c r="M96" s="5" t="n"/>
      <c r="N96" s="5" t="n"/>
      <c r="O96" s="5" t="n">
        <v>897</v>
      </c>
      <c r="P96" s="5" t="n"/>
      <c r="Q96" s="5" t="n">
        <v>897</v>
      </c>
      <c r="R96" s="5" t="n"/>
    </row>
    <row r="97">
      <c r="A97" s="2" t="inlineStr">
        <is>
          <t>EJ310123.TXT</t>
        </is>
      </c>
      <c r="B97" s="3" t="inlineStr">
        <is>
          <t>004612</t>
        </is>
      </c>
      <c r="C97" s="3" t="inlineStr">
        <is>
          <t>003657</t>
        </is>
      </c>
      <c r="D97" s="4" t="n">
        <v>44950</v>
      </c>
      <c r="E97" s="2" t="inlineStr">
        <is>
          <t>15:08</t>
        </is>
      </c>
      <c r="F97" s="5" t="n">
        <v>747.5</v>
      </c>
      <c r="G97" s="5" t="n"/>
      <c r="H97" s="5" t="n"/>
      <c r="I97" s="5" t="n"/>
      <c r="J97" s="5" t="n">
        <v>149.5</v>
      </c>
      <c r="K97" s="5" t="n"/>
      <c r="L97" s="5" t="n"/>
      <c r="M97" s="5" t="n"/>
      <c r="N97" s="5" t="n"/>
      <c r="O97" s="5" t="n">
        <v>897</v>
      </c>
      <c r="P97" s="5" t="n"/>
      <c r="Q97" s="5" t="n">
        <v>897</v>
      </c>
      <c r="R97" s="5" t="n"/>
    </row>
    <row r="98">
      <c r="A98" s="2" t="inlineStr">
        <is>
          <t>EJ310123.TXT</t>
        </is>
      </c>
      <c r="B98" s="3" t="inlineStr">
        <is>
          <t>004613</t>
        </is>
      </c>
      <c r="C98" s="3" t="inlineStr">
        <is>
          <t>003658</t>
        </is>
      </c>
      <c r="D98" s="4" t="n">
        <v>44950</v>
      </c>
      <c r="E98" s="2" t="inlineStr">
        <is>
          <t>15:17</t>
        </is>
      </c>
      <c r="F98" s="5" t="n">
        <v>75</v>
      </c>
      <c r="G98" s="5" t="n"/>
      <c r="H98" s="5" t="n"/>
      <c r="I98" s="5" t="n"/>
      <c r="J98" s="5" t="n">
        <v>15</v>
      </c>
      <c r="K98" s="5" t="n"/>
      <c r="L98" s="5" t="n"/>
      <c r="M98" s="5" t="n"/>
      <c r="N98" s="5" t="n"/>
      <c r="O98" s="5" t="n">
        <v>90</v>
      </c>
      <c r="P98" s="5" t="n"/>
      <c r="Q98" s="5" t="n">
        <v>90</v>
      </c>
      <c r="R98" s="5" t="n"/>
    </row>
    <row r="99">
      <c r="A99" s="2" t="inlineStr">
        <is>
          <t>EJ310123.TXT</t>
        </is>
      </c>
      <c r="B99" s="3" t="inlineStr">
        <is>
          <t>004614</t>
        </is>
      </c>
      <c r="C99" s="3" t="inlineStr">
        <is>
          <t>003659</t>
        </is>
      </c>
      <c r="D99" s="4" t="n">
        <v>44950</v>
      </c>
      <c r="E99" s="2" t="inlineStr">
        <is>
          <t>15:52</t>
        </is>
      </c>
      <c r="F99" s="5" t="n">
        <v>498.33</v>
      </c>
      <c r="G99" s="5" t="n"/>
      <c r="H99" s="5" t="n"/>
      <c r="I99" s="5" t="n"/>
      <c r="J99" s="5" t="n">
        <v>99.67</v>
      </c>
      <c r="K99" s="5" t="n"/>
      <c r="L99" s="5" t="n"/>
      <c r="M99" s="5" t="n"/>
      <c r="N99" s="5" t="n"/>
      <c r="O99" s="5" t="n">
        <v>598</v>
      </c>
      <c r="P99" s="5" t="n"/>
      <c r="Q99" s="5" t="n">
        <v>598</v>
      </c>
      <c r="R99" s="5" t="n"/>
    </row>
    <row r="100">
      <c r="A100" s="2" t="inlineStr">
        <is>
          <t>EJ310123.TXT</t>
        </is>
      </c>
      <c r="B100" s="3" t="inlineStr">
        <is>
          <t>004615</t>
        </is>
      </c>
      <c r="C100" s="3" t="inlineStr">
        <is>
          <t>003660</t>
        </is>
      </c>
      <c r="D100" s="4" t="n">
        <v>44950</v>
      </c>
      <c r="E100" s="2" t="inlineStr">
        <is>
          <t>15:57</t>
        </is>
      </c>
      <c r="F100" s="5" t="n">
        <v>498.33</v>
      </c>
      <c r="G100" s="5" t="n"/>
      <c r="H100" s="5" t="n"/>
      <c r="I100" s="5" t="n"/>
      <c r="J100" s="5" t="n">
        <v>99.67</v>
      </c>
      <c r="K100" s="5" t="n"/>
      <c r="L100" s="5" t="n"/>
      <c r="M100" s="5" t="n"/>
      <c r="N100" s="5" t="n"/>
      <c r="O100" s="5" t="n">
        <v>598</v>
      </c>
      <c r="P100" s="5" t="n">
        <v>598</v>
      </c>
      <c r="Q100" s="5" t="n"/>
      <c r="R100" s="5" t="n"/>
    </row>
    <row r="101">
      <c r="A101" s="2" t="inlineStr">
        <is>
          <t>EJ310123.TXT</t>
        </is>
      </c>
      <c r="B101" s="3" t="inlineStr">
        <is>
          <t>004616</t>
        </is>
      </c>
      <c r="C101" s="3" t="inlineStr">
        <is>
          <t>003661</t>
        </is>
      </c>
      <c r="D101" s="4" t="n">
        <v>44950</v>
      </c>
      <c r="E101" s="2" t="inlineStr">
        <is>
          <t>18:33</t>
        </is>
      </c>
      <c r="F101" s="5" t="n">
        <v>208.33</v>
      </c>
      <c r="G101" s="5" t="n"/>
      <c r="H101" s="5" t="n"/>
      <c r="I101" s="5" t="n"/>
      <c r="J101" s="5" t="n">
        <v>41.67</v>
      </c>
      <c r="K101" s="5" t="n"/>
      <c r="L101" s="5" t="n"/>
      <c r="M101" s="5" t="n"/>
      <c r="N101" s="5" t="n"/>
      <c r="O101" s="5" t="n">
        <v>250</v>
      </c>
      <c r="P101" s="5" t="n"/>
      <c r="Q101" s="5" t="n">
        <v>250</v>
      </c>
      <c r="R101" s="5" t="n"/>
    </row>
    <row r="102">
      <c r="A102" s="2" t="inlineStr">
        <is>
          <t>EJ310123.TXT</t>
        </is>
      </c>
      <c r="B102" s="3" t="inlineStr">
        <is>
          <t>004617</t>
        </is>
      </c>
      <c r="C102" s="3" t="inlineStr">
        <is>
          <t>003662</t>
        </is>
      </c>
      <c r="D102" s="4" t="n">
        <v>44952</v>
      </c>
      <c r="E102" s="2" t="inlineStr">
        <is>
          <t>12:16</t>
        </is>
      </c>
      <c r="F102" s="5" t="n">
        <v>725</v>
      </c>
      <c r="G102" s="5" t="n"/>
      <c r="H102" s="5" t="n"/>
      <c r="I102" s="5" t="n"/>
      <c r="J102" s="5" t="n">
        <v>145</v>
      </c>
      <c r="K102" s="5" t="n"/>
      <c r="L102" s="5" t="n"/>
      <c r="M102" s="5" t="n"/>
      <c r="N102" s="5" t="n"/>
      <c r="O102" s="5" t="n">
        <v>870</v>
      </c>
      <c r="P102" s="5" t="n"/>
      <c r="Q102" s="5" t="n">
        <v>870</v>
      </c>
      <c r="R102" s="5" t="n"/>
    </row>
    <row r="103">
      <c r="A103" s="2" t="inlineStr">
        <is>
          <t>EJ310123.TXT</t>
        </is>
      </c>
      <c r="B103" s="3" t="inlineStr">
        <is>
          <t>004618</t>
        </is>
      </c>
      <c r="C103" s="3" t="inlineStr">
        <is>
          <t>003663</t>
        </is>
      </c>
      <c r="D103" s="4" t="n">
        <v>44952</v>
      </c>
      <c r="E103" s="2" t="inlineStr">
        <is>
          <t>12:16</t>
        </is>
      </c>
      <c r="F103" s="5" t="n">
        <v>241.67</v>
      </c>
      <c r="G103" s="5" t="n"/>
      <c r="H103" s="5" t="n"/>
      <c r="I103" s="5" t="n"/>
      <c r="J103" s="5" t="n">
        <v>48.33</v>
      </c>
      <c r="K103" s="5" t="n"/>
      <c r="L103" s="5" t="n"/>
      <c r="M103" s="5" t="n"/>
      <c r="N103" s="5" t="n"/>
      <c r="O103" s="5" t="n">
        <v>290</v>
      </c>
      <c r="P103" s="5" t="n"/>
      <c r="Q103" s="5" t="n">
        <v>290</v>
      </c>
      <c r="R103" s="5" t="n"/>
    </row>
    <row r="104">
      <c r="A104" s="2" t="inlineStr">
        <is>
          <t>EJ310123.TXT</t>
        </is>
      </c>
      <c r="B104" s="3" t="inlineStr">
        <is>
          <t>004619</t>
        </is>
      </c>
      <c r="C104" s="3" t="inlineStr">
        <is>
          <t>003664</t>
        </is>
      </c>
      <c r="D104" s="4" t="n">
        <v>44952</v>
      </c>
      <c r="E104" s="2" t="inlineStr">
        <is>
          <t>12:16</t>
        </is>
      </c>
      <c r="F104" s="5" t="n">
        <v>483.33</v>
      </c>
      <c r="G104" s="5" t="n"/>
      <c r="H104" s="5" t="n"/>
      <c r="I104" s="5" t="n"/>
      <c r="J104" s="5" t="n">
        <v>96.67</v>
      </c>
      <c r="K104" s="5" t="n"/>
      <c r="L104" s="5" t="n"/>
      <c r="M104" s="5" t="n"/>
      <c r="N104" s="5" t="n"/>
      <c r="O104" s="5" t="n">
        <v>580</v>
      </c>
      <c r="P104" s="5" t="n"/>
      <c r="Q104" s="5" t="n">
        <v>580</v>
      </c>
      <c r="R104" s="5" t="n"/>
    </row>
    <row r="105">
      <c r="A105" s="2" t="inlineStr">
        <is>
          <t>EJ310123.TXT</t>
        </is>
      </c>
      <c r="B105" s="3" t="inlineStr">
        <is>
          <t>004620</t>
        </is>
      </c>
      <c r="C105" s="3" t="inlineStr">
        <is>
          <t>003665</t>
        </is>
      </c>
      <c r="D105" s="4" t="n">
        <v>44952</v>
      </c>
      <c r="E105" s="2" t="inlineStr">
        <is>
          <t>12:23</t>
        </is>
      </c>
      <c r="F105" s="5" t="n">
        <v>498.33</v>
      </c>
      <c r="G105" s="5" t="n"/>
      <c r="H105" s="5" t="n"/>
      <c r="I105" s="5" t="n"/>
      <c r="J105" s="5" t="n">
        <v>99.67</v>
      </c>
      <c r="K105" s="5" t="n"/>
      <c r="L105" s="5" t="n"/>
      <c r="M105" s="5" t="n"/>
      <c r="N105" s="5" t="n"/>
      <c r="O105" s="5" t="n">
        <v>598</v>
      </c>
      <c r="P105" s="5" t="n"/>
      <c r="Q105" s="5" t="n">
        <v>598</v>
      </c>
      <c r="R105" s="5" t="n"/>
    </row>
    <row r="106">
      <c r="A106" s="2" t="inlineStr">
        <is>
          <t>EJ310123.TXT</t>
        </is>
      </c>
      <c r="B106" s="3" t="inlineStr">
        <is>
          <t>004621</t>
        </is>
      </c>
      <c r="C106" s="3" t="inlineStr">
        <is>
          <t>003666</t>
        </is>
      </c>
      <c r="D106" s="4" t="n">
        <v>44952</v>
      </c>
      <c r="E106" s="2" t="inlineStr">
        <is>
          <t>12:28</t>
        </is>
      </c>
      <c r="F106" s="5" t="n">
        <v>498.33</v>
      </c>
      <c r="G106" s="5" t="n"/>
      <c r="H106" s="5" t="n"/>
      <c r="I106" s="5" t="n"/>
      <c r="J106" s="5" t="n">
        <v>99.67</v>
      </c>
      <c r="K106" s="5" t="n"/>
      <c r="L106" s="5" t="n"/>
      <c r="M106" s="5" t="n"/>
      <c r="N106" s="5" t="n"/>
      <c r="O106" s="5" t="n">
        <v>598</v>
      </c>
      <c r="P106" s="5" t="n"/>
      <c r="Q106" s="5" t="n">
        <v>598</v>
      </c>
      <c r="R106" s="5" t="n"/>
    </row>
    <row r="107">
      <c r="A107" s="2" t="inlineStr">
        <is>
          <t>EJ310123.TXT</t>
        </is>
      </c>
      <c r="B107" s="3" t="inlineStr">
        <is>
          <t>004622</t>
        </is>
      </c>
      <c r="C107" s="3" t="inlineStr">
        <is>
          <t>003667</t>
        </is>
      </c>
      <c r="D107" s="4" t="n">
        <v>44952</v>
      </c>
      <c r="E107" s="2" t="inlineStr">
        <is>
          <t>14:55</t>
        </is>
      </c>
      <c r="F107" s="5" t="n">
        <v>963.33</v>
      </c>
      <c r="G107" s="5" t="n"/>
      <c r="H107" s="5" t="n"/>
      <c r="I107" s="5" t="n"/>
      <c r="J107" s="5" t="n">
        <v>192.67</v>
      </c>
      <c r="K107" s="5" t="n"/>
      <c r="L107" s="5" t="n"/>
      <c r="M107" s="5" t="n"/>
      <c r="N107" s="5" t="n"/>
      <c r="O107" s="5" t="n">
        <v>1156</v>
      </c>
      <c r="P107" s="5" t="n">
        <v>1156</v>
      </c>
      <c r="Q107" s="5" t="n"/>
      <c r="R107" s="5" t="n"/>
    </row>
    <row r="108">
      <c r="A108" s="2" t="inlineStr">
        <is>
          <t>EJ310123.TXT</t>
        </is>
      </c>
      <c r="B108" s="3" t="inlineStr">
        <is>
          <t>004623</t>
        </is>
      </c>
      <c r="C108" s="3" t="inlineStr">
        <is>
          <t>003668</t>
        </is>
      </c>
      <c r="D108" s="4" t="n">
        <v>44953</v>
      </c>
      <c r="E108" s="2" t="inlineStr">
        <is>
          <t>11:14</t>
        </is>
      </c>
      <c r="F108" s="5" t="n">
        <v>747.5</v>
      </c>
      <c r="G108" s="5" t="n"/>
      <c r="H108" s="5" t="n"/>
      <c r="I108" s="5" t="n"/>
      <c r="J108" s="5" t="n">
        <v>149.5</v>
      </c>
      <c r="K108" s="5" t="n"/>
      <c r="L108" s="5" t="n"/>
      <c r="M108" s="5" t="n"/>
      <c r="N108" s="5" t="n"/>
      <c r="O108" s="5" t="n">
        <v>897</v>
      </c>
      <c r="P108" s="5" t="n"/>
      <c r="Q108" s="5" t="n">
        <v>897</v>
      </c>
      <c r="R108" s="5" t="n"/>
    </row>
    <row r="109">
      <c r="A109" s="2" t="inlineStr">
        <is>
          <t>EJ310123.TXT</t>
        </is>
      </c>
      <c r="B109" s="3" t="inlineStr">
        <is>
          <t>004624</t>
        </is>
      </c>
      <c r="C109" s="3" t="inlineStr">
        <is>
          <t>003669</t>
        </is>
      </c>
      <c r="D109" s="4" t="n">
        <v>44953</v>
      </c>
      <c r="E109" s="2" t="inlineStr">
        <is>
          <t>16:22</t>
        </is>
      </c>
      <c r="F109" s="5" t="n">
        <v>249.17</v>
      </c>
      <c r="G109" s="5" t="n"/>
      <c r="H109" s="5" t="n"/>
      <c r="I109" s="5" t="n"/>
      <c r="J109" s="5" t="n">
        <v>49.83</v>
      </c>
      <c r="K109" s="5" t="n"/>
      <c r="L109" s="5" t="n"/>
      <c r="M109" s="5" t="n"/>
      <c r="N109" s="5" t="n"/>
      <c r="O109" s="5" t="n">
        <v>299</v>
      </c>
      <c r="P109" s="5" t="n"/>
      <c r="Q109" s="5" t="n">
        <v>299</v>
      </c>
      <c r="R109" s="5" t="n"/>
    </row>
    <row r="110">
      <c r="A110" s="2" t="inlineStr">
        <is>
          <t>EJ310123.TXT</t>
        </is>
      </c>
      <c r="B110" s="3" t="inlineStr">
        <is>
          <t>004625</t>
        </is>
      </c>
      <c r="C110" s="3" t="inlineStr">
        <is>
          <t>003670</t>
        </is>
      </c>
      <c r="D110" s="4" t="n">
        <v>44953</v>
      </c>
      <c r="E110" s="2" t="inlineStr">
        <is>
          <t>16:58</t>
        </is>
      </c>
      <c r="F110" s="5" t="n">
        <v>498.33</v>
      </c>
      <c r="G110" s="5" t="n"/>
      <c r="H110" s="5" t="n"/>
      <c r="I110" s="5" t="n"/>
      <c r="J110" s="5" t="n">
        <v>99.67</v>
      </c>
      <c r="K110" s="5" t="n"/>
      <c r="L110" s="5" t="n"/>
      <c r="M110" s="5" t="n"/>
      <c r="N110" s="5" t="n"/>
      <c r="O110" s="5" t="n">
        <v>598</v>
      </c>
      <c r="P110" s="5" t="n">
        <v>598</v>
      </c>
      <c r="Q110" s="5" t="n"/>
      <c r="R110" s="5" t="n"/>
    </row>
    <row r="111">
      <c r="A111" s="2" t="inlineStr">
        <is>
          <t>EJ310123.TXT</t>
        </is>
      </c>
      <c r="B111" s="3" t="inlineStr">
        <is>
          <t>004626</t>
        </is>
      </c>
      <c r="C111" s="3" t="inlineStr">
        <is>
          <t>003671</t>
        </is>
      </c>
      <c r="D111" s="4" t="n">
        <v>44953</v>
      </c>
      <c r="E111" s="2" t="inlineStr">
        <is>
          <t>17:40</t>
        </is>
      </c>
      <c r="F111" s="5" t="n">
        <v>331.67</v>
      </c>
      <c r="G111" s="5" t="n"/>
      <c r="H111" s="5" t="n"/>
      <c r="I111" s="5" t="n"/>
      <c r="J111" s="5" t="n">
        <v>66.33</v>
      </c>
      <c r="K111" s="5" t="n"/>
      <c r="L111" s="5" t="n"/>
      <c r="M111" s="5" t="n"/>
      <c r="N111" s="5" t="n"/>
      <c r="O111" s="5" t="n">
        <v>398</v>
      </c>
      <c r="P111" s="5" t="n">
        <v>398</v>
      </c>
      <c r="Q111" s="5" t="n"/>
      <c r="R111" s="5" t="n"/>
    </row>
    <row r="112">
      <c r="A112" s="2" t="inlineStr">
        <is>
          <t>EJ310123.TXT</t>
        </is>
      </c>
      <c r="B112" s="3" t="inlineStr">
        <is>
          <t>004627</t>
        </is>
      </c>
      <c r="C112" s="3" t="inlineStr">
        <is>
          <t>003672</t>
        </is>
      </c>
      <c r="D112" s="4" t="n">
        <v>44953</v>
      </c>
      <c r="E112" s="2" t="inlineStr">
        <is>
          <t>18:11</t>
        </is>
      </c>
      <c r="F112" s="5" t="n">
        <v>350</v>
      </c>
      <c r="G112" s="5" t="n"/>
      <c r="H112" s="5" t="n"/>
      <c r="I112" s="5" t="n"/>
      <c r="J112" s="5" t="n">
        <v>70</v>
      </c>
      <c r="K112" s="5" t="n"/>
      <c r="L112" s="5" t="n"/>
      <c r="M112" s="5" t="n"/>
      <c r="N112" s="5" t="n"/>
      <c r="O112" s="5" t="n">
        <v>420</v>
      </c>
      <c r="P112" s="5" t="n"/>
      <c r="Q112" s="5" t="n">
        <v>420</v>
      </c>
      <c r="R112" s="5" t="n"/>
    </row>
    <row r="113">
      <c r="A113" s="2" t="inlineStr">
        <is>
          <t>EJ310123.TXT</t>
        </is>
      </c>
      <c r="B113" s="3" t="inlineStr">
        <is>
          <t>004628</t>
        </is>
      </c>
      <c r="C113" s="3" t="inlineStr">
        <is>
          <t>003673</t>
        </is>
      </c>
      <c r="D113" s="4" t="n">
        <v>44953</v>
      </c>
      <c r="E113" s="2" t="inlineStr">
        <is>
          <t>18:36</t>
        </is>
      </c>
      <c r="F113" s="5" t="n">
        <v>144.17</v>
      </c>
      <c r="G113" s="5" t="n"/>
      <c r="H113" s="5" t="n"/>
      <c r="I113" s="5" t="n"/>
      <c r="J113" s="5" t="n">
        <v>28.83</v>
      </c>
      <c r="K113" s="5" t="n"/>
      <c r="L113" s="5" t="n"/>
      <c r="M113" s="5" t="n"/>
      <c r="N113" s="5" t="n"/>
      <c r="O113" s="5" t="n">
        <v>173</v>
      </c>
      <c r="P113" s="5" t="n"/>
      <c r="Q113" s="5" t="n">
        <v>173</v>
      </c>
      <c r="R113" s="5" t="n"/>
    </row>
    <row r="114">
      <c r="A114" s="2" t="inlineStr">
        <is>
          <t>EJ310123.TXT</t>
        </is>
      </c>
      <c r="B114" s="3" t="inlineStr">
        <is>
          <t>004629</t>
        </is>
      </c>
      <c r="C114" s="3" t="inlineStr">
        <is>
          <t>003674</t>
        </is>
      </c>
      <c r="D114" s="4" t="n">
        <v>44954</v>
      </c>
      <c r="E114" s="2" t="inlineStr">
        <is>
          <t>15:44</t>
        </is>
      </c>
      <c r="F114" s="5" t="n">
        <v>24.83</v>
      </c>
      <c r="G114" s="5" t="n"/>
      <c r="H114" s="5" t="n"/>
      <c r="I114" s="5" t="n"/>
      <c r="J114" s="5" t="n">
        <v>4.97</v>
      </c>
      <c r="K114" s="5" t="n"/>
      <c r="L114" s="5" t="n"/>
      <c r="M114" s="5" t="n"/>
      <c r="N114" s="5" t="n"/>
      <c r="O114" s="5" t="n">
        <v>29.8</v>
      </c>
      <c r="P114" s="5" t="n"/>
      <c r="Q114" s="5" t="n">
        <v>29.8</v>
      </c>
      <c r="R114" s="5" t="n"/>
    </row>
    <row r="115">
      <c r="A115" s="2" t="inlineStr">
        <is>
          <t>EJ310123.TXT</t>
        </is>
      </c>
      <c r="B115" s="3" t="inlineStr">
        <is>
          <t>004630</t>
        </is>
      </c>
      <c r="C115" s="3" t="inlineStr">
        <is>
          <t>003675</t>
        </is>
      </c>
      <c r="D115" s="4" t="n">
        <v>44954</v>
      </c>
      <c r="E115" s="2" t="inlineStr">
        <is>
          <t>16:02</t>
        </is>
      </c>
      <c r="F115" s="5" t="n">
        <v>73.33</v>
      </c>
      <c r="G115" s="5" t="n"/>
      <c r="H115" s="5" t="n"/>
      <c r="I115" s="5" t="n"/>
      <c r="J115" s="5" t="n">
        <v>14.67</v>
      </c>
      <c r="K115" s="5" t="n"/>
      <c r="L115" s="5" t="n"/>
      <c r="M115" s="5" t="n"/>
      <c r="N115" s="5" t="n"/>
      <c r="O115" s="5" t="n">
        <v>88</v>
      </c>
      <c r="P115" s="5" t="n"/>
      <c r="Q115" s="5" t="n">
        <v>88</v>
      </c>
      <c r="R115" s="5" t="n"/>
    </row>
    <row r="116">
      <c r="A116" s="2" t="inlineStr">
        <is>
          <t>EJ310123.TXT</t>
        </is>
      </c>
      <c r="B116" s="3" t="inlineStr">
        <is>
          <t>004631</t>
        </is>
      </c>
      <c r="C116" s="3" t="inlineStr">
        <is>
          <t>003676</t>
        </is>
      </c>
      <c r="D116" s="4" t="n">
        <v>44954</v>
      </c>
      <c r="E116" s="2" t="inlineStr">
        <is>
          <t>16:13</t>
        </is>
      </c>
      <c r="F116" s="5" t="n">
        <v>996.67</v>
      </c>
      <c r="G116" s="5" t="n"/>
      <c r="H116" s="5" t="n"/>
      <c r="I116" s="5" t="n"/>
      <c r="J116" s="5" t="n">
        <v>199.33</v>
      </c>
      <c r="K116" s="5" t="n"/>
      <c r="L116" s="5" t="n"/>
      <c r="M116" s="5" t="n"/>
      <c r="N116" s="5" t="n"/>
      <c r="O116" s="5" t="n">
        <v>1196</v>
      </c>
      <c r="P116" s="5" t="n">
        <v>1196</v>
      </c>
      <c r="Q116" s="5" t="n"/>
      <c r="R116" s="5" t="n"/>
    </row>
    <row r="117">
      <c r="A117" s="2" t="inlineStr">
        <is>
          <t>EJ310123.TXT</t>
        </is>
      </c>
      <c r="B117" s="3" t="inlineStr">
        <is>
          <t>004632</t>
        </is>
      </c>
      <c r="C117" s="3" t="inlineStr">
        <is>
          <t>003677</t>
        </is>
      </c>
      <c r="D117" s="4" t="n">
        <v>44954</v>
      </c>
      <c r="E117" s="2" t="inlineStr">
        <is>
          <t>16:51</t>
        </is>
      </c>
      <c r="F117" s="5" t="n">
        <v>249.17</v>
      </c>
      <c r="G117" s="5" t="n"/>
      <c r="H117" s="5" t="n"/>
      <c r="I117" s="5" t="n"/>
      <c r="J117" s="5" t="n">
        <v>49.83</v>
      </c>
      <c r="K117" s="5" t="n"/>
      <c r="L117" s="5" t="n"/>
      <c r="M117" s="5" t="n"/>
      <c r="N117" s="5" t="n"/>
      <c r="O117" s="5" t="n">
        <v>299</v>
      </c>
      <c r="P117" s="5" t="n"/>
      <c r="Q117" s="5" t="n">
        <v>299</v>
      </c>
      <c r="R117" s="5" t="n"/>
    </row>
    <row r="118">
      <c r="A118" s="2" t="inlineStr">
        <is>
          <t>EJ310123.TXT</t>
        </is>
      </c>
      <c r="B118" s="3" t="inlineStr">
        <is>
          <t>004633</t>
        </is>
      </c>
      <c r="C118" s="3" t="inlineStr">
        <is>
          <t>003678</t>
        </is>
      </c>
      <c r="D118" s="4" t="n">
        <v>44954</v>
      </c>
      <c r="E118" s="2" t="inlineStr">
        <is>
          <t>18:41</t>
        </is>
      </c>
      <c r="F118" s="5" t="n">
        <v>625</v>
      </c>
      <c r="G118" s="5" t="n"/>
      <c r="H118" s="5" t="n"/>
      <c r="I118" s="5" t="n"/>
      <c r="J118" s="5" t="n">
        <v>125</v>
      </c>
      <c r="K118" s="5" t="n"/>
      <c r="L118" s="5" t="n"/>
      <c r="M118" s="5" t="n"/>
      <c r="N118" s="5" t="n"/>
      <c r="O118" s="5" t="n">
        <v>750</v>
      </c>
      <c r="P118" s="5" t="n"/>
      <c r="Q118" s="5" t="n">
        <v>750</v>
      </c>
      <c r="R118" s="5" t="n"/>
    </row>
    <row r="119">
      <c r="A119" s="2" t="inlineStr">
        <is>
          <t>EJ310123.TXT</t>
        </is>
      </c>
      <c r="B119" s="3" t="inlineStr">
        <is>
          <t>004634</t>
        </is>
      </c>
      <c r="C119" s="3" t="inlineStr">
        <is>
          <t>003679</t>
        </is>
      </c>
      <c r="D119" s="4" t="n">
        <v>44954</v>
      </c>
      <c r="E119" s="2" t="inlineStr">
        <is>
          <t>18:42</t>
        </is>
      </c>
      <c r="F119" s="5" t="n">
        <v>625</v>
      </c>
      <c r="G119" s="5" t="n"/>
      <c r="H119" s="5" t="n"/>
      <c r="I119" s="5" t="n"/>
      <c r="J119" s="5" t="n">
        <v>125</v>
      </c>
      <c r="K119" s="5" t="n"/>
      <c r="L119" s="5" t="n"/>
      <c r="M119" s="5" t="n"/>
      <c r="N119" s="5" t="n"/>
      <c r="O119" s="5" t="n">
        <v>750</v>
      </c>
      <c r="P119" s="5" t="n"/>
      <c r="Q119" s="5" t="n">
        <v>750</v>
      </c>
      <c r="R119" s="5" t="n"/>
    </row>
    <row r="120">
      <c r="A120" s="2" t="inlineStr">
        <is>
          <t>EJ310123.TXT</t>
        </is>
      </c>
      <c r="B120" s="3" t="inlineStr">
        <is>
          <t>004635</t>
        </is>
      </c>
      <c r="C120" s="3" t="inlineStr">
        <is>
          <t>003680</t>
        </is>
      </c>
      <c r="D120" s="4" t="n">
        <v>44954</v>
      </c>
      <c r="E120" s="2" t="inlineStr">
        <is>
          <t>18:53</t>
        </is>
      </c>
      <c r="F120" s="5" t="n">
        <v>75</v>
      </c>
      <c r="G120" s="5" t="n"/>
      <c r="H120" s="5" t="n"/>
      <c r="I120" s="5" t="n"/>
      <c r="J120" s="5" t="n">
        <v>15</v>
      </c>
      <c r="K120" s="5" t="n"/>
      <c r="L120" s="5" t="n"/>
      <c r="M120" s="5" t="n"/>
      <c r="N120" s="5" t="n"/>
      <c r="O120" s="5" t="n">
        <v>90</v>
      </c>
      <c r="P120" s="5" t="n"/>
      <c r="Q120" s="5" t="n">
        <v>90</v>
      </c>
      <c r="R120" s="5" t="n"/>
    </row>
    <row r="121">
      <c r="A121" s="2" t="inlineStr">
        <is>
          <t>EJ310123.TXT</t>
        </is>
      </c>
      <c r="B121" s="3" t="inlineStr">
        <is>
          <t>004636</t>
        </is>
      </c>
      <c r="C121" s="3" t="inlineStr">
        <is>
          <t>003681</t>
        </is>
      </c>
      <c r="D121" s="4" t="n">
        <v>44956</v>
      </c>
      <c r="E121" s="2" t="inlineStr">
        <is>
          <t>18:18</t>
        </is>
      </c>
      <c r="F121" s="5" t="n">
        <v>354.17</v>
      </c>
      <c r="G121" s="5" t="n"/>
      <c r="H121" s="5" t="n"/>
      <c r="I121" s="5" t="n"/>
      <c r="J121" s="5" t="n">
        <v>70.83</v>
      </c>
      <c r="K121" s="5" t="n"/>
      <c r="L121" s="5" t="n"/>
      <c r="M121" s="5" t="n"/>
      <c r="N121" s="5" t="n"/>
      <c r="O121" s="5" t="n">
        <v>425</v>
      </c>
      <c r="P121" s="5" t="n"/>
      <c r="Q121" s="5" t="n">
        <v>425</v>
      </c>
      <c r="R121" s="5" t="n"/>
    </row>
    <row r="122">
      <c r="A122" s="2" t="inlineStr">
        <is>
          <t>EJ310123.TXT</t>
        </is>
      </c>
      <c r="B122" s="3" t="inlineStr">
        <is>
          <t>004637</t>
        </is>
      </c>
      <c r="C122" s="3" t="inlineStr">
        <is>
          <t>003682</t>
        </is>
      </c>
      <c r="D122" s="4" t="n">
        <v>44957</v>
      </c>
      <c r="E122" s="2" t="inlineStr">
        <is>
          <t>15:46</t>
        </is>
      </c>
      <c r="F122" s="5" t="n">
        <v>483.33</v>
      </c>
      <c r="G122" s="5" t="n"/>
      <c r="H122" s="5" t="n"/>
      <c r="I122" s="5" t="n"/>
      <c r="J122" s="5" t="n">
        <v>96.67</v>
      </c>
      <c r="K122" s="5" t="n"/>
      <c r="L122" s="5" t="n"/>
      <c r="M122" s="5" t="n"/>
      <c r="N122" s="5" t="n"/>
      <c r="O122" s="5" t="n">
        <v>580</v>
      </c>
      <c r="P122" s="5" t="n"/>
      <c r="Q122" s="5" t="n">
        <v>580</v>
      </c>
      <c r="R122" s="5" t="n"/>
    </row>
    <row r="123">
      <c r="A123" s="2" t="inlineStr">
        <is>
          <t>EJ030323.TXT</t>
        </is>
      </c>
      <c r="B123" s="3" t="inlineStr">
        <is>
          <t>004645</t>
        </is>
      </c>
      <c r="C123" s="3" t="inlineStr">
        <is>
          <t>003683</t>
        </is>
      </c>
      <c r="D123" s="4" t="n">
        <v>44958</v>
      </c>
      <c r="E123" s="2" t="inlineStr">
        <is>
          <t>13:11</t>
        </is>
      </c>
      <c r="F123" s="5" t="n">
        <v>144.17</v>
      </c>
      <c r="G123" s="5" t="n"/>
      <c r="H123" s="5" t="n"/>
      <c r="I123" s="5" t="n"/>
      <c r="J123" s="5" t="n">
        <v>28.83</v>
      </c>
      <c r="K123" s="5" t="n"/>
      <c r="L123" s="5" t="n"/>
      <c r="M123" s="5" t="n"/>
      <c r="N123" s="5" t="n"/>
      <c r="O123" s="5" t="n">
        <v>173</v>
      </c>
      <c r="P123" s="5" t="n"/>
      <c r="Q123" s="5" t="n">
        <v>173</v>
      </c>
      <c r="R123" s="5" t="n"/>
    </row>
    <row r="124">
      <c r="A124" s="2" t="inlineStr">
        <is>
          <t>EJ030323.TXT</t>
        </is>
      </c>
      <c r="B124" s="3" t="inlineStr">
        <is>
          <t>004646</t>
        </is>
      </c>
      <c r="C124" s="3" t="inlineStr">
        <is>
          <t>003684</t>
        </is>
      </c>
      <c r="D124" s="4" t="n">
        <v>44958</v>
      </c>
      <c r="E124" s="2" t="inlineStr">
        <is>
          <t>16:34</t>
        </is>
      </c>
      <c r="F124" s="5" t="n">
        <v>124.17</v>
      </c>
      <c r="G124" s="5" t="n"/>
      <c r="H124" s="5" t="n"/>
      <c r="I124" s="5" t="n"/>
      <c r="J124" s="5" t="n">
        <v>24.83</v>
      </c>
      <c r="K124" s="5" t="n"/>
      <c r="L124" s="5" t="n"/>
      <c r="M124" s="5" t="n"/>
      <c r="N124" s="5" t="n"/>
      <c r="O124" s="5" t="n">
        <v>149</v>
      </c>
      <c r="P124" s="5" t="n">
        <v>149</v>
      </c>
      <c r="Q124" s="5" t="n"/>
      <c r="R124" s="5" t="n"/>
    </row>
    <row r="125">
      <c r="A125" s="2" t="inlineStr">
        <is>
          <t>EJ030323.TXT</t>
        </is>
      </c>
      <c r="B125" s="3" t="inlineStr">
        <is>
          <t>004647</t>
        </is>
      </c>
      <c r="C125" s="3" t="inlineStr">
        <is>
          <t>003685</t>
        </is>
      </c>
      <c r="D125" s="4" t="n">
        <v>44958</v>
      </c>
      <c r="E125" s="2" t="inlineStr">
        <is>
          <t>16:39</t>
        </is>
      </c>
      <c r="F125" s="5" t="n">
        <v>725</v>
      </c>
      <c r="G125" s="5" t="n"/>
      <c r="H125" s="5" t="n"/>
      <c r="I125" s="5" t="n"/>
      <c r="J125" s="5" t="n">
        <v>145</v>
      </c>
      <c r="K125" s="5" t="n"/>
      <c r="L125" s="5" t="n"/>
      <c r="M125" s="5" t="n"/>
      <c r="N125" s="5" t="n"/>
      <c r="O125" s="5" t="n">
        <v>870</v>
      </c>
      <c r="P125" s="5" t="n"/>
      <c r="Q125" s="5" t="n">
        <v>870</v>
      </c>
      <c r="R125" s="5" t="n"/>
    </row>
    <row r="126">
      <c r="A126" s="2" t="inlineStr">
        <is>
          <t>EJ030323.TXT</t>
        </is>
      </c>
      <c r="B126" s="3" t="inlineStr">
        <is>
          <t>004648</t>
        </is>
      </c>
      <c r="C126" s="3" t="inlineStr">
        <is>
          <t>003686</t>
        </is>
      </c>
      <c r="D126" s="4" t="n">
        <v>44958</v>
      </c>
      <c r="E126" s="2" t="inlineStr">
        <is>
          <t>16:40</t>
        </is>
      </c>
      <c r="F126" s="5" t="n">
        <v>725</v>
      </c>
      <c r="G126" s="5" t="n"/>
      <c r="H126" s="5" t="n"/>
      <c r="I126" s="5" t="n"/>
      <c r="J126" s="5" t="n">
        <v>145</v>
      </c>
      <c r="K126" s="5" t="n"/>
      <c r="L126" s="5" t="n"/>
      <c r="M126" s="5" t="n"/>
      <c r="N126" s="5" t="n"/>
      <c r="O126" s="5" t="n">
        <v>870</v>
      </c>
      <c r="P126" s="5" t="n"/>
      <c r="Q126" s="5" t="n">
        <v>870</v>
      </c>
      <c r="R126" s="5" t="n"/>
    </row>
    <row r="127">
      <c r="A127" s="2" t="inlineStr">
        <is>
          <t>EJ030323.TXT</t>
        </is>
      </c>
      <c r="B127" s="3" t="inlineStr">
        <is>
          <t>004649</t>
        </is>
      </c>
      <c r="C127" s="3" t="inlineStr">
        <is>
          <t>003687</t>
        </is>
      </c>
      <c r="D127" s="4" t="n">
        <v>44958</v>
      </c>
      <c r="E127" s="2" t="inlineStr">
        <is>
          <t>16:41</t>
        </is>
      </c>
      <c r="F127" s="5" t="n">
        <v>166.67</v>
      </c>
      <c r="G127" s="5" t="n"/>
      <c r="H127" s="5" t="n"/>
      <c r="I127" s="5" t="n"/>
      <c r="J127" s="5" t="n">
        <v>33.33</v>
      </c>
      <c r="K127" s="5" t="n"/>
      <c r="L127" s="5" t="n"/>
      <c r="M127" s="5" t="n"/>
      <c r="N127" s="5" t="n"/>
      <c r="O127" s="5" t="n">
        <v>200</v>
      </c>
      <c r="P127" s="5" t="n"/>
      <c r="Q127" s="5" t="n">
        <v>200</v>
      </c>
      <c r="R127" s="5" t="n"/>
    </row>
    <row r="128">
      <c r="A128" s="2" t="inlineStr">
        <is>
          <t>EJ030323.TXT</t>
        </is>
      </c>
      <c r="B128" s="3" t="inlineStr">
        <is>
          <t>004650</t>
        </is>
      </c>
      <c r="C128" s="3" t="inlineStr">
        <is>
          <t>003688</t>
        </is>
      </c>
      <c r="D128" s="4" t="n">
        <v>44959</v>
      </c>
      <c r="E128" s="2" t="inlineStr">
        <is>
          <t>17:13</t>
        </is>
      </c>
      <c r="F128" s="5" t="n">
        <v>166.67</v>
      </c>
      <c r="G128" s="5" t="n"/>
      <c r="H128" s="5" t="n"/>
      <c r="I128" s="5" t="n"/>
      <c r="J128" s="5" t="n">
        <v>33.33</v>
      </c>
      <c r="K128" s="5" t="n"/>
      <c r="L128" s="5" t="n"/>
      <c r="M128" s="5" t="n"/>
      <c r="N128" s="5" t="n"/>
      <c r="O128" s="5" t="n">
        <v>200</v>
      </c>
      <c r="P128" s="5" t="n"/>
      <c r="Q128" s="5" t="n">
        <v>200</v>
      </c>
      <c r="R128" s="5" t="n"/>
    </row>
    <row r="129">
      <c r="A129" s="2" t="inlineStr">
        <is>
          <t>EJ030323.TXT</t>
        </is>
      </c>
      <c r="B129" s="3" t="inlineStr">
        <is>
          <t>004651</t>
        </is>
      </c>
      <c r="C129" s="3" t="inlineStr">
        <is>
          <t>003689</t>
        </is>
      </c>
      <c r="D129" s="4" t="n">
        <v>44959</v>
      </c>
      <c r="E129" s="2" t="inlineStr">
        <is>
          <t>17:30</t>
        </is>
      </c>
      <c r="F129" s="5" t="n">
        <v>166.67</v>
      </c>
      <c r="G129" s="5" t="n"/>
      <c r="H129" s="5" t="n"/>
      <c r="I129" s="5" t="n"/>
      <c r="J129" s="5" t="n">
        <v>33.33</v>
      </c>
      <c r="K129" s="5" t="n"/>
      <c r="L129" s="5" t="n"/>
      <c r="M129" s="5" t="n"/>
      <c r="N129" s="5" t="n"/>
      <c r="O129" s="5" t="n">
        <v>200</v>
      </c>
      <c r="P129" s="5" t="n"/>
      <c r="Q129" s="5" t="n">
        <v>200</v>
      </c>
      <c r="R129" s="5" t="n"/>
    </row>
    <row r="130">
      <c r="A130" s="2" t="inlineStr">
        <is>
          <t>EJ030323.TXT</t>
        </is>
      </c>
      <c r="B130" s="3" t="inlineStr">
        <is>
          <t>004652</t>
        </is>
      </c>
      <c r="C130" s="3" t="inlineStr">
        <is>
          <t>003690</t>
        </is>
      </c>
      <c r="D130" s="4" t="n">
        <v>44960</v>
      </c>
      <c r="E130" s="2" t="inlineStr">
        <is>
          <t>10:40</t>
        </is>
      </c>
      <c r="F130" s="5" t="n">
        <v>822.5</v>
      </c>
      <c r="G130" s="5" t="n"/>
      <c r="H130" s="5" t="n"/>
      <c r="I130" s="5" t="n"/>
      <c r="J130" s="5" t="n">
        <v>164.5</v>
      </c>
      <c r="K130" s="5" t="n"/>
      <c r="L130" s="5" t="n"/>
      <c r="M130" s="5" t="n"/>
      <c r="N130" s="5" t="n"/>
      <c r="O130" s="5" t="n">
        <v>987</v>
      </c>
      <c r="P130" s="5" t="n"/>
      <c r="Q130" s="5" t="n">
        <v>987</v>
      </c>
      <c r="R130" s="5" t="n"/>
    </row>
    <row r="131">
      <c r="A131" s="2" t="inlineStr">
        <is>
          <t>EJ030323.TXT</t>
        </is>
      </c>
      <c r="B131" s="3" t="inlineStr">
        <is>
          <t>004653</t>
        </is>
      </c>
      <c r="C131" s="3" t="inlineStr">
        <is>
          <t>003691</t>
        </is>
      </c>
      <c r="D131" s="4" t="n">
        <v>44960</v>
      </c>
      <c r="E131" s="2" t="inlineStr">
        <is>
          <t>11:55</t>
        </is>
      </c>
      <c r="F131" s="5" t="n">
        <v>166.67</v>
      </c>
      <c r="G131" s="5" t="n"/>
      <c r="H131" s="5" t="n"/>
      <c r="I131" s="5" t="n"/>
      <c r="J131" s="5" t="n">
        <v>33.33</v>
      </c>
      <c r="K131" s="5" t="n"/>
      <c r="L131" s="5" t="n"/>
      <c r="M131" s="5" t="n"/>
      <c r="N131" s="5" t="n"/>
      <c r="O131" s="5" t="n">
        <v>200</v>
      </c>
      <c r="P131" s="5" t="n"/>
      <c r="Q131" s="5" t="n">
        <v>200</v>
      </c>
      <c r="R131" s="5" t="n"/>
    </row>
    <row r="132">
      <c r="A132" s="2" t="inlineStr">
        <is>
          <t>EJ030323.TXT</t>
        </is>
      </c>
      <c r="B132" s="3" t="inlineStr">
        <is>
          <t>004654</t>
        </is>
      </c>
      <c r="C132" s="3" t="inlineStr">
        <is>
          <t>003692</t>
        </is>
      </c>
      <c r="D132" s="4" t="n">
        <v>44960</v>
      </c>
      <c r="E132" s="2" t="inlineStr">
        <is>
          <t>11:57</t>
        </is>
      </c>
      <c r="F132" s="5" t="n">
        <v>208.33</v>
      </c>
      <c r="G132" s="5" t="n"/>
      <c r="H132" s="5" t="n"/>
      <c r="I132" s="5" t="n"/>
      <c r="J132" s="5" t="n">
        <v>41.67</v>
      </c>
      <c r="K132" s="5" t="n"/>
      <c r="L132" s="5" t="n"/>
      <c r="M132" s="5" t="n"/>
      <c r="N132" s="5" t="n"/>
      <c r="O132" s="5" t="n">
        <v>250</v>
      </c>
      <c r="P132" s="5" t="n"/>
      <c r="Q132" s="5" t="n">
        <v>250</v>
      </c>
      <c r="R132" s="5" t="n"/>
    </row>
    <row r="133">
      <c r="A133" s="2" t="inlineStr">
        <is>
          <t>EJ030323.TXT</t>
        </is>
      </c>
      <c r="B133" s="3" t="inlineStr">
        <is>
          <t>004655</t>
        </is>
      </c>
      <c r="C133" s="3" t="inlineStr">
        <is>
          <t>003693</t>
        </is>
      </c>
      <c r="D133" s="4" t="n">
        <v>44960</v>
      </c>
      <c r="E133" s="2" t="inlineStr">
        <is>
          <t>14:51</t>
        </is>
      </c>
      <c r="F133" s="5" t="n">
        <v>799.17</v>
      </c>
      <c r="G133" s="5" t="n"/>
      <c r="H133" s="5" t="n"/>
      <c r="I133" s="5" t="n"/>
      <c r="J133" s="5" t="n">
        <v>159.83</v>
      </c>
      <c r="K133" s="5" t="n"/>
      <c r="L133" s="5" t="n"/>
      <c r="M133" s="5" t="n"/>
      <c r="N133" s="5" t="n"/>
      <c r="O133" s="5" t="n">
        <v>959</v>
      </c>
      <c r="P133" s="5" t="n"/>
      <c r="Q133" s="5" t="n">
        <v>959</v>
      </c>
      <c r="R133" s="5" t="n"/>
    </row>
    <row r="134">
      <c r="A134" s="2" t="inlineStr">
        <is>
          <t>EJ030323.TXT</t>
        </is>
      </c>
      <c r="B134" s="3" t="inlineStr">
        <is>
          <t>004656</t>
        </is>
      </c>
      <c r="C134" s="3" t="inlineStr">
        <is>
          <t>003694</t>
        </is>
      </c>
      <c r="D134" s="4" t="n">
        <v>44960</v>
      </c>
      <c r="E134" s="2" t="inlineStr">
        <is>
          <t>14:51</t>
        </is>
      </c>
      <c r="F134" s="5" t="n">
        <v>799.17</v>
      </c>
      <c r="G134" s="5" t="n"/>
      <c r="H134" s="5" t="n"/>
      <c r="I134" s="5" t="n"/>
      <c r="J134" s="5" t="n">
        <v>159.83</v>
      </c>
      <c r="K134" s="5" t="n"/>
      <c r="L134" s="5" t="n"/>
      <c r="M134" s="5" t="n"/>
      <c r="N134" s="5" t="n"/>
      <c r="O134" s="5" t="n">
        <v>959</v>
      </c>
      <c r="P134" s="5" t="n"/>
      <c r="Q134" s="5" t="n">
        <v>959</v>
      </c>
      <c r="R134" s="5" t="n"/>
    </row>
    <row r="135">
      <c r="A135" s="2" t="inlineStr">
        <is>
          <t>EJ030323.TXT</t>
        </is>
      </c>
      <c r="B135" s="3" t="inlineStr">
        <is>
          <t>004657</t>
        </is>
      </c>
      <c r="C135" s="3" t="inlineStr">
        <is>
          <t>003695</t>
        </is>
      </c>
      <c r="D135" s="4" t="n">
        <v>44960</v>
      </c>
      <c r="E135" s="2" t="inlineStr">
        <is>
          <t>14:51</t>
        </is>
      </c>
      <c r="F135" s="5" t="n">
        <v>733.33</v>
      </c>
      <c r="G135" s="5" t="n"/>
      <c r="H135" s="5" t="n"/>
      <c r="I135" s="5" t="n"/>
      <c r="J135" s="5" t="n">
        <v>146.67</v>
      </c>
      <c r="K135" s="5" t="n"/>
      <c r="L135" s="5" t="n"/>
      <c r="M135" s="5" t="n"/>
      <c r="N135" s="5" t="n"/>
      <c r="O135" s="5" t="n">
        <v>880</v>
      </c>
      <c r="P135" s="5" t="n"/>
      <c r="Q135" s="5" t="n">
        <v>880</v>
      </c>
      <c r="R135" s="5" t="n"/>
    </row>
    <row r="136">
      <c r="A136" s="2" t="inlineStr">
        <is>
          <t>EJ030323.TXT</t>
        </is>
      </c>
      <c r="B136" s="3" t="inlineStr">
        <is>
          <t>004658</t>
        </is>
      </c>
      <c r="C136" s="3" t="inlineStr">
        <is>
          <t>003696</t>
        </is>
      </c>
      <c r="D136" s="4" t="n">
        <v>44960</v>
      </c>
      <c r="E136" s="2" t="inlineStr">
        <is>
          <t>14:51</t>
        </is>
      </c>
      <c r="F136" s="5" t="n">
        <v>733.33</v>
      </c>
      <c r="G136" s="5" t="n"/>
      <c r="H136" s="5" t="n"/>
      <c r="I136" s="5" t="n"/>
      <c r="J136" s="5" t="n">
        <v>146.67</v>
      </c>
      <c r="K136" s="5" t="n"/>
      <c r="L136" s="5" t="n"/>
      <c r="M136" s="5" t="n"/>
      <c r="N136" s="5" t="n"/>
      <c r="O136" s="5" t="n">
        <v>880</v>
      </c>
      <c r="P136" s="5" t="n"/>
      <c r="Q136" s="5" t="n">
        <v>880</v>
      </c>
      <c r="R136" s="5" t="n"/>
    </row>
    <row r="137">
      <c r="A137" s="2" t="inlineStr">
        <is>
          <t>EJ030323.TXT</t>
        </is>
      </c>
      <c r="B137" s="3" t="inlineStr">
        <is>
          <t>004659</t>
        </is>
      </c>
      <c r="C137" s="3" t="inlineStr">
        <is>
          <t>003697</t>
        </is>
      </c>
      <c r="D137" s="4" t="n">
        <v>44960</v>
      </c>
      <c r="E137" s="2" t="inlineStr">
        <is>
          <t>14:51</t>
        </is>
      </c>
      <c r="F137" s="5" t="n">
        <v>650</v>
      </c>
      <c r="G137" s="5" t="n"/>
      <c r="H137" s="5" t="n"/>
      <c r="I137" s="5" t="n"/>
      <c r="J137" s="5" t="n">
        <v>130</v>
      </c>
      <c r="K137" s="5" t="n"/>
      <c r="L137" s="5" t="n"/>
      <c r="M137" s="5" t="n"/>
      <c r="N137" s="5" t="n"/>
      <c r="O137" s="5" t="n">
        <v>780</v>
      </c>
      <c r="P137" s="5" t="n"/>
      <c r="Q137" s="5" t="n">
        <v>780</v>
      </c>
      <c r="R137" s="5" t="n"/>
    </row>
    <row r="138">
      <c r="A138" s="2" t="inlineStr">
        <is>
          <t>EJ030323.TXT</t>
        </is>
      </c>
      <c r="B138" s="3" t="inlineStr">
        <is>
          <t>004660</t>
        </is>
      </c>
      <c r="C138" s="3" t="inlineStr">
        <is>
          <t>003698</t>
        </is>
      </c>
      <c r="D138" s="4" t="n">
        <v>44960</v>
      </c>
      <c r="E138" s="2" t="inlineStr">
        <is>
          <t>14:52</t>
        </is>
      </c>
      <c r="F138" s="5" t="n">
        <v>650</v>
      </c>
      <c r="G138" s="5" t="n"/>
      <c r="H138" s="5" t="n"/>
      <c r="I138" s="5" t="n"/>
      <c r="J138" s="5" t="n">
        <v>130</v>
      </c>
      <c r="K138" s="5" t="n"/>
      <c r="L138" s="5" t="n"/>
      <c r="M138" s="5" t="n"/>
      <c r="N138" s="5" t="n"/>
      <c r="O138" s="5" t="n">
        <v>780</v>
      </c>
      <c r="P138" s="5" t="n"/>
      <c r="Q138" s="5" t="n">
        <v>780</v>
      </c>
      <c r="R138" s="5" t="n"/>
    </row>
    <row r="139">
      <c r="A139" s="2" t="inlineStr">
        <is>
          <t>EJ030323.TXT</t>
        </is>
      </c>
      <c r="B139" s="3" t="inlineStr">
        <is>
          <t>004661</t>
        </is>
      </c>
      <c r="C139" s="3" t="inlineStr">
        <is>
          <t>003699</t>
        </is>
      </c>
      <c r="D139" s="4" t="n">
        <v>44960</v>
      </c>
      <c r="E139" s="2" t="inlineStr">
        <is>
          <t>16:40</t>
        </is>
      </c>
      <c r="F139" s="5" t="n">
        <v>190.83</v>
      </c>
      <c r="G139" s="5" t="n"/>
      <c r="H139" s="5" t="n"/>
      <c r="I139" s="5" t="n"/>
      <c r="J139" s="5" t="n">
        <v>38.17</v>
      </c>
      <c r="K139" s="5" t="n"/>
      <c r="L139" s="5" t="n"/>
      <c r="M139" s="5" t="n"/>
      <c r="N139" s="5" t="n"/>
      <c r="O139" s="5" t="n">
        <v>229</v>
      </c>
      <c r="P139" s="5" t="n"/>
      <c r="Q139" s="5" t="n">
        <v>229</v>
      </c>
      <c r="R139" s="5" t="n"/>
    </row>
    <row r="140">
      <c r="A140" s="2" t="inlineStr">
        <is>
          <t>EJ030323.TXT</t>
        </is>
      </c>
      <c r="B140" s="3" t="inlineStr">
        <is>
          <t>004662</t>
        </is>
      </c>
      <c r="C140" s="3" t="inlineStr">
        <is>
          <t>003700</t>
        </is>
      </c>
      <c r="D140" s="4" t="n">
        <v>44963</v>
      </c>
      <c r="E140" s="2" t="inlineStr">
        <is>
          <t>15:19</t>
        </is>
      </c>
      <c r="F140" s="5" t="n">
        <v>822.5</v>
      </c>
      <c r="G140" s="5" t="n"/>
      <c r="H140" s="5" t="n"/>
      <c r="I140" s="5" t="n"/>
      <c r="J140" s="5" t="n">
        <v>164.5</v>
      </c>
      <c r="K140" s="5" t="n"/>
      <c r="L140" s="5" t="n"/>
      <c r="M140" s="5" t="n"/>
      <c r="N140" s="5" t="n"/>
      <c r="O140" s="5" t="n">
        <v>987</v>
      </c>
      <c r="P140" s="5" t="n">
        <v>987</v>
      </c>
      <c r="Q140" s="5" t="n"/>
      <c r="R140" s="5" t="n"/>
    </row>
    <row r="141">
      <c r="A141" s="2" t="inlineStr">
        <is>
          <t>EJ030323.TXT</t>
        </is>
      </c>
      <c r="B141" s="3" t="inlineStr">
        <is>
          <t>004663</t>
        </is>
      </c>
      <c r="C141" s="3" t="inlineStr">
        <is>
          <t>003701</t>
        </is>
      </c>
      <c r="D141" s="4" t="n">
        <v>44963</v>
      </c>
      <c r="E141" s="2" t="inlineStr">
        <is>
          <t>15:46</t>
        </is>
      </c>
      <c r="F141" s="5" t="n">
        <v>381.67</v>
      </c>
      <c r="G141" s="5" t="n"/>
      <c r="H141" s="5" t="n"/>
      <c r="I141" s="5" t="n"/>
      <c r="J141" s="5" t="n">
        <v>76.33</v>
      </c>
      <c r="K141" s="5" t="n"/>
      <c r="L141" s="5" t="n"/>
      <c r="M141" s="5" t="n"/>
      <c r="N141" s="5" t="n"/>
      <c r="O141" s="5" t="n">
        <v>458</v>
      </c>
      <c r="P141" s="5" t="n"/>
      <c r="Q141" s="5" t="n">
        <v>458</v>
      </c>
      <c r="R141" s="5" t="n"/>
    </row>
    <row r="142">
      <c r="A142" s="2" t="inlineStr">
        <is>
          <t>EJ030323.TXT</t>
        </is>
      </c>
      <c r="B142" s="3" t="inlineStr">
        <is>
          <t>004664</t>
        </is>
      </c>
      <c r="C142" s="3" t="inlineStr">
        <is>
          <t>003702</t>
        </is>
      </c>
      <c r="D142" s="4" t="n">
        <v>44964</v>
      </c>
      <c r="E142" s="2" t="inlineStr">
        <is>
          <t>16:13</t>
        </is>
      </c>
      <c r="F142" s="5" t="n">
        <v>582.5</v>
      </c>
      <c r="G142" s="5" t="n"/>
      <c r="H142" s="5" t="n"/>
      <c r="I142" s="5" t="n"/>
      <c r="J142" s="5" t="n">
        <v>116.5</v>
      </c>
      <c r="K142" s="5" t="n"/>
      <c r="L142" s="5" t="n"/>
      <c r="M142" s="5" t="n"/>
      <c r="N142" s="5" t="n"/>
      <c r="O142" s="5" t="n">
        <v>699</v>
      </c>
      <c r="P142" s="5" t="n"/>
      <c r="Q142" s="5" t="n">
        <v>699</v>
      </c>
      <c r="R142" s="5" t="n"/>
    </row>
    <row r="143">
      <c r="A143" s="2" t="inlineStr">
        <is>
          <t>EJ030323.TXT</t>
        </is>
      </c>
      <c r="B143" s="3" t="inlineStr">
        <is>
          <t>004665</t>
        </is>
      </c>
      <c r="C143" s="3" t="inlineStr">
        <is>
          <t>003703</t>
        </is>
      </c>
      <c r="D143" s="4" t="n">
        <v>44964</v>
      </c>
      <c r="E143" s="2" t="inlineStr">
        <is>
          <t>16:13</t>
        </is>
      </c>
      <c r="F143" s="5" t="n">
        <v>582.5</v>
      </c>
      <c r="G143" s="5" t="n"/>
      <c r="H143" s="5" t="n"/>
      <c r="I143" s="5" t="n"/>
      <c r="J143" s="5" t="n">
        <v>116.5</v>
      </c>
      <c r="K143" s="5" t="n"/>
      <c r="L143" s="5" t="n"/>
      <c r="M143" s="5" t="n"/>
      <c r="N143" s="5" t="n"/>
      <c r="O143" s="5" t="n">
        <v>699</v>
      </c>
      <c r="P143" s="5" t="n"/>
      <c r="Q143" s="5" t="n">
        <v>699</v>
      </c>
      <c r="R143" s="5" t="n"/>
    </row>
    <row r="144">
      <c r="A144" s="2" t="inlineStr">
        <is>
          <t>EJ030323.TXT</t>
        </is>
      </c>
      <c r="B144" s="3" t="inlineStr">
        <is>
          <t>004666</t>
        </is>
      </c>
      <c r="C144" s="3" t="inlineStr">
        <is>
          <t>003704</t>
        </is>
      </c>
      <c r="D144" s="4" t="n">
        <v>44964</v>
      </c>
      <c r="E144" s="2" t="inlineStr">
        <is>
          <t>16:20</t>
        </is>
      </c>
      <c r="F144" s="5" t="n">
        <v>531.67</v>
      </c>
      <c r="G144" s="5" t="n"/>
      <c r="H144" s="5" t="n"/>
      <c r="I144" s="5" t="n"/>
      <c r="J144" s="5" t="n">
        <v>106.33</v>
      </c>
      <c r="K144" s="5" t="n"/>
      <c r="L144" s="5" t="n"/>
      <c r="M144" s="5" t="n"/>
      <c r="N144" s="5" t="n"/>
      <c r="O144" s="5" t="n">
        <v>638</v>
      </c>
      <c r="P144" s="5" t="n"/>
      <c r="Q144" s="5" t="n">
        <v>638</v>
      </c>
      <c r="R144" s="5" t="n"/>
    </row>
    <row r="145">
      <c r="A145" s="2" t="inlineStr">
        <is>
          <t>EJ030323.TXT</t>
        </is>
      </c>
      <c r="B145" s="3" t="inlineStr">
        <is>
          <t>004667</t>
        </is>
      </c>
      <c r="C145" s="3" t="inlineStr">
        <is>
          <t>003705</t>
        </is>
      </c>
      <c r="D145" s="4" t="n">
        <v>44964</v>
      </c>
      <c r="E145" s="2" t="inlineStr">
        <is>
          <t>16:29</t>
        </is>
      </c>
      <c r="F145" s="5" t="n">
        <v>282.5</v>
      </c>
      <c r="G145" s="5" t="n"/>
      <c r="H145" s="5" t="n"/>
      <c r="I145" s="5" t="n"/>
      <c r="J145" s="5" t="n">
        <v>56.5</v>
      </c>
      <c r="K145" s="5" t="n"/>
      <c r="L145" s="5" t="n"/>
      <c r="M145" s="5" t="n"/>
      <c r="N145" s="5" t="n"/>
      <c r="O145" s="5" t="n">
        <v>339</v>
      </c>
      <c r="P145" s="5" t="n"/>
      <c r="Q145" s="5" t="n">
        <v>339</v>
      </c>
      <c r="R145" s="5" t="n"/>
    </row>
    <row r="146">
      <c r="A146" s="2" t="inlineStr">
        <is>
          <t>EJ030323.TXT</t>
        </is>
      </c>
      <c r="B146" s="3" t="inlineStr">
        <is>
          <t>004668</t>
        </is>
      </c>
      <c r="C146" s="3" t="inlineStr">
        <is>
          <t>003706</t>
        </is>
      </c>
      <c r="D146" s="4" t="n">
        <v>44965</v>
      </c>
      <c r="E146" s="2" t="inlineStr">
        <is>
          <t>12:42</t>
        </is>
      </c>
      <c r="F146" s="5" t="n">
        <v>1063.33</v>
      </c>
      <c r="G146" s="5" t="n"/>
      <c r="H146" s="5" t="n"/>
      <c r="I146" s="5" t="n"/>
      <c r="J146" s="5" t="n">
        <v>212.67</v>
      </c>
      <c r="K146" s="5" t="n"/>
      <c r="L146" s="5" t="n"/>
      <c r="M146" s="5" t="n"/>
      <c r="N146" s="5" t="n"/>
      <c r="O146" s="5" t="n">
        <v>1276</v>
      </c>
      <c r="P146" s="5" t="n">
        <v>1276</v>
      </c>
      <c r="Q146" s="5" t="n"/>
      <c r="R146" s="5" t="n"/>
    </row>
    <row r="147">
      <c r="A147" s="2" t="inlineStr">
        <is>
          <t>EJ030323.TXT</t>
        </is>
      </c>
      <c r="B147" s="3" t="inlineStr">
        <is>
          <t>004669</t>
        </is>
      </c>
      <c r="C147" s="3" t="inlineStr">
        <is>
          <t>003707</t>
        </is>
      </c>
      <c r="D147" s="4" t="n">
        <v>44965</v>
      </c>
      <c r="E147" s="2" t="inlineStr">
        <is>
          <t>13:04</t>
        </is>
      </c>
      <c r="F147" s="5" t="n">
        <v>37.5</v>
      </c>
      <c r="G147" s="5" t="n"/>
      <c r="H147" s="5" t="n"/>
      <c r="I147" s="5" t="n"/>
      <c r="J147" s="5" t="n">
        <v>7.5</v>
      </c>
      <c r="K147" s="5" t="n"/>
      <c r="L147" s="5" t="n"/>
      <c r="M147" s="5" t="n"/>
      <c r="N147" s="5" t="n"/>
      <c r="O147" s="5" t="n">
        <v>45</v>
      </c>
      <c r="P147" s="5" t="n"/>
      <c r="Q147" s="5" t="n">
        <v>45</v>
      </c>
      <c r="R147" s="5" t="n"/>
    </row>
    <row r="148">
      <c r="A148" s="2" t="inlineStr">
        <is>
          <t>EJ030323.TXT</t>
        </is>
      </c>
      <c r="B148" s="3" t="inlineStr">
        <is>
          <t>004670</t>
        </is>
      </c>
      <c r="C148" s="3" t="inlineStr">
        <is>
          <t>003708</t>
        </is>
      </c>
      <c r="D148" s="4" t="n">
        <v>44965</v>
      </c>
      <c r="E148" s="2" t="inlineStr">
        <is>
          <t>16:37</t>
        </is>
      </c>
      <c r="F148" s="5" t="n">
        <v>1096.67</v>
      </c>
      <c r="G148" s="5" t="n"/>
      <c r="H148" s="5" t="n"/>
      <c r="I148" s="5" t="n"/>
      <c r="J148" s="5" t="n">
        <v>219.33</v>
      </c>
      <c r="K148" s="5" t="n"/>
      <c r="L148" s="5" t="n"/>
      <c r="M148" s="5" t="n"/>
      <c r="N148" s="5" t="n"/>
      <c r="O148" s="5" t="n">
        <v>1316</v>
      </c>
      <c r="P148" s="5" t="n">
        <v>1316</v>
      </c>
      <c r="Q148" s="5" t="n"/>
      <c r="R148" s="5" t="n"/>
    </row>
    <row r="149">
      <c r="A149" s="2" t="inlineStr">
        <is>
          <t>EJ030323.TXT</t>
        </is>
      </c>
      <c r="B149" s="3" t="inlineStr">
        <is>
          <t>004671</t>
        </is>
      </c>
      <c r="C149" s="3" t="inlineStr">
        <is>
          <t>003709</t>
        </is>
      </c>
      <c r="D149" s="4" t="n">
        <v>44966</v>
      </c>
      <c r="E149" s="2" t="inlineStr">
        <is>
          <t>11:15</t>
        </is>
      </c>
      <c r="F149" s="5" t="n">
        <v>548.33</v>
      </c>
      <c r="G149" s="5" t="n"/>
      <c r="H149" s="5" t="n"/>
      <c r="I149" s="5" t="n"/>
      <c r="J149" s="5" t="n">
        <v>109.67</v>
      </c>
      <c r="K149" s="5" t="n"/>
      <c r="L149" s="5" t="n"/>
      <c r="M149" s="5" t="n"/>
      <c r="N149" s="5" t="n"/>
      <c r="O149" s="5" t="n">
        <v>658</v>
      </c>
      <c r="P149" s="5" t="n"/>
      <c r="Q149" s="5" t="n">
        <v>658</v>
      </c>
      <c r="R149" s="5" t="n"/>
    </row>
    <row r="150">
      <c r="A150" s="2" t="inlineStr">
        <is>
          <t>EJ030323.TXT</t>
        </is>
      </c>
      <c r="B150" s="3" t="inlineStr">
        <is>
          <t>004672</t>
        </is>
      </c>
      <c r="C150" s="3" t="inlineStr">
        <is>
          <t>003710</t>
        </is>
      </c>
      <c r="D150" s="4" t="n">
        <v>44966</v>
      </c>
      <c r="E150" s="2" t="inlineStr">
        <is>
          <t>11:16</t>
        </is>
      </c>
      <c r="F150" s="5" t="n">
        <v>307.5</v>
      </c>
      <c r="G150" s="5" t="n"/>
      <c r="H150" s="5" t="n"/>
      <c r="I150" s="5" t="n"/>
      <c r="J150" s="5" t="n">
        <v>61.5</v>
      </c>
      <c r="K150" s="5" t="n"/>
      <c r="L150" s="5" t="n"/>
      <c r="M150" s="5" t="n"/>
      <c r="N150" s="5" t="n"/>
      <c r="O150" s="5" t="n">
        <v>369</v>
      </c>
      <c r="P150" s="5" t="n"/>
      <c r="Q150" s="5" t="n">
        <v>369</v>
      </c>
      <c r="R150" s="5" t="n"/>
    </row>
    <row r="151">
      <c r="A151" s="2" t="inlineStr">
        <is>
          <t>EJ030323.TXT</t>
        </is>
      </c>
      <c r="B151" s="3" t="inlineStr">
        <is>
          <t>004673</t>
        </is>
      </c>
      <c r="C151" s="3" t="inlineStr">
        <is>
          <t>003711</t>
        </is>
      </c>
      <c r="D151" s="4" t="n">
        <v>44966</v>
      </c>
      <c r="E151" s="2" t="inlineStr">
        <is>
          <t>16:22</t>
        </is>
      </c>
      <c r="F151" s="5" t="n">
        <v>531.67</v>
      </c>
      <c r="G151" s="5" t="n"/>
      <c r="H151" s="5" t="n"/>
      <c r="I151" s="5" t="n"/>
      <c r="J151" s="5" t="n">
        <v>106.33</v>
      </c>
      <c r="K151" s="5" t="n"/>
      <c r="L151" s="5" t="n"/>
      <c r="M151" s="5" t="n"/>
      <c r="N151" s="5" t="n"/>
      <c r="O151" s="5" t="n">
        <v>638</v>
      </c>
      <c r="P151" s="5" t="n"/>
      <c r="Q151" s="5" t="n">
        <v>638</v>
      </c>
      <c r="R151" s="5" t="n"/>
    </row>
    <row r="152">
      <c r="A152" s="2" t="inlineStr">
        <is>
          <t>EJ030323.TXT</t>
        </is>
      </c>
      <c r="B152" s="3" t="inlineStr">
        <is>
          <t>004674</t>
        </is>
      </c>
      <c r="C152" s="3" t="inlineStr">
        <is>
          <t>003712</t>
        </is>
      </c>
      <c r="D152" s="4" t="n">
        <v>44966</v>
      </c>
      <c r="E152" s="2" t="inlineStr">
        <is>
          <t>18:21</t>
        </is>
      </c>
      <c r="F152" s="5" t="n">
        <v>6380</v>
      </c>
      <c r="G152" s="5" t="n"/>
      <c r="H152" s="5" t="n"/>
      <c r="I152" s="5" t="n"/>
      <c r="J152" s="5" t="n">
        <v>1276</v>
      </c>
      <c r="K152" s="5" t="n"/>
      <c r="L152" s="5" t="n"/>
      <c r="M152" s="5" t="n"/>
      <c r="N152" s="5" t="n"/>
      <c r="O152" s="5" t="n">
        <v>7656</v>
      </c>
      <c r="P152" s="5" t="n">
        <v>7656</v>
      </c>
      <c r="Q152" s="5" t="n"/>
      <c r="R152" s="5" t="n"/>
    </row>
    <row r="153">
      <c r="A153" s="2" t="inlineStr">
        <is>
          <t>EJ030323.TXT</t>
        </is>
      </c>
      <c r="B153" s="3" t="inlineStr">
        <is>
          <t>004675</t>
        </is>
      </c>
      <c r="C153" s="3" t="inlineStr">
        <is>
          <t>003713</t>
        </is>
      </c>
      <c r="D153" s="4" t="n">
        <v>44968</v>
      </c>
      <c r="E153" s="2" t="inlineStr">
        <is>
          <t>16:19</t>
        </is>
      </c>
      <c r="F153" s="5" t="n">
        <v>75</v>
      </c>
      <c r="G153" s="5" t="n"/>
      <c r="H153" s="5" t="n"/>
      <c r="I153" s="5" t="n"/>
      <c r="J153" s="5" t="n">
        <v>15</v>
      </c>
      <c r="K153" s="5" t="n"/>
      <c r="L153" s="5" t="n"/>
      <c r="M153" s="5" t="n"/>
      <c r="N153" s="5" t="n"/>
      <c r="O153" s="5" t="n">
        <v>90</v>
      </c>
      <c r="P153" s="5" t="n"/>
      <c r="Q153" s="5" t="n">
        <v>90</v>
      </c>
      <c r="R153" s="5" t="n"/>
    </row>
    <row r="154">
      <c r="A154" s="2" t="inlineStr">
        <is>
          <t>EJ030323.TXT</t>
        </is>
      </c>
      <c r="B154" s="3" t="inlineStr">
        <is>
          <t>004676</t>
        </is>
      </c>
      <c r="C154" s="3" t="inlineStr">
        <is>
          <t>003714</t>
        </is>
      </c>
      <c r="D154" s="4" t="n">
        <v>44968</v>
      </c>
      <c r="E154" s="2" t="inlineStr">
        <is>
          <t>16:20</t>
        </is>
      </c>
      <c r="F154" s="5" t="n">
        <v>315</v>
      </c>
      <c r="G154" s="5" t="n"/>
      <c r="H154" s="5" t="n"/>
      <c r="I154" s="5" t="n"/>
      <c r="J154" s="5" t="n">
        <v>63</v>
      </c>
      <c r="K154" s="5" t="n"/>
      <c r="L154" s="5" t="n"/>
      <c r="M154" s="5" t="n"/>
      <c r="N154" s="5" t="n"/>
      <c r="O154" s="5" t="n">
        <v>378</v>
      </c>
      <c r="P154" s="5" t="n"/>
      <c r="Q154" s="5" t="n">
        <v>378</v>
      </c>
      <c r="R154" s="5" t="n"/>
    </row>
    <row r="155">
      <c r="A155" s="2" t="inlineStr">
        <is>
          <t>EJ030323.TXT</t>
        </is>
      </c>
      <c r="B155" s="3" t="inlineStr">
        <is>
          <t>004677</t>
        </is>
      </c>
      <c r="C155" s="3" t="inlineStr">
        <is>
          <t>003715</t>
        </is>
      </c>
      <c r="D155" s="4" t="n">
        <v>44970</v>
      </c>
      <c r="E155" s="2" t="inlineStr">
        <is>
          <t>14:39</t>
        </is>
      </c>
      <c r="F155" s="5" t="n">
        <v>295</v>
      </c>
      <c r="G155" s="5" t="n"/>
      <c r="H155" s="5" t="n"/>
      <c r="I155" s="5" t="n"/>
      <c r="J155" s="5" t="n">
        <v>59</v>
      </c>
      <c r="K155" s="5" t="n"/>
      <c r="L155" s="5" t="n"/>
      <c r="M155" s="5" t="n"/>
      <c r="N155" s="5" t="n"/>
      <c r="O155" s="5" t="n">
        <v>354</v>
      </c>
      <c r="P155" s="5" t="n"/>
      <c r="Q155" s="5" t="n">
        <v>354</v>
      </c>
      <c r="R155" s="5" t="n"/>
    </row>
    <row r="156">
      <c r="A156" s="2" t="inlineStr">
        <is>
          <t>EJ030323.TXT</t>
        </is>
      </c>
      <c r="B156" s="3" t="inlineStr">
        <is>
          <t>004678</t>
        </is>
      </c>
      <c r="C156" s="3" t="inlineStr">
        <is>
          <t>003716</t>
        </is>
      </c>
      <c r="D156" s="4" t="n">
        <v>44970</v>
      </c>
      <c r="E156" s="2" t="inlineStr">
        <is>
          <t>14:42</t>
        </is>
      </c>
      <c r="F156" s="5" t="n">
        <v>65.83</v>
      </c>
      <c r="G156" s="5" t="n"/>
      <c r="H156" s="5" t="n"/>
      <c r="I156" s="5" t="n"/>
      <c r="J156" s="5" t="n">
        <v>13.17</v>
      </c>
      <c r="K156" s="5" t="n"/>
      <c r="L156" s="5" t="n"/>
      <c r="M156" s="5" t="n"/>
      <c r="N156" s="5" t="n"/>
      <c r="O156" s="5" t="n">
        <v>79</v>
      </c>
      <c r="P156" s="5" t="n"/>
      <c r="Q156" s="5" t="n">
        <v>79</v>
      </c>
      <c r="R156" s="5" t="n"/>
    </row>
    <row r="157">
      <c r="A157" s="2" t="inlineStr">
        <is>
          <t>EJ030323.TXT</t>
        </is>
      </c>
      <c r="B157" s="3" t="inlineStr">
        <is>
          <t>004679</t>
        </is>
      </c>
      <c r="C157" s="3" t="inlineStr">
        <is>
          <t>003717</t>
        </is>
      </c>
      <c r="D157" s="4" t="n">
        <v>44971</v>
      </c>
      <c r="E157" s="2" t="inlineStr">
        <is>
          <t>12:11</t>
        </is>
      </c>
      <c r="F157" s="5" t="n">
        <v>274.17</v>
      </c>
      <c r="G157" s="5" t="n"/>
      <c r="H157" s="5" t="n"/>
      <c r="I157" s="5" t="n"/>
      <c r="J157" s="5" t="n">
        <v>54.83</v>
      </c>
      <c r="K157" s="5" t="n"/>
      <c r="L157" s="5" t="n"/>
      <c r="M157" s="5" t="n"/>
      <c r="N157" s="5" t="n"/>
      <c r="O157" s="5" t="n">
        <v>329</v>
      </c>
      <c r="P157" s="5" t="n"/>
      <c r="Q157" s="5" t="n">
        <v>329</v>
      </c>
      <c r="R157" s="5" t="n"/>
    </row>
    <row r="158">
      <c r="A158" s="2" t="inlineStr">
        <is>
          <t>EJ030323.TXT</t>
        </is>
      </c>
      <c r="B158" s="3" t="inlineStr">
        <is>
          <t>004680</t>
        </is>
      </c>
      <c r="C158" s="3" t="inlineStr">
        <is>
          <t>003718</t>
        </is>
      </c>
      <c r="D158" s="4" t="n">
        <v>44971</v>
      </c>
      <c r="E158" s="2" t="inlineStr">
        <is>
          <t>18:26</t>
        </is>
      </c>
      <c r="F158" s="5" t="n">
        <v>124.17</v>
      </c>
      <c r="G158" s="5" t="n"/>
      <c r="H158" s="5" t="n"/>
      <c r="I158" s="5" t="n"/>
      <c r="J158" s="5" t="n">
        <v>24.83</v>
      </c>
      <c r="K158" s="5" t="n"/>
      <c r="L158" s="5" t="n"/>
      <c r="M158" s="5" t="n"/>
      <c r="N158" s="5" t="n"/>
      <c r="O158" s="5" t="n">
        <v>149</v>
      </c>
      <c r="P158" s="5" t="n">
        <v>149</v>
      </c>
      <c r="Q158" s="5" t="n"/>
      <c r="R158" s="5" t="n"/>
    </row>
    <row r="159">
      <c r="A159" s="2" t="inlineStr">
        <is>
          <t>EJ030323.TXT</t>
        </is>
      </c>
      <c r="B159" s="3" t="inlineStr">
        <is>
          <t>004681</t>
        </is>
      </c>
      <c r="C159" s="3" t="inlineStr">
        <is>
          <t>003719</t>
        </is>
      </c>
      <c r="D159" s="4" t="n">
        <v>44974</v>
      </c>
      <c r="E159" s="2" t="inlineStr">
        <is>
          <t>16:29</t>
        </is>
      </c>
      <c r="F159" s="5" t="n">
        <v>548.33</v>
      </c>
      <c r="G159" s="5" t="n"/>
      <c r="H159" s="5" t="n"/>
      <c r="I159" s="5" t="n"/>
      <c r="J159" s="5" t="n">
        <v>109.67</v>
      </c>
      <c r="K159" s="5" t="n"/>
      <c r="L159" s="5" t="n"/>
      <c r="M159" s="5" t="n"/>
      <c r="N159" s="5" t="n"/>
      <c r="O159" s="5" t="n">
        <v>658</v>
      </c>
      <c r="P159" s="5" t="n"/>
      <c r="Q159" s="5" t="n">
        <v>658</v>
      </c>
      <c r="R159" s="5" t="n"/>
    </row>
    <row r="160">
      <c r="A160" s="2" t="inlineStr">
        <is>
          <t>EJ030323.TXT</t>
        </is>
      </c>
      <c r="B160" s="3" t="inlineStr">
        <is>
          <t>004682</t>
        </is>
      </c>
      <c r="C160" s="3" t="inlineStr">
        <is>
          <t>003720</t>
        </is>
      </c>
      <c r="D160" s="4" t="n">
        <v>44975</v>
      </c>
      <c r="E160" s="2" t="inlineStr">
        <is>
          <t>17:03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/>
      <c r="Q160" s="5" t="n">
        <v>658</v>
      </c>
      <c r="R160" s="5" t="n"/>
    </row>
    <row r="161">
      <c r="A161" s="2" t="inlineStr">
        <is>
          <t>EJ030323.TXT</t>
        </is>
      </c>
      <c r="B161" s="3" t="inlineStr">
        <is>
          <t>004683</t>
        </is>
      </c>
      <c r="C161" s="3" t="inlineStr">
        <is>
          <t>003721</t>
        </is>
      </c>
      <c r="D161" s="4" t="n">
        <v>44977</v>
      </c>
      <c r="E161" s="2" t="inlineStr">
        <is>
          <t>10:49</t>
        </is>
      </c>
      <c r="F161" s="5" t="n">
        <v>457.5</v>
      </c>
      <c r="G161" s="5" t="n"/>
      <c r="H161" s="5" t="n"/>
      <c r="I161" s="5" t="n"/>
      <c r="J161" s="5" t="n">
        <v>91.5</v>
      </c>
      <c r="K161" s="5" t="n"/>
      <c r="L161" s="5" t="n"/>
      <c r="M161" s="5" t="n"/>
      <c r="N161" s="5" t="n"/>
      <c r="O161" s="5" t="n">
        <v>549</v>
      </c>
      <c r="P161" s="5" t="n"/>
      <c r="Q161" s="5" t="n">
        <v>549</v>
      </c>
      <c r="R161" s="5" t="n"/>
    </row>
    <row r="162">
      <c r="A162" s="2" t="inlineStr">
        <is>
          <t>EJ030323.TXT</t>
        </is>
      </c>
      <c r="B162" s="3" t="inlineStr">
        <is>
          <t>004684</t>
        </is>
      </c>
      <c r="C162" s="3" t="inlineStr">
        <is>
          <t>003722</t>
        </is>
      </c>
      <c r="D162" s="4" t="n">
        <v>44977</v>
      </c>
      <c r="E162" s="2" t="inlineStr">
        <is>
          <t>15:47</t>
        </is>
      </c>
      <c r="F162" s="5" t="n">
        <v>806.67</v>
      </c>
      <c r="G162" s="5" t="n"/>
      <c r="H162" s="5" t="n"/>
      <c r="I162" s="5" t="n"/>
      <c r="J162" s="5" t="n">
        <v>161.33</v>
      </c>
      <c r="K162" s="5" t="n"/>
      <c r="L162" s="5" t="n"/>
      <c r="M162" s="5" t="n"/>
      <c r="N162" s="5" t="n"/>
      <c r="O162" s="5" t="n">
        <v>968</v>
      </c>
      <c r="P162" s="5" t="n"/>
      <c r="Q162" s="5" t="n">
        <v>968</v>
      </c>
      <c r="R162" s="5" t="n"/>
    </row>
    <row r="163">
      <c r="A163" s="2" t="inlineStr">
        <is>
          <t>EJ030323.TXT</t>
        </is>
      </c>
      <c r="B163" s="3" t="inlineStr">
        <is>
          <t>004685</t>
        </is>
      </c>
      <c r="C163" s="3" t="inlineStr">
        <is>
          <t>003723</t>
        </is>
      </c>
      <c r="D163" s="4" t="n">
        <v>44977</v>
      </c>
      <c r="E163" s="2" t="inlineStr">
        <is>
          <t>15:51</t>
        </is>
      </c>
      <c r="F163" s="5" t="n">
        <v>381.67</v>
      </c>
      <c r="G163" s="5" t="n"/>
      <c r="H163" s="5" t="n"/>
      <c r="I163" s="5" t="n"/>
      <c r="J163" s="5" t="n">
        <v>76.33</v>
      </c>
      <c r="K163" s="5" t="n"/>
      <c r="L163" s="5" t="n"/>
      <c r="M163" s="5" t="n"/>
      <c r="N163" s="5" t="n"/>
      <c r="O163" s="5" t="n">
        <v>458</v>
      </c>
      <c r="P163" s="5" t="n"/>
      <c r="Q163" s="5" t="n">
        <v>458</v>
      </c>
      <c r="R163" s="5" t="n"/>
    </row>
    <row r="164">
      <c r="A164" s="2" t="inlineStr">
        <is>
          <t>EJ030323.TXT</t>
        </is>
      </c>
      <c r="B164" s="3" t="inlineStr">
        <is>
          <t>004686</t>
        </is>
      </c>
      <c r="C164" s="3" t="inlineStr">
        <is>
          <t>003724</t>
        </is>
      </c>
      <c r="D164" s="4" t="n">
        <v>44980</v>
      </c>
      <c r="E164" s="2" t="inlineStr">
        <is>
          <t>17:50</t>
        </is>
      </c>
      <c r="F164" s="5" t="n">
        <v>572.5</v>
      </c>
      <c r="G164" s="5" t="n"/>
      <c r="H164" s="5" t="n"/>
      <c r="I164" s="5" t="n"/>
      <c r="J164" s="5" t="n">
        <v>114.5</v>
      </c>
      <c r="K164" s="5" t="n"/>
      <c r="L164" s="5" t="n"/>
      <c r="M164" s="5" t="n"/>
      <c r="N164" s="5" t="n"/>
      <c r="O164" s="5" t="n">
        <v>687</v>
      </c>
      <c r="P164" s="5" t="n"/>
      <c r="Q164" s="5" t="n">
        <v>687</v>
      </c>
      <c r="R164" s="5" t="n"/>
    </row>
    <row r="165">
      <c r="A165" s="2" t="inlineStr">
        <is>
          <t>EJ030323.TXT</t>
        </is>
      </c>
      <c r="B165" s="3" t="inlineStr">
        <is>
          <t>004687</t>
        </is>
      </c>
      <c r="C165" s="3" t="inlineStr">
        <is>
          <t>003725</t>
        </is>
      </c>
      <c r="D165" s="4" t="n">
        <v>44980</v>
      </c>
      <c r="E165" s="2" t="inlineStr">
        <is>
          <t>18:32</t>
        </is>
      </c>
      <c r="F165" s="5" t="n">
        <v>381.67</v>
      </c>
      <c r="G165" s="5" t="n"/>
      <c r="H165" s="5" t="n"/>
      <c r="I165" s="5" t="n"/>
      <c r="J165" s="5" t="n">
        <v>76.33</v>
      </c>
      <c r="K165" s="5" t="n"/>
      <c r="L165" s="5" t="n"/>
      <c r="M165" s="5" t="n"/>
      <c r="N165" s="5" t="n"/>
      <c r="O165" s="5" t="n">
        <v>458</v>
      </c>
      <c r="P165" s="5" t="n"/>
      <c r="Q165" s="5" t="n">
        <v>458</v>
      </c>
      <c r="R165" s="5" t="n"/>
    </row>
    <row r="166">
      <c r="A166" s="2" t="inlineStr">
        <is>
          <t>EJ030323.TXT</t>
        </is>
      </c>
      <c r="B166" s="3" t="inlineStr">
        <is>
          <t>004688</t>
        </is>
      </c>
      <c r="C166" s="3" t="inlineStr">
        <is>
          <t>003726</t>
        </is>
      </c>
      <c r="D166" s="4" t="n">
        <v>44981</v>
      </c>
      <c r="E166" s="2" t="inlineStr">
        <is>
          <t>13:26</t>
        </is>
      </c>
      <c r="F166" s="5" t="n">
        <v>208.33</v>
      </c>
      <c r="G166" s="5" t="n"/>
      <c r="H166" s="5" t="n"/>
      <c r="I166" s="5" t="n"/>
      <c r="J166" s="5" t="n">
        <v>41.67</v>
      </c>
      <c r="K166" s="5" t="n"/>
      <c r="L166" s="5" t="n"/>
      <c r="M166" s="5" t="n"/>
      <c r="N166" s="5" t="n"/>
      <c r="O166" s="5" t="n">
        <v>250</v>
      </c>
      <c r="P166" s="5" t="n"/>
      <c r="Q166" s="5" t="n">
        <v>250</v>
      </c>
      <c r="R166" s="5" t="n"/>
    </row>
    <row r="167">
      <c r="A167" s="2" t="inlineStr">
        <is>
          <t>EJ030323.TXT</t>
        </is>
      </c>
      <c r="B167" s="3" t="inlineStr">
        <is>
          <t>004689</t>
        </is>
      </c>
      <c r="C167" s="3" t="inlineStr">
        <is>
          <t>003727</t>
        </is>
      </c>
      <c r="D167" s="4" t="n">
        <v>44981</v>
      </c>
      <c r="E167" s="2" t="inlineStr">
        <is>
          <t>15:56</t>
        </is>
      </c>
      <c r="F167" s="5" t="n">
        <v>2330</v>
      </c>
      <c r="G167" s="5" t="n"/>
      <c r="H167" s="5" t="n"/>
      <c r="I167" s="5" t="n"/>
      <c r="J167" s="5" t="n">
        <v>466</v>
      </c>
      <c r="K167" s="5" t="n"/>
      <c r="L167" s="5" t="n"/>
      <c r="M167" s="5" t="n"/>
      <c r="N167" s="5" t="n"/>
      <c r="O167" s="5" t="n">
        <v>2796</v>
      </c>
      <c r="P167" s="5" t="n">
        <v>2796</v>
      </c>
      <c r="Q167" s="5" t="n"/>
      <c r="R167" s="5" t="n"/>
    </row>
    <row r="168">
      <c r="A168" s="2" t="inlineStr">
        <is>
          <t>EJ030323.TXT</t>
        </is>
      </c>
      <c r="B168" s="3" t="inlineStr">
        <is>
          <t>004690</t>
        </is>
      </c>
      <c r="C168" s="3" t="inlineStr">
        <is>
          <t>003728</t>
        </is>
      </c>
      <c r="D168" s="4" t="n">
        <v>44981</v>
      </c>
      <c r="E168" s="2" t="inlineStr">
        <is>
          <t>16:46</t>
        </is>
      </c>
      <c r="F168" s="5" t="n">
        <v>822.5</v>
      </c>
      <c r="G168" s="5" t="n"/>
      <c r="H168" s="5" t="n"/>
      <c r="I168" s="5" t="n"/>
      <c r="J168" s="5" t="n">
        <v>164.5</v>
      </c>
      <c r="K168" s="5" t="n"/>
      <c r="L168" s="5" t="n"/>
      <c r="M168" s="5" t="n"/>
      <c r="N168" s="5" t="n"/>
      <c r="O168" s="5" t="n">
        <v>987</v>
      </c>
      <c r="P168" s="5" t="n"/>
      <c r="Q168" s="5" t="n">
        <v>987</v>
      </c>
      <c r="R168" s="5" t="n"/>
    </row>
    <row r="169">
      <c r="A169" s="2" t="inlineStr">
        <is>
          <t>EJ030323.TXT</t>
        </is>
      </c>
      <c r="B169" s="3" t="inlineStr">
        <is>
          <t>004691</t>
        </is>
      </c>
      <c r="C169" s="3" t="inlineStr">
        <is>
          <t>003729</t>
        </is>
      </c>
      <c r="D169" s="4" t="n">
        <v>44981</v>
      </c>
      <c r="E169" s="2" t="inlineStr">
        <is>
          <t>16:47</t>
        </is>
      </c>
      <c r="F169" s="5" t="n">
        <v>822.5</v>
      </c>
      <c r="G169" s="5" t="n"/>
      <c r="H169" s="5" t="n"/>
      <c r="I169" s="5" t="n"/>
      <c r="J169" s="5" t="n">
        <v>164.5</v>
      </c>
      <c r="K169" s="5" t="n"/>
      <c r="L169" s="5" t="n"/>
      <c r="M169" s="5" t="n"/>
      <c r="N169" s="5" t="n"/>
      <c r="O169" s="5" t="n">
        <v>987</v>
      </c>
      <c r="P169" s="5" t="n"/>
      <c r="Q169" s="5" t="n">
        <v>987</v>
      </c>
      <c r="R169" s="5" t="n"/>
    </row>
    <row r="170">
      <c r="A170" s="2" t="inlineStr">
        <is>
          <t>EJ030323.TXT</t>
        </is>
      </c>
      <c r="B170" s="3" t="inlineStr">
        <is>
          <t>004692</t>
        </is>
      </c>
      <c r="C170" s="3" t="inlineStr">
        <is>
          <t>003730</t>
        </is>
      </c>
      <c r="D170" s="4" t="n">
        <v>44981</v>
      </c>
      <c r="E170" s="2" t="inlineStr">
        <is>
          <t>16:47</t>
        </is>
      </c>
      <c r="F170" s="5" t="n">
        <v>797.5</v>
      </c>
      <c r="G170" s="5" t="n"/>
      <c r="H170" s="5" t="n"/>
      <c r="I170" s="5" t="n"/>
      <c r="J170" s="5" t="n">
        <v>159.5</v>
      </c>
      <c r="K170" s="5" t="n"/>
      <c r="L170" s="5" t="n"/>
      <c r="M170" s="5" t="n"/>
      <c r="N170" s="5" t="n"/>
      <c r="O170" s="5" t="n">
        <v>957</v>
      </c>
      <c r="P170" s="5" t="n"/>
      <c r="Q170" s="5" t="n">
        <v>957</v>
      </c>
      <c r="R170" s="5" t="n"/>
    </row>
    <row r="171">
      <c r="A171" s="2" t="inlineStr">
        <is>
          <t>EJ030323.TXT</t>
        </is>
      </c>
      <c r="B171" s="3" t="inlineStr">
        <is>
          <t>004693</t>
        </is>
      </c>
      <c r="C171" s="3" t="inlineStr">
        <is>
          <t>003731</t>
        </is>
      </c>
      <c r="D171" s="4" t="n">
        <v>44982</v>
      </c>
      <c r="E171" s="2" t="inlineStr">
        <is>
          <t>14:55</t>
        </is>
      </c>
      <c r="F171" s="5" t="n">
        <v>208.33</v>
      </c>
      <c r="G171" s="5" t="n"/>
      <c r="H171" s="5" t="n"/>
      <c r="I171" s="5" t="n"/>
      <c r="J171" s="5" t="n">
        <v>41.67</v>
      </c>
      <c r="K171" s="5" t="n"/>
      <c r="L171" s="5" t="n"/>
      <c r="M171" s="5" t="n"/>
      <c r="N171" s="5" t="n"/>
      <c r="O171" s="5" t="n">
        <v>250</v>
      </c>
      <c r="P171" s="5" t="n"/>
      <c r="Q171" s="5" t="n">
        <v>250</v>
      </c>
      <c r="R171" s="5" t="n"/>
    </row>
    <row r="172">
      <c r="A172" s="2" t="inlineStr">
        <is>
          <t>EJ030323.TXT</t>
        </is>
      </c>
      <c r="B172" s="3" t="inlineStr">
        <is>
          <t>004694</t>
        </is>
      </c>
      <c r="C172" s="3" t="inlineStr">
        <is>
          <t>003732</t>
        </is>
      </c>
      <c r="D172" s="4" t="n">
        <v>44982</v>
      </c>
      <c r="E172" s="2" t="inlineStr">
        <is>
          <t>17:06</t>
        </is>
      </c>
      <c r="F172" s="5" t="n">
        <v>797.5</v>
      </c>
      <c r="G172" s="5" t="n"/>
      <c r="H172" s="5" t="n"/>
      <c r="I172" s="5" t="n"/>
      <c r="J172" s="5" t="n">
        <v>159.5</v>
      </c>
      <c r="K172" s="5" t="n"/>
      <c r="L172" s="5" t="n"/>
      <c r="M172" s="5" t="n"/>
      <c r="N172" s="5" t="n"/>
      <c r="O172" s="5" t="n">
        <v>957</v>
      </c>
      <c r="P172" s="5" t="n"/>
      <c r="Q172" s="5" t="n">
        <v>957</v>
      </c>
      <c r="R172" s="5" t="n"/>
    </row>
    <row r="173">
      <c r="A173" s="2" t="inlineStr">
        <is>
          <t>EJ030323.TXT</t>
        </is>
      </c>
      <c r="B173" s="3" t="inlineStr">
        <is>
          <t>004695</t>
        </is>
      </c>
      <c r="C173" s="3" t="inlineStr">
        <is>
          <t>003733</t>
        </is>
      </c>
      <c r="D173" s="4" t="n">
        <v>44982</v>
      </c>
      <c r="E173" s="2" t="inlineStr">
        <is>
          <t>17:06</t>
        </is>
      </c>
      <c r="F173" s="5" t="n">
        <v>265.83</v>
      </c>
      <c r="G173" s="5" t="n"/>
      <c r="H173" s="5" t="n"/>
      <c r="I173" s="5" t="n"/>
      <c r="J173" s="5" t="n">
        <v>53.17</v>
      </c>
      <c r="K173" s="5" t="n"/>
      <c r="L173" s="5" t="n"/>
      <c r="M173" s="5" t="n"/>
      <c r="N173" s="5" t="n"/>
      <c r="O173" s="5" t="n">
        <v>319</v>
      </c>
      <c r="P173" s="5" t="n"/>
      <c r="Q173" s="5" t="n">
        <v>319</v>
      </c>
      <c r="R173" s="5" t="n"/>
    </row>
    <row r="174">
      <c r="A174" s="2" t="inlineStr">
        <is>
          <t>EJ030323.TXT</t>
        </is>
      </c>
      <c r="B174" s="3" t="inlineStr">
        <is>
          <t>004696</t>
        </is>
      </c>
      <c r="C174" s="3" t="inlineStr">
        <is>
          <t>003734</t>
        </is>
      </c>
      <c r="D174" s="4" t="n">
        <v>44982</v>
      </c>
      <c r="E174" s="2" t="inlineStr">
        <is>
          <t>17:06</t>
        </is>
      </c>
      <c r="F174" s="5" t="n">
        <v>531.67</v>
      </c>
      <c r="G174" s="5" t="n"/>
      <c r="H174" s="5" t="n"/>
      <c r="I174" s="5" t="n"/>
      <c r="J174" s="5" t="n">
        <v>106.33</v>
      </c>
      <c r="K174" s="5" t="n"/>
      <c r="L174" s="5" t="n"/>
      <c r="M174" s="5" t="n"/>
      <c r="N174" s="5" t="n"/>
      <c r="O174" s="5" t="n">
        <v>638</v>
      </c>
      <c r="P174" s="5" t="n"/>
      <c r="Q174" s="5" t="n">
        <v>638</v>
      </c>
      <c r="R174" s="5" t="n"/>
    </row>
    <row r="175">
      <c r="A175" s="2" t="inlineStr">
        <is>
          <t>EJ030323.TXT</t>
        </is>
      </c>
      <c r="B175" s="3" t="inlineStr">
        <is>
          <t>004697</t>
        </is>
      </c>
      <c r="C175" s="3" t="inlineStr">
        <is>
          <t>003735</t>
        </is>
      </c>
      <c r="D175" s="4" t="n">
        <v>44982</v>
      </c>
      <c r="E175" s="2" t="inlineStr">
        <is>
          <t>17:07</t>
        </is>
      </c>
      <c r="F175" s="5" t="n">
        <v>797.5</v>
      </c>
      <c r="G175" s="5" t="n"/>
      <c r="H175" s="5" t="n"/>
      <c r="I175" s="5" t="n"/>
      <c r="J175" s="5" t="n">
        <v>159.5</v>
      </c>
      <c r="K175" s="5" t="n"/>
      <c r="L175" s="5" t="n"/>
      <c r="M175" s="5" t="n"/>
      <c r="N175" s="5" t="n"/>
      <c r="O175" s="5" t="n">
        <v>957</v>
      </c>
      <c r="P175" s="5" t="n"/>
      <c r="Q175" s="5" t="n">
        <v>957</v>
      </c>
      <c r="R175" s="5" t="n"/>
    </row>
    <row r="176">
      <c r="A176" s="2" t="inlineStr">
        <is>
          <t>EJ030323.TXT</t>
        </is>
      </c>
      <c r="B176" s="3" t="inlineStr">
        <is>
          <t>004698</t>
        </is>
      </c>
      <c r="C176" s="3" t="inlineStr">
        <is>
          <t>003736</t>
        </is>
      </c>
      <c r="D176" s="4" t="n">
        <v>44982</v>
      </c>
      <c r="E176" s="2" t="inlineStr">
        <is>
          <t>17:07</t>
        </is>
      </c>
      <c r="F176" s="5" t="n">
        <v>531.67</v>
      </c>
      <c r="G176" s="5" t="n"/>
      <c r="H176" s="5" t="n"/>
      <c r="I176" s="5" t="n"/>
      <c r="J176" s="5" t="n">
        <v>106.33</v>
      </c>
      <c r="K176" s="5" t="n"/>
      <c r="L176" s="5" t="n"/>
      <c r="M176" s="5" t="n"/>
      <c r="N176" s="5" t="n"/>
      <c r="O176" s="5" t="n">
        <v>638</v>
      </c>
      <c r="P176" s="5" t="n"/>
      <c r="Q176" s="5" t="n">
        <v>638</v>
      </c>
      <c r="R176" s="5" t="n"/>
    </row>
    <row r="177">
      <c r="A177" s="2" t="inlineStr">
        <is>
          <t>EJ030323.TXT</t>
        </is>
      </c>
      <c r="B177" s="3" t="inlineStr">
        <is>
          <t>004699</t>
        </is>
      </c>
      <c r="C177" s="3" t="inlineStr">
        <is>
          <t>003737</t>
        </is>
      </c>
      <c r="D177" s="4" t="n">
        <v>44982</v>
      </c>
      <c r="E177" s="2" t="inlineStr">
        <is>
          <t>17:08</t>
        </is>
      </c>
      <c r="F177" s="5" t="n">
        <v>265.83</v>
      </c>
      <c r="G177" s="5" t="n"/>
      <c r="H177" s="5" t="n"/>
      <c r="I177" s="5" t="n"/>
      <c r="J177" s="5" t="n">
        <v>53.17</v>
      </c>
      <c r="K177" s="5" t="n"/>
      <c r="L177" s="5" t="n"/>
      <c r="M177" s="5" t="n"/>
      <c r="N177" s="5" t="n"/>
      <c r="O177" s="5" t="n">
        <v>319</v>
      </c>
      <c r="P177" s="5" t="n"/>
      <c r="Q177" s="5" t="n">
        <v>319</v>
      </c>
      <c r="R177" s="5" t="n"/>
    </row>
    <row r="178">
      <c r="A178" s="2" t="inlineStr">
        <is>
          <t>EJ030323.TXT</t>
        </is>
      </c>
      <c r="B178" s="3" t="inlineStr">
        <is>
          <t>004700</t>
        </is>
      </c>
      <c r="C178" s="3" t="inlineStr">
        <is>
          <t>003738</t>
        </is>
      </c>
      <c r="D178" s="4" t="n">
        <v>44984</v>
      </c>
      <c r="E178" s="2" t="inlineStr">
        <is>
          <t>11:07</t>
        </is>
      </c>
      <c r="F178" s="5" t="n">
        <v>73.33</v>
      </c>
      <c r="G178" s="5" t="n"/>
      <c r="H178" s="5" t="n"/>
      <c r="I178" s="5" t="n"/>
      <c r="J178" s="5" t="n">
        <v>14.67</v>
      </c>
      <c r="K178" s="5" t="n"/>
      <c r="L178" s="5" t="n"/>
      <c r="M178" s="5" t="n"/>
      <c r="N178" s="5" t="n"/>
      <c r="O178" s="5" t="n">
        <v>88</v>
      </c>
      <c r="P178" s="5" t="n">
        <v>88</v>
      </c>
      <c r="Q178" s="5" t="n"/>
      <c r="R178" s="5" t="n"/>
    </row>
    <row r="179">
      <c r="A179" s="2" t="inlineStr">
        <is>
          <t>EJ030323.TXT</t>
        </is>
      </c>
      <c r="B179" s="3" t="inlineStr">
        <is>
          <t>004701</t>
        </is>
      </c>
      <c r="C179" s="3" t="inlineStr">
        <is>
          <t>003739</t>
        </is>
      </c>
      <c r="D179" s="4" t="n">
        <v>44984</v>
      </c>
      <c r="E179" s="2" t="inlineStr">
        <is>
          <t>15:37</t>
        </is>
      </c>
      <c r="F179" s="5" t="n">
        <v>548.33</v>
      </c>
      <c r="G179" s="5" t="n"/>
      <c r="H179" s="5" t="n"/>
      <c r="I179" s="5" t="n"/>
      <c r="J179" s="5" t="n">
        <v>109.67</v>
      </c>
      <c r="K179" s="5" t="n"/>
      <c r="L179" s="5" t="n"/>
      <c r="M179" s="5" t="n"/>
      <c r="N179" s="5" t="n"/>
      <c r="O179" s="5" t="n">
        <v>658</v>
      </c>
      <c r="P179" s="5" t="n">
        <v>658</v>
      </c>
      <c r="Q179" s="5" t="n"/>
      <c r="R179" s="5" t="n"/>
    </row>
    <row r="180">
      <c r="A180" s="2" t="inlineStr">
        <is>
          <t>EJ030323.TXT</t>
        </is>
      </c>
      <c r="B180" s="3" t="inlineStr">
        <is>
          <t>004702</t>
        </is>
      </c>
      <c r="C180" s="3" t="inlineStr">
        <is>
          <t>003740</t>
        </is>
      </c>
      <c r="D180" s="4" t="n">
        <v>44985</v>
      </c>
      <c r="E180" s="2" t="inlineStr">
        <is>
          <t>14:53</t>
        </is>
      </c>
      <c r="F180" s="5" t="n">
        <v>307.5</v>
      </c>
      <c r="G180" s="5" t="n"/>
      <c r="H180" s="5" t="n"/>
      <c r="I180" s="5" t="n"/>
      <c r="J180" s="5" t="n">
        <v>61.5</v>
      </c>
      <c r="K180" s="5" t="n"/>
      <c r="L180" s="5" t="n"/>
      <c r="M180" s="5" t="n"/>
      <c r="N180" s="5" t="n"/>
      <c r="O180" s="5" t="n">
        <v>369</v>
      </c>
      <c r="P180" s="5" t="n"/>
      <c r="Q180" s="5" t="n">
        <v>369</v>
      </c>
      <c r="R180" s="5" t="n"/>
    </row>
    <row r="181">
      <c r="A181" s="2" t="inlineStr">
        <is>
          <t>EJ030323.TXT</t>
        </is>
      </c>
      <c r="B181" s="3" t="inlineStr">
        <is>
          <t>004703</t>
        </is>
      </c>
      <c r="C181" s="3" t="inlineStr">
        <is>
          <t>003741</t>
        </is>
      </c>
      <c r="D181" s="4" t="n">
        <v>44985</v>
      </c>
      <c r="E181" s="2" t="inlineStr">
        <is>
          <t>14:56</t>
        </is>
      </c>
      <c r="F181" s="5" t="n">
        <v>307.5</v>
      </c>
      <c r="G181" s="5" t="n"/>
      <c r="H181" s="5" t="n"/>
      <c r="I181" s="5" t="n"/>
      <c r="J181" s="5" t="n">
        <v>61.5</v>
      </c>
      <c r="K181" s="5" t="n"/>
      <c r="L181" s="5" t="n"/>
      <c r="M181" s="5" t="n"/>
      <c r="N181" s="5" t="n"/>
      <c r="O181" s="5" t="n">
        <v>369</v>
      </c>
      <c r="P181" s="5" t="n"/>
      <c r="Q181" s="5" t="n">
        <v>369</v>
      </c>
      <c r="R181" s="5" t="n"/>
    </row>
    <row r="182">
      <c r="A182" s="2" t="inlineStr">
        <is>
          <t>EJ030323.TXT</t>
        </is>
      </c>
      <c r="B182" s="3" t="inlineStr">
        <is>
          <t>004704</t>
        </is>
      </c>
      <c r="C182" s="3" t="inlineStr">
        <is>
          <t>003742</t>
        </is>
      </c>
      <c r="D182" s="4" t="n">
        <v>44986</v>
      </c>
      <c r="E182" s="2" t="inlineStr">
        <is>
          <t>11:35</t>
        </is>
      </c>
      <c r="F182" s="5" t="n">
        <v>65.83</v>
      </c>
      <c r="G182" s="5" t="n"/>
      <c r="H182" s="5" t="n"/>
      <c r="I182" s="5" t="n"/>
      <c r="J182" s="5" t="n">
        <v>13.17</v>
      </c>
      <c r="K182" s="5" t="n"/>
      <c r="L182" s="5" t="n"/>
      <c r="M182" s="5" t="n"/>
      <c r="N182" s="5" t="n"/>
      <c r="O182" s="5" t="n">
        <v>79</v>
      </c>
      <c r="P182" s="5" t="n">
        <v>79</v>
      </c>
      <c r="Q182" s="5" t="n"/>
      <c r="R182" s="5" t="n"/>
    </row>
    <row r="183">
      <c r="A183" s="2" t="inlineStr">
        <is>
          <t>EJ030323.TXT</t>
        </is>
      </c>
      <c r="B183" s="3" t="inlineStr">
        <is>
          <t>004705</t>
        </is>
      </c>
      <c r="C183" s="3" t="inlineStr">
        <is>
          <t>003743</t>
        </is>
      </c>
      <c r="D183" s="4" t="n">
        <v>44987</v>
      </c>
      <c r="E183" s="2" t="inlineStr">
        <is>
          <t>11:43</t>
        </is>
      </c>
      <c r="F183" s="5" t="n">
        <v>1490</v>
      </c>
      <c r="G183" s="5" t="n"/>
      <c r="H183" s="5" t="n"/>
      <c r="I183" s="5" t="n"/>
      <c r="J183" s="5" t="n">
        <v>298</v>
      </c>
      <c r="K183" s="5" t="n"/>
      <c r="L183" s="5" t="n"/>
      <c r="M183" s="5" t="n"/>
      <c r="N183" s="5" t="n"/>
      <c r="O183" s="5" t="n">
        <v>1788</v>
      </c>
      <c r="P183" s="5" t="n">
        <v>1788</v>
      </c>
      <c r="Q183" s="5" t="n"/>
      <c r="R183" s="5" t="n"/>
    </row>
    <row r="184">
      <c r="A184" s="2" t="inlineStr">
        <is>
          <t>EJ030323.TXT</t>
        </is>
      </c>
      <c r="B184" s="3" t="inlineStr">
        <is>
          <t>004706</t>
        </is>
      </c>
      <c r="C184" s="3" t="inlineStr">
        <is>
          <t>003744</t>
        </is>
      </c>
      <c r="D184" s="4" t="n">
        <v>44987</v>
      </c>
      <c r="E184" s="2" t="inlineStr">
        <is>
          <t>11:45</t>
        </is>
      </c>
      <c r="F184" s="5" t="n">
        <v>395</v>
      </c>
      <c r="G184" s="5" t="n"/>
      <c r="H184" s="5" t="n"/>
      <c r="I184" s="5" t="n"/>
      <c r="J184" s="5" t="n">
        <v>79</v>
      </c>
      <c r="K184" s="5" t="n"/>
      <c r="L184" s="5" t="n"/>
      <c r="M184" s="5" t="n"/>
      <c r="N184" s="5" t="n"/>
      <c r="O184" s="5" t="n">
        <v>474</v>
      </c>
      <c r="P184" s="5" t="n"/>
      <c r="Q184" s="5" t="n">
        <v>474</v>
      </c>
      <c r="R184" s="5" t="n"/>
    </row>
    <row r="185">
      <c r="A185" s="2" t="inlineStr">
        <is>
          <t>EJ030323.TXT</t>
        </is>
      </c>
      <c r="B185" s="3" t="inlineStr">
        <is>
          <t>004707</t>
        </is>
      </c>
      <c r="C185" s="3" t="inlineStr">
        <is>
          <t>003745</t>
        </is>
      </c>
      <c r="D185" s="4" t="n">
        <v>44987</v>
      </c>
      <c r="E185" s="2" t="inlineStr">
        <is>
          <t>11:47</t>
        </is>
      </c>
      <c r="F185" s="5" t="n">
        <v>274.17</v>
      </c>
      <c r="G185" s="5" t="n"/>
      <c r="H185" s="5" t="n"/>
      <c r="I185" s="5" t="n"/>
      <c r="J185" s="5" t="n">
        <v>54.83</v>
      </c>
      <c r="K185" s="5" t="n"/>
      <c r="L185" s="5" t="n"/>
      <c r="M185" s="5" t="n"/>
      <c r="N185" s="5" t="n"/>
      <c r="O185" s="5" t="n">
        <v>329</v>
      </c>
      <c r="P185" s="5" t="n"/>
      <c r="Q185" s="5" t="n">
        <v>329</v>
      </c>
      <c r="R185" s="5" t="n"/>
    </row>
    <row r="186">
      <c r="A186" s="2" t="inlineStr">
        <is>
          <t>EJ030323.TXT</t>
        </is>
      </c>
      <c r="B186" s="3" t="inlineStr">
        <is>
          <t>004708</t>
        </is>
      </c>
      <c r="C186" s="3" t="inlineStr">
        <is>
          <t>003746</t>
        </is>
      </c>
      <c r="D186" s="4" t="n">
        <v>44987</v>
      </c>
      <c r="E186" s="2" t="inlineStr">
        <is>
          <t>12:22</t>
        </is>
      </c>
      <c r="F186" s="5" t="n">
        <v>73.33</v>
      </c>
      <c r="G186" s="5" t="n"/>
      <c r="H186" s="5" t="n"/>
      <c r="I186" s="5" t="n"/>
      <c r="J186" s="5" t="n">
        <v>14.67</v>
      </c>
      <c r="K186" s="5" t="n"/>
      <c r="L186" s="5" t="n"/>
      <c r="M186" s="5" t="n"/>
      <c r="N186" s="5" t="n"/>
      <c r="O186" s="5" t="n">
        <v>88</v>
      </c>
      <c r="P186" s="5" t="n">
        <v>88</v>
      </c>
      <c r="Q186" s="5" t="n"/>
      <c r="R186" s="5" t="n"/>
    </row>
    <row r="187">
      <c r="A187" s="2" t="inlineStr">
        <is>
          <t>EJ030323.TXT</t>
        </is>
      </c>
      <c r="B187" s="3" t="inlineStr">
        <is>
          <t>004709</t>
        </is>
      </c>
      <c r="C187" s="3" t="inlineStr">
        <is>
          <t>003747</t>
        </is>
      </c>
      <c r="D187" s="4" t="n">
        <v>44987</v>
      </c>
      <c r="E187" s="2" t="inlineStr">
        <is>
          <t>13:02</t>
        </is>
      </c>
      <c r="F187" s="5" t="n">
        <v>1117.5</v>
      </c>
      <c r="G187" s="5" t="n"/>
      <c r="H187" s="5" t="n"/>
      <c r="I187" s="5" t="n"/>
      <c r="J187" s="5" t="n">
        <v>223.5</v>
      </c>
      <c r="K187" s="5" t="n"/>
      <c r="L187" s="5" t="n"/>
      <c r="M187" s="5" t="n"/>
      <c r="N187" s="5" t="n"/>
      <c r="O187" s="5" t="n">
        <v>1341</v>
      </c>
      <c r="P187" s="5" t="n">
        <v>1341</v>
      </c>
      <c r="Q187" s="5" t="n"/>
      <c r="R187" s="5" t="n"/>
    </row>
    <row r="188">
      <c r="A188" s="2" t="inlineStr">
        <is>
          <t>EJ030323.TXT</t>
        </is>
      </c>
      <c r="B188" s="3" t="inlineStr">
        <is>
          <t>004710</t>
        </is>
      </c>
      <c r="C188" s="3" t="inlineStr">
        <is>
          <t>003748</t>
        </is>
      </c>
      <c r="D188" s="4" t="n">
        <v>44987</v>
      </c>
      <c r="E188" s="2" t="inlineStr">
        <is>
          <t>13:08</t>
        </is>
      </c>
      <c r="F188" s="5" t="n">
        <v>1070.83</v>
      </c>
      <c r="G188" s="5" t="n"/>
      <c r="H188" s="5" t="n"/>
      <c r="I188" s="5" t="n"/>
      <c r="J188" s="5" t="n">
        <v>214.17</v>
      </c>
      <c r="K188" s="5" t="n"/>
      <c r="L188" s="5" t="n"/>
      <c r="M188" s="5" t="n"/>
      <c r="N188" s="5" t="n"/>
      <c r="O188" s="5" t="n">
        <v>1285</v>
      </c>
      <c r="P188" s="5" t="n">
        <v>1285</v>
      </c>
      <c r="Q188" s="5" t="n"/>
      <c r="R188" s="5" t="n"/>
    </row>
    <row r="189">
      <c r="A189" s="2" t="inlineStr">
        <is>
          <t>EJ030323.TXT</t>
        </is>
      </c>
      <c r="B189" s="3" t="inlineStr">
        <is>
          <t>004711</t>
        </is>
      </c>
      <c r="C189" s="3" t="inlineStr">
        <is>
          <t>003749</t>
        </is>
      </c>
      <c r="D189" s="4" t="n">
        <v>44987</v>
      </c>
      <c r="E189" s="2" t="inlineStr">
        <is>
          <t>13:12</t>
        </is>
      </c>
      <c r="F189" s="5" t="n">
        <v>1096.67</v>
      </c>
      <c r="G189" s="5" t="n"/>
      <c r="H189" s="5" t="n"/>
      <c r="I189" s="5" t="n"/>
      <c r="J189" s="5" t="n">
        <v>219.33</v>
      </c>
      <c r="K189" s="5" t="n"/>
      <c r="L189" s="5" t="n"/>
      <c r="M189" s="5" t="n"/>
      <c r="N189" s="5" t="n"/>
      <c r="O189" s="5" t="n">
        <v>1316</v>
      </c>
      <c r="P189" s="5" t="n">
        <v>1316</v>
      </c>
      <c r="Q189" s="5" t="n"/>
      <c r="R189" s="5" t="n"/>
    </row>
    <row r="190">
      <c r="A190" s="2" t="inlineStr">
        <is>
          <t>EJ030323.TXT</t>
        </is>
      </c>
      <c r="B190" s="3" t="inlineStr">
        <is>
          <t>004712</t>
        </is>
      </c>
      <c r="C190" s="3" t="inlineStr">
        <is>
          <t>003750</t>
        </is>
      </c>
      <c r="D190" s="4" t="n">
        <v>44987</v>
      </c>
      <c r="E190" s="2" t="inlineStr">
        <is>
          <t>13:13</t>
        </is>
      </c>
      <c r="F190" s="5" t="n">
        <v>1370.83</v>
      </c>
      <c r="G190" s="5" t="n"/>
      <c r="H190" s="5" t="n"/>
      <c r="I190" s="5" t="n"/>
      <c r="J190" s="5" t="n">
        <v>274.17</v>
      </c>
      <c r="K190" s="5" t="n"/>
      <c r="L190" s="5" t="n"/>
      <c r="M190" s="5" t="n"/>
      <c r="N190" s="5" t="n"/>
      <c r="O190" s="5" t="n">
        <v>1645</v>
      </c>
      <c r="P190" s="5" t="n">
        <v>1645</v>
      </c>
      <c r="Q190" s="5" t="n"/>
      <c r="R190" s="5" t="n"/>
    </row>
    <row r="191">
      <c r="A191" s="2" t="inlineStr">
        <is>
          <t>EJ030323.TXT</t>
        </is>
      </c>
      <c r="B191" s="3" t="inlineStr">
        <is>
          <t>004713</t>
        </is>
      </c>
      <c r="C191" s="3" t="inlineStr">
        <is>
          <t>003751</t>
        </is>
      </c>
      <c r="D191" s="4" t="n">
        <v>44987</v>
      </c>
      <c r="E191" s="2" t="inlineStr">
        <is>
          <t>15:23</t>
        </is>
      </c>
      <c r="F191" s="5" t="n">
        <v>196.67</v>
      </c>
      <c r="G191" s="5" t="n"/>
      <c r="H191" s="5" t="n"/>
      <c r="I191" s="5" t="n"/>
      <c r="J191" s="5" t="n">
        <v>39.33</v>
      </c>
      <c r="K191" s="5" t="n"/>
      <c r="L191" s="5" t="n"/>
      <c r="M191" s="5" t="n"/>
      <c r="N191" s="5" t="n"/>
      <c r="O191" s="5" t="n">
        <v>236</v>
      </c>
      <c r="P191" s="5" t="n"/>
      <c r="Q191" s="5" t="n">
        <v>236</v>
      </c>
      <c r="R191" s="5" t="n"/>
    </row>
    <row r="192">
      <c r="A192" s="2" t="inlineStr">
        <is>
          <t>EJ030323.TXT</t>
        </is>
      </c>
      <c r="B192" s="3" t="inlineStr">
        <is>
          <t>004714</t>
        </is>
      </c>
      <c r="C192" s="3" t="inlineStr">
        <is>
          <t>003752</t>
        </is>
      </c>
      <c r="D192" s="4" t="n">
        <v>44987</v>
      </c>
      <c r="E192" s="2" t="inlineStr">
        <is>
          <t>18:43</t>
        </is>
      </c>
      <c r="F192" s="5" t="n">
        <v>73.33</v>
      </c>
      <c r="G192" s="5" t="n"/>
      <c r="H192" s="5" t="n"/>
      <c r="I192" s="5" t="n"/>
      <c r="J192" s="5" t="n">
        <v>14.67</v>
      </c>
      <c r="K192" s="5" t="n"/>
      <c r="L192" s="5" t="n"/>
      <c r="M192" s="5" t="n"/>
      <c r="N192" s="5" t="n"/>
      <c r="O192" s="5" t="n">
        <v>88</v>
      </c>
      <c r="P192" s="5" t="n">
        <v>88</v>
      </c>
      <c r="Q192" s="5" t="n"/>
      <c r="R192" s="5" t="n"/>
    </row>
    <row r="193">
      <c r="A193" s="2" t="inlineStr">
        <is>
          <t>EJ030323.TXT</t>
        </is>
      </c>
      <c r="B193" s="3" t="inlineStr">
        <is>
          <t>004715</t>
        </is>
      </c>
      <c r="C193" s="3" t="inlineStr">
        <is>
          <t>003753</t>
        </is>
      </c>
      <c r="D193" s="4" t="n">
        <v>44988</v>
      </c>
      <c r="E193" s="2" t="inlineStr">
        <is>
          <t>12:41</t>
        </is>
      </c>
      <c r="F193" s="5" t="n">
        <v>582.5</v>
      </c>
      <c r="G193" s="5" t="n"/>
      <c r="H193" s="5" t="n"/>
      <c r="I193" s="5" t="n"/>
      <c r="J193" s="5" t="n">
        <v>116.5</v>
      </c>
      <c r="K193" s="5" t="n"/>
      <c r="L193" s="5" t="n"/>
      <c r="M193" s="5" t="n"/>
      <c r="N193" s="5" t="n"/>
      <c r="O193" s="5" t="n">
        <v>699</v>
      </c>
      <c r="P193" s="5" t="n"/>
      <c r="Q193" s="5" t="n">
        <v>699</v>
      </c>
      <c r="R193" s="5" t="n"/>
    </row>
    <row r="194">
      <c r="A194" s="2" t="inlineStr">
        <is>
          <t>EJ030323.TXT</t>
        </is>
      </c>
      <c r="B194" s="3" t="inlineStr">
        <is>
          <t>004716</t>
        </is>
      </c>
      <c r="C194" s="3" t="inlineStr">
        <is>
          <t>003754</t>
        </is>
      </c>
      <c r="D194" s="4" t="n">
        <v>44988</v>
      </c>
      <c r="E194" s="2" t="inlineStr">
        <is>
          <t>12:41</t>
        </is>
      </c>
      <c r="F194" s="5" t="n">
        <v>582.5</v>
      </c>
      <c r="G194" s="5" t="n"/>
      <c r="H194" s="5" t="n"/>
      <c r="I194" s="5" t="n"/>
      <c r="J194" s="5" t="n">
        <v>116.5</v>
      </c>
      <c r="K194" s="5" t="n"/>
      <c r="L194" s="5" t="n"/>
      <c r="M194" s="5" t="n"/>
      <c r="N194" s="5" t="n"/>
      <c r="O194" s="5" t="n">
        <v>699</v>
      </c>
      <c r="P194" s="5" t="n"/>
      <c r="Q194" s="5" t="n">
        <v>699</v>
      </c>
      <c r="R194" s="5" t="n"/>
    </row>
    <row r="195">
      <c r="A195" s="2" t="inlineStr">
        <is>
          <t>EJ010423.TXT</t>
        </is>
      </c>
      <c r="B195" s="3" t="inlineStr">
        <is>
          <t>004723</t>
        </is>
      </c>
      <c r="C195" s="3" t="inlineStr">
        <is>
          <t>003755</t>
        </is>
      </c>
      <c r="D195" s="4" t="n">
        <v>44991</v>
      </c>
      <c r="E195" s="2" t="inlineStr">
        <is>
          <t>11:08</t>
        </is>
      </c>
      <c r="F195" s="5" t="n">
        <v>98.33</v>
      </c>
      <c r="G195" s="5" t="n"/>
      <c r="H195" s="5" t="n"/>
      <c r="I195" s="5" t="n"/>
      <c r="J195" s="5" t="n">
        <v>19.67</v>
      </c>
      <c r="K195" s="5" t="n"/>
      <c r="L195" s="5" t="n"/>
      <c r="M195" s="5" t="n"/>
      <c r="N195" s="5" t="n"/>
      <c r="O195" s="5" t="n">
        <v>118</v>
      </c>
      <c r="P195" s="5" t="n"/>
      <c r="Q195" s="5" t="n">
        <v>118</v>
      </c>
      <c r="R195" s="5" t="n"/>
    </row>
    <row r="196">
      <c r="A196" s="2" t="inlineStr">
        <is>
          <t>EJ010423.TXT</t>
        </is>
      </c>
      <c r="B196" s="3" t="inlineStr">
        <is>
          <t>004724</t>
        </is>
      </c>
      <c r="C196" s="3" t="inlineStr">
        <is>
          <t>003756</t>
        </is>
      </c>
      <c r="D196" s="4" t="n">
        <v>44991</v>
      </c>
      <c r="E196" s="2" t="inlineStr">
        <is>
          <t>18:30</t>
        </is>
      </c>
      <c r="F196" s="5" t="n">
        <v>822.5</v>
      </c>
      <c r="G196" s="5" t="n"/>
      <c r="H196" s="5" t="n"/>
      <c r="I196" s="5" t="n"/>
      <c r="J196" s="5" t="n">
        <v>164.5</v>
      </c>
      <c r="K196" s="5" t="n"/>
      <c r="L196" s="5" t="n"/>
      <c r="M196" s="5" t="n"/>
      <c r="N196" s="5" t="n"/>
      <c r="O196" s="5" t="n">
        <v>987</v>
      </c>
      <c r="P196" s="5" t="n"/>
      <c r="Q196" s="5" t="n"/>
      <c r="R196" s="5" t="n">
        <v>987</v>
      </c>
    </row>
    <row r="197">
      <c r="A197" s="2" t="inlineStr">
        <is>
          <t>EJ010423.TXT</t>
        </is>
      </c>
      <c r="B197" s="3" t="inlineStr">
        <is>
          <t>004725</t>
        </is>
      </c>
      <c r="C197" s="3" t="inlineStr">
        <is>
          <t>003757</t>
        </is>
      </c>
      <c r="D197" s="4" t="n">
        <v>44992</v>
      </c>
      <c r="E197" s="2" t="inlineStr">
        <is>
          <t>12:32</t>
        </is>
      </c>
      <c r="F197" s="5" t="n">
        <v>548.33</v>
      </c>
      <c r="G197" s="5" t="n"/>
      <c r="H197" s="5" t="n"/>
      <c r="I197" s="5" t="n"/>
      <c r="J197" s="5" t="n">
        <v>109.67</v>
      </c>
      <c r="K197" s="5" t="n"/>
      <c r="L197" s="5" t="n"/>
      <c r="M197" s="5" t="n"/>
      <c r="N197" s="5" t="n"/>
      <c r="O197" s="5" t="n">
        <v>658</v>
      </c>
      <c r="P197" s="5" t="n"/>
      <c r="Q197" s="5" t="n">
        <v>658</v>
      </c>
      <c r="R197" s="5" t="n"/>
    </row>
    <row r="198">
      <c r="A198" s="2" t="inlineStr">
        <is>
          <t>EJ010423.TXT</t>
        </is>
      </c>
      <c r="B198" s="3" t="inlineStr">
        <is>
          <t>004726</t>
        </is>
      </c>
      <c r="C198" s="3" t="inlineStr">
        <is>
          <t>003758</t>
        </is>
      </c>
      <c r="D198" s="4" t="n">
        <v>44992</v>
      </c>
      <c r="E198" s="2" t="inlineStr">
        <is>
          <t>14:59</t>
        </is>
      </c>
      <c r="F198" s="5" t="n">
        <v>822.5</v>
      </c>
      <c r="G198" s="5" t="n"/>
      <c r="H198" s="5" t="n"/>
      <c r="I198" s="5" t="n"/>
      <c r="J198" s="5" t="n">
        <v>164.5</v>
      </c>
      <c r="K198" s="5" t="n"/>
      <c r="L198" s="5" t="n"/>
      <c r="M198" s="5" t="n"/>
      <c r="N198" s="5" t="n"/>
      <c r="O198" s="5" t="n">
        <v>987</v>
      </c>
      <c r="P198" s="5" t="n"/>
      <c r="Q198" s="5" t="n">
        <v>987</v>
      </c>
      <c r="R198" s="5" t="n"/>
    </row>
    <row r="199">
      <c r="A199" s="2" t="inlineStr">
        <is>
          <t>EJ010423.TXT</t>
        </is>
      </c>
      <c r="B199" s="3" t="inlineStr">
        <is>
          <t>004727</t>
        </is>
      </c>
      <c r="C199" s="3" t="inlineStr">
        <is>
          <t>003759</t>
        </is>
      </c>
      <c r="D199" s="4" t="n">
        <v>44992</v>
      </c>
      <c r="E199" s="2" t="inlineStr">
        <is>
          <t>14:59</t>
        </is>
      </c>
      <c r="F199" s="5" t="n">
        <v>822.5</v>
      </c>
      <c r="G199" s="5" t="n"/>
      <c r="H199" s="5" t="n"/>
      <c r="I199" s="5" t="n"/>
      <c r="J199" s="5" t="n">
        <v>164.5</v>
      </c>
      <c r="K199" s="5" t="n"/>
      <c r="L199" s="5" t="n"/>
      <c r="M199" s="5" t="n"/>
      <c r="N199" s="5" t="n"/>
      <c r="O199" s="5" t="n">
        <v>987</v>
      </c>
      <c r="P199" s="5" t="n"/>
      <c r="Q199" s="5" t="n">
        <v>987</v>
      </c>
      <c r="R199" s="5" t="n"/>
    </row>
    <row r="200">
      <c r="A200" s="2" t="inlineStr">
        <is>
          <t>EJ010423.TXT</t>
        </is>
      </c>
      <c r="B200" s="3" t="inlineStr">
        <is>
          <t>004728</t>
        </is>
      </c>
      <c r="C200" s="3" t="inlineStr">
        <is>
          <t>003760</t>
        </is>
      </c>
      <c r="D200" s="4" t="n">
        <v>44993</v>
      </c>
      <c r="E200" s="2" t="inlineStr">
        <is>
          <t>11:12</t>
        </is>
      </c>
      <c r="F200" s="5" t="n">
        <v>208.33</v>
      </c>
      <c r="G200" s="5" t="n"/>
      <c r="H200" s="5" t="n"/>
      <c r="I200" s="5" t="n"/>
      <c r="J200" s="5" t="n">
        <v>41.67</v>
      </c>
      <c r="K200" s="5" t="n"/>
      <c r="L200" s="5" t="n"/>
      <c r="M200" s="5" t="n"/>
      <c r="N200" s="5" t="n"/>
      <c r="O200" s="5" t="n">
        <v>250</v>
      </c>
      <c r="P200" s="5" t="n"/>
      <c r="Q200" s="5" t="n">
        <v>250</v>
      </c>
      <c r="R200" s="5" t="n"/>
    </row>
    <row r="201">
      <c r="A201" s="2" t="inlineStr">
        <is>
          <t>EJ010423.TXT</t>
        </is>
      </c>
      <c r="B201" s="3" t="inlineStr">
        <is>
          <t>004729</t>
        </is>
      </c>
      <c r="C201" s="3" t="inlineStr">
        <is>
          <t>003761</t>
        </is>
      </c>
      <c r="D201" s="4" t="n">
        <v>44993</v>
      </c>
      <c r="E201" s="2" t="inlineStr">
        <is>
          <t>12:20</t>
        </is>
      </c>
      <c r="F201" s="5" t="n">
        <v>763.33</v>
      </c>
      <c r="G201" s="5" t="n"/>
      <c r="H201" s="5" t="n"/>
      <c r="I201" s="5" t="n"/>
      <c r="J201" s="5" t="n">
        <v>152.67</v>
      </c>
      <c r="K201" s="5" t="n"/>
      <c r="L201" s="5" t="n"/>
      <c r="M201" s="5" t="n"/>
      <c r="N201" s="5" t="n"/>
      <c r="O201" s="5" t="n">
        <v>916</v>
      </c>
      <c r="P201" s="5" t="n"/>
      <c r="Q201" s="5" t="n">
        <v>916</v>
      </c>
      <c r="R201" s="5" t="n"/>
    </row>
    <row r="202">
      <c r="A202" s="2" t="inlineStr">
        <is>
          <t>EJ010423.TXT</t>
        </is>
      </c>
      <c r="B202" s="3" t="inlineStr">
        <is>
          <t>004730</t>
        </is>
      </c>
      <c r="C202" s="3" t="inlineStr">
        <is>
          <t>003762</t>
        </is>
      </c>
      <c r="D202" s="4" t="n">
        <v>44998</v>
      </c>
      <c r="E202" s="2" t="inlineStr">
        <is>
          <t>14:55</t>
        </is>
      </c>
      <c r="F202" s="5" t="n">
        <v>307.5</v>
      </c>
      <c r="G202" s="5" t="n"/>
      <c r="H202" s="5" t="n"/>
      <c r="I202" s="5" t="n"/>
      <c r="J202" s="5" t="n">
        <v>61.5</v>
      </c>
      <c r="K202" s="5" t="n"/>
      <c r="L202" s="5" t="n"/>
      <c r="M202" s="5" t="n"/>
      <c r="N202" s="5" t="n"/>
      <c r="O202" s="5" t="n">
        <v>369</v>
      </c>
      <c r="P202" s="5" t="n"/>
      <c r="Q202" s="5" t="n">
        <v>369</v>
      </c>
      <c r="R202" s="5" t="n"/>
    </row>
    <row r="203">
      <c r="A203" s="2" t="inlineStr">
        <is>
          <t>EJ010423.TXT</t>
        </is>
      </c>
      <c r="B203" s="3" t="inlineStr">
        <is>
          <t>004731</t>
        </is>
      </c>
      <c r="C203" s="3" t="inlineStr">
        <is>
          <t>003763</t>
        </is>
      </c>
      <c r="D203" s="4" t="n">
        <v>44999</v>
      </c>
      <c r="E203" s="2" t="inlineStr">
        <is>
          <t>15:07</t>
        </is>
      </c>
      <c r="F203" s="5" t="n">
        <v>797.5</v>
      </c>
      <c r="G203" s="5" t="n"/>
      <c r="H203" s="5" t="n"/>
      <c r="I203" s="5" t="n"/>
      <c r="J203" s="5" t="n">
        <v>159.5</v>
      </c>
      <c r="K203" s="5" t="n"/>
      <c r="L203" s="5" t="n"/>
      <c r="M203" s="5" t="n"/>
      <c r="N203" s="5" t="n"/>
      <c r="O203" s="5" t="n">
        <v>957</v>
      </c>
      <c r="P203" s="5" t="n"/>
      <c r="Q203" s="5" t="n">
        <v>957</v>
      </c>
      <c r="R203" s="5" t="n"/>
    </row>
    <row r="204">
      <c r="A204" s="2" t="inlineStr">
        <is>
          <t>EJ010423.TXT</t>
        </is>
      </c>
      <c r="B204" s="3" t="inlineStr">
        <is>
          <t>004732</t>
        </is>
      </c>
      <c r="C204" s="3" t="inlineStr">
        <is>
          <t>003764</t>
        </is>
      </c>
      <c r="D204" s="4" t="n">
        <v>44999</v>
      </c>
      <c r="E204" s="2" t="inlineStr">
        <is>
          <t>16:56</t>
        </is>
      </c>
      <c r="F204" s="5" t="n">
        <v>797.5</v>
      </c>
      <c r="G204" s="5" t="n"/>
      <c r="H204" s="5" t="n"/>
      <c r="I204" s="5" t="n"/>
      <c r="J204" s="5" t="n">
        <v>159.5</v>
      </c>
      <c r="K204" s="5" t="n"/>
      <c r="L204" s="5" t="n"/>
      <c r="M204" s="5" t="n"/>
      <c r="N204" s="5" t="n"/>
      <c r="O204" s="5" t="n">
        <v>957</v>
      </c>
      <c r="P204" s="5" t="n"/>
      <c r="Q204" s="5" t="n">
        <v>957</v>
      </c>
      <c r="R204" s="5" t="n"/>
    </row>
    <row r="205">
      <c r="A205" s="2" t="inlineStr">
        <is>
          <t>EJ010423.TXT</t>
        </is>
      </c>
      <c r="B205" s="3" t="inlineStr">
        <is>
          <t>004733</t>
        </is>
      </c>
      <c r="C205" s="3" t="inlineStr">
        <is>
          <t>003765</t>
        </is>
      </c>
      <c r="D205" s="4" t="n">
        <v>44999</v>
      </c>
      <c r="E205" s="2" t="inlineStr">
        <is>
          <t>18:58</t>
        </is>
      </c>
      <c r="F205" s="5" t="n">
        <v>797.5</v>
      </c>
      <c r="G205" s="5" t="n"/>
      <c r="H205" s="5" t="n"/>
      <c r="I205" s="5" t="n"/>
      <c r="J205" s="5" t="n">
        <v>159.5</v>
      </c>
      <c r="K205" s="5" t="n"/>
      <c r="L205" s="5" t="n"/>
      <c r="M205" s="5" t="n"/>
      <c r="N205" s="5" t="n"/>
      <c r="O205" s="5" t="n">
        <v>957</v>
      </c>
      <c r="P205" s="5" t="n"/>
      <c r="Q205" s="5" t="n">
        <v>957</v>
      </c>
      <c r="R205" s="5" t="n"/>
    </row>
    <row r="206">
      <c r="A206" s="2" t="inlineStr">
        <is>
          <t>EJ010423.TXT</t>
        </is>
      </c>
      <c r="B206" s="3" t="inlineStr">
        <is>
          <t>004734</t>
        </is>
      </c>
      <c r="C206" s="3" t="inlineStr">
        <is>
          <t>003766</t>
        </is>
      </c>
      <c r="D206" s="4" t="n">
        <v>44999</v>
      </c>
      <c r="E206" s="2" t="inlineStr">
        <is>
          <t>18:59</t>
        </is>
      </c>
      <c r="F206" s="5" t="n">
        <v>797.5</v>
      </c>
      <c r="G206" s="5" t="n"/>
      <c r="H206" s="5" t="n"/>
      <c r="I206" s="5" t="n"/>
      <c r="J206" s="5" t="n">
        <v>159.5</v>
      </c>
      <c r="K206" s="5" t="n"/>
      <c r="L206" s="5" t="n"/>
      <c r="M206" s="5" t="n"/>
      <c r="N206" s="5" t="n"/>
      <c r="O206" s="5" t="n">
        <v>957</v>
      </c>
      <c r="P206" s="5" t="n"/>
      <c r="Q206" s="5" t="n">
        <v>957</v>
      </c>
      <c r="R206" s="5" t="n"/>
    </row>
    <row r="207">
      <c r="A207" s="2" t="inlineStr">
        <is>
          <t>EJ010423.TXT</t>
        </is>
      </c>
      <c r="B207" s="3" t="inlineStr">
        <is>
          <t>004735</t>
        </is>
      </c>
      <c r="C207" s="3" t="inlineStr">
        <is>
          <t>003767</t>
        </is>
      </c>
      <c r="D207" s="4" t="n">
        <v>45000</v>
      </c>
      <c r="E207" s="2" t="inlineStr">
        <is>
          <t>17:19</t>
        </is>
      </c>
      <c r="F207" s="5" t="n">
        <v>797.5</v>
      </c>
      <c r="G207" s="5" t="n"/>
      <c r="H207" s="5" t="n"/>
      <c r="I207" s="5" t="n"/>
      <c r="J207" s="5" t="n">
        <v>159.5</v>
      </c>
      <c r="K207" s="5" t="n"/>
      <c r="L207" s="5" t="n"/>
      <c r="M207" s="5" t="n"/>
      <c r="N207" s="5" t="n"/>
      <c r="O207" s="5" t="n">
        <v>957</v>
      </c>
      <c r="P207" s="5" t="n"/>
      <c r="Q207" s="5" t="n">
        <v>957</v>
      </c>
      <c r="R207" s="5" t="n"/>
    </row>
    <row r="208">
      <c r="A208" s="2" t="inlineStr">
        <is>
          <t>EJ010423.TXT</t>
        </is>
      </c>
      <c r="B208" s="3" t="inlineStr">
        <is>
          <t>004736</t>
        </is>
      </c>
      <c r="C208" s="3" t="inlineStr">
        <is>
          <t>003768</t>
        </is>
      </c>
      <c r="D208" s="4" t="n">
        <v>45000</v>
      </c>
      <c r="E208" s="2" t="inlineStr">
        <is>
          <t>17:20</t>
        </is>
      </c>
      <c r="F208" s="5" t="n">
        <v>797.5</v>
      </c>
      <c r="G208" s="5" t="n"/>
      <c r="H208" s="5" t="n"/>
      <c r="I208" s="5" t="n"/>
      <c r="J208" s="5" t="n">
        <v>159.5</v>
      </c>
      <c r="K208" s="5" t="n"/>
      <c r="L208" s="5" t="n"/>
      <c r="M208" s="5" t="n"/>
      <c r="N208" s="5" t="n"/>
      <c r="O208" s="5" t="n">
        <v>957</v>
      </c>
      <c r="P208" s="5" t="n"/>
      <c r="Q208" s="5" t="n">
        <v>957</v>
      </c>
      <c r="R208" s="5" t="n"/>
    </row>
    <row r="209">
      <c r="A209" s="2" t="inlineStr">
        <is>
          <t>EJ010423.TXT</t>
        </is>
      </c>
      <c r="B209" s="3" t="inlineStr">
        <is>
          <t>004737</t>
        </is>
      </c>
      <c r="C209" s="3" t="inlineStr">
        <is>
          <t>003769</t>
        </is>
      </c>
      <c r="D209" s="4" t="n">
        <v>45000</v>
      </c>
      <c r="E209" s="2" t="inlineStr">
        <is>
          <t>18:30</t>
        </is>
      </c>
      <c r="F209" s="5" t="n">
        <v>548.33</v>
      </c>
      <c r="G209" s="5" t="n"/>
      <c r="H209" s="5" t="n"/>
      <c r="I209" s="5" t="n"/>
      <c r="J209" s="5" t="n">
        <v>109.67</v>
      </c>
      <c r="K209" s="5" t="n"/>
      <c r="L209" s="5" t="n"/>
      <c r="M209" s="5" t="n"/>
      <c r="N209" s="5" t="n"/>
      <c r="O209" s="5" t="n">
        <v>658</v>
      </c>
      <c r="P209" s="5" t="n"/>
      <c r="Q209" s="5" t="n">
        <v>658</v>
      </c>
      <c r="R209" s="5" t="n"/>
    </row>
    <row r="210">
      <c r="A210" s="2" t="inlineStr">
        <is>
          <t>EJ010423.TXT</t>
        </is>
      </c>
      <c r="B210" s="3" t="inlineStr">
        <is>
          <t>004738</t>
        </is>
      </c>
      <c r="C210" s="3" t="inlineStr">
        <is>
          <t>003770</t>
        </is>
      </c>
      <c r="D210" s="4" t="n">
        <v>45001</v>
      </c>
      <c r="E210" s="2" t="inlineStr">
        <is>
          <t>12:02</t>
        </is>
      </c>
      <c r="F210" s="5" t="n">
        <v>531.67</v>
      </c>
      <c r="G210" s="5" t="n"/>
      <c r="H210" s="5" t="n"/>
      <c r="I210" s="5" t="n"/>
      <c r="J210" s="5" t="n">
        <v>106.33</v>
      </c>
      <c r="K210" s="5" t="n"/>
      <c r="L210" s="5" t="n"/>
      <c r="M210" s="5" t="n"/>
      <c r="N210" s="5" t="n"/>
      <c r="O210" s="5" t="n">
        <v>638</v>
      </c>
      <c r="P210" s="5" t="n"/>
      <c r="Q210" s="5" t="n">
        <v>638</v>
      </c>
      <c r="R210" s="5" t="n"/>
    </row>
    <row r="211">
      <c r="A211" s="2" t="inlineStr">
        <is>
          <t>EJ010423.TXT</t>
        </is>
      </c>
      <c r="B211" s="3" t="inlineStr">
        <is>
          <t>004739</t>
        </is>
      </c>
      <c r="C211" s="3" t="inlineStr">
        <is>
          <t>003771</t>
        </is>
      </c>
      <c r="D211" s="4" t="n">
        <v>45001</v>
      </c>
      <c r="E211" s="2" t="inlineStr">
        <is>
          <t>18:12</t>
        </is>
      </c>
      <c r="F211" s="5" t="n">
        <v>274.17</v>
      </c>
      <c r="G211" s="5" t="n"/>
      <c r="H211" s="5" t="n"/>
      <c r="I211" s="5" t="n"/>
      <c r="J211" s="5" t="n">
        <v>54.83</v>
      </c>
      <c r="K211" s="5" t="n"/>
      <c r="L211" s="5" t="n"/>
      <c r="M211" s="5" t="n"/>
      <c r="N211" s="5" t="n"/>
      <c r="O211" s="5" t="n">
        <v>329</v>
      </c>
      <c r="P211" s="5" t="n">
        <v>329</v>
      </c>
      <c r="Q211" s="5" t="n"/>
      <c r="R211" s="5" t="n"/>
    </row>
    <row r="212">
      <c r="A212" s="2" t="inlineStr">
        <is>
          <t>EJ010423.TXT</t>
        </is>
      </c>
      <c r="B212" s="3" t="inlineStr">
        <is>
          <t>004740</t>
        </is>
      </c>
      <c r="C212" s="3" t="inlineStr">
        <is>
          <t>003772</t>
        </is>
      </c>
      <c r="D212" s="4" t="n">
        <v>45002</v>
      </c>
      <c r="E212" s="2" t="inlineStr">
        <is>
          <t>11:42</t>
        </is>
      </c>
      <c r="F212" s="5" t="n">
        <v>190.83</v>
      </c>
      <c r="G212" s="5" t="n"/>
      <c r="H212" s="5" t="n"/>
      <c r="I212" s="5" t="n"/>
      <c r="J212" s="5" t="n">
        <v>38.17</v>
      </c>
      <c r="K212" s="5" t="n"/>
      <c r="L212" s="5" t="n"/>
      <c r="M212" s="5" t="n"/>
      <c r="N212" s="5" t="n"/>
      <c r="O212" s="5" t="n">
        <v>229</v>
      </c>
      <c r="P212" s="5" t="n"/>
      <c r="Q212" s="5" t="n">
        <v>229</v>
      </c>
      <c r="R212" s="5" t="n"/>
    </row>
    <row r="213">
      <c r="A213" s="2" t="inlineStr">
        <is>
          <t>EJ010423.TXT</t>
        </is>
      </c>
      <c r="B213" s="3" t="inlineStr">
        <is>
          <t>004741</t>
        </is>
      </c>
      <c r="C213" s="3" t="inlineStr">
        <is>
          <t>003773</t>
        </is>
      </c>
      <c r="D213" s="4" t="n">
        <v>45003</v>
      </c>
      <c r="E213" s="2" t="inlineStr">
        <is>
          <t>15:04</t>
        </is>
      </c>
      <c r="F213" s="5" t="n">
        <v>822.5</v>
      </c>
      <c r="G213" s="5" t="n"/>
      <c r="H213" s="5" t="n"/>
      <c r="I213" s="5" t="n"/>
      <c r="J213" s="5" t="n">
        <v>164.5</v>
      </c>
      <c r="K213" s="5" t="n"/>
      <c r="L213" s="5" t="n"/>
      <c r="M213" s="5" t="n"/>
      <c r="N213" s="5" t="n"/>
      <c r="O213" s="5" t="n">
        <v>987</v>
      </c>
      <c r="P213" s="5" t="n"/>
      <c r="Q213" s="5" t="n">
        <v>987</v>
      </c>
      <c r="R213" s="5" t="n"/>
    </row>
    <row r="214">
      <c r="A214" s="2" t="inlineStr">
        <is>
          <t>EJ010423.TXT</t>
        </is>
      </c>
      <c r="B214" s="3" t="inlineStr">
        <is>
          <t>004742</t>
        </is>
      </c>
      <c r="C214" s="3" t="inlineStr">
        <is>
          <t>003774</t>
        </is>
      </c>
      <c r="D214" s="4" t="n">
        <v>45003</v>
      </c>
      <c r="E214" s="2" t="inlineStr">
        <is>
          <t>15:04</t>
        </is>
      </c>
      <c r="F214" s="5" t="n">
        <v>672.5</v>
      </c>
      <c r="G214" s="5" t="n"/>
      <c r="H214" s="5" t="n"/>
      <c r="I214" s="5" t="n"/>
      <c r="J214" s="5" t="n">
        <v>134.5</v>
      </c>
      <c r="K214" s="5" t="n"/>
      <c r="L214" s="5" t="n"/>
      <c r="M214" s="5" t="n"/>
      <c r="N214" s="5" t="n"/>
      <c r="O214" s="5" t="n">
        <v>807</v>
      </c>
      <c r="P214" s="5" t="n"/>
      <c r="Q214" s="5" t="n">
        <v>807</v>
      </c>
      <c r="R214" s="5" t="n"/>
    </row>
    <row r="215">
      <c r="A215" s="2" t="inlineStr">
        <is>
          <t>EJ010423.TXT</t>
        </is>
      </c>
      <c r="B215" s="3" t="inlineStr">
        <is>
          <t>004743</t>
        </is>
      </c>
      <c r="C215" s="3" t="inlineStr">
        <is>
          <t>003775</t>
        </is>
      </c>
      <c r="D215" s="4" t="n">
        <v>45003</v>
      </c>
      <c r="E215" s="2" t="inlineStr">
        <is>
          <t>15:05</t>
        </is>
      </c>
      <c r="F215" s="5" t="n">
        <v>747.5</v>
      </c>
      <c r="G215" s="5" t="n"/>
      <c r="H215" s="5" t="n"/>
      <c r="I215" s="5" t="n"/>
      <c r="J215" s="5" t="n">
        <v>149.5</v>
      </c>
      <c r="K215" s="5" t="n"/>
      <c r="L215" s="5" t="n"/>
      <c r="M215" s="5" t="n"/>
      <c r="N215" s="5" t="n"/>
      <c r="O215" s="5" t="n">
        <v>897</v>
      </c>
      <c r="P215" s="5" t="n"/>
      <c r="Q215" s="5" t="n">
        <v>897</v>
      </c>
      <c r="R215" s="5" t="n"/>
    </row>
    <row r="216">
      <c r="A216" s="2" t="inlineStr">
        <is>
          <t>EJ010423.TXT</t>
        </is>
      </c>
      <c r="B216" s="3" t="inlineStr">
        <is>
          <t>004744</t>
        </is>
      </c>
      <c r="C216" s="3" t="inlineStr">
        <is>
          <t>003776</t>
        </is>
      </c>
      <c r="D216" s="4" t="n">
        <v>45003</v>
      </c>
      <c r="E216" s="2" t="inlineStr">
        <is>
          <t>15:06</t>
        </is>
      </c>
      <c r="F216" s="5" t="n">
        <v>473.33</v>
      </c>
      <c r="G216" s="5" t="n"/>
      <c r="H216" s="5" t="n"/>
      <c r="I216" s="5" t="n"/>
      <c r="J216" s="5" t="n">
        <v>94.67</v>
      </c>
      <c r="K216" s="5" t="n"/>
      <c r="L216" s="5" t="n"/>
      <c r="M216" s="5" t="n"/>
      <c r="N216" s="5" t="n"/>
      <c r="O216" s="5" t="n">
        <v>568</v>
      </c>
      <c r="P216" s="5" t="n"/>
      <c r="Q216" s="5" t="n">
        <v>568</v>
      </c>
      <c r="R216" s="5" t="n"/>
    </row>
    <row r="217">
      <c r="A217" s="2" t="inlineStr">
        <is>
          <t>EJ010423.TXT</t>
        </is>
      </c>
      <c r="B217" s="3" t="inlineStr">
        <is>
          <t>004745</t>
        </is>
      </c>
      <c r="C217" s="3" t="inlineStr">
        <is>
          <t>003777</t>
        </is>
      </c>
      <c r="D217" s="4" t="n">
        <v>45003</v>
      </c>
      <c r="E217" s="2" t="inlineStr">
        <is>
          <t>15:07</t>
        </is>
      </c>
      <c r="F217" s="5" t="n">
        <v>274.17</v>
      </c>
      <c r="G217" s="5" t="n"/>
      <c r="H217" s="5" t="n"/>
      <c r="I217" s="5" t="n"/>
      <c r="J217" s="5" t="n">
        <v>54.83</v>
      </c>
      <c r="K217" s="5" t="n"/>
      <c r="L217" s="5" t="n"/>
      <c r="M217" s="5" t="n"/>
      <c r="N217" s="5" t="n"/>
      <c r="O217" s="5" t="n">
        <v>329</v>
      </c>
      <c r="P217" s="5" t="n"/>
      <c r="Q217" s="5" t="n">
        <v>329</v>
      </c>
      <c r="R217" s="5" t="n"/>
    </row>
    <row r="218">
      <c r="A218" s="2" t="inlineStr">
        <is>
          <t>EJ010423.TXT</t>
        </is>
      </c>
      <c r="B218" s="3" t="inlineStr">
        <is>
          <t>004746</t>
        </is>
      </c>
      <c r="C218" s="3" t="inlineStr">
        <is>
          <t>003778</t>
        </is>
      </c>
      <c r="D218" s="4" t="n">
        <v>45003</v>
      </c>
      <c r="E218" s="2" t="inlineStr">
        <is>
          <t>15:12</t>
        </is>
      </c>
      <c r="F218" s="5" t="n">
        <v>349.17</v>
      </c>
      <c r="G218" s="5" t="n"/>
      <c r="H218" s="5" t="n"/>
      <c r="I218" s="5" t="n"/>
      <c r="J218" s="5" t="n">
        <v>69.83</v>
      </c>
      <c r="K218" s="5" t="n"/>
      <c r="L218" s="5" t="n"/>
      <c r="M218" s="5" t="n"/>
      <c r="N218" s="5" t="n"/>
      <c r="O218" s="5" t="n">
        <v>419</v>
      </c>
      <c r="P218" s="5" t="n"/>
      <c r="Q218" s="5" t="n">
        <v>419</v>
      </c>
      <c r="R218" s="5" t="n"/>
    </row>
    <row r="219">
      <c r="A219" s="2" t="inlineStr">
        <is>
          <t>EJ010423.TXT</t>
        </is>
      </c>
      <c r="B219" s="3" t="inlineStr">
        <is>
          <t>004747</t>
        </is>
      </c>
      <c r="C219" s="3" t="inlineStr">
        <is>
          <t>003779</t>
        </is>
      </c>
      <c r="D219" s="4" t="n">
        <v>45003</v>
      </c>
      <c r="E219" s="2" t="inlineStr">
        <is>
          <t>15:15</t>
        </is>
      </c>
      <c r="F219" s="5" t="n">
        <v>208.33</v>
      </c>
      <c r="G219" s="5" t="n"/>
      <c r="H219" s="5" t="n"/>
      <c r="I219" s="5" t="n"/>
      <c r="J219" s="5" t="n">
        <v>41.67</v>
      </c>
      <c r="K219" s="5" t="n"/>
      <c r="L219" s="5" t="n"/>
      <c r="M219" s="5" t="n"/>
      <c r="N219" s="5" t="n"/>
      <c r="O219" s="5" t="n">
        <v>250</v>
      </c>
      <c r="P219" s="5" t="n"/>
      <c r="Q219" s="5" t="n">
        <v>250</v>
      </c>
      <c r="R219" s="5" t="n"/>
    </row>
    <row r="220">
      <c r="A220" s="2" t="inlineStr">
        <is>
          <t>EJ010423.TXT</t>
        </is>
      </c>
      <c r="B220" s="3" t="inlineStr">
        <is>
          <t>004748</t>
        </is>
      </c>
      <c r="C220" s="3" t="inlineStr">
        <is>
          <t>003780</t>
        </is>
      </c>
      <c r="D220" s="4" t="n">
        <v>45003</v>
      </c>
      <c r="E220" s="2" t="inlineStr">
        <is>
          <t>17:15</t>
        </is>
      </c>
      <c r="F220" s="5" t="n">
        <v>548.33</v>
      </c>
      <c r="G220" s="5" t="n"/>
      <c r="H220" s="5" t="n"/>
      <c r="I220" s="5" t="n"/>
      <c r="J220" s="5" t="n">
        <v>109.67</v>
      </c>
      <c r="K220" s="5" t="n"/>
      <c r="L220" s="5" t="n"/>
      <c r="M220" s="5" t="n"/>
      <c r="N220" s="5" t="n"/>
      <c r="O220" s="5" t="n">
        <v>658</v>
      </c>
      <c r="P220" s="5" t="n">
        <v>658</v>
      </c>
      <c r="Q220" s="5" t="n"/>
      <c r="R220" s="5" t="n"/>
    </row>
    <row r="221">
      <c r="A221" s="2" t="inlineStr">
        <is>
          <t>EJ010423.TXT</t>
        </is>
      </c>
      <c r="B221" s="3" t="inlineStr">
        <is>
          <t>004749</t>
        </is>
      </c>
      <c r="C221" s="3" t="inlineStr">
        <is>
          <t>003781</t>
        </is>
      </c>
      <c r="D221" s="4" t="n">
        <v>45003</v>
      </c>
      <c r="E221" s="2" t="inlineStr">
        <is>
          <t>18:23</t>
        </is>
      </c>
      <c r="F221" s="5" t="n">
        <v>73.33</v>
      </c>
      <c r="G221" s="5" t="n"/>
      <c r="H221" s="5" t="n"/>
      <c r="I221" s="5" t="n"/>
      <c r="J221" s="5" t="n">
        <v>14.67</v>
      </c>
      <c r="K221" s="5" t="n"/>
      <c r="L221" s="5" t="n"/>
      <c r="M221" s="5" t="n"/>
      <c r="N221" s="5" t="n"/>
      <c r="O221" s="5" t="n">
        <v>88</v>
      </c>
      <c r="P221" s="5" t="n">
        <v>88</v>
      </c>
      <c r="Q221" s="5" t="n"/>
      <c r="R221" s="5" t="n"/>
    </row>
    <row r="222">
      <c r="A222" s="2" t="inlineStr">
        <is>
          <t>EJ010423.TXT</t>
        </is>
      </c>
      <c r="B222" s="3" t="inlineStr">
        <is>
          <t>004750</t>
        </is>
      </c>
      <c r="C222" s="3" t="inlineStr">
        <is>
          <t>003782</t>
        </is>
      </c>
      <c r="D222" s="4" t="n">
        <v>45005</v>
      </c>
      <c r="E222" s="2" t="inlineStr">
        <is>
          <t>15:26</t>
        </is>
      </c>
      <c r="F222" s="5" t="n">
        <v>666.67</v>
      </c>
      <c r="G222" s="5" t="n"/>
      <c r="H222" s="5" t="n"/>
      <c r="I222" s="5" t="n"/>
      <c r="J222" s="5" t="n">
        <v>133.33</v>
      </c>
      <c r="K222" s="5" t="n"/>
      <c r="L222" s="5" t="n"/>
      <c r="M222" s="5" t="n"/>
      <c r="N222" s="5" t="n"/>
      <c r="O222" s="5" t="n">
        <v>800</v>
      </c>
      <c r="P222" s="5" t="n"/>
      <c r="Q222" s="5" t="n">
        <v>800</v>
      </c>
      <c r="R222" s="5" t="n"/>
    </row>
    <row r="223">
      <c r="A223" s="2" t="inlineStr">
        <is>
          <t>EJ010423.TXT</t>
        </is>
      </c>
      <c r="B223" s="3" t="inlineStr">
        <is>
          <t>004751</t>
        </is>
      </c>
      <c r="C223" s="3" t="inlineStr">
        <is>
          <t>003783</t>
        </is>
      </c>
      <c r="D223" s="4" t="n">
        <v>45005</v>
      </c>
      <c r="E223" s="2" t="inlineStr">
        <is>
          <t>15:33</t>
        </is>
      </c>
      <c r="F223" s="5" t="n">
        <v>166.67</v>
      </c>
      <c r="G223" s="5" t="n"/>
      <c r="H223" s="5" t="n"/>
      <c r="I223" s="5" t="n"/>
      <c r="J223" s="5" t="n">
        <v>33.33</v>
      </c>
      <c r="K223" s="5" t="n"/>
      <c r="L223" s="5" t="n"/>
      <c r="M223" s="5" t="n"/>
      <c r="N223" s="5" t="n"/>
      <c r="O223" s="5" t="n">
        <v>200</v>
      </c>
      <c r="P223" s="5" t="n"/>
      <c r="Q223" s="5" t="n">
        <v>200</v>
      </c>
      <c r="R223" s="5" t="n"/>
    </row>
    <row r="224">
      <c r="A224" s="2" t="inlineStr">
        <is>
          <t>EJ010423.TXT</t>
        </is>
      </c>
      <c r="B224" s="3" t="inlineStr">
        <is>
          <t>004752</t>
        </is>
      </c>
      <c r="C224" s="3" t="inlineStr">
        <is>
          <t>003784</t>
        </is>
      </c>
      <c r="D224" s="4" t="n">
        <v>45005</v>
      </c>
      <c r="E224" s="2" t="inlineStr">
        <is>
          <t>15:34</t>
        </is>
      </c>
      <c r="F224" s="5" t="n">
        <v>233.33</v>
      </c>
      <c r="G224" s="5" t="n"/>
      <c r="H224" s="5" t="n"/>
      <c r="I224" s="5" t="n"/>
      <c r="J224" s="5" t="n">
        <v>46.67</v>
      </c>
      <c r="K224" s="5" t="n"/>
      <c r="L224" s="5" t="n"/>
      <c r="M224" s="5" t="n"/>
      <c r="N224" s="5" t="n"/>
      <c r="O224" s="5" t="n">
        <v>280</v>
      </c>
      <c r="P224" s="5" t="n"/>
      <c r="Q224" s="5" t="n">
        <v>280</v>
      </c>
      <c r="R224" s="5" t="n"/>
    </row>
    <row r="225">
      <c r="A225" s="2" t="inlineStr">
        <is>
          <t>EJ010423.TXT</t>
        </is>
      </c>
      <c r="B225" s="3" t="inlineStr">
        <is>
          <t>004753</t>
        </is>
      </c>
      <c r="C225" s="3" t="inlineStr">
        <is>
          <t>003785</t>
        </is>
      </c>
      <c r="D225" s="4" t="n">
        <v>45006</v>
      </c>
      <c r="E225" s="2" t="inlineStr">
        <is>
          <t>16:56</t>
        </is>
      </c>
      <c r="F225" s="5" t="n">
        <v>381.67</v>
      </c>
      <c r="G225" s="5" t="n"/>
      <c r="H225" s="5" t="n"/>
      <c r="I225" s="5" t="n"/>
      <c r="J225" s="5" t="n">
        <v>76.33</v>
      </c>
      <c r="K225" s="5" t="n"/>
      <c r="L225" s="5" t="n"/>
      <c r="M225" s="5" t="n"/>
      <c r="N225" s="5" t="n"/>
      <c r="O225" s="5" t="n">
        <v>458</v>
      </c>
      <c r="P225" s="5" t="n"/>
      <c r="Q225" s="5" t="n">
        <v>458</v>
      </c>
      <c r="R225" s="5" t="n"/>
    </row>
    <row r="226">
      <c r="A226" s="2" t="inlineStr">
        <is>
          <t>EJ010423.TXT</t>
        </is>
      </c>
      <c r="B226" s="3" t="inlineStr">
        <is>
          <t>004754</t>
        </is>
      </c>
      <c r="C226" s="3" t="inlineStr">
        <is>
          <t>003786</t>
        </is>
      </c>
      <c r="D226" s="4" t="n">
        <v>45006</v>
      </c>
      <c r="E226" s="2" t="inlineStr">
        <is>
          <t>17:32</t>
        </is>
      </c>
      <c r="F226" s="5" t="n">
        <v>822.5</v>
      </c>
      <c r="G226" s="5" t="n"/>
      <c r="H226" s="5" t="n"/>
      <c r="I226" s="5" t="n"/>
      <c r="J226" s="5" t="n">
        <v>164.5</v>
      </c>
      <c r="K226" s="5" t="n"/>
      <c r="L226" s="5" t="n"/>
      <c r="M226" s="5" t="n"/>
      <c r="N226" s="5" t="n"/>
      <c r="O226" s="5" t="n">
        <v>987</v>
      </c>
      <c r="P226" s="5" t="n"/>
      <c r="Q226" s="5" t="n">
        <v>987</v>
      </c>
      <c r="R226" s="5" t="n"/>
    </row>
    <row r="227">
      <c r="A227" s="2" t="inlineStr">
        <is>
          <t>EJ010423.TXT</t>
        </is>
      </c>
      <c r="B227" s="3" t="inlineStr">
        <is>
          <t>004755</t>
        </is>
      </c>
      <c r="C227" s="3" t="inlineStr">
        <is>
          <t>003787</t>
        </is>
      </c>
      <c r="D227" s="4" t="n">
        <v>45007</v>
      </c>
      <c r="E227" s="2" t="inlineStr">
        <is>
          <t>12:24</t>
        </is>
      </c>
      <c r="F227" s="5" t="n">
        <v>208.33</v>
      </c>
      <c r="G227" s="5" t="n"/>
      <c r="H227" s="5" t="n"/>
      <c r="I227" s="5" t="n"/>
      <c r="J227" s="5" t="n">
        <v>41.67</v>
      </c>
      <c r="K227" s="5" t="n"/>
      <c r="L227" s="5" t="n"/>
      <c r="M227" s="5" t="n"/>
      <c r="N227" s="5" t="n"/>
      <c r="O227" s="5" t="n">
        <v>250</v>
      </c>
      <c r="P227" s="5" t="n"/>
      <c r="Q227" s="5" t="n">
        <v>250</v>
      </c>
      <c r="R227" s="5" t="n"/>
    </row>
    <row r="228">
      <c r="A228" s="2" t="inlineStr">
        <is>
          <t>EJ010423.TXT</t>
        </is>
      </c>
      <c r="B228" s="3" t="inlineStr">
        <is>
          <t>004756</t>
        </is>
      </c>
      <c r="C228" s="3" t="inlineStr">
        <is>
          <t>003788</t>
        </is>
      </c>
      <c r="D228" s="4" t="n">
        <v>45009</v>
      </c>
      <c r="E228" s="2" t="inlineStr">
        <is>
          <t>10:49</t>
        </is>
      </c>
      <c r="F228" s="5" t="n">
        <v>548.33</v>
      </c>
      <c r="G228" s="5" t="n"/>
      <c r="H228" s="5" t="n"/>
      <c r="I228" s="5" t="n"/>
      <c r="J228" s="5" t="n">
        <v>109.67</v>
      </c>
      <c r="K228" s="5" t="n"/>
      <c r="L228" s="5" t="n"/>
      <c r="M228" s="5" t="n"/>
      <c r="N228" s="5" t="n"/>
      <c r="O228" s="5" t="n">
        <v>658</v>
      </c>
      <c r="P228" s="5" t="n">
        <v>658</v>
      </c>
      <c r="Q228" s="5" t="n"/>
      <c r="R228" s="5" t="n"/>
    </row>
    <row r="229">
      <c r="A229" s="2" t="inlineStr">
        <is>
          <t>EJ010423.TXT</t>
        </is>
      </c>
      <c r="B229" s="3" t="inlineStr">
        <is>
          <t>004757</t>
        </is>
      </c>
      <c r="C229" s="3" t="inlineStr">
        <is>
          <t>003789</t>
        </is>
      </c>
      <c r="D229" s="4" t="n">
        <v>45009</v>
      </c>
      <c r="E229" s="2" t="inlineStr">
        <is>
          <t>18:19</t>
        </is>
      </c>
      <c r="F229" s="5" t="n">
        <v>208.33</v>
      </c>
      <c r="G229" s="5" t="n"/>
      <c r="H229" s="5" t="n"/>
      <c r="I229" s="5" t="n"/>
      <c r="J229" s="5" t="n">
        <v>41.67</v>
      </c>
      <c r="K229" s="5" t="n"/>
      <c r="L229" s="5" t="n"/>
      <c r="M229" s="5" t="n"/>
      <c r="N229" s="5" t="n"/>
      <c r="O229" s="5" t="n">
        <v>250</v>
      </c>
      <c r="P229" s="5" t="n"/>
      <c r="Q229" s="5" t="n">
        <v>250</v>
      </c>
      <c r="R229" s="5" t="n"/>
    </row>
    <row r="230">
      <c r="A230" s="2" t="inlineStr">
        <is>
          <t>EJ010423.TXT</t>
        </is>
      </c>
      <c r="B230" s="3" t="inlineStr">
        <is>
          <t>004758</t>
        </is>
      </c>
      <c r="C230" s="3" t="inlineStr">
        <is>
          <t>003790</t>
        </is>
      </c>
      <c r="D230" s="4" t="n">
        <v>45010</v>
      </c>
      <c r="E230" s="2" t="inlineStr">
        <is>
          <t>17:45</t>
        </is>
      </c>
      <c r="F230" s="5" t="n">
        <v>621.67</v>
      </c>
      <c r="G230" s="5" t="n"/>
      <c r="H230" s="5" t="n"/>
      <c r="I230" s="5" t="n"/>
      <c r="J230" s="5" t="n">
        <v>124.33</v>
      </c>
      <c r="K230" s="5" t="n"/>
      <c r="L230" s="5" t="n"/>
      <c r="M230" s="5" t="n"/>
      <c r="N230" s="5" t="n"/>
      <c r="O230" s="5" t="n">
        <v>746</v>
      </c>
      <c r="P230" s="5" t="n">
        <v>746</v>
      </c>
      <c r="Q230" s="5" t="n"/>
      <c r="R230" s="5" t="n"/>
    </row>
    <row r="231">
      <c r="A231" s="2" t="inlineStr">
        <is>
          <t>EJ010423.TXT</t>
        </is>
      </c>
      <c r="B231" s="3" t="inlineStr">
        <is>
          <t>004759</t>
        </is>
      </c>
      <c r="C231" s="3" t="inlineStr">
        <is>
          <t>003791</t>
        </is>
      </c>
      <c r="D231" s="4" t="n">
        <v>45012</v>
      </c>
      <c r="E231" s="2" t="inlineStr">
        <is>
          <t>10:05</t>
        </is>
      </c>
      <c r="F231" s="5" t="n">
        <v>531.67</v>
      </c>
      <c r="G231" s="5" t="n"/>
      <c r="H231" s="5" t="n"/>
      <c r="I231" s="5" t="n"/>
      <c r="J231" s="5" t="n">
        <v>106.33</v>
      </c>
      <c r="K231" s="5" t="n"/>
      <c r="L231" s="5" t="n"/>
      <c r="M231" s="5" t="n"/>
      <c r="N231" s="5" t="n"/>
      <c r="O231" s="5" t="n">
        <v>638</v>
      </c>
      <c r="P231" s="5" t="n">
        <v>638</v>
      </c>
      <c r="Q231" s="5" t="n"/>
      <c r="R231" s="5" t="n"/>
    </row>
    <row r="232">
      <c r="A232" s="2" t="inlineStr">
        <is>
          <t>EJ010423.TXT</t>
        </is>
      </c>
      <c r="B232" s="3" t="inlineStr">
        <is>
          <t>004760</t>
        </is>
      </c>
      <c r="C232" s="3" t="inlineStr">
        <is>
          <t>003792</t>
        </is>
      </c>
      <c r="D232" s="4" t="n">
        <v>45012</v>
      </c>
      <c r="E232" s="2" t="inlineStr">
        <is>
          <t>14:37</t>
        </is>
      </c>
      <c r="F232" s="5" t="n">
        <v>548.33</v>
      </c>
      <c r="G232" s="5" t="n"/>
      <c r="H232" s="5" t="n"/>
      <c r="I232" s="5" t="n"/>
      <c r="J232" s="5" t="n">
        <v>109.67</v>
      </c>
      <c r="K232" s="5" t="n"/>
      <c r="L232" s="5" t="n"/>
      <c r="M232" s="5" t="n"/>
      <c r="N232" s="5" t="n"/>
      <c r="O232" s="5" t="n">
        <v>658</v>
      </c>
      <c r="P232" s="5" t="n">
        <v>658</v>
      </c>
      <c r="Q232" s="5" t="n"/>
      <c r="R232" s="5" t="n"/>
    </row>
    <row r="233">
      <c r="A233" s="2" t="inlineStr">
        <is>
          <t>EJ010423.TXT</t>
        </is>
      </c>
      <c r="B233" s="3" t="inlineStr">
        <is>
          <t>004761</t>
        </is>
      </c>
      <c r="C233" s="3" t="inlineStr">
        <is>
          <t>003793</t>
        </is>
      </c>
      <c r="D233" s="4" t="n">
        <v>45012</v>
      </c>
      <c r="E233" s="2" t="inlineStr">
        <is>
          <t>14:57</t>
        </is>
      </c>
      <c r="F233" s="5" t="n">
        <v>274.17</v>
      </c>
      <c r="G233" s="5" t="n"/>
      <c r="H233" s="5" t="n"/>
      <c r="I233" s="5" t="n"/>
      <c r="J233" s="5" t="n">
        <v>54.83</v>
      </c>
      <c r="K233" s="5" t="n"/>
      <c r="L233" s="5" t="n"/>
      <c r="M233" s="5" t="n"/>
      <c r="N233" s="5" t="n"/>
      <c r="O233" s="5" t="n">
        <v>329</v>
      </c>
      <c r="P233" s="5" t="n"/>
      <c r="Q233" s="5" t="n">
        <v>329</v>
      </c>
      <c r="R233" s="5" t="n"/>
    </row>
    <row r="234">
      <c r="A234" s="2" t="inlineStr">
        <is>
          <t>EJ010423.TXT</t>
        </is>
      </c>
      <c r="B234" s="3" t="inlineStr">
        <is>
          <t>004762</t>
        </is>
      </c>
      <c r="C234" s="3" t="inlineStr">
        <is>
          <t>003794</t>
        </is>
      </c>
      <c r="D234" s="4" t="n">
        <v>45013</v>
      </c>
      <c r="E234" s="2" t="inlineStr">
        <is>
          <t>09:09</t>
        </is>
      </c>
      <c r="F234" s="5" t="n">
        <v>822.5</v>
      </c>
      <c r="G234" s="5" t="n"/>
      <c r="H234" s="5" t="n"/>
      <c r="I234" s="5" t="n"/>
      <c r="J234" s="5" t="n">
        <v>164.5</v>
      </c>
      <c r="K234" s="5" t="n"/>
      <c r="L234" s="5" t="n"/>
      <c r="M234" s="5" t="n"/>
      <c r="N234" s="5" t="n"/>
      <c r="O234" s="5" t="n">
        <v>987</v>
      </c>
      <c r="P234" s="5" t="n"/>
      <c r="Q234" s="5" t="n">
        <v>987</v>
      </c>
      <c r="R234" s="5" t="n"/>
    </row>
    <row r="235">
      <c r="A235" s="2" t="inlineStr">
        <is>
          <t>EJ010423.TXT</t>
        </is>
      </c>
      <c r="B235" s="3" t="inlineStr">
        <is>
          <t>004763</t>
        </is>
      </c>
      <c r="C235" s="3" t="inlineStr">
        <is>
          <t>003795</t>
        </is>
      </c>
      <c r="D235" s="4" t="n">
        <v>45013</v>
      </c>
      <c r="E235" s="2" t="inlineStr">
        <is>
          <t>12:12</t>
        </is>
      </c>
      <c r="F235" s="5" t="n">
        <v>797.5</v>
      </c>
      <c r="G235" s="5" t="n"/>
      <c r="H235" s="5" t="n"/>
      <c r="I235" s="5" t="n"/>
      <c r="J235" s="5" t="n">
        <v>159.5</v>
      </c>
      <c r="K235" s="5" t="n"/>
      <c r="L235" s="5" t="n"/>
      <c r="M235" s="5" t="n"/>
      <c r="N235" s="5" t="n"/>
      <c r="O235" s="5" t="n">
        <v>957</v>
      </c>
      <c r="P235" s="5" t="n"/>
      <c r="Q235" s="5" t="n">
        <v>957</v>
      </c>
      <c r="R235" s="5" t="n"/>
    </row>
    <row r="236">
      <c r="A236" s="2" t="inlineStr">
        <is>
          <t>EJ010423.TXT</t>
        </is>
      </c>
      <c r="B236" s="3" t="inlineStr">
        <is>
          <t>004764</t>
        </is>
      </c>
      <c r="C236" s="3" t="inlineStr">
        <is>
          <t>003796</t>
        </is>
      </c>
      <c r="D236" s="4" t="n">
        <v>45013</v>
      </c>
      <c r="E236" s="2" t="inlineStr">
        <is>
          <t>12:13</t>
        </is>
      </c>
      <c r="F236" s="5" t="n">
        <v>797.5</v>
      </c>
      <c r="G236" s="5" t="n"/>
      <c r="H236" s="5" t="n"/>
      <c r="I236" s="5" t="n"/>
      <c r="J236" s="5" t="n">
        <v>159.5</v>
      </c>
      <c r="K236" s="5" t="n"/>
      <c r="L236" s="5" t="n"/>
      <c r="M236" s="5" t="n"/>
      <c r="N236" s="5" t="n"/>
      <c r="O236" s="5" t="n">
        <v>957</v>
      </c>
      <c r="P236" s="5" t="n"/>
      <c r="Q236" s="5" t="n">
        <v>957</v>
      </c>
      <c r="R236" s="5" t="n"/>
    </row>
    <row r="237">
      <c r="A237" s="2" t="inlineStr">
        <is>
          <t>EJ010423.TXT</t>
        </is>
      </c>
      <c r="B237" s="3" t="inlineStr">
        <is>
          <t>004765</t>
        </is>
      </c>
      <c r="C237" s="3" t="inlineStr">
        <is>
          <t>003797</t>
        </is>
      </c>
      <c r="D237" s="4" t="n">
        <v>45014</v>
      </c>
      <c r="E237" s="2" t="inlineStr">
        <is>
          <t>10:57</t>
        </is>
      </c>
      <c r="F237" s="5" t="n">
        <v>175</v>
      </c>
      <c r="G237" s="5" t="n"/>
      <c r="H237" s="5" t="n"/>
      <c r="I237" s="5" t="n"/>
      <c r="J237" s="5" t="n">
        <v>35</v>
      </c>
      <c r="K237" s="5" t="n"/>
      <c r="L237" s="5" t="n"/>
      <c r="M237" s="5" t="n"/>
      <c r="N237" s="5" t="n"/>
      <c r="O237" s="5" t="n">
        <v>210</v>
      </c>
      <c r="P237" s="5" t="n">
        <v>210</v>
      </c>
      <c r="Q237" s="5" t="n"/>
      <c r="R237" s="5" t="n"/>
    </row>
    <row r="238">
      <c r="A238" s="2" t="inlineStr">
        <is>
          <t>EJ010423.TXT</t>
        </is>
      </c>
      <c r="B238" s="3" t="inlineStr">
        <is>
          <t>004766</t>
        </is>
      </c>
      <c r="C238" s="3" t="inlineStr">
        <is>
          <t>003798</t>
        </is>
      </c>
      <c r="D238" s="4" t="n">
        <v>45014</v>
      </c>
      <c r="E238" s="2" t="inlineStr">
        <is>
          <t>13:58</t>
        </is>
      </c>
      <c r="F238" s="5" t="n">
        <v>274.17</v>
      </c>
      <c r="G238" s="5" t="n"/>
      <c r="H238" s="5" t="n"/>
      <c r="I238" s="5" t="n"/>
      <c r="J238" s="5" t="n">
        <v>54.83</v>
      </c>
      <c r="K238" s="5" t="n"/>
      <c r="L238" s="5" t="n"/>
      <c r="M238" s="5" t="n"/>
      <c r="N238" s="5" t="n"/>
      <c r="O238" s="5" t="n">
        <v>329</v>
      </c>
      <c r="P238" s="5" t="n">
        <v>329</v>
      </c>
      <c r="Q238" s="5" t="n"/>
      <c r="R238" s="5" t="n"/>
    </row>
    <row r="239">
      <c r="A239" s="2" t="inlineStr">
        <is>
          <t>EJ010423.TXT</t>
        </is>
      </c>
      <c r="B239" s="3" t="inlineStr">
        <is>
          <t>004767</t>
        </is>
      </c>
      <c r="C239" s="3" t="inlineStr">
        <is>
          <t>003799</t>
        </is>
      </c>
      <c r="D239" s="4" t="n">
        <v>45014</v>
      </c>
      <c r="E239" s="2" t="inlineStr">
        <is>
          <t>14:16</t>
        </is>
      </c>
      <c r="F239" s="5" t="n">
        <v>822.5</v>
      </c>
      <c r="G239" s="5" t="n"/>
      <c r="H239" s="5" t="n"/>
      <c r="I239" s="5" t="n"/>
      <c r="J239" s="5" t="n">
        <v>164.5</v>
      </c>
      <c r="K239" s="5" t="n"/>
      <c r="L239" s="5" t="n"/>
      <c r="M239" s="5" t="n"/>
      <c r="N239" s="5" t="n"/>
      <c r="O239" s="5" t="n">
        <v>987</v>
      </c>
      <c r="P239" s="5" t="n"/>
      <c r="Q239" s="5" t="n">
        <v>987</v>
      </c>
      <c r="R239" s="5" t="n"/>
    </row>
    <row r="240">
      <c r="A240" s="2" t="inlineStr">
        <is>
          <t>EJ010423.TXT</t>
        </is>
      </c>
      <c r="B240" s="3" t="inlineStr">
        <is>
          <t>004768</t>
        </is>
      </c>
      <c r="C240" s="3" t="inlineStr">
        <is>
          <t>003800</t>
        </is>
      </c>
      <c r="D240" s="4" t="n">
        <v>45014</v>
      </c>
      <c r="E240" s="2" t="inlineStr">
        <is>
          <t>14:23</t>
        </is>
      </c>
      <c r="F240" s="5" t="n">
        <v>797.5</v>
      </c>
      <c r="G240" s="5" t="n"/>
      <c r="H240" s="5" t="n"/>
      <c r="I240" s="5" t="n"/>
      <c r="J240" s="5" t="n">
        <v>159.5</v>
      </c>
      <c r="K240" s="5" t="n"/>
      <c r="L240" s="5" t="n"/>
      <c r="M240" s="5" t="n"/>
      <c r="N240" s="5" t="n"/>
      <c r="O240" s="5" t="n">
        <v>957</v>
      </c>
      <c r="P240" s="5" t="n"/>
      <c r="Q240" s="5" t="n">
        <v>957</v>
      </c>
      <c r="R240" s="5" t="n"/>
    </row>
    <row r="241">
      <c r="A241" s="2" t="inlineStr">
        <is>
          <t>EJ010423.TXT</t>
        </is>
      </c>
      <c r="B241" s="3" t="inlineStr">
        <is>
          <t>004769</t>
        </is>
      </c>
      <c r="C241" s="3" t="inlineStr">
        <is>
          <t>003801</t>
        </is>
      </c>
      <c r="D241" s="4" t="n">
        <v>45014</v>
      </c>
      <c r="E241" s="2" t="inlineStr">
        <is>
          <t>14:29</t>
        </is>
      </c>
      <c r="F241" s="5" t="n">
        <v>797.5</v>
      </c>
      <c r="G241" s="5" t="n"/>
      <c r="H241" s="5" t="n"/>
      <c r="I241" s="5" t="n"/>
      <c r="J241" s="5" t="n">
        <v>159.5</v>
      </c>
      <c r="K241" s="5" t="n"/>
      <c r="L241" s="5" t="n"/>
      <c r="M241" s="5" t="n"/>
      <c r="N241" s="5" t="n"/>
      <c r="O241" s="5" t="n">
        <v>957</v>
      </c>
      <c r="P241" s="5" t="n"/>
      <c r="Q241" s="5" t="n">
        <v>957</v>
      </c>
      <c r="R241" s="5" t="n"/>
    </row>
    <row r="242">
      <c r="A242" s="2" t="inlineStr">
        <is>
          <t>EJ010423.TXT</t>
        </is>
      </c>
      <c r="B242" s="3" t="inlineStr">
        <is>
          <t>004770</t>
        </is>
      </c>
      <c r="C242" s="3" t="inlineStr">
        <is>
          <t>003802</t>
        </is>
      </c>
      <c r="D242" s="4" t="n">
        <v>45015</v>
      </c>
      <c r="E242" s="2" t="inlineStr">
        <is>
          <t>11:08</t>
        </is>
      </c>
      <c r="F242" s="5" t="n">
        <v>797.5</v>
      </c>
      <c r="G242" s="5" t="n"/>
      <c r="H242" s="5" t="n"/>
      <c r="I242" s="5" t="n"/>
      <c r="J242" s="5" t="n">
        <v>159.5</v>
      </c>
      <c r="K242" s="5" t="n"/>
      <c r="L242" s="5" t="n"/>
      <c r="M242" s="5" t="n"/>
      <c r="N242" s="5" t="n"/>
      <c r="O242" s="5" t="n">
        <v>957</v>
      </c>
      <c r="P242" s="5" t="n"/>
      <c r="Q242" s="5" t="n">
        <v>957</v>
      </c>
      <c r="R242" s="5" t="n"/>
    </row>
    <row r="243">
      <c r="A243" s="2" t="inlineStr">
        <is>
          <t>EJ010423.TXT</t>
        </is>
      </c>
      <c r="B243" s="3" t="inlineStr">
        <is>
          <t>004771</t>
        </is>
      </c>
      <c r="C243" s="3" t="inlineStr">
        <is>
          <t>003803</t>
        </is>
      </c>
      <c r="D243" s="4" t="n">
        <v>45016</v>
      </c>
      <c r="E243" s="2" t="inlineStr">
        <is>
          <t>09:47</t>
        </is>
      </c>
      <c r="F243" s="5" t="n">
        <v>797.5</v>
      </c>
      <c r="G243" s="5" t="n"/>
      <c r="H243" s="5" t="n"/>
      <c r="I243" s="5" t="n"/>
      <c r="J243" s="5" t="n">
        <v>159.5</v>
      </c>
      <c r="K243" s="5" t="n"/>
      <c r="L243" s="5" t="n"/>
      <c r="M243" s="5" t="n"/>
      <c r="N243" s="5" t="n"/>
      <c r="O243" s="5" t="n">
        <v>957</v>
      </c>
      <c r="P243" s="5" t="n"/>
      <c r="Q243" s="5" t="n">
        <v>957</v>
      </c>
      <c r="R243" s="5" t="n"/>
    </row>
    <row r="244">
      <c r="A244" s="2" t="inlineStr">
        <is>
          <t>EJ010423.TXT</t>
        </is>
      </c>
      <c r="B244" s="3" t="inlineStr">
        <is>
          <t>004772</t>
        </is>
      </c>
      <c r="C244" s="3" t="inlineStr">
        <is>
          <t>003804</t>
        </is>
      </c>
      <c r="D244" s="4" t="n">
        <v>45016</v>
      </c>
      <c r="E244" s="2" t="inlineStr">
        <is>
          <t>14:26</t>
        </is>
      </c>
      <c r="F244" s="5" t="n">
        <v>797.5</v>
      </c>
      <c r="G244" s="5" t="n"/>
      <c r="H244" s="5" t="n"/>
      <c r="I244" s="5" t="n"/>
      <c r="J244" s="5" t="n">
        <v>159.5</v>
      </c>
      <c r="K244" s="5" t="n"/>
      <c r="L244" s="5" t="n"/>
      <c r="M244" s="5" t="n"/>
      <c r="N244" s="5" t="n"/>
      <c r="O244" s="5" t="n">
        <v>957</v>
      </c>
      <c r="P244" s="5" t="n"/>
      <c r="Q244" s="5" t="n">
        <v>957</v>
      </c>
      <c r="R244" s="5" t="n"/>
    </row>
    <row r="245">
      <c r="A245" s="2" t="inlineStr">
        <is>
          <t>EJ010423.TXT</t>
        </is>
      </c>
      <c r="B245" s="3" t="inlineStr">
        <is>
          <t>004773</t>
        </is>
      </c>
      <c r="C245" s="3" t="inlineStr">
        <is>
          <t>003805</t>
        </is>
      </c>
      <c r="D245" s="4" t="n">
        <v>45016</v>
      </c>
      <c r="E245" s="2" t="inlineStr">
        <is>
          <t>14:33</t>
        </is>
      </c>
      <c r="F245" s="5" t="n">
        <v>131.67</v>
      </c>
      <c r="G245" s="5" t="n"/>
      <c r="H245" s="5" t="n"/>
      <c r="I245" s="5" t="n"/>
      <c r="J245" s="5" t="n">
        <v>26.33</v>
      </c>
      <c r="K245" s="5" t="n"/>
      <c r="L245" s="5" t="n"/>
      <c r="M245" s="5" t="n"/>
      <c r="N245" s="5" t="n"/>
      <c r="O245" s="5" t="n">
        <v>158</v>
      </c>
      <c r="P245" s="5" t="n"/>
      <c r="Q245" s="5" t="n">
        <v>158</v>
      </c>
      <c r="R245" s="5" t="n"/>
    </row>
    <row r="246">
      <c r="A246" s="2" t="inlineStr">
        <is>
          <t>EJ010423.TXT</t>
        </is>
      </c>
      <c r="B246" s="3" t="inlineStr">
        <is>
          <t>004774</t>
        </is>
      </c>
      <c r="C246" s="3" t="inlineStr">
        <is>
          <t>003806</t>
        </is>
      </c>
      <c r="D246" s="4" t="n">
        <v>45016</v>
      </c>
      <c r="E246" s="2" t="inlineStr">
        <is>
          <t>16:28</t>
        </is>
      </c>
      <c r="F246" s="5" t="n">
        <v>83.33</v>
      </c>
      <c r="G246" s="5" t="n"/>
      <c r="H246" s="5" t="n"/>
      <c r="I246" s="5" t="n"/>
      <c r="J246" s="5" t="n">
        <v>16.67</v>
      </c>
      <c r="K246" s="5" t="n"/>
      <c r="L246" s="5" t="n"/>
      <c r="M246" s="5" t="n"/>
      <c r="N246" s="5" t="n"/>
      <c r="O246" s="5" t="n">
        <v>100</v>
      </c>
      <c r="P246" s="5" t="n">
        <v>100</v>
      </c>
      <c r="Q246" s="5" t="n"/>
      <c r="R246" s="5" t="n"/>
    </row>
    <row r="247">
      <c r="A247" s="2" t="inlineStr">
        <is>
          <t>EJ010423.TXT</t>
        </is>
      </c>
      <c r="B247" s="3" t="inlineStr">
        <is>
          <t>004775</t>
        </is>
      </c>
      <c r="C247" s="3" t="inlineStr">
        <is>
          <t>003807</t>
        </is>
      </c>
      <c r="D247" s="4" t="n">
        <v>45016</v>
      </c>
      <c r="E247" s="2" t="inlineStr">
        <is>
          <t>16:28</t>
        </is>
      </c>
      <c r="F247" s="5" t="n">
        <v>15</v>
      </c>
      <c r="G247" s="5" t="n"/>
      <c r="H247" s="5" t="n"/>
      <c r="I247" s="5" t="n"/>
      <c r="J247" s="5" t="n">
        <v>3</v>
      </c>
      <c r="K247" s="5" t="n"/>
      <c r="L247" s="5" t="n"/>
      <c r="M247" s="5" t="n"/>
      <c r="N247" s="5" t="n"/>
      <c r="O247" s="5" t="n">
        <v>18</v>
      </c>
      <c r="P247" s="5" t="n"/>
      <c r="Q247" s="5" t="n">
        <v>18</v>
      </c>
      <c r="R247" s="5" t="n"/>
    </row>
    <row r="248">
      <c r="A248" s="2" t="inlineStr">
        <is>
          <t>EJ020523.TXT</t>
        </is>
      </c>
      <c r="B248" s="3" t="inlineStr">
        <is>
          <t>004783</t>
        </is>
      </c>
      <c r="C248" s="3" t="inlineStr">
        <is>
          <t>003808</t>
        </is>
      </c>
      <c r="D248" s="4" t="n">
        <v>45017</v>
      </c>
      <c r="E248" s="2" t="inlineStr">
        <is>
          <t>14:46</t>
        </is>
      </c>
      <c r="F248" s="5" t="n">
        <v>190.83</v>
      </c>
      <c r="G248" s="5" t="n"/>
      <c r="H248" s="5" t="n"/>
      <c r="I248" s="5" t="n"/>
      <c r="J248" s="5" t="n">
        <v>38.17</v>
      </c>
      <c r="K248" s="5" t="n"/>
      <c r="L248" s="5" t="n"/>
      <c r="M248" s="5" t="n"/>
      <c r="N248" s="5" t="n"/>
      <c r="O248" s="5" t="n">
        <v>229</v>
      </c>
      <c r="P248" s="5" t="n">
        <v>229</v>
      </c>
      <c r="Q248" s="5" t="n"/>
      <c r="R248" s="5" t="n"/>
    </row>
    <row r="249">
      <c r="A249" s="2" t="inlineStr">
        <is>
          <t>EJ020523.TXT</t>
        </is>
      </c>
      <c r="B249" s="3" t="inlineStr">
        <is>
          <t>004784</t>
        </is>
      </c>
      <c r="C249" s="3" t="inlineStr">
        <is>
          <t>003809</t>
        </is>
      </c>
      <c r="D249" s="4" t="n">
        <v>45019</v>
      </c>
      <c r="E249" s="2" t="inlineStr">
        <is>
          <t>14:30</t>
        </is>
      </c>
      <c r="F249" s="5" t="n">
        <v>797.5</v>
      </c>
      <c r="G249" s="5" t="n"/>
      <c r="H249" s="5" t="n"/>
      <c r="I249" s="5" t="n"/>
      <c r="J249" s="5" t="n">
        <v>159.5</v>
      </c>
      <c r="K249" s="5" t="n"/>
      <c r="L249" s="5" t="n"/>
      <c r="M249" s="5" t="n"/>
      <c r="N249" s="5" t="n"/>
      <c r="O249" s="5" t="n">
        <v>957</v>
      </c>
      <c r="P249" s="5" t="n"/>
      <c r="Q249" s="5" t="n">
        <v>957</v>
      </c>
      <c r="R249" s="5" t="n"/>
    </row>
    <row r="250">
      <c r="A250" s="2" t="inlineStr">
        <is>
          <t>EJ020523.TXT</t>
        </is>
      </c>
      <c r="B250" s="3" t="inlineStr">
        <is>
          <t>004785</t>
        </is>
      </c>
      <c r="C250" s="3" t="inlineStr">
        <is>
          <t>003810</t>
        </is>
      </c>
      <c r="D250" s="4" t="n">
        <v>45019</v>
      </c>
      <c r="E250" s="2" t="inlineStr">
        <is>
          <t>14:30</t>
        </is>
      </c>
      <c r="F250" s="5" t="n">
        <v>797.5</v>
      </c>
      <c r="G250" s="5" t="n"/>
      <c r="H250" s="5" t="n"/>
      <c r="I250" s="5" t="n"/>
      <c r="J250" s="5" t="n">
        <v>159.5</v>
      </c>
      <c r="K250" s="5" t="n"/>
      <c r="L250" s="5" t="n"/>
      <c r="M250" s="5" t="n"/>
      <c r="N250" s="5" t="n"/>
      <c r="O250" s="5" t="n">
        <v>957</v>
      </c>
      <c r="P250" s="5" t="n"/>
      <c r="Q250" s="5" t="n">
        <v>957</v>
      </c>
      <c r="R250" s="5" t="n"/>
    </row>
    <row r="251">
      <c r="A251" s="2" t="inlineStr">
        <is>
          <t>EJ020523.TXT</t>
        </is>
      </c>
      <c r="B251" s="3" t="inlineStr">
        <is>
          <t>004786</t>
        </is>
      </c>
      <c r="C251" s="3" t="inlineStr">
        <is>
          <t>003811</t>
        </is>
      </c>
      <c r="D251" s="4" t="n">
        <v>45019</v>
      </c>
      <c r="E251" s="2" t="inlineStr">
        <is>
          <t>17:35</t>
        </is>
      </c>
      <c r="F251" s="5" t="n">
        <v>531.67</v>
      </c>
      <c r="G251" s="5" t="n"/>
      <c r="H251" s="5" t="n"/>
      <c r="I251" s="5" t="n"/>
      <c r="J251" s="5" t="n">
        <v>106.33</v>
      </c>
      <c r="K251" s="5" t="n"/>
      <c r="L251" s="5" t="n"/>
      <c r="M251" s="5" t="n"/>
      <c r="N251" s="5" t="n"/>
      <c r="O251" s="5" t="n">
        <v>638</v>
      </c>
      <c r="P251" s="5" t="n"/>
      <c r="Q251" s="5" t="n">
        <v>638</v>
      </c>
      <c r="R251" s="5" t="n"/>
    </row>
    <row r="252">
      <c r="A252" s="2" t="inlineStr">
        <is>
          <t>EJ020523.TXT</t>
        </is>
      </c>
      <c r="B252" s="3" t="inlineStr">
        <is>
          <t>004787</t>
        </is>
      </c>
      <c r="C252" s="3" t="inlineStr">
        <is>
          <t>003812</t>
        </is>
      </c>
      <c r="D252" s="4" t="n">
        <v>45019</v>
      </c>
      <c r="E252" s="2" t="inlineStr">
        <is>
          <t>17:36</t>
        </is>
      </c>
      <c r="F252" s="5" t="n">
        <v>265.83</v>
      </c>
      <c r="G252" s="5" t="n"/>
      <c r="H252" s="5" t="n"/>
      <c r="I252" s="5" t="n"/>
      <c r="J252" s="5" t="n">
        <v>53.17</v>
      </c>
      <c r="K252" s="5" t="n"/>
      <c r="L252" s="5" t="n"/>
      <c r="M252" s="5" t="n"/>
      <c r="N252" s="5" t="n"/>
      <c r="O252" s="5" t="n">
        <v>319</v>
      </c>
      <c r="P252" s="5" t="n"/>
      <c r="Q252" s="5" t="n">
        <v>319</v>
      </c>
      <c r="R252" s="5" t="n"/>
    </row>
    <row r="253">
      <c r="A253" s="2" t="inlineStr">
        <is>
          <t>EJ020523.TXT</t>
        </is>
      </c>
      <c r="B253" s="3" t="inlineStr">
        <is>
          <t>004788</t>
        </is>
      </c>
      <c r="C253" s="3" t="inlineStr">
        <is>
          <t>003813</t>
        </is>
      </c>
      <c r="D253" s="4" t="n">
        <v>45019</v>
      </c>
      <c r="E253" s="2" t="inlineStr">
        <is>
          <t>17:36</t>
        </is>
      </c>
      <c r="F253" s="5" t="n">
        <v>531.67</v>
      </c>
      <c r="G253" s="5" t="n"/>
      <c r="H253" s="5" t="n"/>
      <c r="I253" s="5" t="n"/>
      <c r="J253" s="5" t="n">
        <v>106.33</v>
      </c>
      <c r="K253" s="5" t="n"/>
      <c r="L253" s="5" t="n"/>
      <c r="M253" s="5" t="n"/>
      <c r="N253" s="5" t="n"/>
      <c r="O253" s="5" t="n">
        <v>638</v>
      </c>
      <c r="P253" s="5" t="n"/>
      <c r="Q253" s="5" t="n">
        <v>638</v>
      </c>
      <c r="R253" s="5" t="n"/>
    </row>
    <row r="254">
      <c r="A254" s="2" t="inlineStr">
        <is>
          <t>EJ020523.TXT</t>
        </is>
      </c>
      <c r="B254" s="3" t="inlineStr">
        <is>
          <t>004789</t>
        </is>
      </c>
      <c r="C254" s="3" t="inlineStr">
        <is>
          <t>003814</t>
        </is>
      </c>
      <c r="D254" s="4" t="n">
        <v>45019</v>
      </c>
      <c r="E254" s="2" t="inlineStr">
        <is>
          <t>17:36</t>
        </is>
      </c>
      <c r="F254" s="5" t="n">
        <v>797.5</v>
      </c>
      <c r="G254" s="5" t="n"/>
      <c r="H254" s="5" t="n"/>
      <c r="I254" s="5" t="n"/>
      <c r="J254" s="5" t="n">
        <v>159.5</v>
      </c>
      <c r="K254" s="5" t="n"/>
      <c r="L254" s="5" t="n"/>
      <c r="M254" s="5" t="n"/>
      <c r="N254" s="5" t="n"/>
      <c r="O254" s="5" t="n">
        <v>957</v>
      </c>
      <c r="P254" s="5" t="n"/>
      <c r="Q254" s="5" t="n">
        <v>957</v>
      </c>
      <c r="R254" s="5" t="n"/>
    </row>
    <row r="255">
      <c r="A255" s="2" t="inlineStr">
        <is>
          <t>EJ020523.TXT</t>
        </is>
      </c>
      <c r="B255" s="3" t="inlineStr">
        <is>
          <t>004790</t>
        </is>
      </c>
      <c r="C255" s="3" t="inlineStr">
        <is>
          <t>003815</t>
        </is>
      </c>
      <c r="D255" s="4" t="n">
        <v>45019</v>
      </c>
      <c r="E255" s="2" t="inlineStr">
        <is>
          <t>17:37</t>
        </is>
      </c>
      <c r="F255" s="5" t="n">
        <v>265.83</v>
      </c>
      <c r="G255" s="5" t="n"/>
      <c r="H255" s="5" t="n"/>
      <c r="I255" s="5" t="n"/>
      <c r="J255" s="5" t="n">
        <v>53.17</v>
      </c>
      <c r="K255" s="5" t="n"/>
      <c r="L255" s="5" t="n"/>
      <c r="M255" s="5" t="n"/>
      <c r="N255" s="5" t="n"/>
      <c r="O255" s="5" t="n">
        <v>319</v>
      </c>
      <c r="P255" s="5" t="n"/>
      <c r="Q255" s="5" t="n">
        <v>319</v>
      </c>
      <c r="R255" s="5" t="n"/>
    </row>
    <row r="256">
      <c r="A256" s="2" t="inlineStr">
        <is>
          <t>EJ020523.TXT</t>
        </is>
      </c>
      <c r="B256" s="3" t="inlineStr">
        <is>
          <t>004791</t>
        </is>
      </c>
      <c r="C256" s="3" t="inlineStr">
        <is>
          <t>003816</t>
        </is>
      </c>
      <c r="D256" s="4" t="n">
        <v>45019</v>
      </c>
      <c r="E256" s="2" t="inlineStr">
        <is>
          <t>17:37</t>
        </is>
      </c>
      <c r="F256" s="5" t="n">
        <v>531.67</v>
      </c>
      <c r="G256" s="5" t="n"/>
      <c r="H256" s="5" t="n"/>
      <c r="I256" s="5" t="n"/>
      <c r="J256" s="5" t="n">
        <v>106.33</v>
      </c>
      <c r="K256" s="5" t="n"/>
      <c r="L256" s="5" t="n"/>
      <c r="M256" s="5" t="n"/>
      <c r="N256" s="5" t="n"/>
      <c r="O256" s="5" t="n">
        <v>638</v>
      </c>
      <c r="P256" s="5" t="n"/>
      <c r="Q256" s="5" t="n">
        <v>638</v>
      </c>
      <c r="R256" s="5" t="n"/>
    </row>
    <row r="257">
      <c r="A257" s="2" t="inlineStr">
        <is>
          <t>EJ020523.TXT</t>
        </is>
      </c>
      <c r="B257" s="3" t="inlineStr">
        <is>
          <t>004792</t>
        </is>
      </c>
      <c r="C257" s="3" t="inlineStr">
        <is>
          <t>003817</t>
        </is>
      </c>
      <c r="D257" s="4" t="n">
        <v>45019</v>
      </c>
      <c r="E257" s="2" t="inlineStr">
        <is>
          <t>17:37</t>
        </is>
      </c>
      <c r="F257" s="5" t="n">
        <v>531.67</v>
      </c>
      <c r="G257" s="5" t="n"/>
      <c r="H257" s="5" t="n"/>
      <c r="I257" s="5" t="n"/>
      <c r="J257" s="5" t="n">
        <v>106.33</v>
      </c>
      <c r="K257" s="5" t="n"/>
      <c r="L257" s="5" t="n"/>
      <c r="M257" s="5" t="n"/>
      <c r="N257" s="5" t="n"/>
      <c r="O257" s="5" t="n">
        <v>638</v>
      </c>
      <c r="P257" s="5" t="n"/>
      <c r="Q257" s="5" t="n">
        <v>638</v>
      </c>
      <c r="R257" s="5" t="n"/>
    </row>
    <row r="258">
      <c r="A258" s="2" t="inlineStr">
        <is>
          <t>EJ020523.TXT</t>
        </is>
      </c>
      <c r="B258" s="3" t="inlineStr">
        <is>
          <t>004793</t>
        </is>
      </c>
      <c r="C258" s="3" t="inlineStr">
        <is>
          <t>003818</t>
        </is>
      </c>
      <c r="D258" s="4" t="n">
        <v>45019</v>
      </c>
      <c r="E258" s="2" t="inlineStr">
        <is>
          <t>17:38</t>
        </is>
      </c>
      <c r="F258" s="5" t="n">
        <v>797.5</v>
      </c>
      <c r="G258" s="5" t="n"/>
      <c r="H258" s="5" t="n"/>
      <c r="I258" s="5" t="n"/>
      <c r="J258" s="5" t="n">
        <v>159.5</v>
      </c>
      <c r="K258" s="5" t="n"/>
      <c r="L258" s="5" t="n"/>
      <c r="M258" s="5" t="n"/>
      <c r="N258" s="5" t="n"/>
      <c r="O258" s="5" t="n">
        <v>957</v>
      </c>
      <c r="P258" s="5" t="n"/>
      <c r="Q258" s="5" t="n">
        <v>957</v>
      </c>
      <c r="R258" s="5" t="n"/>
    </row>
    <row r="259">
      <c r="A259" s="2" t="inlineStr">
        <is>
          <t>EJ020523.TXT</t>
        </is>
      </c>
      <c r="B259" s="3" t="inlineStr">
        <is>
          <t>004794</t>
        </is>
      </c>
      <c r="C259" s="3" t="inlineStr">
        <is>
          <t>003819</t>
        </is>
      </c>
      <c r="D259" s="4" t="n">
        <v>45019</v>
      </c>
      <c r="E259" s="2" t="inlineStr">
        <is>
          <t>17:38</t>
        </is>
      </c>
      <c r="F259" s="5" t="n">
        <v>265.83</v>
      </c>
      <c r="G259" s="5" t="n"/>
      <c r="H259" s="5" t="n"/>
      <c r="I259" s="5" t="n"/>
      <c r="J259" s="5" t="n">
        <v>53.17</v>
      </c>
      <c r="K259" s="5" t="n"/>
      <c r="L259" s="5" t="n"/>
      <c r="M259" s="5" t="n"/>
      <c r="N259" s="5" t="n"/>
      <c r="O259" s="5" t="n">
        <v>319</v>
      </c>
      <c r="P259" s="5" t="n"/>
      <c r="Q259" s="5" t="n">
        <v>319</v>
      </c>
      <c r="R259" s="5" t="n"/>
    </row>
    <row r="260">
      <c r="A260" s="2" t="inlineStr">
        <is>
          <t>EJ020523.TXT</t>
        </is>
      </c>
      <c r="B260" s="3" t="inlineStr">
        <is>
          <t>004795</t>
        </is>
      </c>
      <c r="C260" s="3" t="inlineStr">
        <is>
          <t>003820</t>
        </is>
      </c>
      <c r="D260" s="4" t="n">
        <v>45019</v>
      </c>
      <c r="E260" s="2" t="inlineStr">
        <is>
          <t>17:39</t>
        </is>
      </c>
      <c r="F260" s="5" t="n">
        <v>265.83</v>
      </c>
      <c r="G260" s="5" t="n"/>
      <c r="H260" s="5" t="n"/>
      <c r="I260" s="5" t="n"/>
      <c r="J260" s="5" t="n">
        <v>53.17</v>
      </c>
      <c r="K260" s="5" t="n"/>
      <c r="L260" s="5" t="n"/>
      <c r="M260" s="5" t="n"/>
      <c r="N260" s="5" t="n"/>
      <c r="O260" s="5" t="n">
        <v>319</v>
      </c>
      <c r="P260" s="5" t="n"/>
      <c r="Q260" s="5" t="n">
        <v>319</v>
      </c>
      <c r="R260" s="5" t="n"/>
    </row>
    <row r="261">
      <c r="A261" s="2" t="inlineStr">
        <is>
          <t>EJ020523.TXT</t>
        </is>
      </c>
      <c r="B261" s="3" t="inlineStr">
        <is>
          <t>004796</t>
        </is>
      </c>
      <c r="C261" s="3" t="inlineStr">
        <is>
          <t>003821</t>
        </is>
      </c>
      <c r="D261" s="4" t="n">
        <v>45020</v>
      </c>
      <c r="E261" s="2" t="inlineStr">
        <is>
          <t>09:08</t>
        </is>
      </c>
      <c r="F261" s="5" t="n">
        <v>797.5</v>
      </c>
      <c r="G261" s="5" t="n"/>
      <c r="H261" s="5" t="n"/>
      <c r="I261" s="5" t="n"/>
      <c r="J261" s="5" t="n">
        <v>159.5</v>
      </c>
      <c r="K261" s="5" t="n"/>
      <c r="L261" s="5" t="n"/>
      <c r="M261" s="5" t="n"/>
      <c r="N261" s="5" t="n"/>
      <c r="O261" s="5" t="n">
        <v>957</v>
      </c>
      <c r="P261" s="5" t="n"/>
      <c r="Q261" s="5" t="n">
        <v>957</v>
      </c>
      <c r="R261" s="5" t="n"/>
    </row>
    <row r="262">
      <c r="A262" s="2" t="inlineStr">
        <is>
          <t>EJ020523.TXT</t>
        </is>
      </c>
      <c r="B262" s="3" t="inlineStr">
        <is>
          <t>004797</t>
        </is>
      </c>
      <c r="C262" s="3" t="inlineStr">
        <is>
          <t>003822</t>
        </is>
      </c>
      <c r="D262" s="4" t="n">
        <v>45020</v>
      </c>
      <c r="E262" s="2" t="inlineStr">
        <is>
          <t>09:08</t>
        </is>
      </c>
      <c r="F262" s="5" t="n">
        <v>797.5</v>
      </c>
      <c r="G262" s="5" t="n"/>
      <c r="H262" s="5" t="n"/>
      <c r="I262" s="5" t="n"/>
      <c r="J262" s="5" t="n">
        <v>159.5</v>
      </c>
      <c r="K262" s="5" t="n"/>
      <c r="L262" s="5" t="n"/>
      <c r="M262" s="5" t="n"/>
      <c r="N262" s="5" t="n"/>
      <c r="O262" s="5" t="n">
        <v>957</v>
      </c>
      <c r="P262" s="5" t="n"/>
      <c r="Q262" s="5" t="n">
        <v>957</v>
      </c>
      <c r="R262" s="5" t="n"/>
    </row>
    <row r="263">
      <c r="A263" s="2" t="inlineStr">
        <is>
          <t>EJ020523.TXT</t>
        </is>
      </c>
      <c r="B263" s="3" t="inlineStr">
        <is>
          <t>004798</t>
        </is>
      </c>
      <c r="C263" s="3" t="inlineStr">
        <is>
          <t>003823</t>
        </is>
      </c>
      <c r="D263" s="4" t="n">
        <v>45020</v>
      </c>
      <c r="E263" s="2" t="inlineStr">
        <is>
          <t>09:13</t>
        </is>
      </c>
      <c r="F263" s="5" t="n">
        <v>307.5</v>
      </c>
      <c r="G263" s="5" t="n"/>
      <c r="H263" s="5" t="n"/>
      <c r="I263" s="5" t="n"/>
      <c r="J263" s="5" t="n">
        <v>61.5</v>
      </c>
      <c r="K263" s="5" t="n"/>
      <c r="L263" s="5" t="n"/>
      <c r="M263" s="5" t="n"/>
      <c r="N263" s="5" t="n"/>
      <c r="O263" s="5" t="n">
        <v>369</v>
      </c>
      <c r="P263" s="5" t="n"/>
      <c r="Q263" s="5" t="n">
        <v>369</v>
      </c>
      <c r="R263" s="5" t="n"/>
    </row>
    <row r="264">
      <c r="A264" s="2" t="inlineStr">
        <is>
          <t>EJ020523.TXT</t>
        </is>
      </c>
      <c r="B264" s="3" t="inlineStr">
        <is>
          <t>004799</t>
        </is>
      </c>
      <c r="C264" s="3" t="inlineStr">
        <is>
          <t>003824</t>
        </is>
      </c>
      <c r="D264" s="4" t="n">
        <v>45020</v>
      </c>
      <c r="E264" s="2" t="inlineStr">
        <is>
          <t>10:50</t>
        </is>
      </c>
      <c r="F264" s="5" t="n">
        <v>822.5</v>
      </c>
      <c r="G264" s="5" t="n"/>
      <c r="H264" s="5" t="n"/>
      <c r="I264" s="5" t="n"/>
      <c r="J264" s="5" t="n">
        <v>164.5</v>
      </c>
      <c r="K264" s="5" t="n"/>
      <c r="L264" s="5" t="n"/>
      <c r="M264" s="5" t="n"/>
      <c r="N264" s="5" t="n"/>
      <c r="O264" s="5" t="n">
        <v>987</v>
      </c>
      <c r="P264" s="5" t="n"/>
      <c r="Q264" s="5" t="n">
        <v>987</v>
      </c>
      <c r="R264" s="5" t="n"/>
    </row>
    <row r="265">
      <c r="A265" s="2" t="inlineStr">
        <is>
          <t>EJ020523.TXT</t>
        </is>
      </c>
      <c r="B265" s="3" t="inlineStr">
        <is>
          <t>004800</t>
        </is>
      </c>
      <c r="C265" s="3" t="inlineStr">
        <is>
          <t>003825</t>
        </is>
      </c>
      <c r="D265" s="4" t="n">
        <v>45020</v>
      </c>
      <c r="E265" s="2" t="inlineStr">
        <is>
          <t>16:48</t>
        </is>
      </c>
      <c r="F265" s="5" t="n">
        <v>49.17</v>
      </c>
      <c r="G265" s="5" t="n"/>
      <c r="H265" s="5" t="n"/>
      <c r="I265" s="5" t="n"/>
      <c r="J265" s="5" t="n">
        <v>9.83</v>
      </c>
      <c r="K265" s="5" t="n"/>
      <c r="L265" s="5" t="n"/>
      <c r="M265" s="5" t="n"/>
      <c r="N265" s="5" t="n"/>
      <c r="O265" s="5" t="n">
        <v>59</v>
      </c>
      <c r="P265" s="5" t="n"/>
      <c r="Q265" s="5" t="n">
        <v>59</v>
      </c>
      <c r="R265" s="5" t="n"/>
    </row>
    <row r="266">
      <c r="A266" s="2" t="inlineStr">
        <is>
          <t>EJ020523.TXT</t>
        </is>
      </c>
      <c r="B266" s="3" t="inlineStr">
        <is>
          <t>004801</t>
        </is>
      </c>
      <c r="C266" s="3" t="inlineStr">
        <is>
          <t>003826</t>
        </is>
      </c>
      <c r="D266" s="4" t="n">
        <v>45020</v>
      </c>
      <c r="E266" s="2" t="inlineStr">
        <is>
          <t>17:05</t>
        </is>
      </c>
      <c r="F266" s="5" t="n">
        <v>240</v>
      </c>
      <c r="G266" s="5" t="n"/>
      <c r="H266" s="5" t="n"/>
      <c r="I266" s="5" t="n"/>
      <c r="J266" s="5" t="n">
        <v>48</v>
      </c>
      <c r="K266" s="5" t="n"/>
      <c r="L266" s="5" t="n"/>
      <c r="M266" s="5" t="n"/>
      <c r="N266" s="5" t="n"/>
      <c r="O266" s="5" t="n">
        <v>288</v>
      </c>
      <c r="P266" s="5" t="n"/>
      <c r="Q266" s="5" t="n">
        <v>288</v>
      </c>
      <c r="R266" s="5" t="n"/>
    </row>
    <row r="267">
      <c r="A267" s="2" t="inlineStr">
        <is>
          <t>EJ020523.TXT</t>
        </is>
      </c>
      <c r="B267" s="3" t="inlineStr">
        <is>
          <t>004802</t>
        </is>
      </c>
      <c r="C267" s="3" t="inlineStr">
        <is>
          <t>003827</t>
        </is>
      </c>
      <c r="D267" s="4" t="n">
        <v>45021</v>
      </c>
      <c r="E267" s="2" t="inlineStr">
        <is>
          <t>11:14</t>
        </is>
      </c>
      <c r="F267" s="5" t="n">
        <v>531.67</v>
      </c>
      <c r="G267" s="5" t="n"/>
      <c r="H267" s="5" t="n"/>
      <c r="I267" s="5" t="n"/>
      <c r="J267" s="5" t="n">
        <v>106.33</v>
      </c>
      <c r="K267" s="5" t="n"/>
      <c r="L267" s="5" t="n"/>
      <c r="M267" s="5" t="n"/>
      <c r="N267" s="5" t="n"/>
      <c r="O267" s="5" t="n">
        <v>638</v>
      </c>
      <c r="P267" s="5" t="n"/>
      <c r="Q267" s="5" t="n">
        <v>638</v>
      </c>
      <c r="R267" s="5" t="n"/>
    </row>
    <row r="268">
      <c r="A268" s="2" t="inlineStr">
        <is>
          <t>EJ020523.TXT</t>
        </is>
      </c>
      <c r="B268" s="3" t="inlineStr">
        <is>
          <t>004803</t>
        </is>
      </c>
      <c r="C268" s="3" t="inlineStr">
        <is>
          <t>003828</t>
        </is>
      </c>
      <c r="D268" s="4" t="n">
        <v>45021</v>
      </c>
      <c r="E268" s="2" t="inlineStr">
        <is>
          <t>11:15</t>
        </is>
      </c>
      <c r="F268" s="5" t="n">
        <v>175</v>
      </c>
      <c r="G268" s="5" t="n"/>
      <c r="H268" s="5" t="n"/>
      <c r="I268" s="5" t="n"/>
      <c r="J268" s="5" t="n">
        <v>35</v>
      </c>
      <c r="K268" s="5" t="n"/>
      <c r="L268" s="5" t="n"/>
      <c r="M268" s="5" t="n"/>
      <c r="N268" s="5" t="n"/>
      <c r="O268" s="5" t="n">
        <v>210</v>
      </c>
      <c r="P268" s="5" t="n"/>
      <c r="Q268" s="5" t="n">
        <v>210</v>
      </c>
      <c r="R268" s="5" t="n"/>
    </row>
    <row r="269">
      <c r="A269" s="2" t="inlineStr">
        <is>
          <t>EJ020523.TXT</t>
        </is>
      </c>
      <c r="B269" s="3" t="inlineStr">
        <is>
          <t>004804</t>
        </is>
      </c>
      <c r="C269" s="3" t="inlineStr">
        <is>
          <t>003829</t>
        </is>
      </c>
      <c r="D269" s="4" t="n">
        <v>45021</v>
      </c>
      <c r="E269" s="2" t="inlineStr">
        <is>
          <t>13:55</t>
        </is>
      </c>
      <c r="F269" s="5" t="n">
        <v>797.5</v>
      </c>
      <c r="G269" s="5" t="n"/>
      <c r="H269" s="5" t="n"/>
      <c r="I269" s="5" t="n"/>
      <c r="J269" s="5" t="n">
        <v>159.5</v>
      </c>
      <c r="K269" s="5" t="n"/>
      <c r="L269" s="5" t="n"/>
      <c r="M269" s="5" t="n"/>
      <c r="N269" s="5" t="n"/>
      <c r="O269" s="5" t="n">
        <v>957</v>
      </c>
      <c r="P269" s="5" t="n"/>
      <c r="Q269" s="5" t="n">
        <v>957</v>
      </c>
      <c r="R269" s="5" t="n"/>
    </row>
    <row r="270">
      <c r="A270" s="2" t="inlineStr">
        <is>
          <t>EJ020523.TXT</t>
        </is>
      </c>
      <c r="B270" s="3" t="inlineStr">
        <is>
          <t>004805</t>
        </is>
      </c>
      <c r="C270" s="3" t="inlineStr">
        <is>
          <t>003830</t>
        </is>
      </c>
      <c r="D270" s="4" t="n">
        <v>45021</v>
      </c>
      <c r="E270" s="2" t="inlineStr">
        <is>
          <t>13:55</t>
        </is>
      </c>
      <c r="F270" s="5" t="n">
        <v>797.5</v>
      </c>
      <c r="G270" s="5" t="n"/>
      <c r="H270" s="5" t="n"/>
      <c r="I270" s="5" t="n"/>
      <c r="J270" s="5" t="n">
        <v>159.5</v>
      </c>
      <c r="K270" s="5" t="n"/>
      <c r="L270" s="5" t="n"/>
      <c r="M270" s="5" t="n"/>
      <c r="N270" s="5" t="n"/>
      <c r="O270" s="5" t="n">
        <v>957</v>
      </c>
      <c r="P270" s="5" t="n"/>
      <c r="Q270" s="5" t="n">
        <v>957</v>
      </c>
      <c r="R270" s="5" t="n"/>
    </row>
    <row r="271">
      <c r="A271" s="2" t="inlineStr">
        <is>
          <t>EJ020523.TXT</t>
        </is>
      </c>
      <c r="B271" s="3" t="inlineStr">
        <is>
          <t>004806</t>
        </is>
      </c>
      <c r="C271" s="3" t="inlineStr">
        <is>
          <t>003831</t>
        </is>
      </c>
      <c r="D271" s="4" t="n">
        <v>45022</v>
      </c>
      <c r="E271" s="2" t="inlineStr">
        <is>
          <t>10:13</t>
        </is>
      </c>
      <c r="F271" s="5" t="n">
        <v>797.5</v>
      </c>
      <c r="G271" s="5" t="n"/>
      <c r="H271" s="5" t="n"/>
      <c r="I271" s="5" t="n"/>
      <c r="J271" s="5" t="n">
        <v>159.5</v>
      </c>
      <c r="K271" s="5" t="n"/>
      <c r="L271" s="5" t="n"/>
      <c r="M271" s="5" t="n"/>
      <c r="N271" s="5" t="n"/>
      <c r="O271" s="5" t="n">
        <v>957</v>
      </c>
      <c r="P271" s="5" t="n"/>
      <c r="Q271" s="5" t="n">
        <v>957</v>
      </c>
      <c r="R271" s="5" t="n"/>
    </row>
    <row r="272">
      <c r="A272" s="2" t="inlineStr">
        <is>
          <t>EJ020523.TXT</t>
        </is>
      </c>
      <c r="B272" s="3" t="inlineStr">
        <is>
          <t>004807</t>
        </is>
      </c>
      <c r="C272" s="3" t="inlineStr">
        <is>
          <t>003832</t>
        </is>
      </c>
      <c r="D272" s="4" t="n">
        <v>45022</v>
      </c>
      <c r="E272" s="2" t="inlineStr">
        <is>
          <t>10:14</t>
        </is>
      </c>
      <c r="F272" s="5" t="n">
        <v>797.5</v>
      </c>
      <c r="G272" s="5" t="n"/>
      <c r="H272" s="5" t="n"/>
      <c r="I272" s="5" t="n"/>
      <c r="J272" s="5" t="n">
        <v>159.5</v>
      </c>
      <c r="K272" s="5" t="n"/>
      <c r="L272" s="5" t="n"/>
      <c r="M272" s="5" t="n"/>
      <c r="N272" s="5" t="n"/>
      <c r="O272" s="5" t="n">
        <v>957</v>
      </c>
      <c r="P272" s="5" t="n"/>
      <c r="Q272" s="5" t="n">
        <v>957</v>
      </c>
      <c r="R272" s="5" t="n"/>
    </row>
    <row r="273">
      <c r="A273" s="2" t="inlineStr">
        <is>
          <t>EJ020523.TXT</t>
        </is>
      </c>
      <c r="B273" s="3" t="inlineStr">
        <is>
          <t>004808</t>
        </is>
      </c>
      <c r="C273" s="3" t="inlineStr">
        <is>
          <t>003833</t>
        </is>
      </c>
      <c r="D273" s="4" t="n">
        <v>45022</v>
      </c>
      <c r="E273" s="2" t="inlineStr">
        <is>
          <t>12:09</t>
        </is>
      </c>
      <c r="F273" s="5" t="n">
        <v>208.33</v>
      </c>
      <c r="G273" s="5" t="n"/>
      <c r="H273" s="5" t="n"/>
      <c r="I273" s="5" t="n"/>
      <c r="J273" s="5" t="n">
        <v>41.67</v>
      </c>
      <c r="K273" s="5" t="n"/>
      <c r="L273" s="5" t="n"/>
      <c r="M273" s="5" t="n"/>
      <c r="N273" s="5" t="n"/>
      <c r="O273" s="5" t="n">
        <v>250</v>
      </c>
      <c r="P273" s="5" t="n"/>
      <c r="Q273" s="5" t="n">
        <v>250</v>
      </c>
      <c r="R273" s="5" t="n"/>
    </row>
    <row r="274">
      <c r="A274" s="2" t="inlineStr">
        <is>
          <t>EJ020523.TXT</t>
        </is>
      </c>
      <c r="B274" s="3" t="inlineStr">
        <is>
          <t>004809</t>
        </is>
      </c>
      <c r="C274" s="3" t="inlineStr">
        <is>
          <t>003834</t>
        </is>
      </c>
      <c r="D274" s="4" t="n">
        <v>45022</v>
      </c>
      <c r="E274" s="2" t="inlineStr">
        <is>
          <t>14:09</t>
        </is>
      </c>
      <c r="F274" s="5" t="n">
        <v>208.33</v>
      </c>
      <c r="G274" s="5" t="n"/>
      <c r="H274" s="5" t="n"/>
      <c r="I274" s="5" t="n"/>
      <c r="J274" s="5" t="n">
        <v>41.67</v>
      </c>
      <c r="K274" s="5" t="n"/>
      <c r="L274" s="5" t="n"/>
      <c r="M274" s="5" t="n"/>
      <c r="N274" s="5" t="n"/>
      <c r="O274" s="5" t="n">
        <v>250</v>
      </c>
      <c r="P274" s="5" t="n"/>
      <c r="Q274" s="5" t="n">
        <v>250</v>
      </c>
      <c r="R274" s="5" t="n"/>
    </row>
    <row r="275">
      <c r="A275" s="2" t="inlineStr">
        <is>
          <t>EJ020523.TXT</t>
        </is>
      </c>
      <c r="B275" s="3" t="inlineStr">
        <is>
          <t>004810</t>
        </is>
      </c>
      <c r="C275" s="3" t="inlineStr">
        <is>
          <t>003835</t>
        </is>
      </c>
      <c r="D275" s="4" t="n">
        <v>45023</v>
      </c>
      <c r="E275" s="2" t="inlineStr">
        <is>
          <t>09:40</t>
        </is>
      </c>
      <c r="F275" s="5" t="n">
        <v>797.5</v>
      </c>
      <c r="G275" s="5" t="n"/>
      <c r="H275" s="5" t="n"/>
      <c r="I275" s="5" t="n"/>
      <c r="J275" s="5" t="n">
        <v>159.5</v>
      </c>
      <c r="K275" s="5" t="n"/>
      <c r="L275" s="5" t="n"/>
      <c r="M275" s="5" t="n"/>
      <c r="N275" s="5" t="n"/>
      <c r="O275" s="5" t="n">
        <v>957</v>
      </c>
      <c r="P275" s="5" t="n"/>
      <c r="Q275" s="5" t="n">
        <v>957</v>
      </c>
      <c r="R275" s="5" t="n"/>
    </row>
    <row r="276">
      <c r="A276" s="2" t="inlineStr">
        <is>
          <t>EJ020523.TXT</t>
        </is>
      </c>
      <c r="B276" s="3" t="inlineStr">
        <is>
          <t>004811</t>
        </is>
      </c>
      <c r="C276" s="3" t="inlineStr">
        <is>
          <t>003836</t>
        </is>
      </c>
      <c r="D276" s="4" t="n">
        <v>45023</v>
      </c>
      <c r="E276" s="2" t="inlineStr">
        <is>
          <t>13:34</t>
        </is>
      </c>
      <c r="F276" s="5" t="n">
        <v>98.33</v>
      </c>
      <c r="G276" s="5" t="n"/>
      <c r="H276" s="5" t="n"/>
      <c r="I276" s="5" t="n"/>
      <c r="J276" s="5" t="n">
        <v>19.67</v>
      </c>
      <c r="K276" s="5" t="n"/>
      <c r="L276" s="5" t="n"/>
      <c r="M276" s="5" t="n"/>
      <c r="N276" s="5" t="n"/>
      <c r="O276" s="5" t="n">
        <v>118</v>
      </c>
      <c r="P276" s="5" t="n">
        <v>118</v>
      </c>
      <c r="Q276" s="5" t="n"/>
      <c r="R276" s="5" t="n"/>
    </row>
    <row r="277">
      <c r="A277" s="2" t="inlineStr">
        <is>
          <t>EJ020523.TXT</t>
        </is>
      </c>
      <c r="B277" s="3" t="inlineStr">
        <is>
          <t>004812</t>
        </is>
      </c>
      <c r="C277" s="3" t="inlineStr">
        <is>
          <t>003837</t>
        </is>
      </c>
      <c r="D277" s="4" t="n">
        <v>45023</v>
      </c>
      <c r="E277" s="2" t="inlineStr">
        <is>
          <t>16:11</t>
        </is>
      </c>
      <c r="F277" s="5" t="n">
        <v>799.17</v>
      </c>
      <c r="G277" s="5" t="n"/>
      <c r="H277" s="5" t="n"/>
      <c r="I277" s="5" t="n"/>
      <c r="J277" s="5" t="n">
        <v>159.83</v>
      </c>
      <c r="K277" s="5" t="n"/>
      <c r="L277" s="5" t="n"/>
      <c r="M277" s="5" t="n"/>
      <c r="N277" s="5" t="n"/>
      <c r="O277" s="5" t="n">
        <v>959</v>
      </c>
      <c r="P277" s="5" t="n"/>
      <c r="Q277" s="5" t="n">
        <v>959</v>
      </c>
      <c r="R277" s="5" t="n"/>
    </row>
    <row r="278">
      <c r="A278" s="2" t="inlineStr">
        <is>
          <t>EJ020523.TXT</t>
        </is>
      </c>
      <c r="B278" s="3" t="inlineStr">
        <is>
          <t>004813</t>
        </is>
      </c>
      <c r="C278" s="3" t="inlineStr">
        <is>
          <t>003838</t>
        </is>
      </c>
      <c r="D278" s="4" t="n">
        <v>45023</v>
      </c>
      <c r="E278" s="2" t="inlineStr">
        <is>
          <t>16:17</t>
        </is>
      </c>
      <c r="F278" s="5" t="n">
        <v>208.33</v>
      </c>
      <c r="G278" s="5" t="n"/>
      <c r="H278" s="5" t="n"/>
      <c r="I278" s="5" t="n"/>
      <c r="J278" s="5" t="n">
        <v>41.67</v>
      </c>
      <c r="K278" s="5" t="n"/>
      <c r="L278" s="5" t="n"/>
      <c r="M278" s="5" t="n"/>
      <c r="N278" s="5" t="n"/>
      <c r="O278" s="5" t="n">
        <v>250</v>
      </c>
      <c r="P278" s="5" t="n"/>
      <c r="Q278" s="5" t="n">
        <v>250</v>
      </c>
      <c r="R278" s="5" t="n"/>
    </row>
    <row r="279">
      <c r="A279" s="2" t="inlineStr">
        <is>
          <t>EJ020523.TXT</t>
        </is>
      </c>
      <c r="B279" s="3" t="inlineStr">
        <is>
          <t>004814</t>
        </is>
      </c>
      <c r="C279" s="3" t="inlineStr">
        <is>
          <t>003839</t>
        </is>
      </c>
      <c r="D279" s="4" t="n">
        <v>45024</v>
      </c>
      <c r="E279" s="2" t="inlineStr">
        <is>
          <t>16:00</t>
        </is>
      </c>
      <c r="F279" s="5" t="n">
        <v>98.33</v>
      </c>
      <c r="G279" s="5" t="n"/>
      <c r="H279" s="5" t="n"/>
      <c r="I279" s="5" t="n"/>
      <c r="J279" s="5" t="n">
        <v>19.67</v>
      </c>
      <c r="K279" s="5" t="n"/>
      <c r="L279" s="5" t="n"/>
      <c r="M279" s="5" t="n"/>
      <c r="N279" s="5" t="n"/>
      <c r="O279" s="5" t="n">
        <v>118</v>
      </c>
      <c r="P279" s="5" t="n">
        <v>118</v>
      </c>
      <c r="Q279" s="5" t="n"/>
      <c r="R279" s="5" t="n"/>
    </row>
    <row r="280">
      <c r="A280" s="2" t="inlineStr">
        <is>
          <t>EJ020523.TXT</t>
        </is>
      </c>
      <c r="B280" s="3" t="inlineStr">
        <is>
          <t>004815</t>
        </is>
      </c>
      <c r="C280" s="3" t="inlineStr">
        <is>
          <t>003840</t>
        </is>
      </c>
      <c r="D280" s="4" t="n">
        <v>45027</v>
      </c>
      <c r="E280" s="2" t="inlineStr">
        <is>
          <t>09:52</t>
        </is>
      </c>
      <c r="F280" s="5" t="n">
        <v>797.5</v>
      </c>
      <c r="G280" s="5" t="n"/>
      <c r="H280" s="5" t="n"/>
      <c r="I280" s="5" t="n"/>
      <c r="J280" s="5" t="n">
        <v>159.5</v>
      </c>
      <c r="K280" s="5" t="n"/>
      <c r="L280" s="5" t="n"/>
      <c r="M280" s="5" t="n"/>
      <c r="N280" s="5" t="n"/>
      <c r="O280" s="5" t="n">
        <v>957</v>
      </c>
      <c r="P280" s="5" t="n"/>
      <c r="Q280" s="5" t="n">
        <v>957</v>
      </c>
      <c r="R280" s="5" t="n"/>
    </row>
    <row r="281">
      <c r="A281" s="2" t="inlineStr">
        <is>
          <t>EJ020523.TXT</t>
        </is>
      </c>
      <c r="B281" s="3" t="inlineStr">
        <is>
          <t>004816</t>
        </is>
      </c>
      <c r="C281" s="3" t="inlineStr">
        <is>
          <t>003841</t>
        </is>
      </c>
      <c r="D281" s="4" t="n">
        <v>45028</v>
      </c>
      <c r="E281" s="2" t="inlineStr">
        <is>
          <t>10:11</t>
        </is>
      </c>
      <c r="F281" s="5" t="n">
        <v>797.5</v>
      </c>
      <c r="G281" s="5" t="n"/>
      <c r="H281" s="5" t="n"/>
      <c r="I281" s="5" t="n"/>
      <c r="J281" s="5" t="n">
        <v>159.5</v>
      </c>
      <c r="K281" s="5" t="n"/>
      <c r="L281" s="5" t="n"/>
      <c r="M281" s="5" t="n"/>
      <c r="N281" s="5" t="n"/>
      <c r="O281" s="5" t="n">
        <v>957</v>
      </c>
      <c r="P281" s="5" t="n"/>
      <c r="Q281" s="5" t="n">
        <v>957</v>
      </c>
      <c r="R281" s="5" t="n"/>
    </row>
    <row r="282">
      <c r="A282" s="2" t="inlineStr">
        <is>
          <t>EJ020523.TXT</t>
        </is>
      </c>
      <c r="B282" s="3" t="inlineStr">
        <is>
          <t>004817</t>
        </is>
      </c>
      <c r="C282" s="3" t="inlineStr">
        <is>
          <t>003842</t>
        </is>
      </c>
      <c r="D282" s="4" t="n">
        <v>45028</v>
      </c>
      <c r="E282" s="2" t="inlineStr">
        <is>
          <t>11:28</t>
        </is>
      </c>
      <c r="F282" s="5" t="n">
        <v>263.33</v>
      </c>
      <c r="G282" s="5" t="n"/>
      <c r="H282" s="5" t="n"/>
      <c r="I282" s="5" t="n"/>
      <c r="J282" s="5" t="n">
        <v>52.67</v>
      </c>
      <c r="K282" s="5" t="n"/>
      <c r="L282" s="5" t="n"/>
      <c r="M282" s="5" t="n"/>
      <c r="N282" s="5" t="n"/>
      <c r="O282" s="5" t="n">
        <v>316</v>
      </c>
      <c r="P282" s="5" t="n">
        <v>316</v>
      </c>
      <c r="Q282" s="5" t="n"/>
      <c r="R282" s="5" t="n"/>
    </row>
    <row r="283">
      <c r="A283" s="2" t="inlineStr">
        <is>
          <t>EJ020523.TXT</t>
        </is>
      </c>
      <c r="B283" s="3" t="inlineStr">
        <is>
          <t>004818</t>
        </is>
      </c>
      <c r="C283" s="3" t="inlineStr">
        <is>
          <t>003843</t>
        </is>
      </c>
      <c r="D283" s="4" t="n">
        <v>45028</v>
      </c>
      <c r="E283" s="2" t="inlineStr">
        <is>
          <t>11:32</t>
        </is>
      </c>
      <c r="F283" s="5" t="n">
        <v>398.33</v>
      </c>
      <c r="G283" s="5" t="n"/>
      <c r="H283" s="5" t="n"/>
      <c r="I283" s="5" t="n"/>
      <c r="J283" s="5" t="n">
        <v>79.67</v>
      </c>
      <c r="K283" s="5" t="n"/>
      <c r="L283" s="5" t="n"/>
      <c r="M283" s="5" t="n"/>
      <c r="N283" s="5" t="n"/>
      <c r="O283" s="5" t="n">
        <v>478</v>
      </c>
      <c r="P283" s="5" t="n">
        <v>478</v>
      </c>
      <c r="Q283" s="5" t="n"/>
      <c r="R283" s="5" t="n"/>
    </row>
    <row r="284">
      <c r="A284" s="2" t="inlineStr">
        <is>
          <t>EJ020523.TXT</t>
        </is>
      </c>
      <c r="B284" s="3" t="inlineStr">
        <is>
          <t>004819</t>
        </is>
      </c>
      <c r="C284" s="3" t="inlineStr">
        <is>
          <t>003844</t>
        </is>
      </c>
      <c r="D284" s="4" t="n">
        <v>45028</v>
      </c>
      <c r="E284" s="2" t="inlineStr">
        <is>
          <t>16:03</t>
        </is>
      </c>
      <c r="F284" s="5" t="n">
        <v>250</v>
      </c>
      <c r="G284" s="5" t="n"/>
      <c r="H284" s="5" t="n"/>
      <c r="I284" s="5" t="n"/>
      <c r="J284" s="5" t="n">
        <v>50</v>
      </c>
      <c r="K284" s="5" t="n"/>
      <c r="L284" s="5" t="n"/>
      <c r="M284" s="5" t="n"/>
      <c r="N284" s="5" t="n"/>
      <c r="O284" s="5" t="n">
        <v>300</v>
      </c>
      <c r="P284" s="5" t="n"/>
      <c r="Q284" s="5" t="n">
        <v>300</v>
      </c>
      <c r="R284" s="5" t="n"/>
    </row>
    <row r="285">
      <c r="A285" s="2" t="inlineStr">
        <is>
          <t>EJ020523.TXT</t>
        </is>
      </c>
      <c r="B285" s="3" t="inlineStr">
        <is>
          <t>004820</t>
        </is>
      </c>
      <c r="C285" s="3" t="inlineStr">
        <is>
          <t>003845</t>
        </is>
      </c>
      <c r="D285" s="4" t="n">
        <v>45028</v>
      </c>
      <c r="E285" s="2" t="inlineStr">
        <is>
          <t>16:03</t>
        </is>
      </c>
      <c r="F285" s="5" t="n">
        <v>298.33</v>
      </c>
      <c r="G285" s="5" t="n"/>
      <c r="H285" s="5" t="n"/>
      <c r="I285" s="5" t="n"/>
      <c r="J285" s="5" t="n">
        <v>59.67</v>
      </c>
      <c r="K285" s="5" t="n"/>
      <c r="L285" s="5" t="n"/>
      <c r="M285" s="5" t="n"/>
      <c r="N285" s="5" t="n"/>
      <c r="O285" s="5" t="n">
        <v>358</v>
      </c>
      <c r="P285" s="5" t="n">
        <v>358</v>
      </c>
      <c r="Q285" s="5" t="n"/>
      <c r="R285" s="5" t="n"/>
    </row>
    <row r="286">
      <c r="A286" s="2" t="inlineStr">
        <is>
          <t>EJ020523.TXT</t>
        </is>
      </c>
      <c r="B286" s="3" t="inlineStr">
        <is>
          <t>004821</t>
        </is>
      </c>
      <c r="C286" s="3" t="inlineStr">
        <is>
          <t>003846</t>
        </is>
      </c>
      <c r="D286" s="4" t="n">
        <v>45029</v>
      </c>
      <c r="E286" s="2" t="inlineStr">
        <is>
          <t>09:52</t>
        </is>
      </c>
      <c r="F286" s="5" t="n">
        <v>797.5</v>
      </c>
      <c r="G286" s="5" t="n"/>
      <c r="H286" s="5" t="n"/>
      <c r="I286" s="5" t="n"/>
      <c r="J286" s="5" t="n">
        <v>159.5</v>
      </c>
      <c r="K286" s="5" t="n"/>
      <c r="L286" s="5" t="n"/>
      <c r="M286" s="5" t="n"/>
      <c r="N286" s="5" t="n"/>
      <c r="O286" s="5" t="n">
        <v>957</v>
      </c>
      <c r="P286" s="5" t="n"/>
      <c r="Q286" s="5" t="n">
        <v>957</v>
      </c>
      <c r="R286" s="5" t="n"/>
    </row>
    <row r="287">
      <c r="A287" s="2" t="inlineStr">
        <is>
          <t>EJ020523.TXT</t>
        </is>
      </c>
      <c r="B287" s="3" t="inlineStr">
        <is>
          <t>004822</t>
        </is>
      </c>
      <c r="C287" s="3" t="inlineStr">
        <is>
          <t>003847</t>
        </is>
      </c>
      <c r="D287" s="4" t="n">
        <v>45029</v>
      </c>
      <c r="E287" s="2" t="inlineStr">
        <is>
          <t>11:02</t>
        </is>
      </c>
      <c r="F287" s="5" t="n">
        <v>797.5</v>
      </c>
      <c r="G287" s="5" t="n"/>
      <c r="H287" s="5" t="n"/>
      <c r="I287" s="5" t="n"/>
      <c r="J287" s="5" t="n">
        <v>159.5</v>
      </c>
      <c r="K287" s="5" t="n"/>
      <c r="L287" s="5" t="n"/>
      <c r="M287" s="5" t="n"/>
      <c r="N287" s="5" t="n"/>
      <c r="O287" s="5" t="n">
        <v>957</v>
      </c>
      <c r="P287" s="5" t="n"/>
      <c r="Q287" s="5" t="n">
        <v>957</v>
      </c>
      <c r="R287" s="5" t="n"/>
    </row>
    <row r="288">
      <c r="A288" s="2" t="inlineStr">
        <is>
          <t>EJ020523.TXT</t>
        </is>
      </c>
      <c r="B288" s="3" t="inlineStr">
        <is>
          <t>004823</t>
        </is>
      </c>
      <c r="C288" s="3" t="inlineStr">
        <is>
          <t>003848</t>
        </is>
      </c>
      <c r="D288" s="4" t="n">
        <v>45031</v>
      </c>
      <c r="E288" s="2" t="inlineStr">
        <is>
          <t>15:38</t>
        </is>
      </c>
      <c r="F288" s="5" t="n">
        <v>582.5</v>
      </c>
      <c r="G288" s="5" t="n"/>
      <c r="H288" s="5" t="n"/>
      <c r="I288" s="5" t="n"/>
      <c r="J288" s="5" t="n">
        <v>116.5</v>
      </c>
      <c r="K288" s="5" t="n"/>
      <c r="L288" s="5" t="n"/>
      <c r="M288" s="5" t="n"/>
      <c r="N288" s="5" t="n"/>
      <c r="O288" s="5" t="n">
        <v>699</v>
      </c>
      <c r="P288" s="5" t="n">
        <v>699</v>
      </c>
      <c r="Q288" s="5" t="n"/>
      <c r="R288" s="5" t="n"/>
    </row>
    <row r="289">
      <c r="A289" s="2" t="inlineStr">
        <is>
          <t>EJ020523.TXT</t>
        </is>
      </c>
      <c r="B289" s="3" t="inlineStr">
        <is>
          <t>004824</t>
        </is>
      </c>
      <c r="C289" s="3" t="inlineStr">
        <is>
          <t>003849</t>
        </is>
      </c>
      <c r="D289" s="4" t="n">
        <v>45031</v>
      </c>
      <c r="E289" s="2" t="inlineStr">
        <is>
          <t>16:43</t>
        </is>
      </c>
      <c r="F289" s="5" t="n">
        <v>49.17</v>
      </c>
      <c r="G289" s="5" t="n"/>
      <c r="H289" s="5" t="n"/>
      <c r="I289" s="5" t="n"/>
      <c r="J289" s="5" t="n">
        <v>9.83</v>
      </c>
      <c r="K289" s="5" t="n"/>
      <c r="L289" s="5" t="n"/>
      <c r="M289" s="5" t="n"/>
      <c r="N289" s="5" t="n"/>
      <c r="O289" s="5" t="n">
        <v>59</v>
      </c>
      <c r="P289" s="5" t="n">
        <v>59</v>
      </c>
      <c r="Q289" s="5" t="n"/>
      <c r="R289" s="5" t="n"/>
    </row>
    <row r="290">
      <c r="A290" s="2" t="inlineStr">
        <is>
          <t>EJ020523.TXT</t>
        </is>
      </c>
      <c r="B290" s="3" t="inlineStr">
        <is>
          <t>004825</t>
        </is>
      </c>
      <c r="C290" s="3" t="inlineStr">
        <is>
          <t>003850</t>
        </is>
      </c>
      <c r="D290" s="4" t="n">
        <v>45033</v>
      </c>
      <c r="E290" s="2" t="inlineStr">
        <is>
          <t>17:37</t>
        </is>
      </c>
      <c r="F290" s="5" t="n">
        <v>582.5</v>
      </c>
      <c r="G290" s="5" t="n"/>
      <c r="H290" s="5" t="n"/>
      <c r="I290" s="5" t="n"/>
      <c r="J290" s="5" t="n">
        <v>116.5</v>
      </c>
      <c r="K290" s="5" t="n"/>
      <c r="L290" s="5" t="n"/>
      <c r="M290" s="5" t="n"/>
      <c r="N290" s="5" t="n"/>
      <c r="O290" s="5" t="n">
        <v>699</v>
      </c>
      <c r="P290" s="5" t="n"/>
      <c r="Q290" s="5" t="n">
        <v>699</v>
      </c>
      <c r="R290" s="5" t="n"/>
    </row>
    <row r="291">
      <c r="A291" s="2" t="inlineStr">
        <is>
          <t>EJ020523.TXT</t>
        </is>
      </c>
      <c r="B291" s="3" t="inlineStr">
        <is>
          <t>004826</t>
        </is>
      </c>
      <c r="C291" s="3" t="inlineStr">
        <is>
          <t>003851</t>
        </is>
      </c>
      <c r="D291" s="4" t="n">
        <v>45034</v>
      </c>
      <c r="E291" s="2" t="inlineStr">
        <is>
          <t>17:18</t>
        </is>
      </c>
      <c r="F291" s="5" t="n">
        <v>274.17</v>
      </c>
      <c r="G291" s="5" t="n"/>
      <c r="H291" s="5" t="n"/>
      <c r="I291" s="5" t="n"/>
      <c r="J291" s="5" t="n">
        <v>54.83</v>
      </c>
      <c r="K291" s="5" t="n"/>
      <c r="L291" s="5" t="n"/>
      <c r="M291" s="5" t="n"/>
      <c r="N291" s="5" t="n"/>
      <c r="O291" s="5" t="n">
        <v>329</v>
      </c>
      <c r="P291" s="5" t="n"/>
      <c r="Q291" s="5" t="n">
        <v>329</v>
      </c>
      <c r="R291" s="5" t="n"/>
    </row>
    <row r="292">
      <c r="A292" s="2" t="inlineStr">
        <is>
          <t>EJ020523.TXT</t>
        </is>
      </c>
      <c r="B292" s="3" t="inlineStr">
        <is>
          <t>004827</t>
        </is>
      </c>
      <c r="C292" s="3" t="inlineStr">
        <is>
          <t>003852</t>
        </is>
      </c>
      <c r="D292" s="4" t="n">
        <v>45035</v>
      </c>
      <c r="E292" s="2" t="inlineStr">
        <is>
          <t>14:47</t>
        </is>
      </c>
      <c r="F292" s="5" t="n">
        <v>83.33</v>
      </c>
      <c r="G292" s="5" t="n"/>
      <c r="H292" s="5" t="n"/>
      <c r="I292" s="5" t="n"/>
      <c r="J292" s="5" t="n">
        <v>16.67</v>
      </c>
      <c r="K292" s="5" t="n"/>
      <c r="L292" s="5" t="n"/>
      <c r="M292" s="5" t="n"/>
      <c r="N292" s="5" t="n"/>
      <c r="O292" s="5" t="n">
        <v>100</v>
      </c>
      <c r="P292" s="5" t="n"/>
      <c r="Q292" s="5" t="n">
        <v>100</v>
      </c>
      <c r="R292" s="5" t="n"/>
    </row>
    <row r="293">
      <c r="A293" s="2" t="inlineStr">
        <is>
          <t>EJ020523.TXT</t>
        </is>
      </c>
      <c r="B293" s="3" t="inlineStr">
        <is>
          <t>004828</t>
        </is>
      </c>
      <c r="C293" s="3" t="inlineStr">
        <is>
          <t>003853</t>
        </is>
      </c>
      <c r="D293" s="4" t="n">
        <v>45035</v>
      </c>
      <c r="E293" s="2" t="inlineStr">
        <is>
          <t>14:47</t>
        </is>
      </c>
      <c r="F293" s="5" t="n">
        <v>25</v>
      </c>
      <c r="G293" s="5" t="n"/>
      <c r="H293" s="5" t="n"/>
      <c r="I293" s="5" t="n"/>
      <c r="J293" s="5" t="n">
        <v>5</v>
      </c>
      <c r="K293" s="5" t="n"/>
      <c r="L293" s="5" t="n"/>
      <c r="M293" s="5" t="n"/>
      <c r="N293" s="5" t="n"/>
      <c r="O293" s="5" t="n">
        <v>30</v>
      </c>
      <c r="P293" s="5" t="n">
        <v>30</v>
      </c>
      <c r="Q293" s="5" t="n"/>
      <c r="R293" s="5" t="n"/>
    </row>
    <row r="294">
      <c r="A294" s="2" t="inlineStr">
        <is>
          <t>EJ020523.TXT</t>
        </is>
      </c>
      <c r="B294" s="3" t="inlineStr">
        <is>
          <t>004829</t>
        </is>
      </c>
      <c r="C294" s="3" t="inlineStr">
        <is>
          <t>003854</t>
        </is>
      </c>
      <c r="D294" s="4" t="n">
        <v>45036</v>
      </c>
      <c r="E294" s="2" t="inlineStr">
        <is>
          <t>13:53</t>
        </is>
      </c>
      <c r="F294" s="5" t="n">
        <v>650</v>
      </c>
      <c r="G294" s="5" t="n"/>
      <c r="H294" s="5" t="n"/>
      <c r="I294" s="5" t="n"/>
      <c r="J294" s="5" t="n">
        <v>130</v>
      </c>
      <c r="K294" s="5" t="n"/>
      <c r="L294" s="5" t="n"/>
      <c r="M294" s="5" t="n"/>
      <c r="N294" s="5" t="n"/>
      <c r="O294" s="5" t="n">
        <v>780</v>
      </c>
      <c r="P294" s="5" t="n"/>
      <c r="Q294" s="5" t="n">
        <v>780</v>
      </c>
      <c r="R294" s="5" t="n"/>
    </row>
    <row r="295">
      <c r="A295" s="2" t="inlineStr">
        <is>
          <t>EJ020523.TXT</t>
        </is>
      </c>
      <c r="B295" s="3" t="inlineStr">
        <is>
          <t>004830</t>
        </is>
      </c>
      <c r="C295" s="3" t="inlineStr">
        <is>
          <t>003855</t>
        </is>
      </c>
      <c r="D295" s="4" t="n">
        <v>45036</v>
      </c>
      <c r="E295" s="2" t="inlineStr">
        <is>
          <t>13:53</t>
        </is>
      </c>
      <c r="F295" s="5" t="n">
        <v>799.17</v>
      </c>
      <c r="G295" s="5" t="n"/>
      <c r="H295" s="5" t="n"/>
      <c r="I295" s="5" t="n"/>
      <c r="J295" s="5" t="n">
        <v>159.83</v>
      </c>
      <c r="K295" s="5" t="n"/>
      <c r="L295" s="5" t="n"/>
      <c r="M295" s="5" t="n"/>
      <c r="N295" s="5" t="n"/>
      <c r="O295" s="5" t="n">
        <v>959</v>
      </c>
      <c r="P295" s="5" t="n"/>
      <c r="Q295" s="5" t="n">
        <v>959</v>
      </c>
      <c r="R295" s="5" t="n"/>
    </row>
    <row r="296">
      <c r="A296" s="2" t="inlineStr">
        <is>
          <t>EJ020523.TXT</t>
        </is>
      </c>
      <c r="B296" s="3" t="inlineStr">
        <is>
          <t>004831</t>
        </is>
      </c>
      <c r="C296" s="3" t="inlineStr">
        <is>
          <t>003856</t>
        </is>
      </c>
      <c r="D296" s="4" t="n">
        <v>45036</v>
      </c>
      <c r="E296" s="2" t="inlineStr">
        <is>
          <t>15:06</t>
        </is>
      </c>
      <c r="F296" s="5" t="n">
        <v>548.33</v>
      </c>
      <c r="G296" s="5" t="n"/>
      <c r="H296" s="5" t="n"/>
      <c r="I296" s="5" t="n"/>
      <c r="J296" s="5" t="n">
        <v>109.67</v>
      </c>
      <c r="K296" s="5" t="n"/>
      <c r="L296" s="5" t="n"/>
      <c r="M296" s="5" t="n"/>
      <c r="N296" s="5" t="n"/>
      <c r="O296" s="5" t="n">
        <v>658</v>
      </c>
      <c r="P296" s="5" t="n">
        <v>658</v>
      </c>
      <c r="Q296" s="5" t="n"/>
      <c r="R296" s="5" t="n"/>
    </row>
    <row r="297">
      <c r="A297" s="2" t="inlineStr">
        <is>
          <t>EJ020523.TXT</t>
        </is>
      </c>
      <c r="B297" s="3" t="inlineStr">
        <is>
          <t>004832</t>
        </is>
      </c>
      <c r="C297" s="3" t="inlineStr">
        <is>
          <t>003857</t>
        </is>
      </c>
      <c r="D297" s="4" t="n">
        <v>45037</v>
      </c>
      <c r="E297" s="2" t="inlineStr">
        <is>
          <t>11:10</t>
        </is>
      </c>
      <c r="F297" s="5" t="n">
        <v>548.33</v>
      </c>
      <c r="G297" s="5" t="n"/>
      <c r="H297" s="5" t="n"/>
      <c r="I297" s="5" t="n"/>
      <c r="J297" s="5" t="n">
        <v>109.67</v>
      </c>
      <c r="K297" s="5" t="n"/>
      <c r="L297" s="5" t="n"/>
      <c r="M297" s="5" t="n"/>
      <c r="N297" s="5" t="n"/>
      <c r="O297" s="5" t="n">
        <v>658</v>
      </c>
      <c r="P297" s="5" t="n"/>
      <c r="Q297" s="5" t="n">
        <v>658</v>
      </c>
      <c r="R297" s="5" t="n"/>
    </row>
    <row r="298">
      <c r="A298" s="2" t="inlineStr">
        <is>
          <t>EJ020523.TXT</t>
        </is>
      </c>
      <c r="B298" s="3" t="inlineStr">
        <is>
          <t>004833</t>
        </is>
      </c>
      <c r="C298" s="3" t="inlineStr">
        <is>
          <t>003858</t>
        </is>
      </c>
      <c r="D298" s="4" t="n">
        <v>45037</v>
      </c>
      <c r="E298" s="2" t="inlineStr">
        <is>
          <t>15:13</t>
        </is>
      </c>
      <c r="F298" s="5" t="n">
        <v>548.33</v>
      </c>
      <c r="G298" s="5" t="n"/>
      <c r="H298" s="5" t="n"/>
      <c r="I298" s="5" t="n"/>
      <c r="J298" s="5" t="n">
        <v>109.67</v>
      </c>
      <c r="K298" s="5" t="n"/>
      <c r="L298" s="5" t="n"/>
      <c r="M298" s="5" t="n"/>
      <c r="N298" s="5" t="n"/>
      <c r="O298" s="5" t="n">
        <v>658</v>
      </c>
      <c r="P298" s="5" t="n">
        <v>658</v>
      </c>
      <c r="Q298" s="5" t="n"/>
      <c r="R298" s="5" t="n"/>
    </row>
    <row r="299">
      <c r="A299" s="2" t="inlineStr">
        <is>
          <t>EJ020523.TXT</t>
        </is>
      </c>
      <c r="B299" s="3" t="inlineStr">
        <is>
          <t>004834</t>
        </is>
      </c>
      <c r="C299" s="3" t="inlineStr">
        <is>
          <t>003859</t>
        </is>
      </c>
      <c r="D299" s="4" t="n">
        <v>45037</v>
      </c>
      <c r="E299" s="2" t="inlineStr">
        <is>
          <t>16:51</t>
        </is>
      </c>
      <c r="F299" s="5" t="n">
        <v>274.17</v>
      </c>
      <c r="G299" s="5" t="n"/>
      <c r="H299" s="5" t="n"/>
      <c r="I299" s="5" t="n"/>
      <c r="J299" s="5" t="n">
        <v>54.83</v>
      </c>
      <c r="K299" s="5" t="n"/>
      <c r="L299" s="5" t="n"/>
      <c r="M299" s="5" t="n"/>
      <c r="N299" s="5" t="n"/>
      <c r="O299" s="5" t="n">
        <v>329</v>
      </c>
      <c r="P299" s="5" t="n">
        <v>329</v>
      </c>
      <c r="Q299" s="5" t="n"/>
      <c r="R299" s="5" t="n"/>
    </row>
    <row r="300">
      <c r="A300" s="2" t="inlineStr">
        <is>
          <t>EJ020523.TXT</t>
        </is>
      </c>
      <c r="B300" s="3" t="inlineStr">
        <is>
          <t>004835</t>
        </is>
      </c>
      <c r="C300" s="3" t="inlineStr">
        <is>
          <t>003860</t>
        </is>
      </c>
      <c r="D300" s="4" t="n">
        <v>45038</v>
      </c>
      <c r="E300" s="2" t="inlineStr">
        <is>
          <t>15:51</t>
        </is>
      </c>
      <c r="F300" s="5" t="n">
        <v>548.33</v>
      </c>
      <c r="G300" s="5" t="n"/>
      <c r="H300" s="5" t="n"/>
      <c r="I300" s="5" t="n"/>
      <c r="J300" s="5" t="n">
        <v>109.67</v>
      </c>
      <c r="K300" s="5" t="n"/>
      <c r="L300" s="5" t="n"/>
      <c r="M300" s="5" t="n"/>
      <c r="N300" s="5" t="n"/>
      <c r="O300" s="5" t="n">
        <v>658</v>
      </c>
      <c r="P300" s="5" t="n">
        <v>658</v>
      </c>
      <c r="Q300" s="5" t="n"/>
      <c r="R300" s="5" t="n"/>
    </row>
    <row r="301">
      <c r="A301" s="2" t="inlineStr">
        <is>
          <t>EJ020523.TXT</t>
        </is>
      </c>
      <c r="B301" s="3" t="inlineStr">
        <is>
          <t>004836</t>
        </is>
      </c>
      <c r="C301" s="3" t="inlineStr">
        <is>
          <t>003861</t>
        </is>
      </c>
      <c r="D301" s="4" t="n">
        <v>45040</v>
      </c>
      <c r="E301" s="2" t="inlineStr">
        <is>
          <t>10:05</t>
        </is>
      </c>
      <c r="F301" s="5" t="n">
        <v>10400</v>
      </c>
      <c r="G301" s="5" t="n"/>
      <c r="H301" s="5" t="n"/>
      <c r="I301" s="5" t="n"/>
      <c r="J301" s="5" t="n">
        <v>2080</v>
      </c>
      <c r="K301" s="5" t="n"/>
      <c r="L301" s="5" t="n"/>
      <c r="M301" s="5" t="n"/>
      <c r="N301" s="5" t="n"/>
      <c r="O301" s="5" t="n">
        <v>12480</v>
      </c>
      <c r="P301" s="5" t="n">
        <v>12480</v>
      </c>
      <c r="Q301" s="5" t="n"/>
      <c r="R301" s="5" t="n"/>
    </row>
    <row r="302">
      <c r="A302" s="2" t="inlineStr">
        <is>
          <t>EJ020523.TXT</t>
        </is>
      </c>
      <c r="B302" s="3" t="inlineStr">
        <is>
          <t>004837</t>
        </is>
      </c>
      <c r="C302" s="3" t="inlineStr">
        <is>
          <t>003862</t>
        </is>
      </c>
      <c r="D302" s="4" t="n">
        <v>45040</v>
      </c>
      <c r="E302" s="2" t="inlineStr">
        <is>
          <t>15:56</t>
        </is>
      </c>
      <c r="F302" s="5" t="n">
        <v>274.17</v>
      </c>
      <c r="G302" s="5" t="n"/>
      <c r="H302" s="5" t="n"/>
      <c r="I302" s="5" t="n"/>
      <c r="J302" s="5" t="n">
        <v>54.83</v>
      </c>
      <c r="K302" s="5" t="n"/>
      <c r="L302" s="5" t="n"/>
      <c r="M302" s="5" t="n"/>
      <c r="N302" s="5" t="n"/>
      <c r="O302" s="5" t="n">
        <v>329</v>
      </c>
      <c r="P302" s="5" t="n">
        <v>329</v>
      </c>
      <c r="Q302" s="5" t="n"/>
      <c r="R302" s="5" t="n"/>
    </row>
    <row r="303">
      <c r="A303" s="2" t="inlineStr">
        <is>
          <t>EJ020523.TXT</t>
        </is>
      </c>
      <c r="B303" s="3" t="inlineStr">
        <is>
          <t>004838</t>
        </is>
      </c>
      <c r="C303" s="3" t="inlineStr">
        <is>
          <t>003863</t>
        </is>
      </c>
      <c r="D303" s="4" t="n">
        <v>45041</v>
      </c>
      <c r="E303" s="2" t="inlineStr">
        <is>
          <t>15:14</t>
        </is>
      </c>
      <c r="F303" s="5" t="n">
        <v>500</v>
      </c>
      <c r="G303" s="5" t="n"/>
      <c r="H303" s="5" t="n"/>
      <c r="I303" s="5" t="n"/>
      <c r="J303" s="5" t="n">
        <v>100</v>
      </c>
      <c r="K303" s="5" t="n"/>
      <c r="L303" s="5" t="n"/>
      <c r="M303" s="5" t="n"/>
      <c r="N303" s="5" t="n"/>
      <c r="O303" s="5" t="n">
        <v>600</v>
      </c>
      <c r="P303" s="5" t="n">
        <v>600</v>
      </c>
      <c r="Q303" s="5" t="n"/>
      <c r="R303" s="5" t="n"/>
    </row>
    <row r="304">
      <c r="A304" s="2" t="inlineStr">
        <is>
          <t>EJ020523.TXT</t>
        </is>
      </c>
      <c r="B304" s="3" t="inlineStr">
        <is>
          <t>004839</t>
        </is>
      </c>
      <c r="C304" s="3" t="inlineStr">
        <is>
          <t>003864</t>
        </is>
      </c>
      <c r="D304" s="4" t="n">
        <v>45041</v>
      </c>
      <c r="E304" s="2" t="inlineStr">
        <is>
          <t>17:15</t>
        </is>
      </c>
      <c r="F304" s="5" t="n">
        <v>548.33</v>
      </c>
      <c r="G304" s="5" t="n"/>
      <c r="H304" s="5" t="n"/>
      <c r="I304" s="5" t="n"/>
      <c r="J304" s="5" t="n">
        <v>109.67</v>
      </c>
      <c r="K304" s="5" t="n"/>
      <c r="L304" s="5" t="n"/>
      <c r="M304" s="5" t="n"/>
      <c r="N304" s="5" t="n"/>
      <c r="O304" s="5" t="n">
        <v>658</v>
      </c>
      <c r="P304" s="5" t="n">
        <v>658</v>
      </c>
      <c r="Q304" s="5" t="n"/>
      <c r="R304" s="5" t="n"/>
    </row>
    <row r="305">
      <c r="A305" s="2" t="inlineStr">
        <is>
          <t>EJ020523.TXT</t>
        </is>
      </c>
      <c r="B305" s="3" t="inlineStr">
        <is>
          <t>004840</t>
        </is>
      </c>
      <c r="C305" s="3" t="inlineStr">
        <is>
          <t>003865</t>
        </is>
      </c>
      <c r="D305" s="4" t="n">
        <v>45042</v>
      </c>
      <c r="E305" s="2" t="inlineStr">
        <is>
          <t>13:46</t>
        </is>
      </c>
      <c r="F305" s="5" t="n">
        <v>615</v>
      </c>
      <c r="G305" s="5" t="n"/>
      <c r="H305" s="5" t="n"/>
      <c r="I305" s="5" t="n"/>
      <c r="J305" s="5" t="n">
        <v>123</v>
      </c>
      <c r="K305" s="5" t="n"/>
      <c r="L305" s="5" t="n"/>
      <c r="M305" s="5" t="n"/>
      <c r="N305" s="5" t="n"/>
      <c r="O305" s="5" t="n">
        <v>738</v>
      </c>
      <c r="P305" s="5" t="n">
        <v>738</v>
      </c>
      <c r="Q305" s="5" t="n"/>
      <c r="R305" s="5" t="n"/>
    </row>
    <row r="306">
      <c r="A306" s="2" t="inlineStr">
        <is>
          <t>EJ020523.TXT</t>
        </is>
      </c>
      <c r="B306" s="3" t="inlineStr">
        <is>
          <t>004841</t>
        </is>
      </c>
      <c r="C306" s="3" t="inlineStr">
        <is>
          <t>003866</t>
        </is>
      </c>
      <c r="D306" s="4" t="n">
        <v>45042</v>
      </c>
      <c r="E306" s="2" t="inlineStr">
        <is>
          <t>15:19</t>
        </is>
      </c>
      <c r="F306" s="5" t="n">
        <v>548.33</v>
      </c>
      <c r="G306" s="5" t="n"/>
      <c r="H306" s="5" t="n"/>
      <c r="I306" s="5" t="n"/>
      <c r="J306" s="5" t="n">
        <v>109.67</v>
      </c>
      <c r="K306" s="5" t="n"/>
      <c r="L306" s="5" t="n"/>
      <c r="M306" s="5" t="n"/>
      <c r="N306" s="5" t="n"/>
      <c r="O306" s="5" t="n">
        <v>658</v>
      </c>
      <c r="P306" s="5" t="n">
        <v>658</v>
      </c>
      <c r="Q306" s="5" t="n"/>
      <c r="R306" s="5" t="n"/>
    </row>
    <row r="307">
      <c r="A307" s="2" t="inlineStr">
        <is>
          <t>EJ020523.TXT</t>
        </is>
      </c>
      <c r="B307" s="3" t="inlineStr">
        <is>
          <t>004842</t>
        </is>
      </c>
      <c r="C307" s="3" t="inlineStr">
        <is>
          <t>003867</t>
        </is>
      </c>
      <c r="D307" s="4" t="n">
        <v>45043</v>
      </c>
      <c r="E307" s="2" t="inlineStr">
        <is>
          <t>14:01</t>
        </is>
      </c>
      <c r="F307" s="5" t="n">
        <v>531.67</v>
      </c>
      <c r="G307" s="5" t="n"/>
      <c r="H307" s="5" t="n"/>
      <c r="I307" s="5" t="n"/>
      <c r="J307" s="5" t="n">
        <v>106.33</v>
      </c>
      <c r="K307" s="5" t="n"/>
      <c r="L307" s="5" t="n"/>
      <c r="M307" s="5" t="n"/>
      <c r="N307" s="5" t="n"/>
      <c r="O307" s="5" t="n">
        <v>638</v>
      </c>
      <c r="P307" s="5" t="n"/>
      <c r="Q307" s="5" t="n">
        <v>638</v>
      </c>
      <c r="R307" s="5" t="n"/>
    </row>
    <row r="308">
      <c r="A308" s="2" t="inlineStr">
        <is>
          <t>EJ020523.TXT</t>
        </is>
      </c>
      <c r="B308" s="3" t="inlineStr">
        <is>
          <t>004843</t>
        </is>
      </c>
      <c r="C308" s="3" t="inlineStr">
        <is>
          <t>003868</t>
        </is>
      </c>
      <c r="D308" s="4" t="n">
        <v>45043</v>
      </c>
      <c r="E308" s="2" t="inlineStr">
        <is>
          <t>14:11</t>
        </is>
      </c>
      <c r="F308" s="5" t="n">
        <v>274.17</v>
      </c>
      <c r="G308" s="5" t="n"/>
      <c r="H308" s="5" t="n"/>
      <c r="I308" s="5" t="n"/>
      <c r="J308" s="5" t="n">
        <v>54.83</v>
      </c>
      <c r="K308" s="5" t="n"/>
      <c r="L308" s="5" t="n"/>
      <c r="M308" s="5" t="n"/>
      <c r="N308" s="5" t="n"/>
      <c r="O308" s="5" t="n">
        <v>329</v>
      </c>
      <c r="P308" s="5" t="n">
        <v>329</v>
      </c>
      <c r="Q308" s="5" t="n"/>
      <c r="R308" s="5" t="n"/>
    </row>
    <row r="309">
      <c r="A309" s="2" t="inlineStr">
        <is>
          <t>EJ020523.TXT</t>
        </is>
      </c>
      <c r="B309" s="3" t="inlineStr">
        <is>
          <t>004844</t>
        </is>
      </c>
      <c r="C309" s="3" t="inlineStr">
        <is>
          <t>003869</t>
        </is>
      </c>
      <c r="D309" s="4" t="n">
        <v>45043</v>
      </c>
      <c r="E309" s="2" t="inlineStr">
        <is>
          <t>15:33</t>
        </is>
      </c>
      <c r="F309" s="5" t="n">
        <v>305</v>
      </c>
      <c r="G309" s="5" t="n"/>
      <c r="H309" s="5" t="n"/>
      <c r="I309" s="5" t="n"/>
      <c r="J309" s="5" t="n">
        <v>61</v>
      </c>
      <c r="K309" s="5" t="n"/>
      <c r="L309" s="5" t="n"/>
      <c r="M309" s="5" t="n"/>
      <c r="N309" s="5" t="n"/>
      <c r="O309" s="5" t="n">
        <v>366</v>
      </c>
      <c r="P309" s="5" t="n"/>
      <c r="Q309" s="5" t="n">
        <v>366</v>
      </c>
      <c r="R309" s="5" t="n"/>
    </row>
    <row r="310">
      <c r="A310" s="2" t="inlineStr">
        <is>
          <t>EJ020523.TXT</t>
        </is>
      </c>
      <c r="B310" s="3" t="inlineStr">
        <is>
          <t>004845</t>
        </is>
      </c>
      <c r="C310" s="3" t="inlineStr">
        <is>
          <t>003870</t>
        </is>
      </c>
      <c r="D310" s="4" t="n">
        <v>45044</v>
      </c>
      <c r="E310" s="2" t="inlineStr">
        <is>
          <t>10:40</t>
        </is>
      </c>
      <c r="F310" s="5" t="n">
        <v>822.5</v>
      </c>
      <c r="G310" s="5" t="n"/>
      <c r="H310" s="5" t="n"/>
      <c r="I310" s="5" t="n"/>
      <c r="J310" s="5" t="n">
        <v>164.5</v>
      </c>
      <c r="K310" s="5" t="n"/>
      <c r="L310" s="5" t="n"/>
      <c r="M310" s="5" t="n"/>
      <c r="N310" s="5" t="n"/>
      <c r="O310" s="5" t="n">
        <v>987</v>
      </c>
      <c r="P310" s="5" t="n"/>
      <c r="Q310" s="5" t="n">
        <v>987</v>
      </c>
      <c r="R310" s="5" t="n"/>
    </row>
    <row r="311">
      <c r="A311" s="2" t="inlineStr">
        <is>
          <t>EJ020523.TXT</t>
        </is>
      </c>
      <c r="B311" s="3" t="inlineStr">
        <is>
          <t>004846</t>
        </is>
      </c>
      <c r="C311" s="3" t="inlineStr">
        <is>
          <t>003871</t>
        </is>
      </c>
      <c r="D311" s="4" t="n">
        <v>45044</v>
      </c>
      <c r="E311" s="2" t="inlineStr">
        <is>
          <t>10:40</t>
        </is>
      </c>
      <c r="F311" s="5" t="n">
        <v>822.5</v>
      </c>
      <c r="G311" s="5" t="n"/>
      <c r="H311" s="5" t="n"/>
      <c r="I311" s="5" t="n"/>
      <c r="J311" s="5" t="n">
        <v>164.5</v>
      </c>
      <c r="K311" s="5" t="n"/>
      <c r="L311" s="5" t="n"/>
      <c r="M311" s="5" t="n"/>
      <c r="N311" s="5" t="n"/>
      <c r="O311" s="5" t="n">
        <v>987</v>
      </c>
      <c r="P311" s="5" t="n"/>
      <c r="Q311" s="5" t="n">
        <v>987</v>
      </c>
      <c r="R311" s="5" t="n"/>
    </row>
    <row r="312">
      <c r="A312" s="2" t="inlineStr">
        <is>
          <t>EJ020523.TXT</t>
        </is>
      </c>
      <c r="B312" s="3" t="inlineStr">
        <is>
          <t>004847</t>
        </is>
      </c>
      <c r="C312" s="3" t="inlineStr">
        <is>
          <t>003872</t>
        </is>
      </c>
      <c r="D312" s="4" t="n">
        <v>45044</v>
      </c>
      <c r="E312" s="2" t="inlineStr">
        <is>
          <t>14:42</t>
        </is>
      </c>
      <c r="F312" s="5" t="n">
        <v>582.5</v>
      </c>
      <c r="G312" s="5" t="n"/>
      <c r="H312" s="5" t="n"/>
      <c r="I312" s="5" t="n"/>
      <c r="J312" s="5" t="n">
        <v>116.5</v>
      </c>
      <c r="K312" s="5" t="n"/>
      <c r="L312" s="5" t="n"/>
      <c r="M312" s="5" t="n"/>
      <c r="N312" s="5" t="n"/>
      <c r="O312" s="5" t="n">
        <v>699</v>
      </c>
      <c r="P312" s="5" t="n"/>
      <c r="Q312" s="5" t="n">
        <v>699</v>
      </c>
      <c r="R312" s="5" t="n"/>
    </row>
    <row r="313">
      <c r="A313" s="2" t="inlineStr">
        <is>
          <t>EJ020523.TXT</t>
        </is>
      </c>
      <c r="B313" s="3" t="inlineStr">
        <is>
          <t>004848</t>
        </is>
      </c>
      <c r="C313" s="3" t="inlineStr">
        <is>
          <t>003873</t>
        </is>
      </c>
      <c r="D313" s="4" t="n">
        <v>45044</v>
      </c>
      <c r="E313" s="2" t="inlineStr">
        <is>
          <t>14:42</t>
        </is>
      </c>
      <c r="F313" s="5" t="n">
        <v>582.5</v>
      </c>
      <c r="G313" s="5" t="n"/>
      <c r="H313" s="5" t="n"/>
      <c r="I313" s="5" t="n"/>
      <c r="J313" s="5" t="n">
        <v>116.5</v>
      </c>
      <c r="K313" s="5" t="n"/>
      <c r="L313" s="5" t="n"/>
      <c r="M313" s="5" t="n"/>
      <c r="N313" s="5" t="n"/>
      <c r="O313" s="5" t="n">
        <v>699</v>
      </c>
      <c r="P313" s="5" t="n"/>
      <c r="Q313" s="5" t="n">
        <v>699</v>
      </c>
      <c r="R313" s="5" t="n"/>
    </row>
    <row r="314">
      <c r="A314" s="2" t="inlineStr">
        <is>
          <t>EJ020523.TXT</t>
        </is>
      </c>
      <c r="B314" s="3" t="inlineStr">
        <is>
          <t>004849</t>
        </is>
      </c>
      <c r="C314" s="3" t="inlineStr">
        <is>
          <t>003874</t>
        </is>
      </c>
      <c r="D314" s="4" t="n">
        <v>45044</v>
      </c>
      <c r="E314" s="2" t="inlineStr">
        <is>
          <t>14:42</t>
        </is>
      </c>
      <c r="F314" s="5" t="n">
        <v>650</v>
      </c>
      <c r="G314" s="5" t="n"/>
      <c r="H314" s="5" t="n"/>
      <c r="I314" s="5" t="n"/>
      <c r="J314" s="5" t="n">
        <v>130</v>
      </c>
      <c r="K314" s="5" t="n"/>
      <c r="L314" s="5" t="n"/>
      <c r="M314" s="5" t="n"/>
      <c r="N314" s="5" t="n"/>
      <c r="O314" s="5" t="n">
        <v>780</v>
      </c>
      <c r="P314" s="5" t="n"/>
      <c r="Q314" s="5" t="n">
        <v>780</v>
      </c>
      <c r="R314" s="5" t="n"/>
    </row>
    <row r="315">
      <c r="A315" s="2" t="inlineStr">
        <is>
          <t>EJ020523.TXT</t>
        </is>
      </c>
      <c r="B315" s="3" t="inlineStr">
        <is>
          <t>004850</t>
        </is>
      </c>
      <c r="C315" s="3" t="inlineStr">
        <is>
          <t>003875</t>
        </is>
      </c>
      <c r="D315" s="4" t="n">
        <v>45045</v>
      </c>
      <c r="E315" s="2" t="inlineStr">
        <is>
          <t>11:03</t>
        </is>
      </c>
      <c r="F315" s="5" t="n">
        <v>715.83</v>
      </c>
      <c r="G315" s="5" t="n"/>
      <c r="H315" s="5" t="n"/>
      <c r="I315" s="5" t="n"/>
      <c r="J315" s="5" t="n">
        <v>143.17</v>
      </c>
      <c r="K315" s="5" t="n"/>
      <c r="L315" s="5" t="n"/>
      <c r="M315" s="5" t="n"/>
      <c r="N315" s="5" t="n"/>
      <c r="O315" s="5" t="n">
        <v>859</v>
      </c>
      <c r="P315" s="5" t="n"/>
      <c r="Q315" s="5" t="n">
        <v>859</v>
      </c>
      <c r="R315" s="5" t="n"/>
    </row>
    <row r="316">
      <c r="A316" s="2" t="inlineStr">
        <is>
          <t>EJ020523.TXT</t>
        </is>
      </c>
      <c r="B316" s="3" t="inlineStr">
        <is>
          <t>004851</t>
        </is>
      </c>
      <c r="C316" s="3" t="inlineStr">
        <is>
          <t>003876</t>
        </is>
      </c>
      <c r="D316" s="4" t="n">
        <v>45045</v>
      </c>
      <c r="E316" s="2" t="inlineStr">
        <is>
          <t>11:04</t>
        </is>
      </c>
      <c r="F316" s="5" t="n">
        <v>650</v>
      </c>
      <c r="G316" s="5" t="n"/>
      <c r="H316" s="5" t="n"/>
      <c r="I316" s="5" t="n"/>
      <c r="J316" s="5" t="n">
        <v>130</v>
      </c>
      <c r="K316" s="5" t="n"/>
      <c r="L316" s="5" t="n"/>
      <c r="M316" s="5" t="n"/>
      <c r="N316" s="5" t="n"/>
      <c r="O316" s="5" t="n">
        <v>780</v>
      </c>
      <c r="P316" s="5" t="n"/>
      <c r="Q316" s="5" t="n">
        <v>780</v>
      </c>
      <c r="R316" s="5" t="n"/>
    </row>
    <row r="317">
      <c r="A317" s="2" t="inlineStr">
        <is>
          <t>EJ020523.TXT</t>
        </is>
      </c>
      <c r="B317" s="3" t="inlineStr">
        <is>
          <t>004852</t>
        </is>
      </c>
      <c r="C317" s="3" t="inlineStr">
        <is>
          <t>003877</t>
        </is>
      </c>
      <c r="D317" s="4" t="n">
        <v>45045</v>
      </c>
      <c r="E317" s="2" t="inlineStr">
        <is>
          <t>11:05</t>
        </is>
      </c>
      <c r="F317" s="5" t="n">
        <v>715.83</v>
      </c>
      <c r="G317" s="5" t="n"/>
      <c r="H317" s="5" t="n"/>
      <c r="I317" s="5" t="n"/>
      <c r="J317" s="5" t="n">
        <v>143.17</v>
      </c>
      <c r="K317" s="5" t="n"/>
      <c r="L317" s="5" t="n"/>
      <c r="M317" s="5" t="n"/>
      <c r="N317" s="5" t="n"/>
      <c r="O317" s="5" t="n">
        <v>859</v>
      </c>
      <c r="P317" s="5" t="n"/>
      <c r="Q317" s="5" t="n">
        <v>859</v>
      </c>
      <c r="R317" s="5" t="n"/>
    </row>
    <row r="318">
      <c r="A318" s="2" t="inlineStr">
        <is>
          <t>EJ020523.TXT</t>
        </is>
      </c>
      <c r="B318" s="3" t="inlineStr">
        <is>
          <t>004853</t>
        </is>
      </c>
      <c r="C318" s="3" t="inlineStr">
        <is>
          <t>003878</t>
        </is>
      </c>
      <c r="D318" s="4" t="n">
        <v>45045</v>
      </c>
      <c r="E318" s="2" t="inlineStr">
        <is>
          <t>16:36</t>
        </is>
      </c>
      <c r="F318" s="5" t="n">
        <v>655.83</v>
      </c>
      <c r="G318" s="5" t="n"/>
      <c r="H318" s="5" t="n"/>
      <c r="I318" s="5" t="n"/>
      <c r="J318" s="5" t="n">
        <v>131.17</v>
      </c>
      <c r="K318" s="5" t="n"/>
      <c r="L318" s="5" t="n"/>
      <c r="M318" s="5" t="n"/>
      <c r="N318" s="5" t="n"/>
      <c r="O318" s="5" t="n">
        <v>787</v>
      </c>
      <c r="P318" s="5" t="n"/>
      <c r="Q318" s="5" t="n">
        <v>787</v>
      </c>
      <c r="R318" s="5" t="n"/>
    </row>
    <row r="319">
      <c r="A319" s="2" t="inlineStr">
        <is>
          <t>EJ020523.TXT</t>
        </is>
      </c>
      <c r="B319" s="3" t="inlineStr">
        <is>
          <t>004854</t>
        </is>
      </c>
      <c r="C319" s="3" t="inlineStr">
        <is>
          <t>003879</t>
        </is>
      </c>
      <c r="D319" s="4" t="n">
        <v>45045</v>
      </c>
      <c r="E319" s="2" t="inlineStr">
        <is>
          <t>16:37</t>
        </is>
      </c>
      <c r="F319" s="5" t="n">
        <v>739.17</v>
      </c>
      <c r="G319" s="5" t="n"/>
      <c r="H319" s="5" t="n"/>
      <c r="I319" s="5" t="n"/>
      <c r="J319" s="5" t="n">
        <v>147.83</v>
      </c>
      <c r="K319" s="5" t="n"/>
      <c r="L319" s="5" t="n"/>
      <c r="M319" s="5" t="n"/>
      <c r="N319" s="5" t="n"/>
      <c r="O319" s="5" t="n">
        <v>887</v>
      </c>
      <c r="P319" s="5" t="n"/>
      <c r="Q319" s="5" t="n">
        <v>887</v>
      </c>
      <c r="R319" s="5" t="n"/>
    </row>
    <row r="320">
      <c r="A320" s="2" t="inlineStr">
        <is>
          <t>EJ010623.TXT</t>
        </is>
      </c>
      <c r="B320" s="3" t="inlineStr">
        <is>
          <t>004862</t>
        </is>
      </c>
      <c r="C320" s="3" t="inlineStr">
        <is>
          <t>003880</t>
        </is>
      </c>
      <c r="D320" s="4" t="n">
        <v>45048</v>
      </c>
      <c r="E320" s="2" t="inlineStr">
        <is>
          <t>14:20</t>
        </is>
      </c>
      <c r="F320" s="5" t="n">
        <v>3190</v>
      </c>
      <c r="G320" s="5" t="n"/>
      <c r="H320" s="5" t="n"/>
      <c r="I320" s="5" t="n"/>
      <c r="J320" s="5" t="n">
        <v>638</v>
      </c>
      <c r="K320" s="5" t="n"/>
      <c r="L320" s="5" t="n"/>
      <c r="M320" s="5" t="n"/>
      <c r="N320" s="5" t="n"/>
      <c r="O320" s="5" t="n">
        <v>3828</v>
      </c>
      <c r="P320" s="5" t="n">
        <v>3828</v>
      </c>
      <c r="Q320" s="5" t="n"/>
      <c r="R320" s="5" t="n"/>
    </row>
    <row r="321">
      <c r="A321" s="2" t="inlineStr">
        <is>
          <t>EJ010623.TXT</t>
        </is>
      </c>
      <c r="B321" s="3" t="inlineStr">
        <is>
          <t>004863</t>
        </is>
      </c>
      <c r="C321" s="3" t="inlineStr">
        <is>
          <t>003881</t>
        </is>
      </c>
      <c r="D321" s="4" t="n">
        <v>45048</v>
      </c>
      <c r="E321" s="2" t="inlineStr">
        <is>
          <t>14:22</t>
        </is>
      </c>
      <c r="F321" s="5" t="n">
        <v>822.5</v>
      </c>
      <c r="G321" s="5" t="n"/>
      <c r="H321" s="5" t="n"/>
      <c r="I321" s="5" t="n"/>
      <c r="J321" s="5" t="n">
        <v>164.5</v>
      </c>
      <c r="K321" s="5" t="n"/>
      <c r="L321" s="5" t="n"/>
      <c r="M321" s="5" t="n"/>
      <c r="N321" s="5" t="n"/>
      <c r="O321" s="5" t="n">
        <v>987</v>
      </c>
      <c r="P321" s="5" t="n"/>
      <c r="Q321" s="5" t="n">
        <v>987</v>
      </c>
      <c r="R321" s="5" t="n"/>
    </row>
    <row r="322">
      <c r="A322" s="2" t="inlineStr">
        <is>
          <t>EJ010623.TXT</t>
        </is>
      </c>
      <c r="B322" s="3" t="inlineStr">
        <is>
          <t>004864</t>
        </is>
      </c>
      <c r="C322" s="3" t="inlineStr">
        <is>
          <t>003882</t>
        </is>
      </c>
      <c r="D322" s="4" t="n">
        <v>45048</v>
      </c>
      <c r="E322" s="2" t="inlineStr">
        <is>
          <t>14:23</t>
        </is>
      </c>
      <c r="F322" s="5" t="n">
        <v>822.5</v>
      </c>
      <c r="G322" s="5" t="n"/>
      <c r="H322" s="5" t="n"/>
      <c r="I322" s="5" t="n"/>
      <c r="J322" s="5" t="n">
        <v>164.5</v>
      </c>
      <c r="K322" s="5" t="n"/>
      <c r="L322" s="5" t="n"/>
      <c r="M322" s="5" t="n"/>
      <c r="N322" s="5" t="n"/>
      <c r="O322" s="5" t="n">
        <v>987</v>
      </c>
      <c r="P322" s="5" t="n"/>
      <c r="Q322" s="5" t="n">
        <v>987</v>
      </c>
      <c r="R322" s="5" t="n"/>
    </row>
    <row r="323">
      <c r="A323" s="2" t="inlineStr">
        <is>
          <t>EJ010623.TXT</t>
        </is>
      </c>
      <c r="B323" s="3" t="inlineStr">
        <is>
          <t>004865</t>
        </is>
      </c>
      <c r="C323" s="3" t="inlineStr">
        <is>
          <t>003883</t>
        </is>
      </c>
      <c r="D323" s="4" t="n">
        <v>45048</v>
      </c>
      <c r="E323" s="2" t="inlineStr">
        <is>
          <t>15:25</t>
        </is>
      </c>
      <c r="F323" s="5" t="n">
        <v>822.5</v>
      </c>
      <c r="G323" s="5" t="n"/>
      <c r="H323" s="5" t="n"/>
      <c r="I323" s="5" t="n"/>
      <c r="J323" s="5" t="n">
        <v>164.5</v>
      </c>
      <c r="K323" s="5" t="n"/>
      <c r="L323" s="5" t="n"/>
      <c r="M323" s="5" t="n"/>
      <c r="N323" s="5" t="n"/>
      <c r="O323" s="5" t="n">
        <v>987</v>
      </c>
      <c r="P323" s="5" t="n"/>
      <c r="Q323" s="5" t="n">
        <v>987</v>
      </c>
      <c r="R323" s="5" t="n"/>
    </row>
    <row r="324">
      <c r="A324" s="2" t="inlineStr">
        <is>
          <t>EJ010623.TXT</t>
        </is>
      </c>
      <c r="B324" s="3" t="inlineStr">
        <is>
          <t>004866</t>
        </is>
      </c>
      <c r="C324" s="3" t="inlineStr">
        <is>
          <t>003884</t>
        </is>
      </c>
      <c r="D324" s="4" t="n">
        <v>45048</v>
      </c>
      <c r="E324" s="2" t="inlineStr">
        <is>
          <t>15:27</t>
        </is>
      </c>
      <c r="F324" s="5" t="n">
        <v>822.5</v>
      </c>
      <c r="G324" s="5" t="n"/>
      <c r="H324" s="5" t="n"/>
      <c r="I324" s="5" t="n"/>
      <c r="J324" s="5" t="n">
        <v>164.5</v>
      </c>
      <c r="K324" s="5" t="n"/>
      <c r="L324" s="5" t="n"/>
      <c r="M324" s="5" t="n"/>
      <c r="N324" s="5" t="n"/>
      <c r="O324" s="5" t="n">
        <v>987</v>
      </c>
      <c r="P324" s="5" t="n"/>
      <c r="Q324" s="5" t="n">
        <v>987</v>
      </c>
      <c r="R324" s="5" t="n"/>
    </row>
    <row r="325">
      <c r="A325" s="2" t="inlineStr">
        <is>
          <t>EJ010623.TXT</t>
        </is>
      </c>
      <c r="B325" s="3" t="inlineStr">
        <is>
          <t>004867</t>
        </is>
      </c>
      <c r="C325" s="3" t="inlineStr">
        <is>
          <t>003885</t>
        </is>
      </c>
      <c r="D325" s="4" t="n">
        <v>45048</v>
      </c>
      <c r="E325" s="2" t="inlineStr">
        <is>
          <t>17:20</t>
        </is>
      </c>
      <c r="F325" s="5" t="n">
        <v>83.33</v>
      </c>
      <c r="G325" s="5" t="n"/>
      <c r="H325" s="5" t="n"/>
      <c r="I325" s="5" t="n"/>
      <c r="J325" s="5" t="n">
        <v>16.67</v>
      </c>
      <c r="K325" s="5" t="n"/>
      <c r="L325" s="5" t="n"/>
      <c r="M325" s="5" t="n"/>
      <c r="N325" s="5" t="n"/>
      <c r="O325" s="5" t="n">
        <v>100</v>
      </c>
      <c r="P325" s="5" t="n">
        <v>100</v>
      </c>
      <c r="Q325" s="5" t="n"/>
      <c r="R325" s="5" t="n"/>
    </row>
    <row r="326">
      <c r="A326" s="2" t="inlineStr">
        <is>
          <t>EJ010623.TXT</t>
        </is>
      </c>
      <c r="B326" s="3" t="inlineStr">
        <is>
          <t>004868</t>
        </is>
      </c>
      <c r="C326" s="3" t="inlineStr">
        <is>
          <t>003886</t>
        </is>
      </c>
      <c r="D326" s="4" t="n">
        <v>45051</v>
      </c>
      <c r="E326" s="2" t="inlineStr">
        <is>
          <t>10:55</t>
        </is>
      </c>
      <c r="F326" s="5" t="n">
        <v>822.5</v>
      </c>
      <c r="G326" s="5" t="n"/>
      <c r="H326" s="5" t="n"/>
      <c r="I326" s="5" t="n"/>
      <c r="J326" s="5" t="n">
        <v>164.5</v>
      </c>
      <c r="K326" s="5" t="n"/>
      <c r="L326" s="5" t="n"/>
      <c r="M326" s="5" t="n"/>
      <c r="N326" s="5" t="n"/>
      <c r="O326" s="5" t="n">
        <v>987</v>
      </c>
      <c r="P326" s="5" t="n">
        <v>987</v>
      </c>
      <c r="Q326" s="5" t="n"/>
      <c r="R326" s="5" t="n"/>
    </row>
    <row r="327">
      <c r="A327" s="2" t="inlineStr">
        <is>
          <t>EJ010623.TXT</t>
        </is>
      </c>
      <c r="B327" s="3" t="inlineStr">
        <is>
          <t>004869</t>
        </is>
      </c>
      <c r="C327" s="3" t="inlineStr">
        <is>
          <t>003887</t>
        </is>
      </c>
      <c r="D327" s="4" t="n">
        <v>45051</v>
      </c>
      <c r="E327" s="2" t="inlineStr">
        <is>
          <t>15:45</t>
        </is>
      </c>
      <c r="F327" s="5" t="n">
        <v>265.83</v>
      </c>
      <c r="G327" s="5" t="n"/>
      <c r="H327" s="5" t="n"/>
      <c r="I327" s="5" t="n"/>
      <c r="J327" s="5" t="n">
        <v>53.17</v>
      </c>
      <c r="K327" s="5" t="n"/>
      <c r="L327" s="5" t="n"/>
      <c r="M327" s="5" t="n"/>
      <c r="N327" s="5" t="n"/>
      <c r="O327" s="5" t="n">
        <v>319</v>
      </c>
      <c r="P327" s="5" t="n"/>
      <c r="Q327" s="5" t="n">
        <v>319</v>
      </c>
      <c r="R327" s="5" t="n"/>
    </row>
    <row r="328">
      <c r="A328" s="2" t="inlineStr">
        <is>
          <t>EJ010623.TXT</t>
        </is>
      </c>
      <c r="B328" s="3" t="inlineStr">
        <is>
          <t>004870</t>
        </is>
      </c>
      <c r="C328" s="3" t="inlineStr">
        <is>
          <t>003888</t>
        </is>
      </c>
      <c r="D328" s="4" t="n">
        <v>45052</v>
      </c>
      <c r="E328" s="2" t="inlineStr">
        <is>
          <t>16:48</t>
        </is>
      </c>
      <c r="F328" s="5" t="n">
        <v>274.17</v>
      </c>
      <c r="G328" s="5" t="n"/>
      <c r="H328" s="5" t="n"/>
      <c r="I328" s="5" t="n"/>
      <c r="J328" s="5" t="n">
        <v>54.83</v>
      </c>
      <c r="K328" s="5" t="n"/>
      <c r="L328" s="5" t="n"/>
      <c r="M328" s="5" t="n"/>
      <c r="N328" s="5" t="n"/>
      <c r="O328" s="5" t="n">
        <v>329</v>
      </c>
      <c r="P328" s="5" t="n"/>
      <c r="Q328" s="5" t="n">
        <v>329</v>
      </c>
      <c r="R328" s="5" t="n"/>
    </row>
    <row r="329">
      <c r="A329" s="2" t="inlineStr">
        <is>
          <t>EJ010623.TXT</t>
        </is>
      </c>
      <c r="B329" s="3" t="inlineStr">
        <is>
          <t>004871</t>
        </is>
      </c>
      <c r="C329" s="3" t="inlineStr">
        <is>
          <t>003889</t>
        </is>
      </c>
      <c r="D329" s="4" t="n">
        <v>45055</v>
      </c>
      <c r="E329" s="2" t="inlineStr">
        <is>
          <t>11:11</t>
        </is>
      </c>
      <c r="F329" s="5" t="n">
        <v>822.5</v>
      </c>
      <c r="G329" s="5" t="n"/>
      <c r="H329" s="5" t="n"/>
      <c r="I329" s="5" t="n"/>
      <c r="J329" s="5" t="n">
        <v>164.5</v>
      </c>
      <c r="K329" s="5" t="n"/>
      <c r="L329" s="5" t="n"/>
      <c r="M329" s="5" t="n"/>
      <c r="N329" s="5" t="n"/>
      <c r="O329" s="5" t="n">
        <v>987</v>
      </c>
      <c r="P329" s="5" t="n"/>
      <c r="Q329" s="5" t="n">
        <v>987</v>
      </c>
      <c r="R329" s="5" t="n"/>
    </row>
    <row r="330">
      <c r="A330" s="2" t="inlineStr">
        <is>
          <t>EJ010623.TXT</t>
        </is>
      </c>
      <c r="B330" s="3" t="inlineStr">
        <is>
          <t>004872</t>
        </is>
      </c>
      <c r="C330" s="3" t="inlineStr">
        <is>
          <t>003890</t>
        </is>
      </c>
      <c r="D330" s="4" t="n">
        <v>45055</v>
      </c>
      <c r="E330" s="2" t="inlineStr">
        <is>
          <t>16:33</t>
        </is>
      </c>
      <c r="F330" s="5" t="n">
        <v>175</v>
      </c>
      <c r="G330" s="5" t="n"/>
      <c r="H330" s="5" t="n"/>
      <c r="I330" s="5" t="n"/>
      <c r="J330" s="5" t="n">
        <v>35</v>
      </c>
      <c r="K330" s="5" t="n"/>
      <c r="L330" s="5" t="n"/>
      <c r="M330" s="5" t="n"/>
      <c r="N330" s="5" t="n"/>
      <c r="O330" s="5" t="n">
        <v>210</v>
      </c>
      <c r="P330" s="5" t="n"/>
      <c r="Q330" s="5" t="n">
        <v>210</v>
      </c>
      <c r="R330" s="5" t="n"/>
    </row>
    <row r="331">
      <c r="A331" s="2" t="inlineStr">
        <is>
          <t>EJ010623.TXT</t>
        </is>
      </c>
      <c r="B331" s="3" t="inlineStr">
        <is>
          <t>004873</t>
        </is>
      </c>
      <c r="C331" s="3" t="inlineStr">
        <is>
          <t>003891</t>
        </is>
      </c>
      <c r="D331" s="4" t="n">
        <v>45056</v>
      </c>
      <c r="E331" s="2" t="inlineStr">
        <is>
          <t>13:39</t>
        </is>
      </c>
      <c r="F331" s="5" t="n">
        <v>1845</v>
      </c>
      <c r="G331" s="5" t="n"/>
      <c r="H331" s="5" t="n"/>
      <c r="I331" s="5" t="n"/>
      <c r="J331" s="5" t="n">
        <v>369</v>
      </c>
      <c r="K331" s="5" t="n"/>
      <c r="L331" s="5" t="n"/>
      <c r="M331" s="5" t="n"/>
      <c r="N331" s="5" t="n"/>
      <c r="O331" s="5" t="n">
        <v>2214</v>
      </c>
      <c r="P331" s="5" t="n">
        <v>2214</v>
      </c>
      <c r="Q331" s="5" t="n"/>
      <c r="R331" s="5" t="n"/>
    </row>
    <row r="332">
      <c r="A332" s="2" t="inlineStr">
        <is>
          <t>EJ010623.TXT</t>
        </is>
      </c>
      <c r="B332" s="3" t="inlineStr">
        <is>
          <t>004874</t>
        </is>
      </c>
      <c r="C332" s="3" t="inlineStr">
        <is>
          <t>003892</t>
        </is>
      </c>
      <c r="D332" s="4" t="n">
        <v>45056</v>
      </c>
      <c r="E332" s="2" t="inlineStr">
        <is>
          <t>15:57</t>
        </is>
      </c>
      <c r="F332" s="5" t="n">
        <v>208.33</v>
      </c>
      <c r="G332" s="5" t="n"/>
      <c r="H332" s="5" t="n"/>
      <c r="I332" s="5" t="n"/>
      <c r="J332" s="5" t="n">
        <v>41.67</v>
      </c>
      <c r="K332" s="5" t="n"/>
      <c r="L332" s="5" t="n"/>
      <c r="M332" s="5" t="n"/>
      <c r="N332" s="5" t="n"/>
      <c r="O332" s="5" t="n">
        <v>250</v>
      </c>
      <c r="P332" s="5" t="n"/>
      <c r="Q332" s="5" t="n">
        <v>250</v>
      </c>
      <c r="R332" s="5" t="n"/>
    </row>
    <row r="333">
      <c r="A333" s="2" t="inlineStr">
        <is>
          <t>EJ010623.TXT</t>
        </is>
      </c>
      <c r="B333" s="3" t="inlineStr">
        <is>
          <t>004875</t>
        </is>
      </c>
      <c r="C333" s="3" t="inlineStr">
        <is>
          <t>003893</t>
        </is>
      </c>
      <c r="D333" s="4" t="n">
        <v>45057</v>
      </c>
      <c r="E333" s="2" t="inlineStr">
        <is>
          <t>14:08</t>
        </is>
      </c>
      <c r="F333" s="5" t="n">
        <v>797.5</v>
      </c>
      <c r="G333" s="5" t="n"/>
      <c r="H333" s="5" t="n"/>
      <c r="I333" s="5" t="n"/>
      <c r="J333" s="5" t="n">
        <v>159.5</v>
      </c>
      <c r="K333" s="5" t="n"/>
      <c r="L333" s="5" t="n"/>
      <c r="M333" s="5" t="n"/>
      <c r="N333" s="5" t="n"/>
      <c r="O333" s="5" t="n">
        <v>957</v>
      </c>
      <c r="P333" s="5" t="n"/>
      <c r="Q333" s="5" t="n">
        <v>957</v>
      </c>
      <c r="R333" s="5" t="n"/>
    </row>
    <row r="334">
      <c r="A334" s="2" t="inlineStr">
        <is>
          <t>EJ010623.TXT</t>
        </is>
      </c>
      <c r="B334" s="3" t="inlineStr">
        <is>
          <t>004876</t>
        </is>
      </c>
      <c r="C334" s="3" t="inlineStr">
        <is>
          <t>003894</t>
        </is>
      </c>
      <c r="D334" s="4" t="n">
        <v>45057</v>
      </c>
      <c r="E334" s="2" t="inlineStr">
        <is>
          <t>14:11</t>
        </is>
      </c>
      <c r="F334" s="5" t="n">
        <v>797.5</v>
      </c>
      <c r="G334" s="5" t="n"/>
      <c r="H334" s="5" t="n"/>
      <c r="I334" s="5" t="n"/>
      <c r="J334" s="5" t="n">
        <v>159.5</v>
      </c>
      <c r="K334" s="5" t="n"/>
      <c r="L334" s="5" t="n"/>
      <c r="M334" s="5" t="n"/>
      <c r="N334" s="5" t="n"/>
      <c r="O334" s="5" t="n">
        <v>957</v>
      </c>
      <c r="P334" s="5" t="n"/>
      <c r="Q334" s="5" t="n">
        <v>957</v>
      </c>
      <c r="R334" s="5" t="n"/>
    </row>
    <row r="335">
      <c r="A335" s="2" t="inlineStr">
        <is>
          <t>EJ010623.TXT</t>
        </is>
      </c>
      <c r="B335" s="3" t="inlineStr">
        <is>
          <t>004877</t>
        </is>
      </c>
      <c r="C335" s="3" t="inlineStr">
        <is>
          <t>003895</t>
        </is>
      </c>
      <c r="D335" s="4" t="n">
        <v>45057</v>
      </c>
      <c r="E335" s="2" t="inlineStr">
        <is>
          <t>14:53</t>
        </is>
      </c>
      <c r="F335" s="5" t="n">
        <v>199.17</v>
      </c>
      <c r="G335" s="5" t="n"/>
      <c r="H335" s="5" t="n"/>
      <c r="I335" s="5" t="n"/>
      <c r="J335" s="5" t="n">
        <v>39.83</v>
      </c>
      <c r="K335" s="5" t="n"/>
      <c r="L335" s="5" t="n"/>
      <c r="M335" s="5" t="n"/>
      <c r="N335" s="5" t="n"/>
      <c r="O335" s="5" t="n">
        <v>239</v>
      </c>
      <c r="P335" s="5" t="n">
        <v>239</v>
      </c>
      <c r="Q335" s="5" t="n"/>
      <c r="R335" s="5" t="n"/>
    </row>
    <row r="336">
      <c r="A336" s="2" t="inlineStr">
        <is>
          <t>EJ010623.TXT</t>
        </is>
      </c>
      <c r="B336" s="3" t="inlineStr">
        <is>
          <t>004878</t>
        </is>
      </c>
      <c r="C336" s="3" t="inlineStr">
        <is>
          <t>003896</t>
        </is>
      </c>
      <c r="D336" s="4" t="n">
        <v>45058</v>
      </c>
      <c r="E336" s="2" t="inlineStr">
        <is>
          <t>13:40</t>
        </is>
      </c>
      <c r="F336" s="5" t="n">
        <v>1645</v>
      </c>
      <c r="G336" s="5" t="n"/>
      <c r="H336" s="5" t="n"/>
      <c r="I336" s="5" t="n"/>
      <c r="J336" s="5" t="n">
        <v>329</v>
      </c>
      <c r="K336" s="5" t="n"/>
      <c r="L336" s="5" t="n"/>
      <c r="M336" s="5" t="n"/>
      <c r="N336" s="5" t="n"/>
      <c r="O336" s="5" t="n">
        <v>1974</v>
      </c>
      <c r="P336" s="5" t="n">
        <v>1974</v>
      </c>
      <c r="Q336" s="5" t="n"/>
      <c r="R336" s="5" t="n"/>
    </row>
    <row r="337">
      <c r="A337" s="2" t="inlineStr">
        <is>
          <t>EJ010623.TXT</t>
        </is>
      </c>
      <c r="B337" s="3" t="inlineStr">
        <is>
          <t>004879</t>
        </is>
      </c>
      <c r="C337" s="3" t="inlineStr">
        <is>
          <t>003897</t>
        </is>
      </c>
      <c r="D337" s="4" t="n">
        <v>45058</v>
      </c>
      <c r="E337" s="2" t="inlineStr">
        <is>
          <t>15:50</t>
        </is>
      </c>
      <c r="F337" s="5" t="n">
        <v>307.5</v>
      </c>
      <c r="G337" s="5" t="n"/>
      <c r="H337" s="5" t="n"/>
      <c r="I337" s="5" t="n"/>
      <c r="J337" s="5" t="n">
        <v>61.5</v>
      </c>
      <c r="K337" s="5" t="n"/>
      <c r="L337" s="5" t="n"/>
      <c r="M337" s="5" t="n"/>
      <c r="N337" s="5" t="n"/>
      <c r="O337" s="5" t="n">
        <v>369</v>
      </c>
      <c r="P337" s="5" t="n"/>
      <c r="Q337" s="5" t="n">
        <v>369</v>
      </c>
      <c r="R337" s="5" t="n"/>
    </row>
    <row r="338">
      <c r="A338" s="2" t="inlineStr">
        <is>
          <t>EJ010623.TXT</t>
        </is>
      </c>
      <c r="B338" s="3" t="inlineStr">
        <is>
          <t>004880</t>
        </is>
      </c>
      <c r="C338" s="3" t="inlineStr">
        <is>
          <t>003898</t>
        </is>
      </c>
      <c r="D338" s="4" t="n">
        <v>45059</v>
      </c>
      <c r="E338" s="2" t="inlineStr">
        <is>
          <t>14:10</t>
        </is>
      </c>
      <c r="F338" s="5" t="n">
        <v>274.17</v>
      </c>
      <c r="G338" s="5" t="n"/>
      <c r="H338" s="5" t="n"/>
      <c r="I338" s="5" t="n"/>
      <c r="J338" s="5" t="n">
        <v>54.83</v>
      </c>
      <c r="K338" s="5" t="n"/>
      <c r="L338" s="5" t="n"/>
      <c r="M338" s="5" t="n"/>
      <c r="N338" s="5" t="n"/>
      <c r="O338" s="5" t="n">
        <v>329</v>
      </c>
      <c r="P338" s="5" t="n"/>
      <c r="Q338" s="5" t="n">
        <v>329</v>
      </c>
      <c r="R338" s="5" t="n"/>
    </row>
    <row r="339">
      <c r="A339" s="2" t="inlineStr">
        <is>
          <t>EJ010623.TXT</t>
        </is>
      </c>
      <c r="B339" s="3" t="inlineStr">
        <is>
          <t>004881</t>
        </is>
      </c>
      <c r="C339" s="3" t="inlineStr">
        <is>
          <t>003899</t>
        </is>
      </c>
      <c r="D339" s="4" t="n">
        <v>45059</v>
      </c>
      <c r="E339" s="2" t="inlineStr">
        <is>
          <t>15:44</t>
        </is>
      </c>
      <c r="F339" s="5" t="n">
        <v>3240</v>
      </c>
      <c r="G339" s="5" t="n"/>
      <c r="H339" s="5" t="n"/>
      <c r="I339" s="5" t="n"/>
      <c r="J339" s="5" t="n">
        <v>648</v>
      </c>
      <c r="K339" s="5" t="n"/>
      <c r="L339" s="5" t="n"/>
      <c r="M339" s="5" t="n"/>
      <c r="N339" s="5" t="n"/>
      <c r="O339" s="5" t="n">
        <v>3888</v>
      </c>
      <c r="P339" s="5" t="n">
        <v>3888</v>
      </c>
      <c r="Q339" s="5" t="n"/>
      <c r="R339" s="5" t="n"/>
    </row>
    <row r="340">
      <c r="A340" s="2" t="inlineStr">
        <is>
          <t>EJ010623.TXT</t>
        </is>
      </c>
      <c r="B340" s="3" t="inlineStr">
        <is>
          <t>004882</t>
        </is>
      </c>
      <c r="C340" s="3" t="inlineStr">
        <is>
          <t>003900</t>
        </is>
      </c>
      <c r="D340" s="4" t="n">
        <v>45059</v>
      </c>
      <c r="E340" s="2" t="inlineStr">
        <is>
          <t>16:20</t>
        </is>
      </c>
      <c r="F340" s="5" t="n">
        <v>597.5</v>
      </c>
      <c r="G340" s="5" t="n"/>
      <c r="H340" s="5" t="n"/>
      <c r="I340" s="5" t="n"/>
      <c r="J340" s="5" t="n">
        <v>119.5</v>
      </c>
      <c r="K340" s="5" t="n"/>
      <c r="L340" s="5" t="n"/>
      <c r="M340" s="5" t="n"/>
      <c r="N340" s="5" t="n"/>
      <c r="O340" s="5" t="n">
        <v>717</v>
      </c>
      <c r="P340" s="5" t="n">
        <v>717</v>
      </c>
      <c r="Q340" s="5" t="n"/>
      <c r="R340" s="5" t="n"/>
    </row>
    <row r="341">
      <c r="A341" s="2" t="inlineStr">
        <is>
          <t>EJ010623.TXT</t>
        </is>
      </c>
      <c r="B341" s="3" t="inlineStr">
        <is>
          <t>004883</t>
        </is>
      </c>
      <c r="C341" s="3" t="inlineStr">
        <is>
          <t>003901</t>
        </is>
      </c>
      <c r="D341" s="4" t="n">
        <v>45061</v>
      </c>
      <c r="E341" s="2" t="inlineStr">
        <is>
          <t>09:23</t>
        </is>
      </c>
      <c r="F341" s="5" t="n">
        <v>548.33</v>
      </c>
      <c r="G341" s="5" t="n"/>
      <c r="H341" s="5" t="n"/>
      <c r="I341" s="5" t="n"/>
      <c r="J341" s="5" t="n">
        <v>109.67</v>
      </c>
      <c r="K341" s="5" t="n"/>
      <c r="L341" s="5" t="n"/>
      <c r="M341" s="5" t="n"/>
      <c r="N341" s="5" t="n"/>
      <c r="O341" s="5" t="n">
        <v>658</v>
      </c>
      <c r="P341" s="5" t="n">
        <v>658</v>
      </c>
      <c r="Q341" s="5" t="n"/>
      <c r="R341" s="5" t="n"/>
    </row>
    <row r="342">
      <c r="A342" s="2" t="inlineStr">
        <is>
          <t>EJ010623.TXT</t>
        </is>
      </c>
      <c r="B342" s="3" t="inlineStr">
        <is>
          <t>004884</t>
        </is>
      </c>
      <c r="C342" s="3" t="inlineStr">
        <is>
          <t>003902</t>
        </is>
      </c>
      <c r="D342" s="4" t="n">
        <v>45062</v>
      </c>
      <c r="E342" s="2" t="inlineStr">
        <is>
          <t>13:55</t>
        </is>
      </c>
      <c r="F342" s="5" t="n">
        <v>208.33</v>
      </c>
      <c r="G342" s="5" t="n"/>
      <c r="H342" s="5" t="n"/>
      <c r="I342" s="5" t="n"/>
      <c r="J342" s="5" t="n">
        <v>41.67</v>
      </c>
      <c r="K342" s="5" t="n"/>
      <c r="L342" s="5" t="n"/>
      <c r="M342" s="5" t="n"/>
      <c r="N342" s="5" t="n"/>
      <c r="O342" s="5" t="n">
        <v>250</v>
      </c>
      <c r="P342" s="5" t="n"/>
      <c r="Q342" s="5" t="n">
        <v>250</v>
      </c>
      <c r="R342" s="5" t="n"/>
    </row>
    <row r="343">
      <c r="A343" s="2" t="inlineStr">
        <is>
          <t>EJ010623.TXT</t>
        </is>
      </c>
      <c r="B343" s="3" t="inlineStr">
        <is>
          <t>004885</t>
        </is>
      </c>
      <c r="C343" s="3" t="inlineStr">
        <is>
          <t>003903</t>
        </is>
      </c>
      <c r="D343" s="4" t="n">
        <v>45065</v>
      </c>
      <c r="E343" s="2" t="inlineStr">
        <is>
          <t>11:05</t>
        </is>
      </c>
      <c r="F343" s="5" t="n">
        <v>24.17</v>
      </c>
      <c r="G343" s="5" t="n"/>
      <c r="H343" s="5" t="n"/>
      <c r="I343" s="5" t="n"/>
      <c r="J343" s="5" t="n">
        <v>4.83</v>
      </c>
      <c r="K343" s="5" t="n"/>
      <c r="L343" s="5" t="n"/>
      <c r="M343" s="5" t="n"/>
      <c r="N343" s="5" t="n"/>
      <c r="O343" s="5" t="n">
        <v>29</v>
      </c>
      <c r="P343" s="5" t="n">
        <v>29</v>
      </c>
      <c r="Q343" s="5" t="n"/>
      <c r="R343" s="5" t="n"/>
    </row>
    <row r="344">
      <c r="A344" s="2" t="inlineStr">
        <is>
          <t>EJ010623.TXT</t>
        </is>
      </c>
      <c r="B344" s="3" t="inlineStr">
        <is>
          <t>004886</t>
        </is>
      </c>
      <c r="C344" s="3" t="inlineStr">
        <is>
          <t>003904</t>
        </is>
      </c>
      <c r="D344" s="4" t="n">
        <v>45065</v>
      </c>
      <c r="E344" s="2" t="inlineStr">
        <is>
          <t>11:05</t>
        </is>
      </c>
      <c r="F344" s="5" t="n">
        <v>166.67</v>
      </c>
      <c r="G344" s="5" t="n"/>
      <c r="H344" s="5" t="n"/>
      <c r="I344" s="5" t="n"/>
      <c r="J344" s="5" t="n">
        <v>33.33</v>
      </c>
      <c r="K344" s="5" t="n"/>
      <c r="L344" s="5" t="n"/>
      <c r="M344" s="5" t="n"/>
      <c r="N344" s="5" t="n"/>
      <c r="O344" s="5" t="n">
        <v>200</v>
      </c>
      <c r="P344" s="5" t="n">
        <v>200</v>
      </c>
      <c r="Q344" s="5" t="n"/>
      <c r="R344" s="5" t="n"/>
    </row>
    <row r="345">
      <c r="A345" s="2" t="inlineStr">
        <is>
          <t>EJ010623.TXT</t>
        </is>
      </c>
      <c r="B345" s="3" t="inlineStr">
        <is>
          <t>004887</t>
        </is>
      </c>
      <c r="C345" s="3" t="inlineStr">
        <is>
          <t>003905</t>
        </is>
      </c>
      <c r="D345" s="4" t="n">
        <v>45065</v>
      </c>
      <c r="E345" s="2" t="inlineStr">
        <is>
          <t>16:50</t>
        </is>
      </c>
      <c r="F345" s="5" t="n">
        <v>165</v>
      </c>
      <c r="G345" s="5" t="n"/>
      <c r="H345" s="5" t="n"/>
      <c r="I345" s="5" t="n"/>
      <c r="J345" s="5" t="n">
        <v>33</v>
      </c>
      <c r="K345" s="5" t="n"/>
      <c r="L345" s="5" t="n"/>
      <c r="M345" s="5" t="n"/>
      <c r="N345" s="5" t="n"/>
      <c r="O345" s="5" t="n">
        <v>198</v>
      </c>
      <c r="P345" s="5" t="n"/>
      <c r="Q345" s="5" t="n">
        <v>198</v>
      </c>
      <c r="R345" s="5" t="n"/>
    </row>
    <row r="346">
      <c r="A346" s="2" t="inlineStr">
        <is>
          <t>EJ010623.TXT</t>
        </is>
      </c>
      <c r="B346" s="3" t="inlineStr">
        <is>
          <t>004888</t>
        </is>
      </c>
      <c r="C346" s="3" t="inlineStr">
        <is>
          <t>003906</t>
        </is>
      </c>
      <c r="D346" s="4" t="n">
        <v>45065</v>
      </c>
      <c r="E346" s="2" t="inlineStr">
        <is>
          <t>17:23</t>
        </is>
      </c>
      <c r="F346" s="5" t="n">
        <v>531.67</v>
      </c>
      <c r="G346" s="5" t="n"/>
      <c r="H346" s="5" t="n"/>
      <c r="I346" s="5" t="n"/>
      <c r="J346" s="5" t="n">
        <v>106.33</v>
      </c>
      <c r="K346" s="5" t="n"/>
      <c r="L346" s="5" t="n"/>
      <c r="M346" s="5" t="n"/>
      <c r="N346" s="5" t="n"/>
      <c r="O346" s="5" t="n">
        <v>638</v>
      </c>
      <c r="P346" s="5" t="n"/>
      <c r="Q346" s="5" t="n">
        <v>638</v>
      </c>
      <c r="R346" s="5" t="n"/>
    </row>
    <row r="347">
      <c r="A347" s="2" t="inlineStr">
        <is>
          <t>EJ010623.TXT</t>
        </is>
      </c>
      <c r="B347" s="3" t="inlineStr">
        <is>
          <t>004889</t>
        </is>
      </c>
      <c r="C347" s="3" t="inlineStr">
        <is>
          <t>003907</t>
        </is>
      </c>
      <c r="D347" s="4" t="n">
        <v>45066</v>
      </c>
      <c r="E347" s="2" t="inlineStr">
        <is>
          <t>14:27</t>
        </is>
      </c>
      <c r="F347" s="5" t="n">
        <v>797.5</v>
      </c>
      <c r="G347" s="5" t="n"/>
      <c r="H347" s="5" t="n"/>
      <c r="I347" s="5" t="n"/>
      <c r="J347" s="5" t="n">
        <v>159.5</v>
      </c>
      <c r="K347" s="5" t="n"/>
      <c r="L347" s="5" t="n"/>
      <c r="M347" s="5" t="n"/>
      <c r="N347" s="5" t="n"/>
      <c r="O347" s="5" t="n">
        <v>957</v>
      </c>
      <c r="P347" s="5" t="n"/>
      <c r="Q347" s="5" t="n">
        <v>957</v>
      </c>
      <c r="R347" s="5" t="n"/>
    </row>
    <row r="348">
      <c r="A348" s="2" t="inlineStr">
        <is>
          <t>EJ010623.TXT</t>
        </is>
      </c>
      <c r="B348" s="3" t="inlineStr">
        <is>
          <t>004890</t>
        </is>
      </c>
      <c r="C348" s="3" t="inlineStr">
        <is>
          <t>003908</t>
        </is>
      </c>
      <c r="D348" s="4" t="n">
        <v>45066</v>
      </c>
      <c r="E348" s="2" t="inlineStr">
        <is>
          <t>14:27</t>
        </is>
      </c>
      <c r="F348" s="5" t="n">
        <v>797.5</v>
      </c>
      <c r="G348" s="5" t="n"/>
      <c r="H348" s="5" t="n"/>
      <c r="I348" s="5" t="n"/>
      <c r="J348" s="5" t="n">
        <v>159.5</v>
      </c>
      <c r="K348" s="5" t="n"/>
      <c r="L348" s="5" t="n"/>
      <c r="M348" s="5" t="n"/>
      <c r="N348" s="5" t="n"/>
      <c r="O348" s="5" t="n">
        <v>957</v>
      </c>
      <c r="P348" s="5" t="n"/>
      <c r="Q348" s="5" t="n">
        <v>957</v>
      </c>
      <c r="R348" s="5" t="n"/>
    </row>
    <row r="349">
      <c r="A349" s="2" t="inlineStr">
        <is>
          <t>EJ010623.TXT</t>
        </is>
      </c>
      <c r="B349" s="3" t="inlineStr">
        <is>
          <t>004891</t>
        </is>
      </c>
      <c r="C349" s="3" t="inlineStr">
        <is>
          <t>003909</t>
        </is>
      </c>
      <c r="D349" s="4" t="n">
        <v>45066</v>
      </c>
      <c r="E349" s="2" t="inlineStr">
        <is>
          <t>14:28</t>
        </is>
      </c>
      <c r="F349" s="5" t="n">
        <v>531.67</v>
      </c>
      <c r="G349" s="5" t="n"/>
      <c r="H349" s="5" t="n"/>
      <c r="I349" s="5" t="n"/>
      <c r="J349" s="5" t="n">
        <v>106.33</v>
      </c>
      <c r="K349" s="5" t="n"/>
      <c r="L349" s="5" t="n"/>
      <c r="M349" s="5" t="n"/>
      <c r="N349" s="5" t="n"/>
      <c r="O349" s="5" t="n">
        <v>638</v>
      </c>
      <c r="P349" s="5" t="n">
        <v>638</v>
      </c>
      <c r="Q349" s="5" t="n"/>
      <c r="R349" s="5" t="n"/>
    </row>
    <row r="350">
      <c r="A350" s="2" t="inlineStr">
        <is>
          <t>EJ010623.TXT</t>
        </is>
      </c>
      <c r="B350" s="3" t="inlineStr">
        <is>
          <t>004892</t>
        </is>
      </c>
      <c r="C350" s="3" t="inlineStr">
        <is>
          <t>003910</t>
        </is>
      </c>
      <c r="D350" s="4" t="n">
        <v>45066</v>
      </c>
      <c r="E350" s="2" t="inlineStr">
        <is>
          <t>14:50</t>
        </is>
      </c>
      <c r="F350" s="5" t="n">
        <v>582.5</v>
      </c>
      <c r="G350" s="5" t="n"/>
      <c r="H350" s="5" t="n"/>
      <c r="I350" s="5" t="n"/>
      <c r="J350" s="5" t="n">
        <v>116.5</v>
      </c>
      <c r="K350" s="5" t="n"/>
      <c r="L350" s="5" t="n"/>
      <c r="M350" s="5" t="n"/>
      <c r="N350" s="5" t="n"/>
      <c r="O350" s="5" t="n">
        <v>699</v>
      </c>
      <c r="P350" s="5" t="n"/>
      <c r="Q350" s="5" t="n">
        <v>699</v>
      </c>
      <c r="R350" s="5" t="n"/>
    </row>
    <row r="351">
      <c r="A351" s="2" t="inlineStr">
        <is>
          <t>EJ010623.TXT</t>
        </is>
      </c>
      <c r="B351" s="3" t="inlineStr">
        <is>
          <t>004893</t>
        </is>
      </c>
      <c r="C351" s="3" t="inlineStr">
        <is>
          <t>003911</t>
        </is>
      </c>
      <c r="D351" s="4" t="n">
        <v>45066</v>
      </c>
      <c r="E351" s="2" t="inlineStr">
        <is>
          <t>14:51</t>
        </is>
      </c>
      <c r="F351" s="5" t="n">
        <v>3495</v>
      </c>
      <c r="G351" s="5" t="n"/>
      <c r="H351" s="5" t="n"/>
      <c r="I351" s="5" t="n"/>
      <c r="J351" s="5" t="n">
        <v>699</v>
      </c>
      <c r="K351" s="5" t="n"/>
      <c r="L351" s="5" t="n"/>
      <c r="M351" s="5" t="n"/>
      <c r="N351" s="5" t="n"/>
      <c r="O351" s="5" t="n">
        <v>4194</v>
      </c>
      <c r="P351" s="5" t="n">
        <v>4194</v>
      </c>
      <c r="Q351" s="5" t="n"/>
      <c r="R351" s="5" t="n"/>
    </row>
    <row r="352">
      <c r="A352" s="2" t="inlineStr">
        <is>
          <t>EJ010623.TXT</t>
        </is>
      </c>
      <c r="B352" s="3" t="inlineStr">
        <is>
          <t>004894</t>
        </is>
      </c>
      <c r="C352" s="3" t="inlineStr">
        <is>
          <t>003912</t>
        </is>
      </c>
      <c r="D352" s="4" t="n">
        <v>45066</v>
      </c>
      <c r="E352" s="2" t="inlineStr">
        <is>
          <t>14:52</t>
        </is>
      </c>
      <c r="F352" s="5" t="n">
        <v>582.5</v>
      </c>
      <c r="G352" s="5" t="n"/>
      <c r="H352" s="5" t="n"/>
      <c r="I352" s="5" t="n"/>
      <c r="J352" s="5" t="n">
        <v>116.5</v>
      </c>
      <c r="K352" s="5" t="n"/>
      <c r="L352" s="5" t="n"/>
      <c r="M352" s="5" t="n"/>
      <c r="N352" s="5" t="n"/>
      <c r="O352" s="5" t="n">
        <v>699</v>
      </c>
      <c r="P352" s="5" t="n"/>
      <c r="Q352" s="5" t="n">
        <v>699</v>
      </c>
      <c r="R352" s="5" t="n"/>
    </row>
    <row r="353">
      <c r="A353" s="2" t="inlineStr">
        <is>
          <t>EJ010623.TXT</t>
        </is>
      </c>
      <c r="B353" s="3" t="inlineStr">
        <is>
          <t>004895</t>
        </is>
      </c>
      <c r="C353" s="3" t="inlineStr">
        <is>
          <t>003913</t>
        </is>
      </c>
      <c r="D353" s="4" t="n">
        <v>45066</v>
      </c>
      <c r="E353" s="2" t="inlineStr">
        <is>
          <t>14:59</t>
        </is>
      </c>
      <c r="F353" s="5" t="n">
        <v>548.33</v>
      </c>
      <c r="G353" s="5" t="n"/>
      <c r="H353" s="5" t="n"/>
      <c r="I353" s="5" t="n"/>
      <c r="J353" s="5" t="n">
        <v>109.67</v>
      </c>
      <c r="K353" s="5" t="n"/>
      <c r="L353" s="5" t="n"/>
      <c r="M353" s="5" t="n"/>
      <c r="N353" s="5" t="n"/>
      <c r="O353" s="5" t="n">
        <v>658</v>
      </c>
      <c r="P353" s="5" t="n">
        <v>658</v>
      </c>
      <c r="Q353" s="5" t="n"/>
      <c r="R353" s="5" t="n"/>
    </row>
    <row r="354">
      <c r="A354" s="2" t="inlineStr">
        <is>
          <t>EJ010623.TXT</t>
        </is>
      </c>
      <c r="B354" s="3" t="inlineStr">
        <is>
          <t>004896</t>
        </is>
      </c>
      <c r="C354" s="3" t="inlineStr">
        <is>
          <t>003914</t>
        </is>
      </c>
      <c r="D354" s="4" t="n">
        <v>45069</v>
      </c>
      <c r="E354" s="2" t="inlineStr">
        <is>
          <t>15:25</t>
        </is>
      </c>
      <c r="F354" s="5" t="n">
        <v>548.33</v>
      </c>
      <c r="G354" s="5" t="n"/>
      <c r="H354" s="5" t="n"/>
      <c r="I354" s="5" t="n"/>
      <c r="J354" s="5" t="n">
        <v>109.67</v>
      </c>
      <c r="K354" s="5" t="n"/>
      <c r="L354" s="5" t="n"/>
      <c r="M354" s="5" t="n"/>
      <c r="N354" s="5" t="n"/>
      <c r="O354" s="5" t="n">
        <v>658</v>
      </c>
      <c r="P354" s="5" t="n"/>
      <c r="Q354" s="5" t="n">
        <v>658</v>
      </c>
      <c r="R354" s="5" t="n"/>
    </row>
    <row r="355">
      <c r="A355" s="2" t="inlineStr">
        <is>
          <t>EJ010623.TXT</t>
        </is>
      </c>
      <c r="B355" s="3" t="inlineStr">
        <is>
          <t>004897</t>
        </is>
      </c>
      <c r="C355" s="3" t="inlineStr">
        <is>
          <t>003915</t>
        </is>
      </c>
      <c r="D355" s="4" t="n">
        <v>45070</v>
      </c>
      <c r="E355" s="2" t="inlineStr">
        <is>
          <t>10:19</t>
        </is>
      </c>
      <c r="F355" s="5" t="n">
        <v>822.5</v>
      </c>
      <c r="G355" s="5" t="n"/>
      <c r="H355" s="5" t="n"/>
      <c r="I355" s="5" t="n"/>
      <c r="J355" s="5" t="n">
        <v>164.5</v>
      </c>
      <c r="K355" s="5" t="n"/>
      <c r="L355" s="5" t="n"/>
      <c r="M355" s="5" t="n"/>
      <c r="N355" s="5" t="n"/>
      <c r="O355" s="5" t="n">
        <v>987</v>
      </c>
      <c r="P355" s="5" t="n"/>
      <c r="Q355" s="5" t="n">
        <v>987</v>
      </c>
      <c r="R355" s="5" t="n"/>
    </row>
    <row r="356">
      <c r="A356" s="2" t="inlineStr">
        <is>
          <t>EJ010623.TXT</t>
        </is>
      </c>
      <c r="B356" s="3" t="inlineStr">
        <is>
          <t>004898</t>
        </is>
      </c>
      <c r="C356" s="3" t="inlineStr">
        <is>
          <t>003916</t>
        </is>
      </c>
      <c r="D356" s="4" t="n">
        <v>45070</v>
      </c>
      <c r="E356" s="2" t="inlineStr">
        <is>
          <t>10:40</t>
        </is>
      </c>
      <c r="F356" s="5" t="n">
        <v>190.83</v>
      </c>
      <c r="G356" s="5" t="n"/>
      <c r="H356" s="5" t="n"/>
      <c r="I356" s="5" t="n"/>
      <c r="J356" s="5" t="n">
        <v>38.17</v>
      </c>
      <c r="K356" s="5" t="n"/>
      <c r="L356" s="5" t="n"/>
      <c r="M356" s="5" t="n"/>
      <c r="N356" s="5" t="n"/>
      <c r="O356" s="5" t="n">
        <v>229</v>
      </c>
      <c r="P356" s="5" t="n"/>
      <c r="Q356" s="5" t="n">
        <v>229</v>
      </c>
      <c r="R356" s="5" t="n"/>
    </row>
    <row r="357">
      <c r="A357" s="2" t="inlineStr">
        <is>
          <t>EJ010623.TXT</t>
        </is>
      </c>
      <c r="B357" s="3" t="inlineStr">
        <is>
          <t>004899</t>
        </is>
      </c>
      <c r="C357" s="3" t="inlineStr">
        <is>
          <t>003917</t>
        </is>
      </c>
      <c r="D357" s="4" t="n">
        <v>45070</v>
      </c>
      <c r="E357" s="2" t="inlineStr">
        <is>
          <t>11:38</t>
        </is>
      </c>
      <c r="F357" s="5" t="n">
        <v>73.33</v>
      </c>
      <c r="G357" s="5" t="n"/>
      <c r="H357" s="5" t="n"/>
      <c r="I357" s="5" t="n"/>
      <c r="J357" s="5" t="n">
        <v>14.67</v>
      </c>
      <c r="K357" s="5" t="n"/>
      <c r="L357" s="5" t="n"/>
      <c r="M357" s="5" t="n"/>
      <c r="N357" s="5" t="n"/>
      <c r="O357" s="5" t="n">
        <v>88</v>
      </c>
      <c r="P357" s="5" t="n">
        <v>88</v>
      </c>
      <c r="Q357" s="5" t="n"/>
      <c r="R357" s="5" t="n"/>
    </row>
    <row r="358">
      <c r="A358" s="2" t="inlineStr">
        <is>
          <t>EJ010623.TXT</t>
        </is>
      </c>
      <c r="B358" s="3" t="inlineStr">
        <is>
          <t>004900</t>
        </is>
      </c>
      <c r="C358" s="3" t="inlineStr">
        <is>
          <t>003918</t>
        </is>
      </c>
      <c r="D358" s="4" t="n">
        <v>45071</v>
      </c>
      <c r="E358" s="2" t="inlineStr">
        <is>
          <t>09:11</t>
        </is>
      </c>
      <c r="F358" s="5" t="n">
        <v>274.17</v>
      </c>
      <c r="G358" s="5" t="n"/>
      <c r="H358" s="5" t="n"/>
      <c r="I358" s="5" t="n"/>
      <c r="J358" s="5" t="n">
        <v>54.83</v>
      </c>
      <c r="K358" s="5" t="n"/>
      <c r="L358" s="5" t="n"/>
      <c r="M358" s="5" t="n"/>
      <c r="N358" s="5" t="n"/>
      <c r="O358" s="5" t="n">
        <v>329</v>
      </c>
      <c r="P358" s="5" t="n">
        <v>329</v>
      </c>
      <c r="Q358" s="5" t="n"/>
      <c r="R358" s="5" t="n"/>
    </row>
    <row r="359">
      <c r="A359" s="2" t="inlineStr">
        <is>
          <t>EJ010623.TXT</t>
        </is>
      </c>
      <c r="B359" s="3" t="inlineStr">
        <is>
          <t>004901</t>
        </is>
      </c>
      <c r="C359" s="3" t="inlineStr">
        <is>
          <t>003919</t>
        </is>
      </c>
      <c r="D359" s="4" t="n">
        <v>45071</v>
      </c>
      <c r="E359" s="2" t="inlineStr">
        <is>
          <t>15:56</t>
        </is>
      </c>
      <c r="F359" s="5" t="n">
        <v>548.33</v>
      </c>
      <c r="G359" s="5" t="n"/>
      <c r="H359" s="5" t="n"/>
      <c r="I359" s="5" t="n"/>
      <c r="J359" s="5" t="n">
        <v>109.67</v>
      </c>
      <c r="K359" s="5" t="n"/>
      <c r="L359" s="5" t="n"/>
      <c r="M359" s="5" t="n"/>
      <c r="N359" s="5" t="n"/>
      <c r="O359" s="5" t="n">
        <v>658</v>
      </c>
      <c r="P359" s="5" t="n"/>
      <c r="Q359" s="5" t="n">
        <v>658</v>
      </c>
      <c r="R359" s="5" t="n"/>
    </row>
    <row r="360">
      <c r="A360" s="2" t="inlineStr">
        <is>
          <t>EJ010623.TXT</t>
        </is>
      </c>
      <c r="B360" s="3" t="inlineStr">
        <is>
          <t>004902</t>
        </is>
      </c>
      <c r="C360" s="3" t="inlineStr">
        <is>
          <t>003920</t>
        </is>
      </c>
      <c r="D360" s="4" t="n">
        <v>45072</v>
      </c>
      <c r="E360" s="2" t="inlineStr">
        <is>
          <t>09:13</t>
        </is>
      </c>
      <c r="F360" s="5" t="n">
        <v>548.33</v>
      </c>
      <c r="G360" s="5" t="n"/>
      <c r="H360" s="5" t="n"/>
      <c r="I360" s="5" t="n"/>
      <c r="J360" s="5" t="n">
        <v>109.67</v>
      </c>
      <c r="K360" s="5" t="n"/>
      <c r="L360" s="5" t="n"/>
      <c r="M360" s="5" t="n"/>
      <c r="N360" s="5" t="n"/>
      <c r="O360" s="5" t="n">
        <v>658</v>
      </c>
      <c r="P360" s="5" t="n">
        <v>658</v>
      </c>
      <c r="Q360" s="5" t="n"/>
      <c r="R360" s="5" t="n"/>
    </row>
    <row r="361">
      <c r="A361" s="2" t="inlineStr">
        <is>
          <t>EJ010623.TXT</t>
        </is>
      </c>
      <c r="B361" s="3" t="inlineStr">
        <is>
          <t>004903</t>
        </is>
      </c>
      <c r="C361" s="3" t="inlineStr">
        <is>
          <t>003921</t>
        </is>
      </c>
      <c r="D361" s="4" t="n">
        <v>45072</v>
      </c>
      <c r="E361" s="2" t="inlineStr">
        <is>
          <t>10:11</t>
        </is>
      </c>
      <c r="F361" s="5" t="n">
        <v>350</v>
      </c>
      <c r="G361" s="5" t="n"/>
      <c r="H361" s="5" t="n"/>
      <c r="I361" s="5" t="n"/>
      <c r="J361" s="5" t="n">
        <v>70</v>
      </c>
      <c r="K361" s="5" t="n"/>
      <c r="L361" s="5" t="n"/>
      <c r="M361" s="5" t="n"/>
      <c r="N361" s="5" t="n"/>
      <c r="O361" s="5" t="n">
        <v>420</v>
      </c>
      <c r="P361" s="5" t="n"/>
      <c r="Q361" s="5" t="n">
        <v>420</v>
      </c>
      <c r="R361" s="5" t="n"/>
    </row>
    <row r="362">
      <c r="A362" s="2" t="inlineStr">
        <is>
          <t>EJ010623.TXT</t>
        </is>
      </c>
      <c r="B362" s="3" t="inlineStr">
        <is>
          <t>004904</t>
        </is>
      </c>
      <c r="C362" s="3" t="inlineStr">
        <is>
          <t>003922</t>
        </is>
      </c>
      <c r="D362" s="4" t="n">
        <v>45073</v>
      </c>
      <c r="E362" s="2" t="inlineStr">
        <is>
          <t>14:23</t>
        </is>
      </c>
      <c r="F362" s="5" t="n">
        <v>98.33</v>
      </c>
      <c r="G362" s="5" t="n"/>
      <c r="H362" s="5" t="n"/>
      <c r="I362" s="5" t="n"/>
      <c r="J362" s="5" t="n">
        <v>19.67</v>
      </c>
      <c r="K362" s="5" t="n"/>
      <c r="L362" s="5" t="n"/>
      <c r="M362" s="5" t="n"/>
      <c r="N362" s="5" t="n"/>
      <c r="O362" s="5" t="n">
        <v>118</v>
      </c>
      <c r="P362" s="5" t="n"/>
      <c r="Q362" s="5" t="n">
        <v>118</v>
      </c>
      <c r="R362" s="5" t="n"/>
    </row>
    <row r="363">
      <c r="A363" s="2" t="inlineStr">
        <is>
          <t>EJ010623.TXT</t>
        </is>
      </c>
      <c r="B363" s="3" t="inlineStr">
        <is>
          <t>004905</t>
        </is>
      </c>
      <c r="C363" s="3" t="inlineStr">
        <is>
          <t>003923</t>
        </is>
      </c>
      <c r="D363" s="4" t="n">
        <v>45073</v>
      </c>
      <c r="E363" s="2" t="inlineStr">
        <is>
          <t>17:42</t>
        </is>
      </c>
      <c r="F363" s="5" t="n">
        <v>274.17</v>
      </c>
      <c r="G363" s="5" t="n"/>
      <c r="H363" s="5" t="n"/>
      <c r="I363" s="5" t="n"/>
      <c r="J363" s="5" t="n">
        <v>54.83</v>
      </c>
      <c r="K363" s="5" t="n"/>
      <c r="L363" s="5" t="n"/>
      <c r="M363" s="5" t="n"/>
      <c r="N363" s="5" t="n"/>
      <c r="O363" s="5" t="n">
        <v>329</v>
      </c>
      <c r="P363" s="5" t="n"/>
      <c r="Q363" s="5" t="n">
        <v>329</v>
      </c>
      <c r="R363" s="5" t="n"/>
    </row>
    <row r="364">
      <c r="A364" s="2" t="inlineStr">
        <is>
          <t>EJ010623.TXT</t>
        </is>
      </c>
      <c r="B364" s="3" t="inlineStr">
        <is>
          <t>004906</t>
        </is>
      </c>
      <c r="C364" s="3" t="inlineStr">
        <is>
          <t>003924</t>
        </is>
      </c>
      <c r="D364" s="4" t="n">
        <v>45075</v>
      </c>
      <c r="E364" s="2" t="inlineStr">
        <is>
          <t>15:18</t>
        </is>
      </c>
      <c r="F364" s="5" t="n">
        <v>381.67</v>
      </c>
      <c r="G364" s="5" t="n"/>
      <c r="H364" s="5" t="n"/>
      <c r="I364" s="5" t="n"/>
      <c r="J364" s="5" t="n">
        <v>76.33</v>
      </c>
      <c r="K364" s="5" t="n"/>
      <c r="L364" s="5" t="n"/>
      <c r="M364" s="5" t="n"/>
      <c r="N364" s="5" t="n"/>
      <c r="O364" s="5" t="n">
        <v>458</v>
      </c>
      <c r="P364" s="5" t="n"/>
      <c r="Q364" s="5" t="n">
        <v>458</v>
      </c>
      <c r="R364" s="5" t="n"/>
    </row>
    <row r="365">
      <c r="A365" s="2" t="inlineStr">
        <is>
          <t>EJ010623.TXT</t>
        </is>
      </c>
      <c r="B365" s="3" t="inlineStr">
        <is>
          <t>004907</t>
        </is>
      </c>
      <c r="C365" s="3" t="inlineStr">
        <is>
          <t>003925</t>
        </is>
      </c>
      <c r="D365" s="4" t="n">
        <v>45075</v>
      </c>
      <c r="E365" s="2" t="inlineStr">
        <is>
          <t>16:05</t>
        </is>
      </c>
      <c r="F365" s="5" t="n">
        <v>65.83</v>
      </c>
      <c r="G365" s="5" t="n"/>
      <c r="H365" s="5" t="n"/>
      <c r="I365" s="5" t="n"/>
      <c r="J365" s="5" t="n">
        <v>13.17</v>
      </c>
      <c r="K365" s="5" t="n"/>
      <c r="L365" s="5" t="n"/>
      <c r="M365" s="5" t="n"/>
      <c r="N365" s="5" t="n"/>
      <c r="O365" s="5" t="n">
        <v>79</v>
      </c>
      <c r="P365" s="5" t="n">
        <v>79</v>
      </c>
      <c r="Q365" s="5" t="n"/>
      <c r="R365" s="5" t="n"/>
    </row>
    <row r="366">
      <c r="A366" s="2" t="inlineStr">
        <is>
          <t>EJ010623.TXT</t>
        </is>
      </c>
      <c r="B366" s="3" t="inlineStr">
        <is>
          <t>004908</t>
        </is>
      </c>
      <c r="C366" s="3" t="inlineStr">
        <is>
          <t>003926</t>
        </is>
      </c>
      <c r="D366" s="4" t="n">
        <v>45077</v>
      </c>
      <c r="E366" s="2" t="inlineStr">
        <is>
          <t>11:07</t>
        </is>
      </c>
      <c r="F366" s="5" t="n">
        <v>1645</v>
      </c>
      <c r="G366" s="5" t="n"/>
      <c r="H366" s="5" t="n"/>
      <c r="I366" s="5" t="n"/>
      <c r="J366" s="5" t="n">
        <v>329</v>
      </c>
      <c r="K366" s="5" t="n"/>
      <c r="L366" s="5" t="n"/>
      <c r="M366" s="5" t="n"/>
      <c r="N366" s="5" t="n"/>
      <c r="O366" s="5" t="n">
        <v>1974</v>
      </c>
      <c r="P366" s="5" t="n">
        <v>1974</v>
      </c>
      <c r="Q366" s="5" t="n"/>
      <c r="R366" s="5" t="n"/>
    </row>
    <row r="367">
      <c r="A367" s="2" t="inlineStr">
        <is>
          <t>EJ010723.TXT</t>
        </is>
      </c>
      <c r="B367" s="3" t="inlineStr">
        <is>
          <t>004916</t>
        </is>
      </c>
      <c r="C367" s="3" t="inlineStr">
        <is>
          <t>003927</t>
        </is>
      </c>
      <c r="D367" s="4" t="n">
        <v>45078</v>
      </c>
      <c r="E367" s="2" t="inlineStr">
        <is>
          <t>10:44</t>
        </is>
      </c>
      <c r="F367" s="5" t="n">
        <v>822.5</v>
      </c>
      <c r="G367" s="5" t="n"/>
      <c r="H367" s="5" t="n"/>
      <c r="I367" s="5" t="n"/>
      <c r="J367" s="5" t="n">
        <v>164.5</v>
      </c>
      <c r="K367" s="5" t="n"/>
      <c r="L367" s="5" t="n"/>
      <c r="M367" s="5" t="n"/>
      <c r="N367" s="5" t="n"/>
      <c r="O367" s="5" t="n">
        <v>987</v>
      </c>
      <c r="P367" s="5" t="n"/>
      <c r="Q367" s="5" t="n">
        <v>987</v>
      </c>
      <c r="R367" s="5" t="n"/>
    </row>
    <row r="368">
      <c r="A368" s="2" t="inlineStr">
        <is>
          <t>EJ010723.TXT</t>
        </is>
      </c>
      <c r="B368" s="3" t="inlineStr">
        <is>
          <t>004917</t>
        </is>
      </c>
      <c r="C368" s="3" t="inlineStr">
        <is>
          <t>003928</t>
        </is>
      </c>
      <c r="D368" s="4" t="n">
        <v>45078</v>
      </c>
      <c r="E368" s="2" t="inlineStr">
        <is>
          <t>10:44</t>
        </is>
      </c>
      <c r="F368" s="5" t="n">
        <v>548.33</v>
      </c>
      <c r="G368" s="5" t="n"/>
      <c r="H368" s="5" t="n"/>
      <c r="I368" s="5" t="n"/>
      <c r="J368" s="5" t="n">
        <v>109.67</v>
      </c>
      <c r="K368" s="5" t="n"/>
      <c r="L368" s="5" t="n"/>
      <c r="M368" s="5" t="n"/>
      <c r="N368" s="5" t="n"/>
      <c r="O368" s="5" t="n">
        <v>658</v>
      </c>
      <c r="P368" s="5" t="n"/>
      <c r="Q368" s="5" t="n">
        <v>658</v>
      </c>
      <c r="R368" s="5" t="n"/>
    </row>
    <row r="369">
      <c r="A369" s="2" t="inlineStr">
        <is>
          <t>EJ010723.TXT</t>
        </is>
      </c>
      <c r="B369" s="3" t="inlineStr">
        <is>
          <t>004918</t>
        </is>
      </c>
      <c r="C369" s="3" t="inlineStr">
        <is>
          <t>003929</t>
        </is>
      </c>
      <c r="D369" s="4" t="n">
        <v>45078</v>
      </c>
      <c r="E369" s="2" t="inlineStr">
        <is>
          <t>10:48</t>
        </is>
      </c>
      <c r="F369" s="5" t="n">
        <v>131.67</v>
      </c>
      <c r="G369" s="5" t="n"/>
      <c r="H369" s="5" t="n"/>
      <c r="I369" s="5" t="n"/>
      <c r="J369" s="5" t="n">
        <v>26.33</v>
      </c>
      <c r="K369" s="5" t="n"/>
      <c r="L369" s="5" t="n"/>
      <c r="M369" s="5" t="n"/>
      <c r="N369" s="5" t="n"/>
      <c r="O369" s="5" t="n">
        <v>158</v>
      </c>
      <c r="P369" s="5" t="n"/>
      <c r="Q369" s="5" t="n">
        <v>158</v>
      </c>
      <c r="R369" s="5" t="n"/>
    </row>
    <row r="370">
      <c r="A370" s="2" t="inlineStr">
        <is>
          <t>EJ010723.TXT</t>
        </is>
      </c>
      <c r="B370" s="3" t="inlineStr">
        <is>
          <t>004919</t>
        </is>
      </c>
      <c r="C370" s="3" t="inlineStr">
        <is>
          <t>003930</t>
        </is>
      </c>
      <c r="D370" s="4" t="n">
        <v>45078</v>
      </c>
      <c r="E370" s="2" t="inlineStr">
        <is>
          <t>15:15</t>
        </is>
      </c>
      <c r="F370" s="5" t="n">
        <v>208.33</v>
      </c>
      <c r="G370" s="5" t="n"/>
      <c r="H370" s="5" t="n"/>
      <c r="I370" s="5" t="n"/>
      <c r="J370" s="5" t="n">
        <v>41.67</v>
      </c>
      <c r="K370" s="5" t="n"/>
      <c r="L370" s="5" t="n"/>
      <c r="M370" s="5" t="n"/>
      <c r="N370" s="5" t="n"/>
      <c r="O370" s="5" t="n">
        <v>250</v>
      </c>
      <c r="P370" s="5" t="n"/>
      <c r="Q370" s="5" t="n">
        <v>250</v>
      </c>
      <c r="R370" s="5" t="n"/>
    </row>
    <row r="371">
      <c r="A371" s="2" t="inlineStr">
        <is>
          <t>EJ010723.TXT</t>
        </is>
      </c>
      <c r="B371" s="3" t="inlineStr">
        <is>
          <t>004920</t>
        </is>
      </c>
      <c r="C371" s="3" t="inlineStr">
        <is>
          <t>003931</t>
        </is>
      </c>
      <c r="D371" s="4" t="n">
        <v>45080</v>
      </c>
      <c r="E371" s="2" t="inlineStr">
        <is>
          <t>14:59</t>
        </is>
      </c>
      <c r="F371" s="5" t="n">
        <v>274.17</v>
      </c>
      <c r="G371" s="5" t="n"/>
      <c r="H371" s="5" t="n"/>
      <c r="I371" s="5" t="n"/>
      <c r="J371" s="5" t="n">
        <v>54.83</v>
      </c>
      <c r="K371" s="5" t="n"/>
      <c r="L371" s="5" t="n"/>
      <c r="M371" s="5" t="n"/>
      <c r="N371" s="5" t="n"/>
      <c r="O371" s="5" t="n">
        <v>329</v>
      </c>
      <c r="P371" s="5" t="n"/>
      <c r="Q371" s="5" t="n">
        <v>329</v>
      </c>
      <c r="R371" s="5" t="n"/>
    </row>
    <row r="372">
      <c r="A372" s="2" t="inlineStr">
        <is>
          <t>EJ010723.TXT</t>
        </is>
      </c>
      <c r="B372" s="3" t="inlineStr">
        <is>
          <t>004921</t>
        </is>
      </c>
      <c r="C372" s="3" t="inlineStr">
        <is>
          <t>003932</t>
        </is>
      </c>
      <c r="D372" s="4" t="n">
        <v>45080</v>
      </c>
      <c r="E372" s="2" t="inlineStr">
        <is>
          <t>15:54</t>
        </is>
      </c>
      <c r="F372" s="5" t="n">
        <v>190.83</v>
      </c>
      <c r="G372" s="5" t="n"/>
      <c r="H372" s="5" t="n"/>
      <c r="I372" s="5" t="n"/>
      <c r="J372" s="5" t="n">
        <v>38.17</v>
      </c>
      <c r="K372" s="5" t="n"/>
      <c r="L372" s="5" t="n"/>
      <c r="M372" s="5" t="n"/>
      <c r="N372" s="5" t="n"/>
      <c r="O372" s="5" t="n">
        <v>229</v>
      </c>
      <c r="P372" s="5" t="n">
        <v>229</v>
      </c>
      <c r="Q372" s="5" t="n"/>
      <c r="R372" s="5" t="n"/>
    </row>
    <row r="373">
      <c r="A373" s="2" t="inlineStr">
        <is>
          <t>EJ010723.TXT</t>
        </is>
      </c>
      <c r="B373" s="3" t="inlineStr">
        <is>
          <t>004922</t>
        </is>
      </c>
      <c r="C373" s="3" t="inlineStr">
        <is>
          <t>003933</t>
        </is>
      </c>
      <c r="D373" s="4" t="n">
        <v>45080</v>
      </c>
      <c r="E373" s="2" t="inlineStr">
        <is>
          <t>16:42</t>
        </is>
      </c>
      <c r="F373" s="5" t="n">
        <v>822.5</v>
      </c>
      <c r="G373" s="5" t="n"/>
      <c r="H373" s="5" t="n"/>
      <c r="I373" s="5" t="n"/>
      <c r="J373" s="5" t="n">
        <v>164.5</v>
      </c>
      <c r="K373" s="5" t="n"/>
      <c r="L373" s="5" t="n"/>
      <c r="M373" s="5" t="n"/>
      <c r="N373" s="5" t="n"/>
      <c r="O373" s="5" t="n">
        <v>987</v>
      </c>
      <c r="P373" s="5" t="n"/>
      <c r="Q373" s="5" t="n">
        <v>987</v>
      </c>
      <c r="R373" s="5" t="n"/>
    </row>
    <row r="374">
      <c r="A374" s="2" t="inlineStr">
        <is>
          <t>EJ010723.TXT</t>
        </is>
      </c>
      <c r="B374" s="3" t="inlineStr">
        <is>
          <t>004923</t>
        </is>
      </c>
      <c r="C374" s="3" t="inlineStr">
        <is>
          <t>003934</t>
        </is>
      </c>
      <c r="D374" s="4" t="n">
        <v>45080</v>
      </c>
      <c r="E374" s="2" t="inlineStr">
        <is>
          <t>16:42</t>
        </is>
      </c>
      <c r="F374" s="5" t="n">
        <v>667.5</v>
      </c>
      <c r="G374" s="5" t="n"/>
      <c r="H374" s="5" t="n"/>
      <c r="I374" s="5" t="n"/>
      <c r="J374" s="5" t="n">
        <v>133.5</v>
      </c>
      <c r="K374" s="5" t="n"/>
      <c r="L374" s="5" t="n"/>
      <c r="M374" s="5" t="n"/>
      <c r="N374" s="5" t="n"/>
      <c r="O374" s="5" t="n">
        <v>801</v>
      </c>
      <c r="P374" s="5" t="n"/>
      <c r="Q374" s="5" t="n">
        <v>801</v>
      </c>
      <c r="R374" s="5" t="n"/>
    </row>
    <row r="375">
      <c r="A375" s="2" t="inlineStr">
        <is>
          <t>EJ010723.TXT</t>
        </is>
      </c>
      <c r="B375" s="3" t="inlineStr">
        <is>
          <t>004924</t>
        </is>
      </c>
      <c r="C375" s="3" t="inlineStr">
        <is>
          <t>003935</t>
        </is>
      </c>
      <c r="D375" s="4" t="n">
        <v>45080</v>
      </c>
      <c r="E375" s="2" t="inlineStr">
        <is>
          <t>16:52</t>
        </is>
      </c>
      <c r="F375" s="5" t="n">
        <v>274.17</v>
      </c>
      <c r="G375" s="5" t="n"/>
      <c r="H375" s="5" t="n"/>
      <c r="I375" s="5" t="n"/>
      <c r="J375" s="5" t="n">
        <v>54.83</v>
      </c>
      <c r="K375" s="5" t="n"/>
      <c r="L375" s="5" t="n"/>
      <c r="M375" s="5" t="n"/>
      <c r="N375" s="5" t="n"/>
      <c r="O375" s="5" t="n">
        <v>329</v>
      </c>
      <c r="P375" s="5" t="n"/>
      <c r="Q375" s="5" t="n">
        <v>329</v>
      </c>
      <c r="R375" s="5" t="n"/>
    </row>
    <row r="376">
      <c r="A376" s="2" t="inlineStr">
        <is>
          <t>EJ010723.TXT</t>
        </is>
      </c>
      <c r="B376" s="3" t="inlineStr">
        <is>
          <t>004925</t>
        </is>
      </c>
      <c r="C376" s="3" t="inlineStr">
        <is>
          <t>003936</t>
        </is>
      </c>
      <c r="D376" s="4" t="n">
        <v>45080</v>
      </c>
      <c r="E376" s="2" t="inlineStr">
        <is>
          <t>18:06</t>
        </is>
      </c>
      <c r="F376" s="5" t="n">
        <v>465</v>
      </c>
      <c r="G376" s="5" t="n"/>
      <c r="H376" s="5" t="n"/>
      <c r="I376" s="5" t="n"/>
      <c r="J376" s="5" t="n">
        <v>93</v>
      </c>
      <c r="K376" s="5" t="n"/>
      <c r="L376" s="5" t="n"/>
      <c r="M376" s="5" t="n"/>
      <c r="N376" s="5" t="n"/>
      <c r="O376" s="5" t="n">
        <v>558</v>
      </c>
      <c r="P376" s="5" t="n">
        <v>558</v>
      </c>
      <c r="Q376" s="5" t="n"/>
      <c r="R376" s="5" t="n"/>
    </row>
    <row r="377">
      <c r="A377" s="2" t="inlineStr">
        <is>
          <t>EJ010723.TXT</t>
        </is>
      </c>
      <c r="B377" s="3" t="inlineStr">
        <is>
          <t>004926</t>
        </is>
      </c>
      <c r="C377" s="3" t="inlineStr">
        <is>
          <t>003937</t>
        </is>
      </c>
      <c r="D377" s="4" t="n">
        <v>45082</v>
      </c>
      <c r="E377" s="2" t="inlineStr">
        <is>
          <t>15:27</t>
        </is>
      </c>
      <c r="F377" s="5" t="n">
        <v>822.5</v>
      </c>
      <c r="G377" s="5" t="n"/>
      <c r="H377" s="5" t="n"/>
      <c r="I377" s="5" t="n"/>
      <c r="J377" s="5" t="n">
        <v>164.5</v>
      </c>
      <c r="K377" s="5" t="n"/>
      <c r="L377" s="5" t="n"/>
      <c r="M377" s="5" t="n"/>
      <c r="N377" s="5" t="n"/>
      <c r="O377" s="5" t="n">
        <v>987</v>
      </c>
      <c r="P377" s="5" t="n"/>
      <c r="Q377" s="5" t="n">
        <v>987</v>
      </c>
      <c r="R377" s="5" t="n"/>
    </row>
    <row r="378">
      <c r="A378" s="2" t="inlineStr">
        <is>
          <t>EJ010723.TXT</t>
        </is>
      </c>
      <c r="B378" s="3" t="inlineStr">
        <is>
          <t>004927</t>
        </is>
      </c>
      <c r="C378" s="3" t="inlineStr">
        <is>
          <t>003938</t>
        </is>
      </c>
      <c r="D378" s="4" t="n">
        <v>45082</v>
      </c>
      <c r="E378" s="2" t="inlineStr">
        <is>
          <t>15:31</t>
        </is>
      </c>
      <c r="F378" s="5" t="n">
        <v>175</v>
      </c>
      <c r="G378" s="5" t="n"/>
      <c r="H378" s="5" t="n"/>
      <c r="I378" s="5" t="n"/>
      <c r="J378" s="5" t="n">
        <v>35</v>
      </c>
      <c r="K378" s="5" t="n"/>
      <c r="L378" s="5" t="n"/>
      <c r="M378" s="5" t="n"/>
      <c r="N378" s="5" t="n"/>
      <c r="O378" s="5" t="n">
        <v>210</v>
      </c>
      <c r="P378" s="5" t="n"/>
      <c r="Q378" s="5" t="n">
        <v>210</v>
      </c>
      <c r="R378" s="5" t="n"/>
    </row>
    <row r="379">
      <c r="A379" s="2" t="inlineStr">
        <is>
          <t>EJ010723.TXT</t>
        </is>
      </c>
      <c r="B379" s="3" t="inlineStr">
        <is>
          <t>004928</t>
        </is>
      </c>
      <c r="C379" s="3" t="inlineStr">
        <is>
          <t>003939</t>
        </is>
      </c>
      <c r="D379" s="4" t="n">
        <v>45083</v>
      </c>
      <c r="E379" s="2" t="inlineStr">
        <is>
          <t>10:02</t>
        </is>
      </c>
      <c r="F379" s="5" t="n">
        <v>274.17</v>
      </c>
      <c r="G379" s="5" t="n"/>
      <c r="H379" s="5" t="n"/>
      <c r="I379" s="5" t="n"/>
      <c r="J379" s="5" t="n">
        <v>54.83</v>
      </c>
      <c r="K379" s="5" t="n"/>
      <c r="L379" s="5" t="n"/>
      <c r="M379" s="5" t="n"/>
      <c r="N379" s="5" t="n"/>
      <c r="O379" s="5" t="n">
        <v>329</v>
      </c>
      <c r="P379" s="5" t="n">
        <v>329</v>
      </c>
      <c r="Q379" s="5" t="n"/>
      <c r="R379" s="5" t="n"/>
    </row>
    <row r="380">
      <c r="A380" s="2" t="inlineStr">
        <is>
          <t>EJ010723.TXT</t>
        </is>
      </c>
      <c r="B380" s="3" t="inlineStr">
        <is>
          <t>004929</t>
        </is>
      </c>
      <c r="C380" s="3" t="inlineStr">
        <is>
          <t>003940</t>
        </is>
      </c>
      <c r="D380" s="4" t="n">
        <v>45083</v>
      </c>
      <c r="E380" s="2" t="inlineStr">
        <is>
          <t>17:43</t>
        </is>
      </c>
      <c r="F380" s="5" t="n">
        <v>548.33</v>
      </c>
      <c r="G380" s="5" t="n"/>
      <c r="H380" s="5" t="n"/>
      <c r="I380" s="5" t="n"/>
      <c r="J380" s="5" t="n">
        <v>109.67</v>
      </c>
      <c r="K380" s="5" t="n"/>
      <c r="L380" s="5" t="n"/>
      <c r="M380" s="5" t="n"/>
      <c r="N380" s="5" t="n"/>
      <c r="O380" s="5" t="n">
        <v>658</v>
      </c>
      <c r="P380" s="5" t="n">
        <v>658</v>
      </c>
      <c r="Q380" s="5" t="n"/>
      <c r="R380" s="5" t="n"/>
    </row>
    <row r="381">
      <c r="A381" s="2" t="inlineStr">
        <is>
          <t>EJ010723.TXT</t>
        </is>
      </c>
      <c r="B381" s="3" t="inlineStr">
        <is>
          <t>004930</t>
        </is>
      </c>
      <c r="C381" s="3" t="inlineStr">
        <is>
          <t>003941</t>
        </is>
      </c>
      <c r="D381" s="4" t="n">
        <v>45084</v>
      </c>
      <c r="E381" s="2" t="inlineStr">
        <is>
          <t>10:00</t>
        </is>
      </c>
      <c r="F381" s="5" t="n">
        <v>797.5</v>
      </c>
      <c r="G381" s="5" t="n"/>
      <c r="H381" s="5" t="n"/>
      <c r="I381" s="5" t="n"/>
      <c r="J381" s="5" t="n">
        <v>159.5</v>
      </c>
      <c r="K381" s="5" t="n"/>
      <c r="L381" s="5" t="n"/>
      <c r="M381" s="5" t="n"/>
      <c r="N381" s="5" t="n"/>
      <c r="O381" s="5" t="n">
        <v>957</v>
      </c>
      <c r="P381" s="5" t="n"/>
      <c r="Q381" s="5" t="n">
        <v>957</v>
      </c>
      <c r="R381" s="5" t="n"/>
    </row>
    <row r="382">
      <c r="A382" s="2" t="inlineStr">
        <is>
          <t>EJ010723.TXT</t>
        </is>
      </c>
      <c r="B382" s="3" t="inlineStr">
        <is>
          <t>004931</t>
        </is>
      </c>
      <c r="C382" s="3" t="inlineStr">
        <is>
          <t>003942</t>
        </is>
      </c>
      <c r="D382" s="4" t="n">
        <v>45084</v>
      </c>
      <c r="E382" s="2" t="inlineStr">
        <is>
          <t>10:00</t>
        </is>
      </c>
      <c r="F382" s="5" t="n">
        <v>797.5</v>
      </c>
      <c r="G382" s="5" t="n"/>
      <c r="H382" s="5" t="n"/>
      <c r="I382" s="5" t="n"/>
      <c r="J382" s="5" t="n">
        <v>159.5</v>
      </c>
      <c r="K382" s="5" t="n"/>
      <c r="L382" s="5" t="n"/>
      <c r="M382" s="5" t="n"/>
      <c r="N382" s="5" t="n"/>
      <c r="O382" s="5" t="n">
        <v>957</v>
      </c>
      <c r="P382" s="5" t="n"/>
      <c r="Q382" s="5" t="n">
        <v>957</v>
      </c>
      <c r="R382" s="5" t="n"/>
    </row>
    <row r="383">
      <c r="A383" s="2" t="inlineStr">
        <is>
          <t>EJ010723.TXT</t>
        </is>
      </c>
      <c r="B383" s="3" t="inlineStr">
        <is>
          <t>004932</t>
        </is>
      </c>
      <c r="C383" s="3" t="inlineStr">
        <is>
          <t>003943</t>
        </is>
      </c>
      <c r="D383" s="4" t="n">
        <v>45090</v>
      </c>
      <c r="E383" s="2" t="inlineStr">
        <is>
          <t>14:33</t>
        </is>
      </c>
      <c r="F383" s="5" t="n">
        <v>548.33</v>
      </c>
      <c r="G383" s="5" t="n"/>
      <c r="H383" s="5" t="n"/>
      <c r="I383" s="5" t="n"/>
      <c r="J383" s="5" t="n">
        <v>109.67</v>
      </c>
      <c r="K383" s="5" t="n"/>
      <c r="L383" s="5" t="n"/>
      <c r="M383" s="5" t="n"/>
      <c r="N383" s="5" t="n"/>
      <c r="O383" s="5" t="n">
        <v>658</v>
      </c>
      <c r="P383" s="5" t="n"/>
      <c r="Q383" s="5" t="n">
        <v>658</v>
      </c>
      <c r="R383" s="5" t="n"/>
    </row>
    <row r="384">
      <c r="A384" s="2" t="inlineStr">
        <is>
          <t>EJ010723.TXT</t>
        </is>
      </c>
      <c r="B384" s="3" t="inlineStr">
        <is>
          <t>004933</t>
        </is>
      </c>
      <c r="C384" s="3" t="inlineStr">
        <is>
          <t>003944</t>
        </is>
      </c>
      <c r="D384" s="4" t="n">
        <v>45091</v>
      </c>
      <c r="E384" s="2" t="inlineStr">
        <is>
          <t>15:01</t>
        </is>
      </c>
      <c r="F384" s="5" t="n">
        <v>548.33</v>
      </c>
      <c r="G384" s="5" t="n"/>
      <c r="H384" s="5" t="n"/>
      <c r="I384" s="5" t="n"/>
      <c r="J384" s="5" t="n">
        <v>109.67</v>
      </c>
      <c r="K384" s="5" t="n"/>
      <c r="L384" s="5" t="n"/>
      <c r="M384" s="5" t="n"/>
      <c r="N384" s="5" t="n"/>
      <c r="O384" s="5" t="n">
        <v>658</v>
      </c>
      <c r="P384" s="5" t="n">
        <v>658</v>
      </c>
      <c r="Q384" s="5" t="n"/>
      <c r="R384" s="5" t="n"/>
    </row>
    <row r="385">
      <c r="A385" s="2" t="inlineStr">
        <is>
          <t>EJ010723.TXT</t>
        </is>
      </c>
      <c r="B385" s="3" t="inlineStr">
        <is>
          <t>004934</t>
        </is>
      </c>
      <c r="C385" s="3" t="inlineStr">
        <is>
          <t>003945</t>
        </is>
      </c>
      <c r="D385" s="4" t="n">
        <v>45094</v>
      </c>
      <c r="E385" s="2" t="inlineStr">
        <is>
          <t>16:58</t>
        </is>
      </c>
      <c r="F385" s="5" t="n">
        <v>548.33</v>
      </c>
      <c r="G385" s="5" t="n"/>
      <c r="H385" s="5" t="n"/>
      <c r="I385" s="5" t="n"/>
      <c r="J385" s="5" t="n">
        <v>109.67</v>
      </c>
      <c r="K385" s="5" t="n"/>
      <c r="L385" s="5" t="n"/>
      <c r="M385" s="5" t="n"/>
      <c r="N385" s="5" t="n"/>
      <c r="O385" s="5" t="n">
        <v>658</v>
      </c>
      <c r="P385" s="5" t="n">
        <v>658</v>
      </c>
      <c r="Q385" s="5" t="n"/>
      <c r="R385" s="5" t="n"/>
    </row>
    <row r="386">
      <c r="A386" s="2" t="inlineStr">
        <is>
          <t>EJ010723.TXT</t>
        </is>
      </c>
      <c r="B386" s="3" t="inlineStr">
        <is>
          <t>004935</t>
        </is>
      </c>
      <c r="C386" s="3" t="inlineStr">
        <is>
          <t>003946</t>
        </is>
      </c>
      <c r="D386" s="4" t="n">
        <v>45096</v>
      </c>
      <c r="E386" s="2" t="inlineStr">
        <is>
          <t>12:41</t>
        </is>
      </c>
      <c r="F386" s="5" t="n">
        <v>822.5</v>
      </c>
      <c r="G386" s="5" t="n"/>
      <c r="H386" s="5" t="n"/>
      <c r="I386" s="5" t="n"/>
      <c r="J386" s="5" t="n">
        <v>164.5</v>
      </c>
      <c r="K386" s="5" t="n"/>
      <c r="L386" s="5" t="n"/>
      <c r="M386" s="5" t="n"/>
      <c r="N386" s="5" t="n"/>
      <c r="O386" s="5" t="n">
        <v>987</v>
      </c>
      <c r="P386" s="5" t="n"/>
      <c r="Q386" s="5" t="n">
        <v>987</v>
      </c>
      <c r="R386" s="5" t="n"/>
    </row>
    <row r="387">
      <c r="A387" s="2" t="inlineStr">
        <is>
          <t>EJ010723.TXT</t>
        </is>
      </c>
      <c r="B387" s="3" t="inlineStr">
        <is>
          <t>004936</t>
        </is>
      </c>
      <c r="C387" s="3" t="inlineStr">
        <is>
          <t>003947</t>
        </is>
      </c>
      <c r="D387" s="4" t="n">
        <v>45096</v>
      </c>
      <c r="E387" s="2" t="inlineStr">
        <is>
          <t>12:41</t>
        </is>
      </c>
      <c r="F387" s="5" t="n">
        <v>548.33</v>
      </c>
      <c r="G387" s="5" t="n"/>
      <c r="H387" s="5" t="n"/>
      <c r="I387" s="5" t="n"/>
      <c r="J387" s="5" t="n">
        <v>109.67</v>
      </c>
      <c r="K387" s="5" t="n"/>
      <c r="L387" s="5" t="n"/>
      <c r="M387" s="5" t="n"/>
      <c r="N387" s="5" t="n"/>
      <c r="O387" s="5" t="n">
        <v>658</v>
      </c>
      <c r="P387" s="5" t="n"/>
      <c r="Q387" s="5" t="n">
        <v>658</v>
      </c>
      <c r="R387" s="5" t="n"/>
    </row>
    <row r="388">
      <c r="A388" s="2" t="inlineStr">
        <is>
          <t>EJ010723.TXT</t>
        </is>
      </c>
      <c r="B388" s="3" t="inlineStr">
        <is>
          <t>004937</t>
        </is>
      </c>
      <c r="C388" s="3" t="inlineStr">
        <is>
          <t>003948</t>
        </is>
      </c>
      <c r="D388" s="4" t="n">
        <v>45096</v>
      </c>
      <c r="E388" s="2" t="inlineStr">
        <is>
          <t>12:42</t>
        </is>
      </c>
      <c r="F388" s="5" t="n">
        <v>274.17</v>
      </c>
      <c r="G388" s="5" t="n"/>
      <c r="H388" s="5" t="n"/>
      <c r="I388" s="5" t="n"/>
      <c r="J388" s="5" t="n">
        <v>54.83</v>
      </c>
      <c r="K388" s="5" t="n"/>
      <c r="L388" s="5" t="n"/>
      <c r="M388" s="5" t="n"/>
      <c r="N388" s="5" t="n"/>
      <c r="O388" s="5" t="n">
        <v>329</v>
      </c>
      <c r="P388" s="5" t="n"/>
      <c r="Q388" s="5" t="n">
        <v>329</v>
      </c>
      <c r="R388" s="5" t="n"/>
    </row>
    <row r="389">
      <c r="A389" s="2" t="inlineStr">
        <is>
          <t>EJ010723.TXT</t>
        </is>
      </c>
      <c r="B389" s="3" t="inlineStr">
        <is>
          <t>004938</t>
        </is>
      </c>
      <c r="C389" s="3" t="inlineStr">
        <is>
          <t>003949</t>
        </is>
      </c>
      <c r="D389" s="4" t="n">
        <v>45096</v>
      </c>
      <c r="E389" s="2" t="inlineStr">
        <is>
          <t>12:42</t>
        </is>
      </c>
      <c r="F389" s="5" t="n">
        <v>548.33</v>
      </c>
      <c r="G389" s="5" t="n"/>
      <c r="H389" s="5" t="n"/>
      <c r="I389" s="5" t="n"/>
      <c r="J389" s="5" t="n">
        <v>109.67</v>
      </c>
      <c r="K389" s="5" t="n"/>
      <c r="L389" s="5" t="n"/>
      <c r="M389" s="5" t="n"/>
      <c r="N389" s="5" t="n"/>
      <c r="O389" s="5" t="n">
        <v>658</v>
      </c>
      <c r="P389" s="5" t="n"/>
      <c r="Q389" s="5" t="n">
        <v>658</v>
      </c>
      <c r="R389" s="5" t="n"/>
    </row>
    <row r="390">
      <c r="A390" s="2" t="inlineStr">
        <is>
          <t>EJ010723.TXT</t>
        </is>
      </c>
      <c r="B390" s="3" t="inlineStr">
        <is>
          <t>004939</t>
        </is>
      </c>
      <c r="C390" s="3" t="inlineStr">
        <is>
          <t>003950</t>
        </is>
      </c>
      <c r="D390" s="4" t="n">
        <v>45096</v>
      </c>
      <c r="E390" s="2" t="inlineStr">
        <is>
          <t>12:42</t>
        </is>
      </c>
      <c r="F390" s="5" t="n">
        <v>274.17</v>
      </c>
      <c r="G390" s="5" t="n"/>
      <c r="H390" s="5" t="n"/>
      <c r="I390" s="5" t="n"/>
      <c r="J390" s="5" t="n">
        <v>54.83</v>
      </c>
      <c r="K390" s="5" t="n"/>
      <c r="L390" s="5" t="n"/>
      <c r="M390" s="5" t="n"/>
      <c r="N390" s="5" t="n"/>
      <c r="O390" s="5" t="n">
        <v>329</v>
      </c>
      <c r="P390" s="5" t="n"/>
      <c r="Q390" s="5" t="n">
        <v>329</v>
      </c>
      <c r="R390" s="5" t="n"/>
    </row>
    <row r="391">
      <c r="A391" s="2" t="inlineStr">
        <is>
          <t>EJ010723.TXT</t>
        </is>
      </c>
      <c r="B391" s="3" t="inlineStr">
        <is>
          <t>004940</t>
        </is>
      </c>
      <c r="C391" s="3" t="inlineStr">
        <is>
          <t>003951</t>
        </is>
      </c>
      <c r="D391" s="4" t="n">
        <v>45096</v>
      </c>
      <c r="E391" s="2" t="inlineStr">
        <is>
          <t>12:42</t>
        </is>
      </c>
      <c r="F391" s="5" t="n">
        <v>822.5</v>
      </c>
      <c r="G391" s="5" t="n"/>
      <c r="H391" s="5" t="n"/>
      <c r="I391" s="5" t="n"/>
      <c r="J391" s="5" t="n">
        <v>164.5</v>
      </c>
      <c r="K391" s="5" t="n"/>
      <c r="L391" s="5" t="n"/>
      <c r="M391" s="5" t="n"/>
      <c r="N391" s="5" t="n"/>
      <c r="O391" s="5" t="n">
        <v>987</v>
      </c>
      <c r="P391" s="5" t="n"/>
      <c r="Q391" s="5" t="n">
        <v>987</v>
      </c>
      <c r="R391" s="5" t="n"/>
    </row>
    <row r="392">
      <c r="A392" s="2" t="inlineStr">
        <is>
          <t>EJ010723.TXT</t>
        </is>
      </c>
      <c r="B392" s="3" t="inlineStr">
        <is>
          <t>004941</t>
        </is>
      </c>
      <c r="C392" s="3" t="inlineStr">
        <is>
          <t>003952</t>
        </is>
      </c>
      <c r="D392" s="4" t="n">
        <v>45096</v>
      </c>
      <c r="E392" s="2" t="inlineStr">
        <is>
          <t>16:23</t>
        </is>
      </c>
      <c r="F392" s="5" t="n">
        <v>190.83</v>
      </c>
      <c r="G392" s="5" t="n"/>
      <c r="H392" s="5" t="n"/>
      <c r="I392" s="5" t="n"/>
      <c r="J392" s="5" t="n">
        <v>38.17</v>
      </c>
      <c r="K392" s="5" t="n"/>
      <c r="L392" s="5" t="n"/>
      <c r="M392" s="5" t="n"/>
      <c r="N392" s="5" t="n"/>
      <c r="O392" s="5" t="n">
        <v>229</v>
      </c>
      <c r="P392" s="5" t="n">
        <v>229</v>
      </c>
      <c r="Q392" s="5" t="n"/>
      <c r="R392" s="5" t="n"/>
    </row>
    <row r="393">
      <c r="A393" s="2" t="inlineStr">
        <is>
          <t>EJ010723.TXT</t>
        </is>
      </c>
      <c r="B393" s="3" t="inlineStr">
        <is>
          <t>004942</t>
        </is>
      </c>
      <c r="C393" s="3" t="inlineStr">
        <is>
          <t>003953</t>
        </is>
      </c>
      <c r="D393" s="4" t="n">
        <v>45096</v>
      </c>
      <c r="E393" s="2" t="inlineStr">
        <is>
          <t>16:25</t>
        </is>
      </c>
      <c r="F393" s="5" t="n">
        <v>307.5</v>
      </c>
      <c r="G393" s="5" t="n"/>
      <c r="H393" s="5" t="n"/>
      <c r="I393" s="5" t="n"/>
      <c r="J393" s="5" t="n">
        <v>61.5</v>
      </c>
      <c r="K393" s="5" t="n"/>
      <c r="L393" s="5" t="n"/>
      <c r="M393" s="5" t="n"/>
      <c r="N393" s="5" t="n"/>
      <c r="O393" s="5" t="n">
        <v>369</v>
      </c>
      <c r="P393" s="5" t="n">
        <v>369</v>
      </c>
      <c r="Q393" s="5" t="n"/>
      <c r="R393" s="5" t="n"/>
    </row>
    <row r="394">
      <c r="A394" s="2" t="inlineStr">
        <is>
          <t>EJ010723.TXT</t>
        </is>
      </c>
      <c r="B394" s="3" t="inlineStr">
        <is>
          <t>004943</t>
        </is>
      </c>
      <c r="C394" s="3" t="inlineStr">
        <is>
          <t>003954</t>
        </is>
      </c>
      <c r="D394" s="4" t="n">
        <v>45097</v>
      </c>
      <c r="E394" s="2" t="inlineStr">
        <is>
          <t>09:50</t>
        </is>
      </c>
      <c r="F394" s="5" t="n">
        <v>797.5</v>
      </c>
      <c r="G394" s="5" t="n"/>
      <c r="H394" s="5" t="n"/>
      <c r="I394" s="5" t="n"/>
      <c r="J394" s="5" t="n">
        <v>159.5</v>
      </c>
      <c r="K394" s="5" t="n"/>
      <c r="L394" s="5" t="n"/>
      <c r="M394" s="5" t="n"/>
      <c r="N394" s="5" t="n"/>
      <c r="O394" s="5" t="n">
        <v>957</v>
      </c>
      <c r="P394" s="5" t="n"/>
      <c r="Q394" s="5" t="n">
        <v>957</v>
      </c>
      <c r="R394" s="5" t="n"/>
    </row>
    <row r="395">
      <c r="A395" s="2" t="inlineStr">
        <is>
          <t>EJ010723.TXT</t>
        </is>
      </c>
      <c r="B395" s="3" t="inlineStr">
        <is>
          <t>004944</t>
        </is>
      </c>
      <c r="C395" s="3" t="inlineStr">
        <is>
          <t>003955</t>
        </is>
      </c>
      <c r="D395" s="4" t="n">
        <v>45097</v>
      </c>
      <c r="E395" s="2" t="inlineStr">
        <is>
          <t>14:24</t>
        </is>
      </c>
      <c r="F395" s="5" t="n">
        <v>274.17</v>
      </c>
      <c r="G395" s="5" t="n"/>
      <c r="H395" s="5" t="n"/>
      <c r="I395" s="5" t="n"/>
      <c r="J395" s="5" t="n">
        <v>54.83</v>
      </c>
      <c r="K395" s="5" t="n"/>
      <c r="L395" s="5" t="n"/>
      <c r="M395" s="5" t="n"/>
      <c r="N395" s="5" t="n"/>
      <c r="O395" s="5" t="n">
        <v>329</v>
      </c>
      <c r="P395" s="5" t="n">
        <v>329</v>
      </c>
      <c r="Q395" s="5" t="n"/>
      <c r="R395" s="5" t="n"/>
    </row>
    <row r="396">
      <c r="A396" s="2" t="inlineStr">
        <is>
          <t>EJ010723.TXT</t>
        </is>
      </c>
      <c r="B396" s="3" t="inlineStr">
        <is>
          <t>004945</t>
        </is>
      </c>
      <c r="C396" s="3" t="inlineStr">
        <is>
          <t>003956</t>
        </is>
      </c>
      <c r="D396" s="4" t="n">
        <v>45097</v>
      </c>
      <c r="E396" s="2" t="inlineStr">
        <is>
          <t>15:04</t>
        </is>
      </c>
      <c r="F396" s="5" t="n">
        <v>65.83</v>
      </c>
      <c r="G396" s="5" t="n"/>
      <c r="H396" s="5" t="n"/>
      <c r="I396" s="5" t="n"/>
      <c r="J396" s="5" t="n">
        <v>13.17</v>
      </c>
      <c r="K396" s="5" t="n"/>
      <c r="L396" s="5" t="n"/>
      <c r="M396" s="5" t="n"/>
      <c r="N396" s="5" t="n"/>
      <c r="O396" s="5" t="n">
        <v>79</v>
      </c>
      <c r="P396" s="5" t="n">
        <v>79</v>
      </c>
      <c r="Q396" s="5" t="n"/>
      <c r="R396" s="5" t="n"/>
    </row>
    <row r="397">
      <c r="A397" s="2" t="inlineStr">
        <is>
          <t>EJ010723.TXT</t>
        </is>
      </c>
      <c r="B397" s="3" t="inlineStr">
        <is>
          <t>004946</t>
        </is>
      </c>
      <c r="C397" s="3" t="inlineStr">
        <is>
          <t>003957</t>
        </is>
      </c>
      <c r="D397" s="4" t="n">
        <v>45098</v>
      </c>
      <c r="E397" s="2" t="inlineStr">
        <is>
          <t>09:24</t>
        </is>
      </c>
      <c r="F397" s="5" t="n">
        <v>208.33</v>
      </c>
      <c r="G397" s="5" t="n"/>
      <c r="H397" s="5" t="n"/>
      <c r="I397" s="5" t="n"/>
      <c r="J397" s="5" t="n">
        <v>41.67</v>
      </c>
      <c r="K397" s="5" t="n"/>
      <c r="L397" s="5" t="n"/>
      <c r="M397" s="5" t="n"/>
      <c r="N397" s="5" t="n"/>
      <c r="O397" s="5" t="n">
        <v>250</v>
      </c>
      <c r="P397" s="5" t="n"/>
      <c r="Q397" s="5" t="n">
        <v>250</v>
      </c>
      <c r="R397" s="5" t="n"/>
    </row>
    <row r="398">
      <c r="A398" s="2" t="inlineStr">
        <is>
          <t>EJ010723.TXT</t>
        </is>
      </c>
      <c r="B398" s="3" t="inlineStr">
        <is>
          <t>004947</t>
        </is>
      </c>
      <c r="C398" s="3" t="inlineStr">
        <is>
          <t>003958</t>
        </is>
      </c>
      <c r="D398" s="4" t="n">
        <v>45098</v>
      </c>
      <c r="E398" s="2" t="inlineStr">
        <is>
          <t>10:16</t>
        </is>
      </c>
      <c r="F398" s="5" t="n">
        <v>125</v>
      </c>
      <c r="G398" s="5" t="n"/>
      <c r="H398" s="5" t="n"/>
      <c r="I398" s="5" t="n"/>
      <c r="J398" s="5" t="n">
        <v>25</v>
      </c>
      <c r="K398" s="5" t="n"/>
      <c r="L398" s="5" t="n"/>
      <c r="M398" s="5" t="n"/>
      <c r="N398" s="5" t="n"/>
      <c r="O398" s="5" t="n">
        <v>150</v>
      </c>
      <c r="P398" s="5" t="n"/>
      <c r="Q398" s="5" t="n">
        <v>150</v>
      </c>
      <c r="R398" s="5" t="n"/>
    </row>
    <row r="399">
      <c r="A399" s="2" t="inlineStr">
        <is>
          <t>EJ010723.TXT</t>
        </is>
      </c>
      <c r="B399" s="3" t="inlineStr">
        <is>
          <t>004948</t>
        </is>
      </c>
      <c r="C399" s="3" t="inlineStr">
        <is>
          <t>003959</t>
        </is>
      </c>
      <c r="D399" s="4" t="n">
        <v>45098</v>
      </c>
      <c r="E399" s="2" t="inlineStr">
        <is>
          <t>10:17</t>
        </is>
      </c>
      <c r="F399" s="5" t="n">
        <v>65.83</v>
      </c>
      <c r="G399" s="5" t="n"/>
      <c r="H399" s="5" t="n"/>
      <c r="I399" s="5" t="n"/>
      <c r="J399" s="5" t="n">
        <v>13.17</v>
      </c>
      <c r="K399" s="5" t="n"/>
      <c r="L399" s="5" t="n"/>
      <c r="M399" s="5" t="n"/>
      <c r="N399" s="5" t="n"/>
      <c r="O399" s="5" t="n">
        <v>79</v>
      </c>
      <c r="P399" s="5" t="n">
        <v>79</v>
      </c>
      <c r="Q399" s="5" t="n"/>
      <c r="R399" s="5" t="n"/>
    </row>
    <row r="400">
      <c r="A400" s="2" t="inlineStr">
        <is>
          <t>EJ010723.TXT</t>
        </is>
      </c>
      <c r="B400" s="3" t="inlineStr">
        <is>
          <t>004949</t>
        </is>
      </c>
      <c r="C400" s="3" t="inlineStr">
        <is>
          <t>003960</t>
        </is>
      </c>
      <c r="D400" s="4" t="n">
        <v>45098</v>
      </c>
      <c r="E400" s="2" t="inlineStr">
        <is>
          <t>12:06</t>
        </is>
      </c>
      <c r="F400" s="5" t="n">
        <v>500</v>
      </c>
      <c r="G400" s="5" t="n"/>
      <c r="H400" s="5" t="n"/>
      <c r="I400" s="5" t="n"/>
      <c r="J400" s="5" t="n">
        <v>100</v>
      </c>
      <c r="K400" s="5" t="n"/>
      <c r="L400" s="5" t="n"/>
      <c r="M400" s="5" t="n"/>
      <c r="N400" s="5" t="n"/>
      <c r="O400" s="5" t="n">
        <v>600</v>
      </c>
      <c r="P400" s="5" t="n">
        <v>600</v>
      </c>
      <c r="Q400" s="5" t="n"/>
      <c r="R400" s="5" t="n"/>
    </row>
    <row r="401">
      <c r="A401" s="2" t="inlineStr">
        <is>
          <t>EJ010723.TXT</t>
        </is>
      </c>
      <c r="B401" s="3" t="inlineStr">
        <is>
          <t>004950</t>
        </is>
      </c>
      <c r="C401" s="3" t="inlineStr">
        <is>
          <t>003961</t>
        </is>
      </c>
      <c r="D401" s="4" t="n">
        <v>45099</v>
      </c>
      <c r="E401" s="2" t="inlineStr">
        <is>
          <t>09:51</t>
        </is>
      </c>
      <c r="F401" s="5" t="n">
        <v>65.83</v>
      </c>
      <c r="G401" s="5" t="n"/>
      <c r="H401" s="5" t="n"/>
      <c r="I401" s="5" t="n"/>
      <c r="J401" s="5" t="n">
        <v>13.17</v>
      </c>
      <c r="K401" s="5" t="n"/>
      <c r="L401" s="5" t="n"/>
      <c r="M401" s="5" t="n"/>
      <c r="N401" s="5" t="n"/>
      <c r="O401" s="5" t="n">
        <v>79</v>
      </c>
      <c r="P401" s="5" t="n">
        <v>79</v>
      </c>
      <c r="Q401" s="5" t="n"/>
      <c r="R401" s="5" t="n"/>
    </row>
    <row r="402">
      <c r="A402" s="2" t="inlineStr">
        <is>
          <t>EJ010723.TXT</t>
        </is>
      </c>
      <c r="B402" s="3" t="inlineStr">
        <is>
          <t>004951</t>
        </is>
      </c>
      <c r="C402" s="3" t="inlineStr">
        <is>
          <t>003962</t>
        </is>
      </c>
      <c r="D402" s="4" t="n">
        <v>45103</v>
      </c>
      <c r="E402" s="2" t="inlineStr">
        <is>
          <t>11:49</t>
        </is>
      </c>
      <c r="F402" s="5" t="n">
        <v>548.33</v>
      </c>
      <c r="G402" s="5" t="n"/>
      <c r="H402" s="5" t="n"/>
      <c r="I402" s="5" t="n"/>
      <c r="J402" s="5" t="n">
        <v>109.67</v>
      </c>
      <c r="K402" s="5" t="n"/>
      <c r="L402" s="5" t="n"/>
      <c r="M402" s="5" t="n"/>
      <c r="N402" s="5" t="n"/>
      <c r="O402" s="5" t="n">
        <v>658</v>
      </c>
      <c r="P402" s="5" t="n">
        <v>658</v>
      </c>
      <c r="Q402" s="5" t="n"/>
      <c r="R402" s="5" t="n"/>
    </row>
    <row r="403">
      <c r="A403" s="2" t="inlineStr">
        <is>
          <t>EJ010723.TXT</t>
        </is>
      </c>
      <c r="B403" s="3" t="inlineStr">
        <is>
          <t>004952</t>
        </is>
      </c>
      <c r="C403" s="3" t="inlineStr">
        <is>
          <t>003963</t>
        </is>
      </c>
      <c r="D403" s="4" t="n">
        <v>45104</v>
      </c>
      <c r="E403" s="2" t="inlineStr">
        <is>
          <t>10:14</t>
        </is>
      </c>
      <c r="F403" s="5" t="n">
        <v>548.33</v>
      </c>
      <c r="G403" s="5" t="n"/>
      <c r="H403" s="5" t="n"/>
      <c r="I403" s="5" t="n"/>
      <c r="J403" s="5" t="n">
        <v>109.67</v>
      </c>
      <c r="K403" s="5" t="n"/>
      <c r="L403" s="5" t="n"/>
      <c r="M403" s="5" t="n"/>
      <c r="N403" s="5" t="n"/>
      <c r="O403" s="5" t="n">
        <v>658</v>
      </c>
      <c r="P403" s="5" t="n"/>
      <c r="Q403" s="5" t="n">
        <v>658</v>
      </c>
      <c r="R403" s="5" t="n"/>
    </row>
    <row r="404">
      <c r="A404" s="2" t="inlineStr">
        <is>
          <t>EJ010723.TXT</t>
        </is>
      </c>
      <c r="B404" s="3" t="inlineStr">
        <is>
          <t>004953</t>
        </is>
      </c>
      <c r="C404" s="3" t="inlineStr">
        <is>
          <t>003964</t>
        </is>
      </c>
      <c r="D404" s="4" t="n">
        <v>45104</v>
      </c>
      <c r="E404" s="2" t="inlineStr">
        <is>
          <t>10:15</t>
        </is>
      </c>
      <c r="F404" s="5" t="n">
        <v>548.33</v>
      </c>
      <c r="G404" s="5" t="n"/>
      <c r="H404" s="5" t="n"/>
      <c r="I404" s="5" t="n"/>
      <c r="J404" s="5" t="n">
        <v>109.67</v>
      </c>
      <c r="K404" s="5" t="n"/>
      <c r="L404" s="5" t="n"/>
      <c r="M404" s="5" t="n"/>
      <c r="N404" s="5" t="n"/>
      <c r="O404" s="5" t="n">
        <v>658</v>
      </c>
      <c r="P404" s="5" t="n"/>
      <c r="Q404" s="5" t="n">
        <v>658</v>
      </c>
      <c r="R404" s="5" t="n"/>
    </row>
    <row r="405">
      <c r="A405" s="2" t="inlineStr">
        <is>
          <t>EJ010723.TXT</t>
        </is>
      </c>
      <c r="B405" s="3" t="inlineStr">
        <is>
          <t>004954</t>
        </is>
      </c>
      <c r="C405" s="3" t="inlineStr">
        <is>
          <t>003965</t>
        </is>
      </c>
      <c r="D405" s="4" t="n">
        <v>45104</v>
      </c>
      <c r="E405" s="2" t="inlineStr">
        <is>
          <t>10:56</t>
        </is>
      </c>
      <c r="F405" s="5" t="n">
        <v>822.5</v>
      </c>
      <c r="G405" s="5" t="n"/>
      <c r="H405" s="5" t="n"/>
      <c r="I405" s="5" t="n"/>
      <c r="J405" s="5" t="n">
        <v>164.5</v>
      </c>
      <c r="K405" s="5" t="n"/>
      <c r="L405" s="5" t="n"/>
      <c r="M405" s="5" t="n"/>
      <c r="N405" s="5" t="n"/>
      <c r="O405" s="5" t="n">
        <v>987</v>
      </c>
      <c r="P405" s="5" t="n"/>
      <c r="Q405" s="5" t="n">
        <v>987</v>
      </c>
      <c r="R405" s="5" t="n"/>
    </row>
    <row r="406">
      <c r="A406" s="2" t="inlineStr">
        <is>
          <t>EJ010723.TXT</t>
        </is>
      </c>
      <c r="B406" s="3" t="inlineStr">
        <is>
          <t>004955</t>
        </is>
      </c>
      <c r="C406" s="3" t="inlineStr">
        <is>
          <t>003966</t>
        </is>
      </c>
      <c r="D406" s="4" t="n">
        <v>45104</v>
      </c>
      <c r="E406" s="2" t="inlineStr">
        <is>
          <t>11:04</t>
        </is>
      </c>
      <c r="F406" s="5" t="n">
        <v>822.5</v>
      </c>
      <c r="G406" s="5" t="n"/>
      <c r="H406" s="5" t="n"/>
      <c r="I406" s="5" t="n"/>
      <c r="J406" s="5" t="n">
        <v>164.5</v>
      </c>
      <c r="K406" s="5" t="n"/>
      <c r="L406" s="5" t="n"/>
      <c r="M406" s="5" t="n"/>
      <c r="N406" s="5" t="n"/>
      <c r="O406" s="5" t="n">
        <v>987</v>
      </c>
      <c r="P406" s="5" t="n"/>
      <c r="Q406" s="5" t="n">
        <v>987</v>
      </c>
      <c r="R406" s="5" t="n"/>
    </row>
    <row r="407">
      <c r="A407" s="2" t="inlineStr">
        <is>
          <t>EJ010723.TXT</t>
        </is>
      </c>
      <c r="B407" s="3" t="inlineStr">
        <is>
          <t>004956</t>
        </is>
      </c>
      <c r="C407" s="3" t="inlineStr">
        <is>
          <t>003967</t>
        </is>
      </c>
      <c r="D407" s="4" t="n">
        <v>45104</v>
      </c>
      <c r="E407" s="2" t="inlineStr">
        <is>
          <t>11:04</t>
        </is>
      </c>
      <c r="F407" s="5" t="n">
        <v>822.5</v>
      </c>
      <c r="G407" s="5" t="n"/>
      <c r="H407" s="5" t="n"/>
      <c r="I407" s="5" t="n"/>
      <c r="J407" s="5" t="n">
        <v>164.5</v>
      </c>
      <c r="K407" s="5" t="n"/>
      <c r="L407" s="5" t="n"/>
      <c r="M407" s="5" t="n"/>
      <c r="N407" s="5" t="n"/>
      <c r="O407" s="5" t="n">
        <v>987</v>
      </c>
      <c r="P407" s="5" t="n"/>
      <c r="Q407" s="5" t="n">
        <v>987</v>
      </c>
      <c r="R407" s="5" t="n"/>
    </row>
    <row r="408">
      <c r="A408" s="2" t="inlineStr">
        <is>
          <t>EJ010723.TXT</t>
        </is>
      </c>
      <c r="B408" s="3" t="inlineStr">
        <is>
          <t>004957</t>
        </is>
      </c>
      <c r="C408" s="3" t="inlineStr">
        <is>
          <t>003968</t>
        </is>
      </c>
      <c r="D408" s="4" t="n">
        <v>45104</v>
      </c>
      <c r="E408" s="2" t="inlineStr">
        <is>
          <t>11:05</t>
        </is>
      </c>
      <c r="F408" s="5" t="n">
        <v>822.5</v>
      </c>
      <c r="G408" s="5" t="n"/>
      <c r="H408" s="5" t="n"/>
      <c r="I408" s="5" t="n"/>
      <c r="J408" s="5" t="n">
        <v>164.5</v>
      </c>
      <c r="K408" s="5" t="n"/>
      <c r="L408" s="5" t="n"/>
      <c r="M408" s="5" t="n"/>
      <c r="N408" s="5" t="n"/>
      <c r="O408" s="5" t="n">
        <v>987</v>
      </c>
      <c r="P408" s="5" t="n"/>
      <c r="Q408" s="5" t="n">
        <v>987</v>
      </c>
      <c r="R408" s="5" t="n"/>
    </row>
    <row r="409">
      <c r="A409" s="2" t="inlineStr">
        <is>
          <t>EJ010723.TXT</t>
        </is>
      </c>
      <c r="B409" s="3" t="inlineStr">
        <is>
          <t>004958</t>
        </is>
      </c>
      <c r="C409" s="3" t="inlineStr">
        <is>
          <t>003969</t>
        </is>
      </c>
      <c r="D409" s="4" t="n">
        <v>45104</v>
      </c>
      <c r="E409" s="2" t="inlineStr">
        <is>
          <t>11:05</t>
        </is>
      </c>
      <c r="F409" s="5" t="n">
        <v>822.5</v>
      </c>
      <c r="G409" s="5" t="n"/>
      <c r="H409" s="5" t="n"/>
      <c r="I409" s="5" t="n"/>
      <c r="J409" s="5" t="n">
        <v>164.5</v>
      </c>
      <c r="K409" s="5" t="n"/>
      <c r="L409" s="5" t="n"/>
      <c r="M409" s="5" t="n"/>
      <c r="N409" s="5" t="n"/>
      <c r="O409" s="5" t="n">
        <v>987</v>
      </c>
      <c r="P409" s="5" t="n"/>
      <c r="Q409" s="5" t="n">
        <v>987</v>
      </c>
      <c r="R409" s="5" t="n"/>
    </row>
    <row r="410">
      <c r="A410" s="2" t="inlineStr">
        <is>
          <t>EJ010723.TXT</t>
        </is>
      </c>
      <c r="B410" s="3" t="inlineStr">
        <is>
          <t>004959</t>
        </is>
      </c>
      <c r="C410" s="3" t="inlineStr">
        <is>
          <t>003970</t>
        </is>
      </c>
      <c r="D410" s="4" t="n">
        <v>45104</v>
      </c>
      <c r="E410" s="2" t="inlineStr">
        <is>
          <t>11:12</t>
        </is>
      </c>
      <c r="F410" s="5" t="n">
        <v>208.33</v>
      </c>
      <c r="G410" s="5" t="n"/>
      <c r="H410" s="5" t="n"/>
      <c r="I410" s="5" t="n"/>
      <c r="J410" s="5" t="n">
        <v>41.67</v>
      </c>
      <c r="K410" s="5" t="n"/>
      <c r="L410" s="5" t="n"/>
      <c r="M410" s="5" t="n"/>
      <c r="N410" s="5" t="n"/>
      <c r="O410" s="5" t="n">
        <v>250</v>
      </c>
      <c r="P410" s="5" t="n"/>
      <c r="Q410" s="5" t="n">
        <v>250</v>
      </c>
      <c r="R410" s="5" t="n"/>
    </row>
    <row r="411">
      <c r="A411" s="2" t="inlineStr">
        <is>
          <t>EJ010723.TXT</t>
        </is>
      </c>
      <c r="B411" s="3" t="inlineStr">
        <is>
          <t>004960</t>
        </is>
      </c>
      <c r="C411" s="3" t="inlineStr">
        <is>
          <t>003971</t>
        </is>
      </c>
      <c r="D411" s="4" t="n">
        <v>45107</v>
      </c>
      <c r="E411" s="2" t="inlineStr">
        <is>
          <t>13:37</t>
        </is>
      </c>
      <c r="F411" s="5" t="n">
        <v>49.17</v>
      </c>
      <c r="G411" s="5" t="n"/>
      <c r="H411" s="5" t="n"/>
      <c r="I411" s="5" t="n"/>
      <c r="J411" s="5" t="n">
        <v>9.83</v>
      </c>
      <c r="K411" s="5" t="n"/>
      <c r="L411" s="5" t="n"/>
      <c r="M411" s="5" t="n"/>
      <c r="N411" s="5" t="n"/>
      <c r="O411" s="5" t="n">
        <v>59</v>
      </c>
      <c r="P411" s="5" t="n"/>
      <c r="Q411" s="5" t="n">
        <v>59</v>
      </c>
      <c r="R411" s="5" t="n"/>
    </row>
    <row r="412">
      <c r="A412" s="2" t="inlineStr">
        <is>
          <t>EJ010723.TXT</t>
        </is>
      </c>
      <c r="B412" s="3" t="inlineStr">
        <is>
          <t>004961</t>
        </is>
      </c>
      <c r="C412" s="3" t="inlineStr">
        <is>
          <t>003972</t>
        </is>
      </c>
      <c r="D412" s="4" t="n">
        <v>45107</v>
      </c>
      <c r="E412" s="2" t="inlineStr">
        <is>
          <t>13:38</t>
        </is>
      </c>
      <c r="F412" s="5" t="n">
        <v>49.17</v>
      </c>
      <c r="G412" s="5" t="n"/>
      <c r="H412" s="5" t="n"/>
      <c r="I412" s="5" t="n"/>
      <c r="J412" s="5" t="n">
        <v>9.83</v>
      </c>
      <c r="K412" s="5" t="n"/>
      <c r="L412" s="5" t="n"/>
      <c r="M412" s="5" t="n"/>
      <c r="N412" s="5" t="n"/>
      <c r="O412" s="5" t="n">
        <v>59</v>
      </c>
      <c r="P412" s="5" t="n"/>
      <c r="Q412" s="5" t="n">
        <v>59</v>
      </c>
      <c r="R412" s="5" t="n"/>
    </row>
    <row r="413">
      <c r="A413" s="2" t="inlineStr">
        <is>
          <t>EJ010723.TXT</t>
        </is>
      </c>
      <c r="B413" s="3" t="inlineStr">
        <is>
          <t>004962</t>
        </is>
      </c>
      <c r="C413" s="3" t="inlineStr">
        <is>
          <t>003973</t>
        </is>
      </c>
      <c r="D413" s="4" t="n">
        <v>45108</v>
      </c>
      <c r="E413" s="2" t="inlineStr">
        <is>
          <t>14:46</t>
        </is>
      </c>
      <c r="F413" s="5" t="n">
        <v>822.5</v>
      </c>
      <c r="G413" s="5" t="n"/>
      <c r="H413" s="5" t="n"/>
      <c r="I413" s="5" t="n"/>
      <c r="J413" s="5" t="n">
        <v>164.5</v>
      </c>
      <c r="K413" s="5" t="n"/>
      <c r="L413" s="5" t="n"/>
      <c r="M413" s="5" t="n"/>
      <c r="N413" s="5" t="n"/>
      <c r="O413" s="5" t="n">
        <v>987</v>
      </c>
      <c r="P413" s="5" t="n">
        <v>987</v>
      </c>
      <c r="Q413" s="5" t="n"/>
      <c r="R413" s="5" t="n"/>
    </row>
    <row r="414">
      <c r="A414" s="2" t="inlineStr">
        <is>
          <t>EJ010823.TXT</t>
        </is>
      </c>
      <c r="B414" s="3" t="inlineStr">
        <is>
          <t>004970</t>
        </is>
      </c>
      <c r="C414" s="3" t="inlineStr">
        <is>
          <t>003974</t>
        </is>
      </c>
      <c r="D414" s="4" t="n">
        <v>45108</v>
      </c>
      <c r="E414" s="2" t="inlineStr">
        <is>
          <t>16:34</t>
        </is>
      </c>
      <c r="F414" s="5" t="n">
        <v>822.5</v>
      </c>
      <c r="G414" s="5" t="n"/>
      <c r="H414" s="5" t="n"/>
      <c r="I414" s="5" t="n"/>
      <c r="J414" s="5" t="n">
        <v>164.5</v>
      </c>
      <c r="K414" s="5" t="n"/>
      <c r="L414" s="5" t="n"/>
      <c r="M414" s="5" t="n"/>
      <c r="N414" s="5" t="n"/>
      <c r="O414" s="5" t="n">
        <v>987</v>
      </c>
      <c r="P414" s="5" t="n">
        <v>987</v>
      </c>
      <c r="Q414" s="5" t="n"/>
      <c r="R414" s="5" t="n"/>
    </row>
    <row r="415">
      <c r="A415" s="2" t="inlineStr">
        <is>
          <t>EJ010823.TXT</t>
        </is>
      </c>
      <c r="B415" s="3" t="inlineStr">
        <is>
          <t>004971</t>
        </is>
      </c>
      <c r="C415" s="3" t="inlineStr">
        <is>
          <t>003975</t>
        </is>
      </c>
      <c r="D415" s="4" t="n">
        <v>45110</v>
      </c>
      <c r="E415" s="2" t="inlineStr">
        <is>
          <t>15:51</t>
        </is>
      </c>
      <c r="F415" s="5" t="n">
        <v>274.17</v>
      </c>
      <c r="G415" s="5" t="n"/>
      <c r="H415" s="5" t="n"/>
      <c r="I415" s="5" t="n"/>
      <c r="J415" s="5" t="n">
        <v>54.83</v>
      </c>
      <c r="K415" s="5" t="n"/>
      <c r="L415" s="5" t="n"/>
      <c r="M415" s="5" t="n"/>
      <c r="N415" s="5" t="n"/>
      <c r="O415" s="5" t="n">
        <v>329</v>
      </c>
      <c r="P415" s="5" t="n"/>
      <c r="Q415" s="5" t="n">
        <v>329</v>
      </c>
      <c r="R415" s="5" t="n"/>
    </row>
    <row r="416">
      <c r="A416" s="2" t="inlineStr">
        <is>
          <t>EJ010823.TXT</t>
        </is>
      </c>
      <c r="B416" s="3" t="inlineStr">
        <is>
          <t>004972</t>
        </is>
      </c>
      <c r="C416" s="3" t="inlineStr">
        <is>
          <t>003976</t>
        </is>
      </c>
      <c r="D416" s="4" t="n">
        <v>45111</v>
      </c>
      <c r="E416" s="2" t="inlineStr">
        <is>
          <t>15:19</t>
        </is>
      </c>
      <c r="F416" s="5" t="n">
        <v>822.5</v>
      </c>
      <c r="G416" s="5" t="n"/>
      <c r="H416" s="5" t="n"/>
      <c r="I416" s="5" t="n"/>
      <c r="J416" s="5" t="n">
        <v>164.5</v>
      </c>
      <c r="K416" s="5" t="n"/>
      <c r="L416" s="5" t="n"/>
      <c r="M416" s="5" t="n"/>
      <c r="N416" s="5" t="n"/>
      <c r="O416" s="5" t="n">
        <v>987</v>
      </c>
      <c r="P416" s="5" t="n"/>
      <c r="Q416" s="5" t="n">
        <v>987</v>
      </c>
      <c r="R416" s="5" t="n"/>
    </row>
    <row r="417">
      <c r="A417" s="2" t="inlineStr">
        <is>
          <t>EJ010823.TXT</t>
        </is>
      </c>
      <c r="B417" s="3" t="inlineStr">
        <is>
          <t>004973</t>
        </is>
      </c>
      <c r="C417" s="3" t="inlineStr">
        <is>
          <t>003977</t>
        </is>
      </c>
      <c r="D417" s="4" t="n">
        <v>45113</v>
      </c>
      <c r="E417" s="2" t="inlineStr">
        <is>
          <t>10:21</t>
        </is>
      </c>
      <c r="F417" s="5" t="n">
        <v>739.17</v>
      </c>
      <c r="G417" s="5" t="n"/>
      <c r="H417" s="5" t="n"/>
      <c r="I417" s="5" t="n"/>
      <c r="J417" s="5" t="n">
        <v>147.83</v>
      </c>
      <c r="K417" s="5" t="n"/>
      <c r="L417" s="5" t="n"/>
      <c r="M417" s="5" t="n"/>
      <c r="N417" s="5" t="n"/>
      <c r="O417" s="5" t="n">
        <v>887</v>
      </c>
      <c r="P417" s="5" t="n">
        <v>887</v>
      </c>
      <c r="Q417" s="5" t="n"/>
      <c r="R417" s="5" t="n"/>
    </row>
    <row r="418">
      <c r="A418" s="2" t="inlineStr">
        <is>
          <t>EJ010823.TXT</t>
        </is>
      </c>
      <c r="B418" s="3" t="inlineStr">
        <is>
          <t>004974</t>
        </is>
      </c>
      <c r="C418" s="3" t="inlineStr">
        <is>
          <t>003978</t>
        </is>
      </c>
      <c r="D418" s="4" t="n">
        <v>45113</v>
      </c>
      <c r="E418" s="2" t="inlineStr">
        <is>
          <t>12:21</t>
        </is>
      </c>
      <c r="F418" s="5" t="n">
        <v>274.17</v>
      </c>
      <c r="G418" s="5" t="n"/>
      <c r="H418" s="5" t="n"/>
      <c r="I418" s="5" t="n"/>
      <c r="J418" s="5" t="n">
        <v>54.83</v>
      </c>
      <c r="K418" s="5" t="n"/>
      <c r="L418" s="5" t="n"/>
      <c r="M418" s="5" t="n"/>
      <c r="N418" s="5" t="n"/>
      <c r="O418" s="5" t="n">
        <v>329</v>
      </c>
      <c r="P418" s="5" t="n"/>
      <c r="Q418" s="5" t="n">
        <v>329</v>
      </c>
      <c r="R418" s="5" t="n"/>
    </row>
    <row r="419">
      <c r="A419" s="2" t="inlineStr">
        <is>
          <t>EJ010823.TXT</t>
        </is>
      </c>
      <c r="B419" s="3" t="inlineStr">
        <is>
          <t>004975</t>
        </is>
      </c>
      <c r="C419" s="3" t="inlineStr">
        <is>
          <t>003979</t>
        </is>
      </c>
      <c r="D419" s="4" t="n">
        <v>45113</v>
      </c>
      <c r="E419" s="2" t="inlineStr">
        <is>
          <t>16:59</t>
        </is>
      </c>
      <c r="F419" s="5" t="n">
        <v>208.33</v>
      </c>
      <c r="G419" s="5" t="n"/>
      <c r="H419" s="5" t="n"/>
      <c r="I419" s="5" t="n"/>
      <c r="J419" s="5" t="n">
        <v>41.67</v>
      </c>
      <c r="K419" s="5" t="n"/>
      <c r="L419" s="5" t="n"/>
      <c r="M419" s="5" t="n"/>
      <c r="N419" s="5" t="n"/>
      <c r="O419" s="5" t="n">
        <v>250</v>
      </c>
      <c r="P419" s="5" t="n"/>
      <c r="Q419" s="5" t="n">
        <v>250</v>
      </c>
      <c r="R419" s="5" t="n"/>
    </row>
    <row r="420">
      <c r="A420" s="2" t="inlineStr">
        <is>
          <t>EJ010823.TXT</t>
        </is>
      </c>
      <c r="B420" s="3" t="inlineStr">
        <is>
          <t>004976</t>
        </is>
      </c>
      <c r="C420" s="3" t="inlineStr">
        <is>
          <t>003980</t>
        </is>
      </c>
      <c r="D420" s="4" t="n">
        <v>45114</v>
      </c>
      <c r="E420" s="2" t="inlineStr">
        <is>
          <t>13:41</t>
        </is>
      </c>
      <c r="F420" s="5" t="n">
        <v>822.5</v>
      </c>
      <c r="G420" s="5" t="n"/>
      <c r="H420" s="5" t="n"/>
      <c r="I420" s="5" t="n"/>
      <c r="J420" s="5" t="n">
        <v>164.5</v>
      </c>
      <c r="K420" s="5" t="n"/>
      <c r="L420" s="5" t="n"/>
      <c r="M420" s="5" t="n"/>
      <c r="N420" s="5" t="n"/>
      <c r="O420" s="5" t="n">
        <v>987</v>
      </c>
      <c r="P420" s="5" t="n">
        <v>987</v>
      </c>
      <c r="Q420" s="5" t="n"/>
      <c r="R420" s="5" t="n"/>
    </row>
    <row r="421">
      <c r="A421" s="2" t="inlineStr">
        <is>
          <t>EJ010823.TXT</t>
        </is>
      </c>
      <c r="B421" s="3" t="inlineStr">
        <is>
          <t>004977</t>
        </is>
      </c>
      <c r="C421" s="3" t="inlineStr">
        <is>
          <t>003981</t>
        </is>
      </c>
      <c r="D421" s="4" t="n">
        <v>45115</v>
      </c>
      <c r="E421" s="2" t="inlineStr">
        <is>
          <t>15:51</t>
        </is>
      </c>
      <c r="F421" s="5" t="n">
        <v>1063.33</v>
      </c>
      <c r="G421" s="5" t="n"/>
      <c r="H421" s="5" t="n"/>
      <c r="I421" s="5" t="n"/>
      <c r="J421" s="5" t="n">
        <v>212.67</v>
      </c>
      <c r="K421" s="5" t="n"/>
      <c r="L421" s="5" t="n"/>
      <c r="M421" s="5" t="n"/>
      <c r="N421" s="5" t="n"/>
      <c r="O421" s="5" t="n">
        <v>1276</v>
      </c>
      <c r="P421" s="5" t="n">
        <v>1276</v>
      </c>
      <c r="Q421" s="5" t="n"/>
      <c r="R421" s="5" t="n"/>
    </row>
    <row r="422">
      <c r="A422" s="2" t="inlineStr">
        <is>
          <t>EJ010823.TXT</t>
        </is>
      </c>
      <c r="B422" s="3" t="inlineStr">
        <is>
          <t>004978</t>
        </is>
      </c>
      <c r="C422" s="3" t="inlineStr">
        <is>
          <t>003982</t>
        </is>
      </c>
      <c r="D422" s="4" t="n">
        <v>45117</v>
      </c>
      <c r="E422" s="2" t="inlineStr">
        <is>
          <t>09:45</t>
        </is>
      </c>
      <c r="F422" s="5" t="n">
        <v>548.33</v>
      </c>
      <c r="G422" s="5" t="n"/>
      <c r="H422" s="5" t="n"/>
      <c r="I422" s="5" t="n"/>
      <c r="J422" s="5" t="n">
        <v>109.67</v>
      </c>
      <c r="K422" s="5" t="n"/>
      <c r="L422" s="5" t="n"/>
      <c r="M422" s="5" t="n"/>
      <c r="N422" s="5" t="n"/>
      <c r="O422" s="5" t="n">
        <v>658</v>
      </c>
      <c r="P422" s="5" t="n"/>
      <c r="Q422" s="5" t="n">
        <v>658</v>
      </c>
      <c r="R422" s="5" t="n"/>
    </row>
    <row r="423">
      <c r="A423" s="2" t="inlineStr">
        <is>
          <t>EJ010823.TXT</t>
        </is>
      </c>
      <c r="B423" s="3" t="inlineStr">
        <is>
          <t>004979</t>
        </is>
      </c>
      <c r="C423" s="3" t="inlineStr">
        <is>
          <t>003983</t>
        </is>
      </c>
      <c r="D423" s="4" t="n">
        <v>45117</v>
      </c>
      <c r="E423" s="2" t="inlineStr">
        <is>
          <t>11:59</t>
        </is>
      </c>
      <c r="F423" s="5" t="n">
        <v>548.33</v>
      </c>
      <c r="G423" s="5" t="n"/>
      <c r="H423" s="5" t="n"/>
      <c r="I423" s="5" t="n"/>
      <c r="J423" s="5" t="n">
        <v>109.67</v>
      </c>
      <c r="K423" s="5" t="n"/>
      <c r="L423" s="5" t="n"/>
      <c r="M423" s="5" t="n"/>
      <c r="N423" s="5" t="n"/>
      <c r="O423" s="5" t="n">
        <v>658</v>
      </c>
      <c r="P423" s="5" t="n">
        <v>658</v>
      </c>
      <c r="Q423" s="5" t="n"/>
      <c r="R423" s="5" t="n"/>
    </row>
    <row r="424">
      <c r="A424" s="2" t="inlineStr">
        <is>
          <t>EJ010823.TXT</t>
        </is>
      </c>
      <c r="B424" s="3" t="inlineStr">
        <is>
          <t>004980</t>
        </is>
      </c>
      <c r="C424" s="3" t="inlineStr">
        <is>
          <t>003984</t>
        </is>
      </c>
      <c r="D424" s="4" t="n">
        <v>45117</v>
      </c>
      <c r="E424" s="2" t="inlineStr">
        <is>
          <t>14:42</t>
        </is>
      </c>
      <c r="F424" s="5" t="n">
        <v>274.17</v>
      </c>
      <c r="G424" s="5" t="n"/>
      <c r="H424" s="5" t="n"/>
      <c r="I424" s="5" t="n"/>
      <c r="J424" s="5" t="n">
        <v>54.83</v>
      </c>
      <c r="K424" s="5" t="n"/>
      <c r="L424" s="5" t="n"/>
      <c r="M424" s="5" t="n"/>
      <c r="N424" s="5" t="n"/>
      <c r="O424" s="5" t="n">
        <v>329</v>
      </c>
      <c r="P424" s="5" t="n">
        <v>329</v>
      </c>
      <c r="Q424" s="5" t="n"/>
      <c r="R424" s="5" t="n"/>
    </row>
    <row r="425">
      <c r="A425" s="2" t="inlineStr">
        <is>
          <t>EJ010823.TXT</t>
        </is>
      </c>
      <c r="B425" s="3" t="inlineStr">
        <is>
          <t>004981</t>
        </is>
      </c>
      <c r="C425" s="3" t="inlineStr">
        <is>
          <t>003985</t>
        </is>
      </c>
      <c r="D425" s="4" t="n">
        <v>45117</v>
      </c>
      <c r="E425" s="2" t="inlineStr">
        <is>
          <t>15:00</t>
        </is>
      </c>
      <c r="F425" s="5" t="n">
        <v>723.33</v>
      </c>
      <c r="G425" s="5" t="n"/>
      <c r="H425" s="5" t="n"/>
      <c r="I425" s="5" t="n"/>
      <c r="J425" s="5" t="n">
        <v>144.67</v>
      </c>
      <c r="K425" s="5" t="n"/>
      <c r="L425" s="5" t="n"/>
      <c r="M425" s="5" t="n"/>
      <c r="N425" s="5" t="n"/>
      <c r="O425" s="5" t="n">
        <v>868</v>
      </c>
      <c r="P425" s="5" t="n"/>
      <c r="Q425" s="5" t="n">
        <v>868</v>
      </c>
      <c r="R425" s="5" t="n"/>
    </row>
    <row r="426">
      <c r="A426" s="2" t="inlineStr">
        <is>
          <t>EJ010823.TXT</t>
        </is>
      </c>
      <c r="B426" s="3" t="inlineStr">
        <is>
          <t>004982</t>
        </is>
      </c>
      <c r="C426" s="3" t="inlineStr">
        <is>
          <t>003986</t>
        </is>
      </c>
      <c r="D426" s="4" t="n">
        <v>45124</v>
      </c>
      <c r="E426" s="2" t="inlineStr">
        <is>
          <t>15:20</t>
        </is>
      </c>
      <c r="F426" s="5" t="n">
        <v>822.5</v>
      </c>
      <c r="G426" s="5" t="n"/>
      <c r="H426" s="5" t="n"/>
      <c r="I426" s="5" t="n"/>
      <c r="J426" s="5" t="n">
        <v>164.5</v>
      </c>
      <c r="K426" s="5" t="n"/>
      <c r="L426" s="5" t="n"/>
      <c r="M426" s="5" t="n"/>
      <c r="N426" s="5" t="n"/>
      <c r="O426" s="5" t="n">
        <v>987</v>
      </c>
      <c r="P426" s="5" t="n"/>
      <c r="Q426" s="5" t="n">
        <v>987</v>
      </c>
      <c r="R426" s="5" t="n"/>
    </row>
    <row r="427">
      <c r="A427" s="2" t="inlineStr">
        <is>
          <t>EJ010823.TXT</t>
        </is>
      </c>
      <c r="B427" s="3" t="inlineStr">
        <is>
          <t>004983</t>
        </is>
      </c>
      <c r="C427" s="3" t="inlineStr">
        <is>
          <t>003987</t>
        </is>
      </c>
      <c r="D427" s="4" t="n">
        <v>45125</v>
      </c>
      <c r="E427" s="2" t="inlineStr">
        <is>
          <t>16:07</t>
        </is>
      </c>
      <c r="F427" s="5" t="n">
        <v>822.5</v>
      </c>
      <c r="G427" s="5" t="n"/>
      <c r="H427" s="5" t="n"/>
      <c r="I427" s="5" t="n"/>
      <c r="J427" s="5" t="n">
        <v>164.5</v>
      </c>
      <c r="K427" s="5" t="n"/>
      <c r="L427" s="5" t="n"/>
      <c r="M427" s="5" t="n"/>
      <c r="N427" s="5" t="n"/>
      <c r="O427" s="5" t="n">
        <v>987</v>
      </c>
      <c r="P427" s="5" t="n"/>
      <c r="Q427" s="5" t="n">
        <v>987</v>
      </c>
      <c r="R427" s="5" t="n"/>
    </row>
    <row r="428">
      <c r="A428" s="2" t="inlineStr">
        <is>
          <t>EJ010823.TXT</t>
        </is>
      </c>
      <c r="B428" s="3" t="inlineStr">
        <is>
          <t>004984</t>
        </is>
      </c>
      <c r="C428" s="3" t="inlineStr">
        <is>
          <t>003988</t>
        </is>
      </c>
      <c r="D428" s="4" t="n">
        <v>45125</v>
      </c>
      <c r="E428" s="2" t="inlineStr">
        <is>
          <t>16:07</t>
        </is>
      </c>
      <c r="F428" s="5" t="n">
        <v>822.5</v>
      </c>
      <c r="G428" s="5" t="n"/>
      <c r="H428" s="5" t="n"/>
      <c r="I428" s="5" t="n"/>
      <c r="J428" s="5" t="n">
        <v>164.5</v>
      </c>
      <c r="K428" s="5" t="n"/>
      <c r="L428" s="5" t="n"/>
      <c r="M428" s="5" t="n"/>
      <c r="N428" s="5" t="n"/>
      <c r="O428" s="5" t="n">
        <v>987</v>
      </c>
      <c r="P428" s="5" t="n"/>
      <c r="Q428" s="5" t="n">
        <v>987</v>
      </c>
      <c r="R428" s="5" t="n"/>
    </row>
    <row r="429">
      <c r="A429" s="2" t="inlineStr">
        <is>
          <t>EJ010823.TXT</t>
        </is>
      </c>
      <c r="B429" s="3" t="inlineStr">
        <is>
          <t>004985</t>
        </is>
      </c>
      <c r="C429" s="3" t="inlineStr">
        <is>
          <t>003989</t>
        </is>
      </c>
      <c r="D429" s="4" t="n">
        <v>45126</v>
      </c>
      <c r="E429" s="2" t="inlineStr">
        <is>
          <t>10:33</t>
        </is>
      </c>
      <c r="F429" s="5" t="n">
        <v>548.33</v>
      </c>
      <c r="G429" s="5" t="n"/>
      <c r="H429" s="5" t="n"/>
      <c r="I429" s="5" t="n"/>
      <c r="J429" s="5" t="n">
        <v>109.67</v>
      </c>
      <c r="K429" s="5" t="n"/>
      <c r="L429" s="5" t="n"/>
      <c r="M429" s="5" t="n"/>
      <c r="N429" s="5" t="n"/>
      <c r="O429" s="5" t="n">
        <v>658</v>
      </c>
      <c r="P429" s="5" t="n"/>
      <c r="Q429" s="5" t="n">
        <v>658</v>
      </c>
      <c r="R429" s="5" t="n"/>
    </row>
    <row r="430">
      <c r="A430" s="2" t="inlineStr">
        <is>
          <t>EJ010823.TXT</t>
        </is>
      </c>
      <c r="B430" s="3" t="inlineStr">
        <is>
          <t>004986</t>
        </is>
      </c>
      <c r="C430" s="3" t="inlineStr">
        <is>
          <t>003990</t>
        </is>
      </c>
      <c r="D430" s="4" t="n">
        <v>45126</v>
      </c>
      <c r="E430" s="2" t="inlineStr">
        <is>
          <t>11:23</t>
        </is>
      </c>
      <c r="F430" s="5" t="n">
        <v>822.5</v>
      </c>
      <c r="G430" s="5" t="n"/>
      <c r="H430" s="5" t="n"/>
      <c r="I430" s="5" t="n"/>
      <c r="J430" s="5" t="n">
        <v>164.5</v>
      </c>
      <c r="K430" s="5" t="n"/>
      <c r="L430" s="5" t="n"/>
      <c r="M430" s="5" t="n"/>
      <c r="N430" s="5" t="n"/>
      <c r="O430" s="5" t="n">
        <v>987</v>
      </c>
      <c r="P430" s="5" t="n"/>
      <c r="Q430" s="5" t="n">
        <v>987</v>
      </c>
      <c r="R430" s="5" t="n"/>
    </row>
    <row r="431">
      <c r="A431" s="2" t="inlineStr">
        <is>
          <t>EJ010823.TXT</t>
        </is>
      </c>
      <c r="B431" s="3" t="inlineStr">
        <is>
          <t>004987</t>
        </is>
      </c>
      <c r="C431" s="3" t="inlineStr">
        <is>
          <t>003991</t>
        </is>
      </c>
      <c r="D431" s="4" t="n">
        <v>45126</v>
      </c>
      <c r="E431" s="2" t="inlineStr">
        <is>
          <t>11:23</t>
        </is>
      </c>
      <c r="F431" s="5" t="n">
        <v>822.5</v>
      </c>
      <c r="G431" s="5" t="n"/>
      <c r="H431" s="5" t="n"/>
      <c r="I431" s="5" t="n"/>
      <c r="J431" s="5" t="n">
        <v>164.5</v>
      </c>
      <c r="K431" s="5" t="n"/>
      <c r="L431" s="5" t="n"/>
      <c r="M431" s="5" t="n"/>
      <c r="N431" s="5" t="n"/>
      <c r="O431" s="5" t="n">
        <v>987</v>
      </c>
      <c r="P431" s="5" t="n"/>
      <c r="Q431" s="5" t="n">
        <v>987</v>
      </c>
      <c r="R431" s="5" t="n"/>
    </row>
    <row r="432">
      <c r="A432" s="2" t="inlineStr">
        <is>
          <t>EJ010823.TXT</t>
        </is>
      </c>
      <c r="B432" s="3" t="inlineStr">
        <is>
          <t>004988</t>
        </is>
      </c>
      <c r="C432" s="3" t="inlineStr">
        <is>
          <t>003992</t>
        </is>
      </c>
      <c r="D432" s="4" t="n">
        <v>45126</v>
      </c>
      <c r="E432" s="2" t="inlineStr">
        <is>
          <t>13:53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</row>
    <row r="433">
      <c r="A433" s="2" t="inlineStr">
        <is>
          <t>EJ010823.TXT</t>
        </is>
      </c>
      <c r="B433" s="3" t="inlineStr">
        <is>
          <t>004989</t>
        </is>
      </c>
      <c r="C433" s="3" t="inlineStr">
        <is>
          <t>003993</t>
        </is>
      </c>
      <c r="D433" s="4" t="n">
        <v>45128</v>
      </c>
      <c r="E433" s="2" t="inlineStr">
        <is>
          <t>15:09</t>
        </is>
      </c>
      <c r="F433" s="5" t="n">
        <v>825</v>
      </c>
      <c r="G433" s="5" t="n"/>
      <c r="H433" s="5" t="n"/>
      <c r="I433" s="5" t="n"/>
      <c r="J433" s="5" t="n">
        <v>165</v>
      </c>
      <c r="K433" s="5" t="n"/>
      <c r="L433" s="5" t="n"/>
      <c r="M433" s="5" t="n"/>
      <c r="N433" s="5" t="n"/>
      <c r="O433" s="5" t="n">
        <v>990</v>
      </c>
      <c r="P433" s="5" t="n"/>
      <c r="Q433" s="5" t="n">
        <v>990</v>
      </c>
      <c r="R433" s="5" t="n"/>
    </row>
    <row r="434">
      <c r="A434" s="2" t="inlineStr">
        <is>
          <t>EJ010823.TXT</t>
        </is>
      </c>
      <c r="B434" s="3" t="inlineStr">
        <is>
          <t>004990</t>
        </is>
      </c>
      <c r="C434" s="3" t="inlineStr">
        <is>
          <t>003994</t>
        </is>
      </c>
      <c r="D434" s="4" t="n">
        <v>45128</v>
      </c>
      <c r="E434" s="2" t="inlineStr">
        <is>
          <t>15:15</t>
        </is>
      </c>
      <c r="F434" s="5" t="n">
        <v>548.33</v>
      </c>
      <c r="G434" s="5" t="n"/>
      <c r="H434" s="5" t="n"/>
      <c r="I434" s="5" t="n"/>
      <c r="J434" s="5" t="n">
        <v>109.67</v>
      </c>
      <c r="K434" s="5" t="n"/>
      <c r="L434" s="5" t="n"/>
      <c r="M434" s="5" t="n"/>
      <c r="N434" s="5" t="n"/>
      <c r="O434" s="5" t="n">
        <v>658</v>
      </c>
      <c r="P434" s="5" t="n"/>
      <c r="Q434" s="5" t="n">
        <v>658</v>
      </c>
      <c r="R434" s="5" t="n"/>
    </row>
    <row r="435">
      <c r="A435" s="2" t="inlineStr">
        <is>
          <t>EJ010823.TXT</t>
        </is>
      </c>
      <c r="B435" s="3" t="inlineStr">
        <is>
          <t>004991</t>
        </is>
      </c>
      <c r="C435" s="3" t="inlineStr">
        <is>
          <t>003995</t>
        </is>
      </c>
      <c r="D435" s="4" t="n">
        <v>45131</v>
      </c>
      <c r="E435" s="2" t="inlineStr">
        <is>
          <t>09:30</t>
        </is>
      </c>
      <c r="F435" s="5" t="n">
        <v>548.33</v>
      </c>
      <c r="G435" s="5" t="n"/>
      <c r="H435" s="5" t="n"/>
      <c r="I435" s="5" t="n"/>
      <c r="J435" s="5" t="n">
        <v>109.67</v>
      </c>
      <c r="K435" s="5" t="n"/>
      <c r="L435" s="5" t="n"/>
      <c r="M435" s="5" t="n"/>
      <c r="N435" s="5" t="n"/>
      <c r="O435" s="5" t="n">
        <v>658</v>
      </c>
      <c r="P435" s="5" t="n"/>
      <c r="Q435" s="5" t="n">
        <v>658</v>
      </c>
      <c r="R435" s="5" t="n"/>
    </row>
    <row r="436">
      <c r="A436" s="2" t="inlineStr">
        <is>
          <t>EJ010823.TXT</t>
        </is>
      </c>
      <c r="B436" s="3" t="inlineStr">
        <is>
          <t>004992</t>
        </is>
      </c>
      <c r="C436" s="3" t="inlineStr">
        <is>
          <t>003996</t>
        </is>
      </c>
      <c r="D436" s="4" t="n">
        <v>45131</v>
      </c>
      <c r="E436" s="2" t="inlineStr">
        <is>
          <t>17:10</t>
        </is>
      </c>
      <c r="F436" s="5" t="n">
        <v>2261.67</v>
      </c>
      <c r="G436" s="5" t="n"/>
      <c r="H436" s="5" t="n"/>
      <c r="I436" s="5" t="n"/>
      <c r="J436" s="5" t="n">
        <v>452.33</v>
      </c>
      <c r="K436" s="5" t="n"/>
      <c r="L436" s="5" t="n"/>
      <c r="M436" s="5" t="n"/>
      <c r="N436" s="5" t="n"/>
      <c r="O436" s="5" t="n">
        <v>2714</v>
      </c>
      <c r="P436" s="5" t="n">
        <v>2714</v>
      </c>
      <c r="Q436" s="5" t="n"/>
      <c r="R436" s="5" t="n"/>
    </row>
    <row r="437">
      <c r="A437" s="2" t="inlineStr">
        <is>
          <t>EJ010823.TXT</t>
        </is>
      </c>
      <c r="B437" s="3" t="inlineStr">
        <is>
          <t>004993</t>
        </is>
      </c>
      <c r="C437" s="3" t="inlineStr">
        <is>
          <t>003997</t>
        </is>
      </c>
      <c r="D437" s="4" t="n">
        <v>45132</v>
      </c>
      <c r="E437" s="2" t="inlineStr">
        <is>
          <t>11:14</t>
        </is>
      </c>
      <c r="F437" s="5" t="n">
        <v>208.33</v>
      </c>
      <c r="G437" s="5" t="n"/>
      <c r="H437" s="5" t="n"/>
      <c r="I437" s="5" t="n"/>
      <c r="J437" s="5" t="n">
        <v>41.67</v>
      </c>
      <c r="K437" s="5" t="n"/>
      <c r="L437" s="5" t="n"/>
      <c r="M437" s="5" t="n"/>
      <c r="N437" s="5" t="n"/>
      <c r="O437" s="5" t="n">
        <v>250</v>
      </c>
      <c r="P437" s="5" t="n"/>
      <c r="Q437" s="5" t="n">
        <v>250</v>
      </c>
      <c r="R437" s="5" t="n"/>
    </row>
    <row r="438">
      <c r="A438" s="2" t="inlineStr">
        <is>
          <t>EJ010823.TXT</t>
        </is>
      </c>
      <c r="B438" s="3" t="inlineStr">
        <is>
          <t>004994</t>
        </is>
      </c>
      <c r="C438" s="3" t="inlineStr">
        <is>
          <t>003998</t>
        </is>
      </c>
      <c r="D438" s="4" t="n">
        <v>45132</v>
      </c>
      <c r="E438" s="2" t="inlineStr">
        <is>
          <t>15:16</t>
        </is>
      </c>
      <c r="F438" s="5" t="n">
        <v>208.33</v>
      </c>
      <c r="G438" s="5" t="n"/>
      <c r="H438" s="5" t="n"/>
      <c r="I438" s="5" t="n"/>
      <c r="J438" s="5" t="n">
        <v>41.67</v>
      </c>
      <c r="K438" s="5" t="n"/>
      <c r="L438" s="5" t="n"/>
      <c r="M438" s="5" t="n"/>
      <c r="N438" s="5" t="n"/>
      <c r="O438" s="5" t="n">
        <v>250</v>
      </c>
      <c r="P438" s="5" t="n"/>
      <c r="Q438" s="5" t="n">
        <v>250</v>
      </c>
      <c r="R438" s="5" t="n"/>
    </row>
    <row r="439">
      <c r="A439" s="2" t="inlineStr">
        <is>
          <t>EJ010823.TXT</t>
        </is>
      </c>
      <c r="B439" s="3" t="inlineStr">
        <is>
          <t>004995</t>
        </is>
      </c>
      <c r="C439" s="3" t="inlineStr">
        <is>
          <t>003999</t>
        </is>
      </c>
      <c r="D439" s="4" t="n">
        <v>45134</v>
      </c>
      <c r="E439" s="2" t="inlineStr">
        <is>
          <t>14:18</t>
        </is>
      </c>
      <c r="F439" s="5" t="n">
        <v>822.5</v>
      </c>
      <c r="G439" s="5" t="n"/>
      <c r="H439" s="5" t="n"/>
      <c r="I439" s="5" t="n"/>
      <c r="J439" s="5" t="n">
        <v>164.5</v>
      </c>
      <c r="K439" s="5" t="n"/>
      <c r="L439" s="5" t="n"/>
      <c r="M439" s="5" t="n"/>
      <c r="N439" s="5" t="n"/>
      <c r="O439" s="5" t="n">
        <v>987</v>
      </c>
      <c r="P439" s="5" t="n"/>
      <c r="Q439" s="5" t="n">
        <v>987</v>
      </c>
      <c r="R439" s="5" t="n"/>
    </row>
    <row r="440">
      <c r="A440" s="2" t="inlineStr">
        <is>
          <t>EJ010823.TXT</t>
        </is>
      </c>
      <c r="B440" s="3" t="inlineStr">
        <is>
          <t>004996</t>
        </is>
      </c>
      <c r="C440" s="3" t="inlineStr">
        <is>
          <t>004000</t>
        </is>
      </c>
      <c r="D440" s="4" t="n">
        <v>45134</v>
      </c>
      <c r="E440" s="2" t="inlineStr">
        <is>
          <t>14:20</t>
        </is>
      </c>
      <c r="F440" s="5" t="n">
        <v>797.5</v>
      </c>
      <c r="G440" s="5" t="n"/>
      <c r="H440" s="5" t="n"/>
      <c r="I440" s="5" t="n"/>
      <c r="J440" s="5" t="n">
        <v>159.5</v>
      </c>
      <c r="K440" s="5" t="n"/>
      <c r="L440" s="5" t="n"/>
      <c r="M440" s="5" t="n"/>
      <c r="N440" s="5" t="n"/>
      <c r="O440" s="5" t="n">
        <v>957</v>
      </c>
      <c r="P440" s="5" t="n"/>
      <c r="Q440" s="5" t="n">
        <v>957</v>
      </c>
      <c r="R440" s="5" t="n"/>
    </row>
    <row r="441">
      <c r="A441" s="2" t="inlineStr">
        <is>
          <t>EJ010823.TXT</t>
        </is>
      </c>
      <c r="B441" s="3" t="inlineStr">
        <is>
          <t>004997</t>
        </is>
      </c>
      <c r="C441" s="3" t="inlineStr">
        <is>
          <t>004001</t>
        </is>
      </c>
      <c r="D441" s="4" t="n">
        <v>45134</v>
      </c>
      <c r="E441" s="2" t="inlineStr">
        <is>
          <t>14:21</t>
        </is>
      </c>
      <c r="F441" s="5" t="n">
        <v>797.5</v>
      </c>
      <c r="G441" s="5" t="n"/>
      <c r="H441" s="5" t="n"/>
      <c r="I441" s="5" t="n"/>
      <c r="J441" s="5" t="n">
        <v>159.5</v>
      </c>
      <c r="K441" s="5" t="n"/>
      <c r="L441" s="5" t="n"/>
      <c r="M441" s="5" t="n"/>
      <c r="N441" s="5" t="n"/>
      <c r="O441" s="5" t="n">
        <v>957</v>
      </c>
      <c r="P441" s="5" t="n"/>
      <c r="Q441" s="5" t="n">
        <v>957</v>
      </c>
      <c r="R441" s="5" t="n"/>
    </row>
    <row r="442">
      <c r="A442" s="2" t="inlineStr">
        <is>
          <t>EJ010823.TXT</t>
        </is>
      </c>
      <c r="B442" s="3" t="inlineStr">
        <is>
          <t>004998</t>
        </is>
      </c>
      <c r="C442" s="3" t="inlineStr">
        <is>
          <t>004002</t>
        </is>
      </c>
      <c r="D442" s="4" t="n">
        <v>45134</v>
      </c>
      <c r="E442" s="2" t="inlineStr">
        <is>
          <t>15:42</t>
        </is>
      </c>
      <c r="F442" s="5" t="n">
        <v>1096.67</v>
      </c>
      <c r="G442" s="5" t="n"/>
      <c r="H442" s="5" t="n"/>
      <c r="I442" s="5" t="n"/>
      <c r="J442" s="5" t="n">
        <v>219.33</v>
      </c>
      <c r="K442" s="5" t="n"/>
      <c r="L442" s="5" t="n"/>
      <c r="M442" s="5" t="n"/>
      <c r="N442" s="5" t="n"/>
      <c r="O442" s="5" t="n">
        <v>1316</v>
      </c>
      <c r="P442" s="5" t="n">
        <v>1316</v>
      </c>
      <c r="Q442" s="5" t="n"/>
      <c r="R442" s="5" t="n"/>
    </row>
    <row r="443">
      <c r="A443" s="2" t="inlineStr">
        <is>
          <t>EJ010823.TXT</t>
        </is>
      </c>
      <c r="B443" s="3" t="inlineStr">
        <is>
          <t>004999</t>
        </is>
      </c>
      <c r="C443" s="3" t="inlineStr">
        <is>
          <t>004003</t>
        </is>
      </c>
      <c r="D443" s="4" t="n">
        <v>45136</v>
      </c>
      <c r="E443" s="2" t="inlineStr">
        <is>
          <t>11:01</t>
        </is>
      </c>
      <c r="F443" s="5" t="n">
        <v>649.17</v>
      </c>
      <c r="G443" s="5" t="n"/>
      <c r="H443" s="5" t="n"/>
      <c r="I443" s="5" t="n"/>
      <c r="J443" s="5" t="n">
        <v>129.83</v>
      </c>
      <c r="K443" s="5" t="n"/>
      <c r="L443" s="5" t="n"/>
      <c r="M443" s="5" t="n"/>
      <c r="N443" s="5" t="n"/>
      <c r="O443" s="5" t="n">
        <v>779</v>
      </c>
      <c r="P443" s="5" t="n"/>
      <c r="Q443" s="5" t="n">
        <v>779</v>
      </c>
      <c r="R443" s="5" t="n"/>
    </row>
    <row r="444">
      <c r="A444" s="2" t="inlineStr">
        <is>
          <t>EJ010823.TXT</t>
        </is>
      </c>
      <c r="B444" s="3" t="inlineStr">
        <is>
          <t>005000</t>
        </is>
      </c>
      <c r="C444" s="3" t="inlineStr">
        <is>
          <t>004004</t>
        </is>
      </c>
      <c r="D444" s="4" t="n">
        <v>45136</v>
      </c>
      <c r="E444" s="2" t="inlineStr">
        <is>
          <t>11:04</t>
        </is>
      </c>
      <c r="F444" s="5" t="n">
        <v>797.5</v>
      </c>
      <c r="G444" s="5" t="n"/>
      <c r="H444" s="5" t="n"/>
      <c r="I444" s="5" t="n"/>
      <c r="J444" s="5" t="n">
        <v>159.5</v>
      </c>
      <c r="K444" s="5" t="n"/>
      <c r="L444" s="5" t="n"/>
      <c r="M444" s="5" t="n"/>
      <c r="N444" s="5" t="n"/>
      <c r="O444" s="5" t="n">
        <v>957</v>
      </c>
      <c r="P444" s="5" t="n"/>
      <c r="Q444" s="5" t="n">
        <v>957</v>
      </c>
      <c r="R444" s="5" t="n"/>
    </row>
    <row r="445">
      <c r="A445" s="2" t="inlineStr">
        <is>
          <t>EJ010823.TXT</t>
        </is>
      </c>
      <c r="B445" s="3" t="inlineStr">
        <is>
          <t>005001</t>
        </is>
      </c>
      <c r="C445" s="3" t="inlineStr">
        <is>
          <t>004005</t>
        </is>
      </c>
      <c r="D445" s="4" t="n">
        <v>45136</v>
      </c>
      <c r="E445" s="2" t="inlineStr">
        <is>
          <t>11:05</t>
        </is>
      </c>
      <c r="F445" s="5" t="n">
        <v>797.5</v>
      </c>
      <c r="G445" s="5" t="n"/>
      <c r="H445" s="5" t="n"/>
      <c r="I445" s="5" t="n"/>
      <c r="J445" s="5" t="n">
        <v>159.5</v>
      </c>
      <c r="K445" s="5" t="n"/>
      <c r="L445" s="5" t="n"/>
      <c r="M445" s="5" t="n"/>
      <c r="N445" s="5" t="n"/>
      <c r="O445" s="5" t="n">
        <v>957</v>
      </c>
      <c r="P445" s="5" t="n"/>
      <c r="Q445" s="5" t="n">
        <v>957</v>
      </c>
      <c r="R445" s="5" t="n"/>
    </row>
    <row r="446">
      <c r="A446" s="2" t="inlineStr">
        <is>
          <t>EJ010823.TXT</t>
        </is>
      </c>
      <c r="B446" s="3" t="inlineStr">
        <is>
          <t>005002</t>
        </is>
      </c>
      <c r="C446" s="3" t="inlineStr">
        <is>
          <t>004006</t>
        </is>
      </c>
      <c r="D446" s="4" t="n">
        <v>45136</v>
      </c>
      <c r="E446" s="2" t="inlineStr">
        <is>
          <t>11:23</t>
        </is>
      </c>
      <c r="F446" s="5" t="n">
        <v>1096.67</v>
      </c>
      <c r="G446" s="5" t="n"/>
      <c r="H446" s="5" t="n"/>
      <c r="I446" s="5" t="n"/>
      <c r="J446" s="5" t="n">
        <v>219.33</v>
      </c>
      <c r="K446" s="5" t="n"/>
      <c r="L446" s="5" t="n"/>
      <c r="M446" s="5" t="n"/>
      <c r="N446" s="5" t="n"/>
      <c r="O446" s="5" t="n">
        <v>1316</v>
      </c>
      <c r="P446" s="5" t="n">
        <v>1316</v>
      </c>
      <c r="Q446" s="5" t="n"/>
      <c r="R446" s="5" t="n"/>
    </row>
    <row r="447">
      <c r="A447" s="2" t="inlineStr">
        <is>
          <t>EJ010823.TXT</t>
        </is>
      </c>
      <c r="B447" s="3" t="inlineStr">
        <is>
          <t>005003</t>
        </is>
      </c>
      <c r="C447" s="3" t="inlineStr">
        <is>
          <t>004007</t>
        </is>
      </c>
      <c r="D447" s="4" t="n">
        <v>45136</v>
      </c>
      <c r="E447" s="2" t="inlineStr">
        <is>
          <t>11:24</t>
        </is>
      </c>
      <c r="F447" s="5" t="n">
        <v>1096.67</v>
      </c>
      <c r="G447" s="5" t="n"/>
      <c r="H447" s="5" t="n"/>
      <c r="I447" s="5" t="n"/>
      <c r="J447" s="5" t="n">
        <v>219.33</v>
      </c>
      <c r="K447" s="5" t="n"/>
      <c r="L447" s="5" t="n"/>
      <c r="M447" s="5" t="n"/>
      <c r="N447" s="5" t="n"/>
      <c r="O447" s="5" t="n">
        <v>1316</v>
      </c>
      <c r="P447" s="5" t="n">
        <v>1316</v>
      </c>
      <c r="Q447" s="5" t="n"/>
      <c r="R447" s="5" t="n"/>
    </row>
    <row r="448">
      <c r="A448" s="2" t="inlineStr">
        <is>
          <t>EJ010823.TXT</t>
        </is>
      </c>
      <c r="B448" s="3" t="inlineStr">
        <is>
          <t>005004</t>
        </is>
      </c>
      <c r="C448" s="3" t="inlineStr">
        <is>
          <t>004008</t>
        </is>
      </c>
      <c r="D448" s="4" t="n">
        <v>45136</v>
      </c>
      <c r="E448" s="2" t="inlineStr">
        <is>
          <t>16:15</t>
        </is>
      </c>
      <c r="F448" s="5" t="n">
        <v>274.17</v>
      </c>
      <c r="G448" s="5" t="n"/>
      <c r="H448" s="5" t="n"/>
      <c r="I448" s="5" t="n"/>
      <c r="J448" s="5" t="n">
        <v>54.83</v>
      </c>
      <c r="K448" s="5" t="n"/>
      <c r="L448" s="5" t="n"/>
      <c r="M448" s="5" t="n"/>
      <c r="N448" s="5" t="n"/>
      <c r="O448" s="5" t="n">
        <v>329</v>
      </c>
      <c r="P448" s="5" t="n">
        <v>329</v>
      </c>
      <c r="Q448" s="5" t="n"/>
      <c r="R448" s="5" t="n"/>
    </row>
    <row r="449">
      <c r="A449" s="2" t="inlineStr">
        <is>
          <t>EJ010823.TXT</t>
        </is>
      </c>
      <c r="B449" s="3" t="inlineStr">
        <is>
          <t>005005</t>
        </is>
      </c>
      <c r="C449" s="3" t="inlineStr">
        <is>
          <t>004009</t>
        </is>
      </c>
      <c r="D449" s="4" t="n">
        <v>45136</v>
      </c>
      <c r="E449" s="2" t="inlineStr">
        <is>
          <t>17:17</t>
        </is>
      </c>
      <c r="F449" s="5" t="n">
        <v>274.17</v>
      </c>
      <c r="G449" s="5" t="n"/>
      <c r="H449" s="5" t="n"/>
      <c r="I449" s="5" t="n"/>
      <c r="J449" s="5" t="n">
        <v>54.83</v>
      </c>
      <c r="K449" s="5" t="n"/>
      <c r="L449" s="5" t="n"/>
      <c r="M449" s="5" t="n"/>
      <c r="N449" s="5" t="n"/>
      <c r="O449" s="5" t="n">
        <v>329</v>
      </c>
      <c r="P449" s="5" t="n"/>
      <c r="Q449" s="5" t="n">
        <v>329</v>
      </c>
      <c r="R449" s="5" t="n"/>
    </row>
    <row r="450">
      <c r="A450" s="2" t="inlineStr">
        <is>
          <t>EJ010823.TXT</t>
        </is>
      </c>
      <c r="B450" s="3" t="inlineStr">
        <is>
          <t>005006</t>
        </is>
      </c>
      <c r="C450" s="3" t="inlineStr">
        <is>
          <t>004010</t>
        </is>
      </c>
      <c r="D450" s="4" t="n">
        <v>45138</v>
      </c>
      <c r="E450" s="2" t="inlineStr">
        <is>
          <t>15:27</t>
        </is>
      </c>
      <c r="F450" s="5" t="n">
        <v>381.67</v>
      </c>
      <c r="G450" s="5" t="n"/>
      <c r="H450" s="5" t="n"/>
      <c r="I450" s="5" t="n"/>
      <c r="J450" s="5" t="n">
        <v>76.33</v>
      </c>
      <c r="K450" s="5" t="n"/>
      <c r="L450" s="5" t="n"/>
      <c r="M450" s="5" t="n"/>
      <c r="N450" s="5" t="n"/>
      <c r="O450" s="5" t="n">
        <v>458</v>
      </c>
      <c r="P450" s="5" t="n"/>
      <c r="Q450" s="5" t="n">
        <v>458</v>
      </c>
      <c r="R450" s="5" t="n"/>
    </row>
    <row r="451">
      <c r="A451" s="2" t="inlineStr">
        <is>
          <t>EJ010823.TXT</t>
        </is>
      </c>
      <c r="B451" s="3" t="inlineStr">
        <is>
          <t>005007</t>
        </is>
      </c>
      <c r="C451" s="3" t="inlineStr">
        <is>
          <t>004011</t>
        </is>
      </c>
      <c r="D451" s="4" t="n">
        <v>45138</v>
      </c>
      <c r="E451" s="2" t="inlineStr">
        <is>
          <t>15:28</t>
        </is>
      </c>
      <c r="F451" s="5" t="n">
        <v>381.67</v>
      </c>
      <c r="G451" s="5" t="n"/>
      <c r="H451" s="5" t="n"/>
      <c r="I451" s="5" t="n"/>
      <c r="J451" s="5" t="n">
        <v>76.33</v>
      </c>
      <c r="K451" s="5" t="n"/>
      <c r="L451" s="5" t="n"/>
      <c r="M451" s="5" t="n"/>
      <c r="N451" s="5" t="n"/>
      <c r="O451" s="5" t="n">
        <v>458</v>
      </c>
      <c r="P451" s="5" t="n"/>
      <c r="Q451" s="5" t="n">
        <v>458</v>
      </c>
      <c r="R451" s="5" t="n"/>
    </row>
    <row r="452">
      <c r="A452" s="2" t="inlineStr">
        <is>
          <t>EJ010923.TXT</t>
        </is>
      </c>
      <c r="B452" s="3" t="inlineStr">
        <is>
          <t>005015</t>
        </is>
      </c>
      <c r="C452" s="3" t="inlineStr">
        <is>
          <t>004012</t>
        </is>
      </c>
      <c r="D452" s="4" t="n">
        <v>45140</v>
      </c>
      <c r="E452" s="2" t="inlineStr">
        <is>
          <t>13:41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/>
      <c r="Q452" s="5" t="n">
        <v>658</v>
      </c>
      <c r="R452" s="5" t="n"/>
    </row>
    <row r="453">
      <c r="A453" s="2" t="inlineStr">
        <is>
          <t>EJ010923.TXT</t>
        </is>
      </c>
      <c r="B453" s="3" t="inlineStr">
        <is>
          <t>005016</t>
        </is>
      </c>
      <c r="C453" s="3" t="inlineStr">
        <is>
          <t>004013</t>
        </is>
      </c>
      <c r="D453" s="4" t="n">
        <v>45142</v>
      </c>
      <c r="E453" s="2" t="inlineStr">
        <is>
          <t>16:38</t>
        </is>
      </c>
      <c r="F453" s="5" t="n">
        <v>740</v>
      </c>
      <c r="G453" s="5" t="n"/>
      <c r="H453" s="5" t="n"/>
      <c r="I453" s="5" t="n"/>
      <c r="J453" s="5" t="n">
        <v>148</v>
      </c>
      <c r="K453" s="5" t="n"/>
      <c r="L453" s="5" t="n"/>
      <c r="M453" s="5" t="n"/>
      <c r="N453" s="5" t="n"/>
      <c r="O453" s="5" t="n">
        <v>888</v>
      </c>
      <c r="P453" s="5" t="n"/>
      <c r="Q453" s="5" t="n">
        <v>888</v>
      </c>
      <c r="R453" s="5" t="n"/>
    </row>
    <row r="454">
      <c r="A454" s="2" t="inlineStr">
        <is>
          <t>EJ010923.TXT</t>
        </is>
      </c>
      <c r="B454" s="3" t="inlineStr">
        <is>
          <t>005017</t>
        </is>
      </c>
      <c r="C454" s="3" t="inlineStr">
        <is>
          <t>004014</t>
        </is>
      </c>
      <c r="D454" s="4" t="n">
        <v>45142</v>
      </c>
      <c r="E454" s="2" t="inlineStr">
        <is>
          <t>16:38</t>
        </is>
      </c>
      <c r="F454" s="5" t="n">
        <v>816.67</v>
      </c>
      <c r="G454" s="5" t="n"/>
      <c r="H454" s="5" t="n"/>
      <c r="I454" s="5" t="n"/>
      <c r="J454" s="5" t="n">
        <v>163.33</v>
      </c>
      <c r="K454" s="5" t="n"/>
      <c r="L454" s="5" t="n"/>
      <c r="M454" s="5" t="n"/>
      <c r="N454" s="5" t="n"/>
      <c r="O454" s="5" t="n">
        <v>980</v>
      </c>
      <c r="P454" s="5" t="n"/>
      <c r="Q454" s="5" t="n">
        <v>980</v>
      </c>
      <c r="R454" s="5" t="n"/>
    </row>
    <row r="455">
      <c r="A455" s="2" t="inlineStr">
        <is>
          <t>EJ010923.TXT</t>
        </is>
      </c>
      <c r="B455" s="3" t="inlineStr">
        <is>
          <t>005018</t>
        </is>
      </c>
      <c r="C455" s="3" t="inlineStr">
        <is>
          <t>004015</t>
        </is>
      </c>
      <c r="D455" s="4" t="n">
        <v>45142</v>
      </c>
      <c r="E455" s="2" t="inlineStr">
        <is>
          <t>16:38</t>
        </is>
      </c>
      <c r="F455" s="5" t="n">
        <v>574.17</v>
      </c>
      <c r="G455" s="5" t="n"/>
      <c r="H455" s="5" t="n"/>
      <c r="I455" s="5" t="n"/>
      <c r="J455" s="5" t="n">
        <v>114.83</v>
      </c>
      <c r="K455" s="5" t="n"/>
      <c r="L455" s="5" t="n"/>
      <c r="M455" s="5" t="n"/>
      <c r="N455" s="5" t="n"/>
      <c r="O455" s="5" t="n">
        <v>689</v>
      </c>
      <c r="P455" s="5" t="n"/>
      <c r="Q455" s="5" t="n">
        <v>689</v>
      </c>
      <c r="R455" s="5" t="n"/>
    </row>
    <row r="456">
      <c r="A456" s="2" t="inlineStr">
        <is>
          <t>EJ010923.TXT</t>
        </is>
      </c>
      <c r="B456" s="3" t="inlineStr">
        <is>
          <t>005019</t>
        </is>
      </c>
      <c r="C456" s="3" t="inlineStr">
        <is>
          <t>004016</t>
        </is>
      </c>
      <c r="D456" s="4" t="n">
        <v>45143</v>
      </c>
      <c r="E456" s="2" t="inlineStr">
        <is>
          <t>15:09</t>
        </is>
      </c>
      <c r="F456" s="5" t="n">
        <v>208.33</v>
      </c>
      <c r="G456" s="5" t="n"/>
      <c r="H456" s="5" t="n"/>
      <c r="I456" s="5" t="n"/>
      <c r="J456" s="5" t="n">
        <v>41.67</v>
      </c>
      <c r="K456" s="5" t="n"/>
      <c r="L456" s="5" t="n"/>
      <c r="M456" s="5" t="n"/>
      <c r="N456" s="5" t="n"/>
      <c r="O456" s="5" t="n">
        <v>250</v>
      </c>
      <c r="P456" s="5" t="n"/>
      <c r="Q456" s="5" t="n">
        <v>250</v>
      </c>
      <c r="R456" s="5" t="n"/>
    </row>
    <row r="457">
      <c r="A457" s="2" t="inlineStr">
        <is>
          <t>EJ010923.TXT</t>
        </is>
      </c>
      <c r="B457" s="3" t="inlineStr">
        <is>
          <t>005020</t>
        </is>
      </c>
      <c r="C457" s="3" t="inlineStr">
        <is>
          <t>004017</t>
        </is>
      </c>
      <c r="D457" s="4" t="n">
        <v>45143</v>
      </c>
      <c r="E457" s="2" t="inlineStr">
        <is>
          <t>16:10</t>
        </is>
      </c>
      <c r="F457" s="5" t="n">
        <v>548.33</v>
      </c>
      <c r="G457" s="5" t="n"/>
      <c r="H457" s="5" t="n"/>
      <c r="I457" s="5" t="n"/>
      <c r="J457" s="5" t="n">
        <v>109.67</v>
      </c>
      <c r="K457" s="5" t="n"/>
      <c r="L457" s="5" t="n"/>
      <c r="M457" s="5" t="n"/>
      <c r="N457" s="5" t="n"/>
      <c r="O457" s="5" t="n">
        <v>658</v>
      </c>
      <c r="P457" s="5" t="n"/>
      <c r="Q457" s="5" t="n">
        <v>658</v>
      </c>
      <c r="R457" s="5" t="n"/>
    </row>
    <row r="458">
      <c r="A458" s="2" t="inlineStr">
        <is>
          <t>EJ010923.TXT</t>
        </is>
      </c>
      <c r="B458" s="3" t="inlineStr">
        <is>
          <t>005021</t>
        </is>
      </c>
      <c r="C458" s="3" t="inlineStr">
        <is>
          <t>004018</t>
        </is>
      </c>
      <c r="D458" s="4" t="n">
        <v>45146</v>
      </c>
      <c r="E458" s="2" t="inlineStr">
        <is>
          <t>13:43</t>
        </is>
      </c>
      <c r="F458" s="5" t="n">
        <v>548.33</v>
      </c>
      <c r="G458" s="5" t="n"/>
      <c r="H458" s="5" t="n"/>
      <c r="I458" s="5" t="n"/>
      <c r="J458" s="5" t="n">
        <v>109.67</v>
      </c>
      <c r="K458" s="5" t="n"/>
      <c r="L458" s="5" t="n"/>
      <c r="M458" s="5" t="n"/>
      <c r="N458" s="5" t="n"/>
      <c r="O458" s="5" t="n">
        <v>658</v>
      </c>
      <c r="P458" s="5" t="n"/>
      <c r="Q458" s="5" t="n">
        <v>658</v>
      </c>
      <c r="R458" s="5" t="n"/>
    </row>
    <row r="459">
      <c r="A459" s="2" t="inlineStr">
        <is>
          <t>EJ010923.TXT</t>
        </is>
      </c>
      <c r="B459" s="3" t="inlineStr">
        <is>
          <t>005022</t>
        </is>
      </c>
      <c r="C459" s="3" t="inlineStr">
        <is>
          <t>004019</t>
        </is>
      </c>
      <c r="D459" s="4" t="n">
        <v>45147</v>
      </c>
      <c r="E459" s="2" t="inlineStr">
        <is>
          <t>10:47</t>
        </is>
      </c>
      <c r="F459" s="5" t="n">
        <v>208.33</v>
      </c>
      <c r="G459" s="5" t="n"/>
      <c r="H459" s="5" t="n"/>
      <c r="I459" s="5" t="n"/>
      <c r="J459" s="5" t="n">
        <v>41.67</v>
      </c>
      <c r="K459" s="5" t="n"/>
      <c r="L459" s="5" t="n"/>
      <c r="M459" s="5" t="n"/>
      <c r="N459" s="5" t="n"/>
      <c r="O459" s="5" t="n">
        <v>250</v>
      </c>
      <c r="P459" s="5" t="n"/>
      <c r="Q459" s="5" t="n">
        <v>250</v>
      </c>
      <c r="R459" s="5" t="n"/>
    </row>
    <row r="460">
      <c r="A460" s="2" t="inlineStr">
        <is>
          <t>EJ010923.TXT</t>
        </is>
      </c>
      <c r="B460" s="3" t="inlineStr">
        <is>
          <t>005023</t>
        </is>
      </c>
      <c r="C460" s="3" t="inlineStr">
        <is>
          <t>004020</t>
        </is>
      </c>
      <c r="D460" s="4" t="n">
        <v>45148</v>
      </c>
      <c r="E460" s="2" t="inlineStr">
        <is>
          <t>12:05</t>
        </is>
      </c>
      <c r="F460" s="5" t="n">
        <v>822.5</v>
      </c>
      <c r="G460" s="5" t="n"/>
      <c r="H460" s="5" t="n"/>
      <c r="I460" s="5" t="n"/>
      <c r="J460" s="5" t="n">
        <v>164.5</v>
      </c>
      <c r="K460" s="5" t="n"/>
      <c r="L460" s="5" t="n"/>
      <c r="M460" s="5" t="n"/>
      <c r="N460" s="5" t="n"/>
      <c r="O460" s="5" t="n">
        <v>987</v>
      </c>
      <c r="P460" s="5" t="n"/>
      <c r="Q460" s="5" t="n">
        <v>987</v>
      </c>
      <c r="R460" s="5" t="n"/>
    </row>
    <row r="461">
      <c r="A461" s="2" t="inlineStr">
        <is>
          <t>EJ010923.TXT</t>
        </is>
      </c>
      <c r="B461" s="3" t="inlineStr">
        <is>
          <t>005024</t>
        </is>
      </c>
      <c r="C461" s="3" t="inlineStr">
        <is>
          <t>004021</t>
        </is>
      </c>
      <c r="D461" s="4" t="n">
        <v>45148</v>
      </c>
      <c r="E461" s="2" t="inlineStr">
        <is>
          <t>12:05</t>
        </is>
      </c>
      <c r="F461" s="5" t="n">
        <v>822.5</v>
      </c>
      <c r="G461" s="5" t="n"/>
      <c r="H461" s="5" t="n"/>
      <c r="I461" s="5" t="n"/>
      <c r="J461" s="5" t="n">
        <v>164.5</v>
      </c>
      <c r="K461" s="5" t="n"/>
      <c r="L461" s="5" t="n"/>
      <c r="M461" s="5" t="n"/>
      <c r="N461" s="5" t="n"/>
      <c r="O461" s="5" t="n">
        <v>987</v>
      </c>
      <c r="P461" s="5" t="n"/>
      <c r="Q461" s="5" t="n">
        <v>987</v>
      </c>
      <c r="R461" s="5" t="n"/>
    </row>
    <row r="462">
      <c r="A462" s="2" t="inlineStr">
        <is>
          <t>EJ010923.TXT</t>
        </is>
      </c>
      <c r="B462" s="3" t="inlineStr">
        <is>
          <t>005025</t>
        </is>
      </c>
      <c r="C462" s="3" t="inlineStr">
        <is>
          <t>004022</t>
        </is>
      </c>
      <c r="D462" s="4" t="n">
        <v>45150</v>
      </c>
      <c r="E462" s="2" t="inlineStr">
        <is>
          <t>16:34</t>
        </is>
      </c>
      <c r="F462" s="5" t="n">
        <v>548.33</v>
      </c>
      <c r="G462" s="5" t="n"/>
      <c r="H462" s="5" t="n"/>
      <c r="I462" s="5" t="n"/>
      <c r="J462" s="5" t="n">
        <v>109.67</v>
      </c>
      <c r="K462" s="5" t="n"/>
      <c r="L462" s="5" t="n"/>
      <c r="M462" s="5" t="n"/>
      <c r="N462" s="5" t="n"/>
      <c r="O462" s="5" t="n">
        <v>658</v>
      </c>
      <c r="P462" s="5" t="n">
        <v>658</v>
      </c>
      <c r="Q462" s="5" t="n"/>
      <c r="R462" s="5" t="n"/>
    </row>
    <row r="463">
      <c r="A463" s="2" t="inlineStr">
        <is>
          <t>EJ010923.TXT</t>
        </is>
      </c>
      <c r="B463" s="3" t="inlineStr">
        <is>
          <t>005026</t>
        </is>
      </c>
      <c r="C463" s="3" t="inlineStr">
        <is>
          <t>004023</t>
        </is>
      </c>
      <c r="D463" s="4" t="n">
        <v>45152</v>
      </c>
      <c r="E463" s="2" t="inlineStr">
        <is>
          <t>15:37</t>
        </is>
      </c>
      <c r="F463" s="5" t="n">
        <v>274.17</v>
      </c>
      <c r="G463" s="5" t="n"/>
      <c r="H463" s="5" t="n"/>
      <c r="I463" s="5" t="n"/>
      <c r="J463" s="5" t="n">
        <v>54.83</v>
      </c>
      <c r="K463" s="5" t="n"/>
      <c r="L463" s="5" t="n"/>
      <c r="M463" s="5" t="n"/>
      <c r="N463" s="5" t="n"/>
      <c r="O463" s="5" t="n">
        <v>329</v>
      </c>
      <c r="P463" s="5" t="n"/>
      <c r="Q463" s="5" t="n">
        <v>329</v>
      </c>
      <c r="R463" s="5" t="n"/>
    </row>
    <row r="464">
      <c r="A464" s="2" t="inlineStr">
        <is>
          <t>EJ010923.TXT</t>
        </is>
      </c>
      <c r="B464" s="3" t="inlineStr">
        <is>
          <t>005027</t>
        </is>
      </c>
      <c r="C464" s="3" t="inlineStr">
        <is>
          <t>004024</t>
        </is>
      </c>
      <c r="D464" s="4" t="n">
        <v>45154</v>
      </c>
      <c r="E464" s="2" t="inlineStr">
        <is>
          <t>11:32</t>
        </is>
      </c>
      <c r="F464" s="5" t="n">
        <v>148.33</v>
      </c>
      <c r="G464" s="5" t="n"/>
      <c r="H464" s="5" t="n"/>
      <c r="I464" s="5" t="n"/>
      <c r="J464" s="5" t="n">
        <v>29.67</v>
      </c>
      <c r="K464" s="5" t="n"/>
      <c r="L464" s="5" t="n"/>
      <c r="M464" s="5" t="n"/>
      <c r="N464" s="5" t="n"/>
      <c r="O464" s="5" t="n">
        <v>178</v>
      </c>
      <c r="P464" s="5" t="n">
        <v>178</v>
      </c>
      <c r="Q464" s="5" t="n"/>
      <c r="R464" s="5" t="n"/>
    </row>
    <row r="465">
      <c r="A465" s="2" t="inlineStr">
        <is>
          <t>EJ010923.TXT</t>
        </is>
      </c>
      <c r="B465" s="3" t="inlineStr">
        <is>
          <t>005028</t>
        </is>
      </c>
      <c r="C465" s="3" t="inlineStr">
        <is>
          <t>004025</t>
        </is>
      </c>
      <c r="D465" s="4" t="n">
        <v>45154</v>
      </c>
      <c r="E465" s="2" t="inlineStr">
        <is>
          <t>17:21</t>
        </is>
      </c>
      <c r="F465" s="5" t="n">
        <v>156.67</v>
      </c>
      <c r="G465" s="5" t="n"/>
      <c r="H465" s="5" t="n"/>
      <c r="I465" s="5" t="n"/>
      <c r="J465" s="5" t="n">
        <v>31.33</v>
      </c>
      <c r="K465" s="5" t="n"/>
      <c r="L465" s="5" t="n"/>
      <c r="M465" s="5" t="n"/>
      <c r="N465" s="5" t="n"/>
      <c r="O465" s="5" t="n">
        <v>188</v>
      </c>
      <c r="P465" s="5" t="n"/>
      <c r="Q465" s="5" t="n">
        <v>188</v>
      </c>
      <c r="R465" s="5" t="n"/>
    </row>
    <row r="466">
      <c r="A466" s="2" t="inlineStr">
        <is>
          <t>EJ010923.TXT</t>
        </is>
      </c>
      <c r="B466" s="3" t="inlineStr">
        <is>
          <t>005029</t>
        </is>
      </c>
      <c r="C466" s="3" t="inlineStr">
        <is>
          <t>004026</t>
        </is>
      </c>
      <c r="D466" s="4" t="n">
        <v>45156</v>
      </c>
      <c r="E466" s="2" t="inlineStr">
        <is>
          <t>14:19</t>
        </is>
      </c>
      <c r="F466" s="5" t="n">
        <v>274.17</v>
      </c>
      <c r="G466" s="5" t="n"/>
      <c r="H466" s="5" t="n"/>
      <c r="I466" s="5" t="n"/>
      <c r="J466" s="5" t="n">
        <v>54.83</v>
      </c>
      <c r="K466" s="5" t="n"/>
      <c r="L466" s="5" t="n"/>
      <c r="M466" s="5" t="n"/>
      <c r="N466" s="5" t="n"/>
      <c r="O466" s="5" t="n">
        <v>329</v>
      </c>
      <c r="P466" s="5" t="n">
        <v>329</v>
      </c>
      <c r="Q466" s="5" t="n"/>
      <c r="R466" s="5" t="n"/>
    </row>
    <row r="467">
      <c r="A467" s="2" t="inlineStr">
        <is>
          <t>EJ010923.TXT</t>
        </is>
      </c>
      <c r="B467" s="3" t="inlineStr">
        <is>
          <t>005030</t>
        </is>
      </c>
      <c r="C467" s="3" t="inlineStr">
        <is>
          <t>004027</t>
        </is>
      </c>
      <c r="D467" s="4" t="n">
        <v>45159</v>
      </c>
      <c r="E467" s="2" t="inlineStr">
        <is>
          <t>10:03</t>
        </is>
      </c>
      <c r="F467" s="5" t="n">
        <v>1645</v>
      </c>
      <c r="G467" s="5" t="n"/>
      <c r="H467" s="5" t="n"/>
      <c r="I467" s="5" t="n"/>
      <c r="J467" s="5" t="n">
        <v>329</v>
      </c>
      <c r="K467" s="5" t="n"/>
      <c r="L467" s="5" t="n"/>
      <c r="M467" s="5" t="n"/>
      <c r="N467" s="5" t="n"/>
      <c r="O467" s="5" t="n">
        <v>1974</v>
      </c>
      <c r="P467" s="5" t="n">
        <v>1974</v>
      </c>
      <c r="Q467" s="5" t="n"/>
      <c r="R467" s="5" t="n"/>
    </row>
    <row r="468">
      <c r="A468" s="2" t="inlineStr">
        <is>
          <t>EJ010923.TXT</t>
        </is>
      </c>
      <c r="B468" s="3" t="inlineStr">
        <is>
          <t>005031</t>
        </is>
      </c>
      <c r="C468" s="3" t="inlineStr">
        <is>
          <t>004028</t>
        </is>
      </c>
      <c r="D468" s="4" t="n">
        <v>45160</v>
      </c>
      <c r="E468" s="2" t="inlineStr">
        <is>
          <t>16:54</t>
        </is>
      </c>
      <c r="F468" s="5" t="n">
        <v>733.33</v>
      </c>
      <c r="G468" s="5" t="n"/>
      <c r="H468" s="5" t="n"/>
      <c r="I468" s="5" t="n"/>
      <c r="J468" s="5" t="n">
        <v>146.67</v>
      </c>
      <c r="K468" s="5" t="n"/>
      <c r="L468" s="5" t="n"/>
      <c r="M468" s="5" t="n"/>
      <c r="N468" s="5" t="n"/>
      <c r="O468" s="5" t="n">
        <v>880</v>
      </c>
      <c r="P468" s="5" t="n"/>
      <c r="Q468" s="5" t="n">
        <v>880</v>
      </c>
      <c r="R468" s="5" t="n"/>
    </row>
    <row r="469">
      <c r="A469" s="2" t="inlineStr">
        <is>
          <t>EJ010923.TXT</t>
        </is>
      </c>
      <c r="B469" s="3" t="inlineStr">
        <is>
          <t>005032</t>
        </is>
      </c>
      <c r="C469" s="3" t="inlineStr">
        <is>
          <t>004029</t>
        </is>
      </c>
      <c r="D469" s="4" t="n">
        <v>45160</v>
      </c>
      <c r="E469" s="2" t="inlineStr">
        <is>
          <t>16:55</t>
        </is>
      </c>
      <c r="F469" s="5" t="n">
        <v>832.5</v>
      </c>
      <c r="G469" s="5" t="n"/>
      <c r="H469" s="5" t="n"/>
      <c r="I469" s="5" t="n"/>
      <c r="J469" s="5" t="n">
        <v>166.5</v>
      </c>
      <c r="K469" s="5" t="n"/>
      <c r="L469" s="5" t="n"/>
      <c r="M469" s="5" t="n"/>
      <c r="N469" s="5" t="n"/>
      <c r="O469" s="5" t="n">
        <v>999</v>
      </c>
      <c r="P469" s="5" t="n"/>
      <c r="Q469" s="5" t="n">
        <v>999</v>
      </c>
      <c r="R469" s="5" t="n"/>
    </row>
    <row r="470">
      <c r="A470" s="2" t="inlineStr">
        <is>
          <t>EJ010923.TXT</t>
        </is>
      </c>
      <c r="B470" s="3" t="inlineStr">
        <is>
          <t>005033</t>
        </is>
      </c>
      <c r="C470" s="3" t="inlineStr">
        <is>
          <t>004030</t>
        </is>
      </c>
      <c r="D470" s="4" t="n">
        <v>45161</v>
      </c>
      <c r="E470" s="2" t="inlineStr">
        <is>
          <t>10:16</t>
        </is>
      </c>
      <c r="F470" s="5" t="n">
        <v>648.33</v>
      </c>
      <c r="G470" s="5" t="n"/>
      <c r="H470" s="5" t="n"/>
      <c r="I470" s="5" t="n"/>
      <c r="J470" s="5" t="n">
        <v>129.67</v>
      </c>
      <c r="K470" s="5" t="n"/>
      <c r="L470" s="5" t="n"/>
      <c r="M470" s="5" t="n"/>
      <c r="N470" s="5" t="n"/>
      <c r="O470" s="5" t="n">
        <v>778</v>
      </c>
      <c r="P470" s="5" t="n"/>
      <c r="Q470" s="5" t="n">
        <v>778</v>
      </c>
      <c r="R470" s="5" t="n"/>
    </row>
    <row r="471">
      <c r="A471" s="2" t="inlineStr">
        <is>
          <t>EJ010923.TXT</t>
        </is>
      </c>
      <c r="B471" s="3" t="inlineStr">
        <is>
          <t>005034</t>
        </is>
      </c>
      <c r="C471" s="3" t="inlineStr">
        <is>
          <t>004031</t>
        </is>
      </c>
      <c r="D471" s="4" t="n">
        <v>45161</v>
      </c>
      <c r="E471" s="2" t="inlineStr">
        <is>
          <t>16:41</t>
        </is>
      </c>
      <c r="F471" s="5" t="n">
        <v>274.17</v>
      </c>
      <c r="G471" s="5" t="n"/>
      <c r="H471" s="5" t="n"/>
      <c r="I471" s="5" t="n"/>
      <c r="J471" s="5" t="n">
        <v>54.83</v>
      </c>
      <c r="K471" s="5" t="n"/>
      <c r="L471" s="5" t="n"/>
      <c r="M471" s="5" t="n"/>
      <c r="N471" s="5" t="n"/>
      <c r="O471" s="5" t="n">
        <v>329</v>
      </c>
      <c r="P471" s="5" t="n"/>
      <c r="Q471" s="5" t="n">
        <v>329</v>
      </c>
      <c r="R471" s="5" t="n"/>
    </row>
    <row r="472">
      <c r="A472" s="2" t="inlineStr">
        <is>
          <t>EJ010923.TXT</t>
        </is>
      </c>
      <c r="B472" s="3" t="inlineStr">
        <is>
          <t>005035</t>
        </is>
      </c>
      <c r="C472" s="3" t="inlineStr">
        <is>
          <t>004032</t>
        </is>
      </c>
      <c r="D472" s="4" t="n">
        <v>45163</v>
      </c>
      <c r="E472" s="2" t="inlineStr">
        <is>
          <t>14:40</t>
        </is>
      </c>
      <c r="F472" s="5" t="n">
        <v>208.33</v>
      </c>
      <c r="G472" s="5" t="n"/>
      <c r="H472" s="5" t="n"/>
      <c r="I472" s="5" t="n"/>
      <c r="J472" s="5" t="n">
        <v>41.67</v>
      </c>
      <c r="K472" s="5" t="n"/>
      <c r="L472" s="5" t="n"/>
      <c r="M472" s="5" t="n"/>
      <c r="N472" s="5" t="n"/>
      <c r="O472" s="5" t="n">
        <v>250</v>
      </c>
      <c r="P472" s="5" t="n"/>
      <c r="Q472" s="5" t="n">
        <v>250</v>
      </c>
      <c r="R472" s="5" t="n"/>
    </row>
    <row r="473">
      <c r="A473" s="2" t="inlineStr">
        <is>
          <t>EJ010923.TXT</t>
        </is>
      </c>
      <c r="B473" s="3" t="inlineStr">
        <is>
          <t>005036</t>
        </is>
      </c>
      <c r="C473" s="3" t="inlineStr">
        <is>
          <t>004033</t>
        </is>
      </c>
      <c r="D473" s="4" t="n">
        <v>45163</v>
      </c>
      <c r="E473" s="2" t="inlineStr">
        <is>
          <t>16:32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>
        <v>658</v>
      </c>
      <c r="Q473" s="5" t="n"/>
      <c r="R473" s="5" t="n"/>
    </row>
    <row r="474">
      <c r="A474" s="2" t="inlineStr">
        <is>
          <t>EJ010923.TXT</t>
        </is>
      </c>
      <c r="B474" s="3" t="inlineStr">
        <is>
          <t>005037</t>
        </is>
      </c>
      <c r="C474" s="3" t="inlineStr">
        <is>
          <t>004034</t>
        </is>
      </c>
      <c r="D474" s="4" t="n">
        <v>45166</v>
      </c>
      <c r="E474" s="2" t="inlineStr">
        <is>
          <t>11:45</t>
        </is>
      </c>
      <c r="F474" s="5" t="n">
        <v>398.33</v>
      </c>
      <c r="G474" s="5" t="n"/>
      <c r="H474" s="5" t="n"/>
      <c r="I474" s="5" t="n"/>
      <c r="J474" s="5" t="n">
        <v>79.67</v>
      </c>
      <c r="K474" s="5" t="n"/>
      <c r="L474" s="5" t="n"/>
      <c r="M474" s="5" t="n"/>
      <c r="N474" s="5" t="n"/>
      <c r="O474" s="5" t="n">
        <v>478</v>
      </c>
      <c r="P474" s="5" t="n">
        <v>478</v>
      </c>
      <c r="Q474" s="5" t="n"/>
      <c r="R474" s="5" t="n"/>
    </row>
    <row r="475">
      <c r="A475" s="2" t="inlineStr">
        <is>
          <t>EJ010923.TXT</t>
        </is>
      </c>
      <c r="B475" s="3" t="inlineStr">
        <is>
          <t>005038</t>
        </is>
      </c>
      <c r="C475" s="3" t="inlineStr">
        <is>
          <t>004035</t>
        </is>
      </c>
      <c r="D475" s="4" t="n">
        <v>45167</v>
      </c>
      <c r="E475" s="2" t="inlineStr">
        <is>
          <t>14:18</t>
        </is>
      </c>
      <c r="F475" s="5" t="n">
        <v>208.33</v>
      </c>
      <c r="G475" s="5" t="n"/>
      <c r="H475" s="5" t="n"/>
      <c r="I475" s="5" t="n"/>
      <c r="J475" s="5" t="n">
        <v>41.67</v>
      </c>
      <c r="K475" s="5" t="n"/>
      <c r="L475" s="5" t="n"/>
      <c r="M475" s="5" t="n"/>
      <c r="N475" s="5" t="n"/>
      <c r="O475" s="5" t="n">
        <v>250</v>
      </c>
      <c r="P475" s="5" t="n"/>
      <c r="Q475" s="5" t="n">
        <v>250</v>
      </c>
      <c r="R475" s="5" t="n"/>
    </row>
    <row r="476">
      <c r="A476" s="2" t="inlineStr">
        <is>
          <t>EJ010923.TXT</t>
        </is>
      </c>
      <c r="B476" s="3" t="inlineStr">
        <is>
          <t>005039</t>
        </is>
      </c>
      <c r="C476" s="3" t="inlineStr">
        <is>
          <t>004036</t>
        </is>
      </c>
      <c r="D476" s="4" t="n">
        <v>45167</v>
      </c>
      <c r="E476" s="2" t="inlineStr">
        <is>
          <t>14:45</t>
        </is>
      </c>
      <c r="F476" s="5" t="n">
        <v>581.67</v>
      </c>
      <c r="G476" s="5" t="n"/>
      <c r="H476" s="5" t="n"/>
      <c r="I476" s="5" t="n"/>
      <c r="J476" s="5" t="n">
        <v>116.33</v>
      </c>
      <c r="K476" s="5" t="n"/>
      <c r="L476" s="5" t="n"/>
      <c r="M476" s="5" t="n"/>
      <c r="N476" s="5" t="n"/>
      <c r="O476" s="5" t="n">
        <v>698</v>
      </c>
      <c r="P476" s="5" t="n"/>
      <c r="Q476" s="5" t="n">
        <v>698</v>
      </c>
      <c r="R476" s="5" t="n"/>
    </row>
    <row r="477">
      <c r="A477" s="2" t="inlineStr">
        <is>
          <t>EJ010923.TXT</t>
        </is>
      </c>
      <c r="B477" s="3" t="inlineStr">
        <is>
          <t>005040</t>
        </is>
      </c>
      <c r="C477" s="3" t="inlineStr">
        <is>
          <t>004037</t>
        </is>
      </c>
      <c r="D477" s="4" t="n">
        <v>45167</v>
      </c>
      <c r="E477" s="2" t="inlineStr">
        <is>
          <t>14:46</t>
        </is>
      </c>
      <c r="F477" s="5" t="n">
        <v>581.67</v>
      </c>
      <c r="G477" s="5" t="n"/>
      <c r="H477" s="5" t="n"/>
      <c r="I477" s="5" t="n"/>
      <c r="J477" s="5" t="n">
        <v>116.33</v>
      </c>
      <c r="K477" s="5" t="n"/>
      <c r="L477" s="5" t="n"/>
      <c r="M477" s="5" t="n"/>
      <c r="N477" s="5" t="n"/>
      <c r="O477" s="5" t="n">
        <v>698</v>
      </c>
      <c r="P477" s="5" t="n"/>
      <c r="Q477" s="5" t="n">
        <v>698</v>
      </c>
      <c r="R477" s="5" t="n"/>
    </row>
    <row r="478">
      <c r="A478" s="2" t="inlineStr">
        <is>
          <t>EJ010923.TXT</t>
        </is>
      </c>
      <c r="B478" s="3" t="inlineStr">
        <is>
          <t>005041</t>
        </is>
      </c>
      <c r="C478" s="3" t="inlineStr">
        <is>
          <t>004038</t>
        </is>
      </c>
      <c r="D478" s="4" t="n">
        <v>45167</v>
      </c>
      <c r="E478" s="2" t="inlineStr">
        <is>
          <t>14:47</t>
        </is>
      </c>
      <c r="F478" s="5" t="n">
        <v>581.67</v>
      </c>
      <c r="G478" s="5" t="n"/>
      <c r="H478" s="5" t="n"/>
      <c r="I478" s="5" t="n"/>
      <c r="J478" s="5" t="n">
        <v>116.33</v>
      </c>
      <c r="K478" s="5" t="n"/>
      <c r="L478" s="5" t="n"/>
      <c r="M478" s="5" t="n"/>
      <c r="N478" s="5" t="n"/>
      <c r="O478" s="5" t="n">
        <v>698</v>
      </c>
      <c r="P478" s="5" t="n"/>
      <c r="Q478" s="5" t="n">
        <v>698</v>
      </c>
      <c r="R478" s="5" t="n"/>
    </row>
    <row r="479">
      <c r="A479" s="2" t="inlineStr">
        <is>
          <t>EJ010923.TXT</t>
        </is>
      </c>
      <c r="B479" s="3" t="inlineStr">
        <is>
          <t>005042</t>
        </is>
      </c>
      <c r="C479" s="3" t="inlineStr">
        <is>
          <t>004039</t>
        </is>
      </c>
      <c r="D479" s="4" t="n">
        <v>45167</v>
      </c>
      <c r="E479" s="2" t="inlineStr">
        <is>
          <t>15:32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/>
      <c r="Q479" s="5" t="n">
        <v>658</v>
      </c>
      <c r="R479" s="5" t="n"/>
    </row>
    <row r="480">
      <c r="A480" s="2" t="inlineStr">
        <is>
          <t>EJ010923.TXT</t>
        </is>
      </c>
      <c r="B480" s="3" t="inlineStr">
        <is>
          <t>005043</t>
        </is>
      </c>
      <c r="C480" s="3" t="inlineStr">
        <is>
          <t>004040</t>
        </is>
      </c>
      <c r="D480" s="4" t="n">
        <v>45167</v>
      </c>
      <c r="E480" s="2" t="inlineStr">
        <is>
          <t>15:58</t>
        </is>
      </c>
      <c r="F480" s="5" t="n">
        <v>822.5</v>
      </c>
      <c r="G480" s="5" t="n"/>
      <c r="H480" s="5" t="n"/>
      <c r="I480" s="5" t="n"/>
      <c r="J480" s="5" t="n">
        <v>164.5</v>
      </c>
      <c r="K480" s="5" t="n"/>
      <c r="L480" s="5" t="n"/>
      <c r="M480" s="5" t="n"/>
      <c r="N480" s="5" t="n"/>
      <c r="O480" s="5" t="n">
        <v>987</v>
      </c>
      <c r="P480" s="5" t="n"/>
      <c r="Q480" s="5" t="n">
        <v>987</v>
      </c>
      <c r="R480" s="5" t="n"/>
    </row>
    <row r="481">
      <c r="A481" s="2" t="inlineStr">
        <is>
          <t>EJ010923.TXT</t>
        </is>
      </c>
      <c r="B481" s="3" t="inlineStr">
        <is>
          <t>005044</t>
        </is>
      </c>
      <c r="C481" s="3" t="inlineStr">
        <is>
          <t>004041</t>
        </is>
      </c>
      <c r="D481" s="4" t="n">
        <v>45167</v>
      </c>
      <c r="E481" s="2" t="inlineStr">
        <is>
          <t>15:58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</row>
    <row r="482">
      <c r="A482" s="2" t="inlineStr">
        <is>
          <t>EJ010923.TXT</t>
        </is>
      </c>
      <c r="B482" s="3" t="inlineStr">
        <is>
          <t>005045</t>
        </is>
      </c>
      <c r="C482" s="3" t="inlineStr">
        <is>
          <t>004042</t>
        </is>
      </c>
      <c r="D482" s="4" t="n">
        <v>45167</v>
      </c>
      <c r="E482" s="2" t="inlineStr">
        <is>
          <t>16:11</t>
        </is>
      </c>
      <c r="F482" s="5" t="n">
        <v>648.33</v>
      </c>
      <c r="G482" s="5" t="n"/>
      <c r="H482" s="5" t="n"/>
      <c r="I482" s="5" t="n"/>
      <c r="J482" s="5" t="n">
        <v>129.67</v>
      </c>
      <c r="K482" s="5" t="n"/>
      <c r="L482" s="5" t="n"/>
      <c r="M482" s="5" t="n"/>
      <c r="N482" s="5" t="n"/>
      <c r="O482" s="5" t="n">
        <v>778</v>
      </c>
      <c r="P482" s="5" t="n"/>
      <c r="Q482" s="5" t="n">
        <v>778</v>
      </c>
      <c r="R482" s="5" t="n"/>
    </row>
    <row r="483">
      <c r="A483" s="2" t="inlineStr">
        <is>
          <t>EJ010923.TXT</t>
        </is>
      </c>
      <c r="B483" s="3" t="inlineStr">
        <is>
          <t>005046</t>
        </is>
      </c>
      <c r="C483" s="3" t="inlineStr">
        <is>
          <t>004043</t>
        </is>
      </c>
      <c r="D483" s="4" t="n">
        <v>45167</v>
      </c>
      <c r="E483" s="2" t="inlineStr">
        <is>
          <t>16:11</t>
        </is>
      </c>
      <c r="F483" s="5" t="n">
        <v>648.33</v>
      </c>
      <c r="G483" s="5" t="n"/>
      <c r="H483" s="5" t="n"/>
      <c r="I483" s="5" t="n"/>
      <c r="J483" s="5" t="n">
        <v>129.67</v>
      </c>
      <c r="K483" s="5" t="n"/>
      <c r="L483" s="5" t="n"/>
      <c r="M483" s="5" t="n"/>
      <c r="N483" s="5" t="n"/>
      <c r="O483" s="5" t="n">
        <v>778</v>
      </c>
      <c r="P483" s="5" t="n"/>
      <c r="Q483" s="5" t="n">
        <v>778</v>
      </c>
      <c r="R483" s="5" t="n"/>
    </row>
    <row r="484">
      <c r="A484" s="2" t="inlineStr">
        <is>
          <t>EJ010923.TXT</t>
        </is>
      </c>
      <c r="B484" s="3" t="inlineStr">
        <is>
          <t>005047</t>
        </is>
      </c>
      <c r="C484" s="3" t="inlineStr">
        <is>
          <t>004044</t>
        </is>
      </c>
      <c r="D484" s="4" t="n">
        <v>45168</v>
      </c>
      <c r="E484" s="2" t="inlineStr">
        <is>
          <t>15:04</t>
        </is>
      </c>
      <c r="F484" s="5" t="n">
        <v>548.33</v>
      </c>
      <c r="G484" s="5" t="n"/>
      <c r="H484" s="5" t="n"/>
      <c r="I484" s="5" t="n"/>
      <c r="J484" s="5" t="n">
        <v>109.67</v>
      </c>
      <c r="K484" s="5" t="n"/>
      <c r="L484" s="5" t="n"/>
      <c r="M484" s="5" t="n"/>
      <c r="N484" s="5" t="n"/>
      <c r="O484" s="5" t="n">
        <v>658</v>
      </c>
      <c r="P484" s="5" t="n"/>
      <c r="Q484" s="5" t="n">
        <v>658</v>
      </c>
      <c r="R484" s="5" t="n"/>
    </row>
    <row r="485">
      <c r="A485" s="2" t="inlineStr">
        <is>
          <t>EJ010923.TXT</t>
        </is>
      </c>
      <c r="B485" s="3" t="inlineStr">
        <is>
          <t>005048</t>
        </is>
      </c>
      <c r="C485" s="3" t="inlineStr">
        <is>
          <t>004045</t>
        </is>
      </c>
      <c r="D485" s="4" t="n">
        <v>45169</v>
      </c>
      <c r="E485" s="2" t="inlineStr">
        <is>
          <t>15:52</t>
        </is>
      </c>
      <c r="F485" s="5" t="n">
        <v>866.67</v>
      </c>
      <c r="G485" s="5" t="n"/>
      <c r="H485" s="5" t="n"/>
      <c r="I485" s="5" t="n"/>
      <c r="J485" s="5" t="n">
        <v>173.33</v>
      </c>
      <c r="K485" s="5" t="n"/>
      <c r="L485" s="5" t="n"/>
      <c r="M485" s="5" t="n"/>
      <c r="N485" s="5" t="n"/>
      <c r="O485" s="5" t="n">
        <v>1040</v>
      </c>
      <c r="P485" s="5" t="n">
        <v>1040</v>
      </c>
      <c r="Q485" s="5" t="n"/>
      <c r="R485" s="5" t="n"/>
    </row>
    <row r="486">
      <c r="A486" s="2" t="inlineStr">
        <is>
          <t>EJ010923.TXT</t>
        </is>
      </c>
      <c r="B486" s="3" t="inlineStr">
        <is>
          <t>005049</t>
        </is>
      </c>
      <c r="C486" s="3" t="inlineStr">
        <is>
          <t>004046</t>
        </is>
      </c>
      <c r="D486" s="4" t="n">
        <v>45169</v>
      </c>
      <c r="E486" s="2" t="inlineStr">
        <is>
          <t>16:18</t>
        </is>
      </c>
      <c r="F486" s="5" t="n">
        <v>822.5</v>
      </c>
      <c r="G486" s="5" t="n"/>
      <c r="H486" s="5" t="n"/>
      <c r="I486" s="5" t="n"/>
      <c r="J486" s="5" t="n">
        <v>164.5</v>
      </c>
      <c r="K486" s="5" t="n"/>
      <c r="L486" s="5" t="n"/>
      <c r="M486" s="5" t="n"/>
      <c r="N486" s="5" t="n"/>
      <c r="O486" s="5" t="n">
        <v>987</v>
      </c>
      <c r="P486" s="5" t="n"/>
      <c r="Q486" s="5" t="n">
        <v>987</v>
      </c>
      <c r="R486" s="5" t="n"/>
    </row>
    <row r="487">
      <c r="A487" s="2" t="inlineStr">
        <is>
          <t>EJ010923.TXT</t>
        </is>
      </c>
      <c r="B487" s="3" t="inlineStr">
        <is>
          <t>005050</t>
        </is>
      </c>
      <c r="C487" s="3" t="inlineStr">
        <is>
          <t>004047</t>
        </is>
      </c>
      <c r="D487" s="4" t="n">
        <v>45169</v>
      </c>
      <c r="E487" s="2" t="inlineStr">
        <is>
          <t>16:19</t>
        </is>
      </c>
      <c r="F487" s="5" t="n">
        <v>822.5</v>
      </c>
      <c r="G487" s="5" t="n"/>
      <c r="H487" s="5" t="n"/>
      <c r="I487" s="5" t="n"/>
      <c r="J487" s="5" t="n">
        <v>164.5</v>
      </c>
      <c r="K487" s="5" t="n"/>
      <c r="L487" s="5" t="n"/>
      <c r="M487" s="5" t="n"/>
      <c r="N487" s="5" t="n"/>
      <c r="O487" s="5" t="n">
        <v>987</v>
      </c>
      <c r="P487" s="5" t="n"/>
      <c r="Q487" s="5" t="n">
        <v>987</v>
      </c>
      <c r="R487" s="5" t="n"/>
    </row>
    <row r="488">
      <c r="A488" s="2" t="inlineStr">
        <is>
          <t>EJ010923.TXT</t>
        </is>
      </c>
      <c r="B488" s="3" t="inlineStr">
        <is>
          <t>005051</t>
        </is>
      </c>
      <c r="C488" s="3" t="inlineStr">
        <is>
          <t>004048</t>
        </is>
      </c>
      <c r="D488" s="4" t="n">
        <v>45169</v>
      </c>
      <c r="E488" s="2" t="inlineStr">
        <is>
          <t>17:12</t>
        </is>
      </c>
      <c r="F488" s="5" t="n">
        <v>822.5</v>
      </c>
      <c r="G488" s="5" t="n"/>
      <c r="H488" s="5" t="n"/>
      <c r="I488" s="5" t="n"/>
      <c r="J488" s="5" t="n">
        <v>164.5</v>
      </c>
      <c r="K488" s="5" t="n"/>
      <c r="L488" s="5" t="n"/>
      <c r="M488" s="5" t="n"/>
      <c r="N488" s="5" t="n"/>
      <c r="O488" s="5" t="n">
        <v>987</v>
      </c>
      <c r="P488" s="5" t="n"/>
      <c r="Q488" s="5" t="n">
        <v>987</v>
      </c>
      <c r="R488" s="5" t="n"/>
    </row>
    <row r="489">
      <c r="A489" s="2" t="inlineStr">
        <is>
          <t>EJ010923.TXT</t>
        </is>
      </c>
      <c r="B489" s="3" t="inlineStr">
        <is>
          <t>005052</t>
        </is>
      </c>
      <c r="C489" s="3" t="inlineStr">
        <is>
          <t>004049</t>
        </is>
      </c>
      <c r="D489" s="4" t="n">
        <v>45169</v>
      </c>
      <c r="E489" s="2" t="inlineStr">
        <is>
          <t>17:13</t>
        </is>
      </c>
      <c r="F489" s="5" t="n">
        <v>274.17</v>
      </c>
      <c r="G489" s="5" t="n"/>
      <c r="H489" s="5" t="n"/>
      <c r="I489" s="5" t="n"/>
      <c r="J489" s="5" t="n">
        <v>54.83</v>
      </c>
      <c r="K489" s="5" t="n"/>
      <c r="L489" s="5" t="n"/>
      <c r="M489" s="5" t="n"/>
      <c r="N489" s="5" t="n"/>
      <c r="O489" s="5" t="n">
        <v>329</v>
      </c>
      <c r="P489" s="5" t="n"/>
      <c r="Q489" s="5" t="n">
        <v>329</v>
      </c>
      <c r="R489" s="5" t="n"/>
    </row>
    <row r="490">
      <c r="A490" s="2" t="inlineStr">
        <is>
          <t>EJ010923.TXT</t>
        </is>
      </c>
      <c r="B490" s="3" t="inlineStr">
        <is>
          <t>005053</t>
        </is>
      </c>
      <c r="C490" s="3" t="inlineStr">
        <is>
          <t>004050</t>
        </is>
      </c>
      <c r="D490" s="4" t="n">
        <v>45170</v>
      </c>
      <c r="E490" s="2" t="inlineStr">
        <is>
          <t>17:41</t>
        </is>
      </c>
      <c r="F490" s="5" t="n">
        <v>274.17</v>
      </c>
      <c r="G490" s="5" t="n"/>
      <c r="H490" s="5" t="n"/>
      <c r="I490" s="5" t="n"/>
      <c r="J490" s="5" t="n">
        <v>54.83</v>
      </c>
      <c r="K490" s="5" t="n"/>
      <c r="L490" s="5" t="n"/>
      <c r="M490" s="5" t="n"/>
      <c r="N490" s="5" t="n"/>
      <c r="O490" s="5" t="n">
        <v>329</v>
      </c>
      <c r="P490" s="5" t="n"/>
      <c r="Q490" s="5" t="n">
        <v>329</v>
      </c>
      <c r="R490" s="5" t="n"/>
    </row>
    <row r="491">
      <c r="A491" s="2" t="inlineStr">
        <is>
          <t>EJ011023.TXT</t>
        </is>
      </c>
      <c r="B491" s="3" t="inlineStr">
        <is>
          <t>005061</t>
        </is>
      </c>
      <c r="C491" s="3" t="inlineStr">
        <is>
          <t>004051</t>
        </is>
      </c>
      <c r="D491" s="4" t="n">
        <v>45170</v>
      </c>
      <c r="E491" s="2" t="inlineStr">
        <is>
          <t>19:18</t>
        </is>
      </c>
      <c r="F491" s="5" t="n">
        <v>0.83</v>
      </c>
      <c r="G491" s="5" t="n"/>
      <c r="H491" s="5" t="n"/>
      <c r="I491" s="5" t="n"/>
      <c r="J491" s="5" t="n">
        <v>0.17</v>
      </c>
      <c r="K491" s="5" t="n"/>
      <c r="L491" s="5" t="n"/>
      <c r="M491" s="5" t="n"/>
      <c r="N491" s="5" t="n"/>
      <c r="O491" s="5" t="n">
        <v>1</v>
      </c>
      <c r="P491" s="5" t="n"/>
      <c r="Q491" s="5" t="n">
        <v>1</v>
      </c>
      <c r="R491" s="5" t="n"/>
    </row>
    <row r="492">
      <c r="A492" s="2" t="inlineStr">
        <is>
          <t>EJ011023.TXT</t>
        </is>
      </c>
      <c r="B492" s="3" t="inlineStr">
        <is>
          <t>005062</t>
        </is>
      </c>
      <c r="C492" s="3" t="inlineStr">
        <is>
          <t>004052</t>
        </is>
      </c>
      <c r="D492" s="4" t="n">
        <v>45171</v>
      </c>
      <c r="E492" s="2" t="inlineStr">
        <is>
          <t>14:54</t>
        </is>
      </c>
      <c r="F492" s="5" t="n">
        <v>274.17</v>
      </c>
      <c r="G492" s="5" t="n"/>
      <c r="H492" s="5" t="n"/>
      <c r="I492" s="5" t="n"/>
      <c r="J492" s="5" t="n">
        <v>54.83</v>
      </c>
      <c r="K492" s="5" t="n"/>
      <c r="L492" s="5" t="n"/>
      <c r="M492" s="5" t="n"/>
      <c r="N492" s="5" t="n"/>
      <c r="O492" s="5" t="n">
        <v>329</v>
      </c>
      <c r="P492" s="5" t="n">
        <v>329</v>
      </c>
      <c r="Q492" s="5" t="n"/>
      <c r="R492" s="5" t="n"/>
    </row>
    <row r="493">
      <c r="A493" s="2" t="inlineStr">
        <is>
          <t>EJ011023.TXT</t>
        </is>
      </c>
      <c r="B493" s="3" t="inlineStr">
        <is>
          <t>005063</t>
        </is>
      </c>
      <c r="C493" s="3" t="inlineStr">
        <is>
          <t>004053</t>
        </is>
      </c>
      <c r="D493" s="4" t="n">
        <v>45171</v>
      </c>
      <c r="E493" s="2" t="inlineStr">
        <is>
          <t>15:37</t>
        </is>
      </c>
      <c r="F493" s="5" t="n">
        <v>274.17</v>
      </c>
      <c r="G493" s="5" t="n"/>
      <c r="H493" s="5" t="n"/>
      <c r="I493" s="5" t="n"/>
      <c r="J493" s="5" t="n">
        <v>54.83</v>
      </c>
      <c r="K493" s="5" t="n"/>
      <c r="L493" s="5" t="n"/>
      <c r="M493" s="5" t="n"/>
      <c r="N493" s="5" t="n"/>
      <c r="O493" s="5" t="n">
        <v>329</v>
      </c>
      <c r="P493" s="5" t="n"/>
      <c r="Q493" s="5" t="n">
        <v>329</v>
      </c>
      <c r="R493" s="5" t="n"/>
    </row>
    <row r="494">
      <c r="A494" s="2" t="inlineStr">
        <is>
          <t>EJ011023.TXT</t>
        </is>
      </c>
      <c r="B494" s="3" t="inlineStr">
        <is>
          <t>005064</t>
        </is>
      </c>
      <c r="C494" s="3" t="inlineStr">
        <is>
          <t>004054</t>
        </is>
      </c>
      <c r="D494" s="4" t="n">
        <v>45171</v>
      </c>
      <c r="E494" s="2" t="inlineStr">
        <is>
          <t>17:12</t>
        </is>
      </c>
      <c r="F494" s="5" t="n">
        <v>548.33</v>
      </c>
      <c r="G494" s="5" t="n"/>
      <c r="H494" s="5" t="n"/>
      <c r="I494" s="5" t="n"/>
      <c r="J494" s="5" t="n">
        <v>109.67</v>
      </c>
      <c r="K494" s="5" t="n"/>
      <c r="L494" s="5" t="n"/>
      <c r="M494" s="5" t="n"/>
      <c r="N494" s="5" t="n"/>
      <c r="O494" s="5" t="n">
        <v>658</v>
      </c>
      <c r="P494" s="5" t="n">
        <v>658</v>
      </c>
      <c r="Q494" s="5" t="n"/>
      <c r="R494" s="5" t="n"/>
    </row>
    <row r="495">
      <c r="A495" s="2" t="inlineStr">
        <is>
          <t>EJ011023.TXT</t>
        </is>
      </c>
      <c r="B495" s="3" t="inlineStr">
        <is>
          <t>005065</t>
        </is>
      </c>
      <c r="C495" s="3" t="inlineStr">
        <is>
          <t>004055</t>
        </is>
      </c>
      <c r="D495" s="4" t="n">
        <v>45173</v>
      </c>
      <c r="E495" s="2" t="inlineStr">
        <is>
          <t>14:00</t>
        </is>
      </c>
      <c r="F495" s="5" t="n">
        <v>124.17</v>
      </c>
      <c r="G495" s="5" t="n"/>
      <c r="H495" s="5" t="n"/>
      <c r="I495" s="5" t="n"/>
      <c r="J495" s="5" t="n">
        <v>24.83</v>
      </c>
      <c r="K495" s="5" t="n"/>
      <c r="L495" s="5" t="n"/>
      <c r="M495" s="5" t="n"/>
      <c r="N495" s="5" t="n"/>
      <c r="O495" s="5" t="n">
        <v>149</v>
      </c>
      <c r="P495" s="5" t="n"/>
      <c r="Q495" s="5" t="n">
        <v>149</v>
      </c>
      <c r="R495" s="5" t="n"/>
    </row>
    <row r="496">
      <c r="A496" s="2" t="inlineStr">
        <is>
          <t>EJ011023.TXT</t>
        </is>
      </c>
      <c r="B496" s="3" t="inlineStr">
        <is>
          <t>005066</t>
        </is>
      </c>
      <c r="C496" s="3" t="inlineStr">
        <is>
          <t>004056</t>
        </is>
      </c>
      <c r="D496" s="4" t="n">
        <v>45174</v>
      </c>
      <c r="E496" s="2" t="inlineStr">
        <is>
          <t>17:27</t>
        </is>
      </c>
      <c r="F496" s="5" t="n">
        <v>646.67</v>
      </c>
      <c r="G496" s="5" t="n"/>
      <c r="H496" s="5" t="n"/>
      <c r="I496" s="5" t="n"/>
      <c r="J496" s="5" t="n">
        <v>129.33</v>
      </c>
      <c r="K496" s="5" t="n"/>
      <c r="L496" s="5" t="n"/>
      <c r="M496" s="5" t="n"/>
      <c r="N496" s="5" t="n"/>
      <c r="O496" s="5" t="n">
        <v>776</v>
      </c>
      <c r="P496" s="5" t="n">
        <v>776</v>
      </c>
      <c r="Q496" s="5" t="n"/>
      <c r="R496" s="5" t="n"/>
    </row>
    <row r="497">
      <c r="A497" s="2" t="inlineStr">
        <is>
          <t>EJ011023.TXT</t>
        </is>
      </c>
      <c r="B497" s="3" t="inlineStr">
        <is>
          <t>005067</t>
        </is>
      </c>
      <c r="C497" s="3" t="inlineStr">
        <is>
          <t>004057</t>
        </is>
      </c>
      <c r="D497" s="4" t="n">
        <v>45175</v>
      </c>
      <c r="E497" s="2" t="inlineStr">
        <is>
          <t>14:21</t>
        </is>
      </c>
      <c r="F497" s="5" t="n">
        <v>1595</v>
      </c>
      <c r="G497" s="5" t="n"/>
      <c r="H497" s="5" t="n"/>
      <c r="I497" s="5" t="n"/>
      <c r="J497" s="5" t="n">
        <v>319</v>
      </c>
      <c r="K497" s="5" t="n"/>
      <c r="L497" s="5" t="n"/>
      <c r="M497" s="5" t="n"/>
      <c r="N497" s="5" t="n"/>
      <c r="O497" s="5" t="n">
        <v>1914</v>
      </c>
      <c r="P497" s="5" t="n">
        <v>1914</v>
      </c>
      <c r="Q497" s="5" t="n"/>
      <c r="R497" s="5" t="n"/>
    </row>
    <row r="498">
      <c r="A498" s="2" t="inlineStr">
        <is>
          <t>EJ011023.TXT</t>
        </is>
      </c>
      <c r="B498" s="3" t="inlineStr">
        <is>
          <t>005068</t>
        </is>
      </c>
      <c r="C498" s="3" t="inlineStr">
        <is>
          <t>004058</t>
        </is>
      </c>
      <c r="D498" s="4" t="n">
        <v>45175</v>
      </c>
      <c r="E498" s="2" t="inlineStr">
        <is>
          <t>14:23</t>
        </is>
      </c>
      <c r="F498" s="5" t="n">
        <v>822.5</v>
      </c>
      <c r="G498" s="5" t="n"/>
      <c r="H498" s="5" t="n"/>
      <c r="I498" s="5" t="n"/>
      <c r="J498" s="5" t="n">
        <v>164.5</v>
      </c>
      <c r="K498" s="5" t="n"/>
      <c r="L498" s="5" t="n"/>
      <c r="M498" s="5" t="n"/>
      <c r="N498" s="5" t="n"/>
      <c r="O498" s="5" t="n">
        <v>987</v>
      </c>
      <c r="P498" s="5" t="n"/>
      <c r="Q498" s="5" t="n">
        <v>987</v>
      </c>
      <c r="R498" s="5" t="n"/>
    </row>
    <row r="499">
      <c r="A499" s="2" t="inlineStr">
        <is>
          <t>EJ011023.TXT</t>
        </is>
      </c>
      <c r="B499" s="3" t="inlineStr">
        <is>
          <t>005069</t>
        </is>
      </c>
      <c r="C499" s="3" t="inlineStr">
        <is>
          <t>004059</t>
        </is>
      </c>
      <c r="D499" s="4" t="n">
        <v>45175</v>
      </c>
      <c r="E499" s="2" t="inlineStr">
        <is>
          <t>14:23</t>
        </is>
      </c>
      <c r="F499" s="5" t="n">
        <v>274.17</v>
      </c>
      <c r="G499" s="5" t="n"/>
      <c r="H499" s="5" t="n"/>
      <c r="I499" s="5" t="n"/>
      <c r="J499" s="5" t="n">
        <v>54.83</v>
      </c>
      <c r="K499" s="5" t="n"/>
      <c r="L499" s="5" t="n"/>
      <c r="M499" s="5" t="n"/>
      <c r="N499" s="5" t="n"/>
      <c r="O499" s="5" t="n">
        <v>329</v>
      </c>
      <c r="P499" s="5" t="n"/>
      <c r="Q499" s="5" t="n">
        <v>329</v>
      </c>
      <c r="R499" s="5" t="n"/>
    </row>
    <row r="500">
      <c r="A500" s="2" t="inlineStr">
        <is>
          <t>EJ011023.TXT</t>
        </is>
      </c>
      <c r="B500" s="3" t="inlineStr">
        <is>
          <t>005070</t>
        </is>
      </c>
      <c r="C500" s="3" t="inlineStr">
        <is>
          <t>004060</t>
        </is>
      </c>
      <c r="D500" s="4" t="n">
        <v>45176</v>
      </c>
      <c r="E500" s="2" t="inlineStr">
        <is>
          <t>10:21</t>
        </is>
      </c>
      <c r="F500" s="5" t="n">
        <v>531.67</v>
      </c>
      <c r="G500" s="5" t="n"/>
      <c r="H500" s="5" t="n"/>
      <c r="I500" s="5" t="n"/>
      <c r="J500" s="5" t="n">
        <v>106.33</v>
      </c>
      <c r="K500" s="5" t="n"/>
      <c r="L500" s="5" t="n"/>
      <c r="M500" s="5" t="n"/>
      <c r="N500" s="5" t="n"/>
      <c r="O500" s="5" t="n">
        <v>638</v>
      </c>
      <c r="P500" s="5" t="n"/>
      <c r="Q500" s="5" t="n">
        <v>638</v>
      </c>
      <c r="R500" s="5" t="n"/>
    </row>
    <row r="501">
      <c r="A501" s="2" t="inlineStr">
        <is>
          <t>EJ011023.TXT</t>
        </is>
      </c>
      <c r="B501" s="3" t="inlineStr">
        <is>
          <t>005071</t>
        </is>
      </c>
      <c r="C501" s="3" t="inlineStr">
        <is>
          <t>004061</t>
        </is>
      </c>
      <c r="D501" s="4" t="n">
        <v>45177</v>
      </c>
      <c r="E501" s="2" t="inlineStr">
        <is>
          <t>09:54</t>
        </is>
      </c>
      <c r="F501" s="5" t="n">
        <v>414.17</v>
      </c>
      <c r="G501" s="5" t="n"/>
      <c r="H501" s="5" t="n"/>
      <c r="I501" s="5" t="n"/>
      <c r="J501" s="5" t="n">
        <v>82.83</v>
      </c>
      <c r="K501" s="5" t="n"/>
      <c r="L501" s="5" t="n"/>
      <c r="M501" s="5" t="n"/>
      <c r="N501" s="5" t="n"/>
      <c r="O501" s="5" t="n">
        <v>497</v>
      </c>
      <c r="P501" s="5" t="n">
        <v>497</v>
      </c>
      <c r="Q501" s="5" t="n"/>
      <c r="R501" s="5" t="n"/>
    </row>
    <row r="502">
      <c r="A502" s="2" t="inlineStr">
        <is>
          <t>EJ011023.TXT</t>
        </is>
      </c>
      <c r="B502" s="3" t="inlineStr">
        <is>
          <t>005072</t>
        </is>
      </c>
      <c r="C502" s="3" t="inlineStr">
        <is>
          <t>004062</t>
        </is>
      </c>
      <c r="D502" s="4" t="n">
        <v>45178</v>
      </c>
      <c r="E502" s="2" t="inlineStr">
        <is>
          <t>13:44</t>
        </is>
      </c>
      <c r="F502" s="5" t="n">
        <v>199.17</v>
      </c>
      <c r="G502" s="5" t="n"/>
      <c r="H502" s="5" t="n"/>
      <c r="I502" s="5" t="n"/>
      <c r="J502" s="5" t="n">
        <v>39.83</v>
      </c>
      <c r="K502" s="5" t="n"/>
      <c r="L502" s="5" t="n"/>
      <c r="M502" s="5" t="n"/>
      <c r="N502" s="5" t="n"/>
      <c r="O502" s="5" t="n">
        <v>239</v>
      </c>
      <c r="P502" s="5" t="n">
        <v>239</v>
      </c>
      <c r="Q502" s="5" t="n"/>
      <c r="R502" s="5" t="n"/>
    </row>
    <row r="503">
      <c r="A503" s="2" t="inlineStr">
        <is>
          <t>EJ011023.TXT</t>
        </is>
      </c>
      <c r="B503" s="3" t="inlineStr">
        <is>
          <t>005073</t>
        </is>
      </c>
      <c r="C503" s="3" t="inlineStr">
        <is>
          <t>004063</t>
        </is>
      </c>
      <c r="D503" s="4" t="n">
        <v>45180</v>
      </c>
      <c r="E503" s="2" t="inlineStr">
        <is>
          <t>16:23</t>
        </is>
      </c>
      <c r="F503" s="5" t="n">
        <v>1595</v>
      </c>
      <c r="G503" s="5" t="n"/>
      <c r="H503" s="5" t="n"/>
      <c r="I503" s="5" t="n"/>
      <c r="J503" s="5" t="n">
        <v>319</v>
      </c>
      <c r="K503" s="5" t="n"/>
      <c r="L503" s="5" t="n"/>
      <c r="M503" s="5" t="n"/>
      <c r="N503" s="5" t="n"/>
      <c r="O503" s="5" t="n">
        <v>1914</v>
      </c>
      <c r="P503" s="5" t="n">
        <v>1914</v>
      </c>
      <c r="Q503" s="5" t="n"/>
      <c r="R503" s="5" t="n"/>
    </row>
    <row r="504">
      <c r="A504" s="2" t="inlineStr">
        <is>
          <t>EJ011023.TXT</t>
        </is>
      </c>
      <c r="B504" s="3" t="inlineStr">
        <is>
          <t>005074</t>
        </is>
      </c>
      <c r="C504" s="3" t="inlineStr">
        <is>
          <t>004064</t>
        </is>
      </c>
      <c r="D504" s="4" t="n">
        <v>45180</v>
      </c>
      <c r="E504" s="2" t="inlineStr">
        <is>
          <t>16:24</t>
        </is>
      </c>
      <c r="F504" s="5" t="n">
        <v>822.5</v>
      </c>
      <c r="G504" s="5" t="n"/>
      <c r="H504" s="5" t="n"/>
      <c r="I504" s="5" t="n"/>
      <c r="J504" s="5" t="n">
        <v>164.5</v>
      </c>
      <c r="K504" s="5" t="n"/>
      <c r="L504" s="5" t="n"/>
      <c r="M504" s="5" t="n"/>
      <c r="N504" s="5" t="n"/>
      <c r="O504" s="5" t="n">
        <v>987</v>
      </c>
      <c r="P504" s="5" t="n"/>
      <c r="Q504" s="5" t="n">
        <v>987</v>
      </c>
      <c r="R504" s="5" t="n"/>
    </row>
    <row r="505">
      <c r="A505" s="2" t="inlineStr">
        <is>
          <t>EJ011023.TXT</t>
        </is>
      </c>
      <c r="B505" s="3" t="inlineStr">
        <is>
          <t>005075</t>
        </is>
      </c>
      <c r="C505" s="3" t="inlineStr">
        <is>
          <t>004065</t>
        </is>
      </c>
      <c r="D505" s="4" t="n">
        <v>45180</v>
      </c>
      <c r="E505" s="2" t="inlineStr">
        <is>
          <t>16:25</t>
        </is>
      </c>
      <c r="F505" s="5" t="n">
        <v>822.5</v>
      </c>
      <c r="G505" s="5" t="n"/>
      <c r="H505" s="5" t="n"/>
      <c r="I505" s="5" t="n"/>
      <c r="J505" s="5" t="n">
        <v>164.5</v>
      </c>
      <c r="K505" s="5" t="n"/>
      <c r="L505" s="5" t="n"/>
      <c r="M505" s="5" t="n"/>
      <c r="N505" s="5" t="n"/>
      <c r="O505" s="5" t="n">
        <v>987</v>
      </c>
      <c r="P505" s="5" t="n"/>
      <c r="Q505" s="5" t="n">
        <v>987</v>
      </c>
      <c r="R505" s="5" t="n"/>
    </row>
    <row r="506">
      <c r="A506" s="2" t="inlineStr">
        <is>
          <t>EJ011023.TXT</t>
        </is>
      </c>
      <c r="B506" s="3" t="inlineStr">
        <is>
          <t>005076</t>
        </is>
      </c>
      <c r="C506" s="3" t="inlineStr">
        <is>
          <t>004066</t>
        </is>
      </c>
      <c r="D506" s="4" t="n">
        <v>45181</v>
      </c>
      <c r="E506" s="2" t="inlineStr">
        <is>
          <t>15:03</t>
        </is>
      </c>
      <c r="F506" s="5" t="n">
        <v>274.17</v>
      </c>
      <c r="G506" s="5" t="n"/>
      <c r="H506" s="5" t="n"/>
      <c r="I506" s="5" t="n"/>
      <c r="J506" s="5" t="n">
        <v>54.83</v>
      </c>
      <c r="K506" s="5" t="n"/>
      <c r="L506" s="5" t="n"/>
      <c r="M506" s="5" t="n"/>
      <c r="N506" s="5" t="n"/>
      <c r="O506" s="5" t="n">
        <v>329</v>
      </c>
      <c r="P506" s="5" t="n"/>
      <c r="Q506" s="5" t="n">
        <v>329</v>
      </c>
      <c r="R506" s="5" t="n"/>
    </row>
    <row r="507">
      <c r="A507" s="2" t="inlineStr">
        <is>
          <t>EJ011023.TXT</t>
        </is>
      </c>
      <c r="B507" s="3" t="inlineStr">
        <is>
          <t>005077</t>
        </is>
      </c>
      <c r="C507" s="3" t="inlineStr">
        <is>
          <t>004067</t>
        </is>
      </c>
      <c r="D507" s="4" t="n">
        <v>45181</v>
      </c>
      <c r="E507" s="2" t="inlineStr">
        <is>
          <t>15:25</t>
        </is>
      </c>
      <c r="F507" s="5" t="n">
        <v>190.83</v>
      </c>
      <c r="G507" s="5" t="n"/>
      <c r="H507" s="5" t="n"/>
      <c r="I507" s="5" t="n"/>
      <c r="J507" s="5" t="n">
        <v>38.17</v>
      </c>
      <c r="K507" s="5" t="n"/>
      <c r="L507" s="5" t="n"/>
      <c r="M507" s="5" t="n"/>
      <c r="N507" s="5" t="n"/>
      <c r="O507" s="5" t="n">
        <v>229</v>
      </c>
      <c r="P507" s="5" t="n">
        <v>229</v>
      </c>
      <c r="Q507" s="5" t="n"/>
      <c r="R507" s="5" t="n"/>
    </row>
    <row r="508">
      <c r="A508" s="2" t="inlineStr">
        <is>
          <t>EJ011023.TXT</t>
        </is>
      </c>
      <c r="B508" s="3" t="inlineStr">
        <is>
          <t>005078</t>
        </is>
      </c>
      <c r="C508" s="3" t="inlineStr">
        <is>
          <t>004068</t>
        </is>
      </c>
      <c r="D508" s="4" t="n">
        <v>45182</v>
      </c>
      <c r="E508" s="2" t="inlineStr">
        <is>
          <t>13:42</t>
        </is>
      </c>
      <c r="F508" s="5" t="n">
        <v>313.33</v>
      </c>
      <c r="G508" s="5" t="n"/>
      <c r="H508" s="5" t="n"/>
      <c r="I508" s="5" t="n"/>
      <c r="J508" s="5" t="n">
        <v>62.67</v>
      </c>
      <c r="K508" s="5" t="n"/>
      <c r="L508" s="5" t="n"/>
      <c r="M508" s="5" t="n"/>
      <c r="N508" s="5" t="n"/>
      <c r="O508" s="5" t="n">
        <v>376</v>
      </c>
      <c r="P508" s="5" t="n"/>
      <c r="Q508" s="5" t="n">
        <v>376</v>
      </c>
      <c r="R508" s="5" t="n"/>
    </row>
    <row r="509">
      <c r="A509" s="2" t="inlineStr">
        <is>
          <t>EJ011023.TXT</t>
        </is>
      </c>
      <c r="B509" s="3" t="inlineStr">
        <is>
          <t>005079</t>
        </is>
      </c>
      <c r="C509" s="3" t="inlineStr">
        <is>
          <t>004069</t>
        </is>
      </c>
      <c r="D509" s="4" t="n">
        <v>45182</v>
      </c>
      <c r="E509" s="2" t="inlineStr">
        <is>
          <t>16:36</t>
        </is>
      </c>
      <c r="F509" s="5" t="n">
        <v>156.67</v>
      </c>
      <c r="G509" s="5" t="n"/>
      <c r="H509" s="5" t="n"/>
      <c r="I509" s="5" t="n"/>
      <c r="J509" s="5" t="n">
        <v>31.33</v>
      </c>
      <c r="K509" s="5" t="n"/>
      <c r="L509" s="5" t="n"/>
      <c r="M509" s="5" t="n"/>
      <c r="N509" s="5" t="n"/>
      <c r="O509" s="5" t="n">
        <v>188</v>
      </c>
      <c r="P509" s="5" t="n"/>
      <c r="Q509" s="5" t="n">
        <v>188</v>
      </c>
      <c r="R509" s="5" t="n"/>
    </row>
    <row r="510">
      <c r="A510" s="2" t="inlineStr">
        <is>
          <t>EJ011023.TXT</t>
        </is>
      </c>
      <c r="B510" s="3" t="inlineStr">
        <is>
          <t>005080</t>
        </is>
      </c>
      <c r="C510" s="3" t="inlineStr">
        <is>
          <t>004070</t>
        </is>
      </c>
      <c r="D510" s="4" t="n">
        <v>45183</v>
      </c>
      <c r="E510" s="2" t="inlineStr">
        <is>
          <t>10:07</t>
        </is>
      </c>
      <c r="F510" s="5" t="n">
        <v>208.33</v>
      </c>
      <c r="G510" s="5" t="n"/>
      <c r="H510" s="5" t="n"/>
      <c r="I510" s="5" t="n"/>
      <c r="J510" s="5" t="n">
        <v>41.67</v>
      </c>
      <c r="K510" s="5" t="n"/>
      <c r="L510" s="5" t="n"/>
      <c r="M510" s="5" t="n"/>
      <c r="N510" s="5" t="n"/>
      <c r="O510" s="5" t="n">
        <v>250</v>
      </c>
      <c r="P510" s="5" t="n"/>
      <c r="Q510" s="5" t="n">
        <v>250</v>
      </c>
      <c r="R510" s="5" t="n"/>
    </row>
    <row r="511">
      <c r="A511" s="2" t="inlineStr">
        <is>
          <t>EJ011023.TXT</t>
        </is>
      </c>
      <c r="B511" s="3" t="inlineStr">
        <is>
          <t>005081</t>
        </is>
      </c>
      <c r="C511" s="3" t="inlineStr">
        <is>
          <t>004071</t>
        </is>
      </c>
      <c r="D511" s="4" t="n">
        <v>45183</v>
      </c>
      <c r="E511" s="2" t="inlineStr">
        <is>
          <t>10:34</t>
        </is>
      </c>
      <c r="F511" s="5" t="n">
        <v>232.42</v>
      </c>
      <c r="G511" s="5" t="n"/>
      <c r="H511" s="5" t="n"/>
      <c r="I511" s="5" t="n"/>
      <c r="J511" s="5" t="n">
        <v>46.48</v>
      </c>
      <c r="K511" s="5" t="n"/>
      <c r="L511" s="5" t="n"/>
      <c r="M511" s="5" t="n"/>
      <c r="N511" s="5" t="n"/>
      <c r="O511" s="5" t="n">
        <v>278.9</v>
      </c>
      <c r="P511" s="5" t="n"/>
      <c r="Q511" s="5" t="n">
        <v>278.9</v>
      </c>
      <c r="R511" s="5" t="n"/>
    </row>
    <row r="512">
      <c r="A512" s="2" t="inlineStr">
        <is>
          <t>EJ011023.TXT</t>
        </is>
      </c>
      <c r="B512" s="3" t="inlineStr">
        <is>
          <t>005082</t>
        </is>
      </c>
      <c r="C512" s="3" t="inlineStr">
        <is>
          <t>004072</t>
        </is>
      </c>
      <c r="D512" s="4" t="n">
        <v>45183</v>
      </c>
      <c r="E512" s="2" t="inlineStr">
        <is>
          <t>10:41</t>
        </is>
      </c>
      <c r="F512" s="5" t="n">
        <v>199.17</v>
      </c>
      <c r="G512" s="5" t="n"/>
      <c r="H512" s="5" t="n"/>
      <c r="I512" s="5" t="n"/>
      <c r="J512" s="5" t="n">
        <v>39.83</v>
      </c>
      <c r="K512" s="5" t="n"/>
      <c r="L512" s="5" t="n"/>
      <c r="M512" s="5" t="n"/>
      <c r="N512" s="5" t="n"/>
      <c r="O512" s="5" t="n">
        <v>239</v>
      </c>
      <c r="P512" s="5" t="n"/>
      <c r="Q512" s="5" t="n">
        <v>239</v>
      </c>
      <c r="R512" s="5" t="n"/>
    </row>
    <row r="513">
      <c r="A513" s="2" t="inlineStr">
        <is>
          <t>EJ011023.TXT</t>
        </is>
      </c>
      <c r="B513" s="3" t="inlineStr">
        <is>
          <t>005083</t>
        </is>
      </c>
      <c r="C513" s="3" t="inlineStr">
        <is>
          <t>004073</t>
        </is>
      </c>
      <c r="D513" s="4" t="n">
        <v>45184</v>
      </c>
      <c r="E513" s="2" t="inlineStr">
        <is>
          <t>09:30</t>
        </is>
      </c>
      <c r="F513" s="5" t="n">
        <v>797.5</v>
      </c>
      <c r="G513" s="5" t="n"/>
      <c r="H513" s="5" t="n"/>
      <c r="I513" s="5" t="n"/>
      <c r="J513" s="5" t="n">
        <v>159.5</v>
      </c>
      <c r="K513" s="5" t="n"/>
      <c r="L513" s="5" t="n"/>
      <c r="M513" s="5" t="n"/>
      <c r="N513" s="5" t="n"/>
      <c r="O513" s="5" t="n">
        <v>957</v>
      </c>
      <c r="P513" s="5" t="n"/>
      <c r="Q513" s="5" t="n">
        <v>957</v>
      </c>
      <c r="R513" s="5" t="n"/>
    </row>
    <row r="514">
      <c r="A514" s="2" t="inlineStr">
        <is>
          <t>EJ011023.TXT</t>
        </is>
      </c>
      <c r="B514" s="3" t="inlineStr">
        <is>
          <t>005084</t>
        </is>
      </c>
      <c r="C514" s="3" t="inlineStr">
        <is>
          <t>004074</t>
        </is>
      </c>
      <c r="D514" s="4" t="n">
        <v>45184</v>
      </c>
      <c r="E514" s="2" t="inlineStr">
        <is>
          <t>09:54</t>
        </is>
      </c>
      <c r="F514" s="5" t="n">
        <v>787.5</v>
      </c>
      <c r="G514" s="5" t="n"/>
      <c r="H514" s="5" t="n"/>
      <c r="I514" s="5" t="n"/>
      <c r="J514" s="5" t="n">
        <v>157.5</v>
      </c>
      <c r="K514" s="5" t="n"/>
      <c r="L514" s="5" t="n"/>
      <c r="M514" s="5" t="n"/>
      <c r="N514" s="5" t="n"/>
      <c r="O514" s="5" t="n">
        <v>945</v>
      </c>
      <c r="P514" s="5" t="n"/>
      <c r="Q514" s="5" t="n">
        <v>945</v>
      </c>
      <c r="R514" s="5" t="n"/>
    </row>
    <row r="515">
      <c r="A515" s="2" t="inlineStr">
        <is>
          <t>EJ011023.TXT</t>
        </is>
      </c>
      <c r="B515" s="3" t="inlineStr">
        <is>
          <t>005085</t>
        </is>
      </c>
      <c r="C515" s="3" t="inlineStr">
        <is>
          <t>004075</t>
        </is>
      </c>
      <c r="D515" s="4" t="n">
        <v>45184</v>
      </c>
      <c r="E515" s="2" t="inlineStr">
        <is>
          <t>09:55</t>
        </is>
      </c>
      <c r="F515" s="5" t="n">
        <v>787.5</v>
      </c>
      <c r="G515" s="5" t="n"/>
      <c r="H515" s="5" t="n"/>
      <c r="I515" s="5" t="n"/>
      <c r="J515" s="5" t="n">
        <v>157.5</v>
      </c>
      <c r="K515" s="5" t="n"/>
      <c r="L515" s="5" t="n"/>
      <c r="M515" s="5" t="n"/>
      <c r="N515" s="5" t="n"/>
      <c r="O515" s="5" t="n">
        <v>945</v>
      </c>
      <c r="P515" s="5" t="n"/>
      <c r="Q515" s="5" t="n">
        <v>945</v>
      </c>
      <c r="R515" s="5" t="n"/>
    </row>
    <row r="516">
      <c r="A516" s="2" t="inlineStr">
        <is>
          <t>EJ011023.TXT</t>
        </is>
      </c>
      <c r="B516" s="3" t="inlineStr">
        <is>
          <t>005086</t>
        </is>
      </c>
      <c r="C516" s="3" t="inlineStr">
        <is>
          <t>004076</t>
        </is>
      </c>
      <c r="D516" s="4" t="n">
        <v>45184</v>
      </c>
      <c r="E516" s="2" t="inlineStr">
        <is>
          <t>10:05</t>
        </is>
      </c>
      <c r="F516" s="5" t="n">
        <v>495</v>
      </c>
      <c r="G516" s="5" t="n"/>
      <c r="H516" s="5" t="n"/>
      <c r="I516" s="5" t="n"/>
      <c r="J516" s="5" t="n">
        <v>99</v>
      </c>
      <c r="K516" s="5" t="n"/>
      <c r="L516" s="5" t="n"/>
      <c r="M516" s="5" t="n"/>
      <c r="N516" s="5" t="n"/>
      <c r="O516" s="5" t="n">
        <v>594</v>
      </c>
      <c r="P516" s="5" t="n"/>
      <c r="Q516" s="5" t="n">
        <v>594</v>
      </c>
      <c r="R516" s="5" t="n"/>
    </row>
    <row r="517">
      <c r="A517" s="2" t="inlineStr">
        <is>
          <t>EJ011023.TXT</t>
        </is>
      </c>
      <c r="B517" s="3" t="inlineStr">
        <is>
          <t>005087</t>
        </is>
      </c>
      <c r="C517" s="3" t="inlineStr">
        <is>
          <t>004077</t>
        </is>
      </c>
      <c r="D517" s="4" t="n">
        <v>45185</v>
      </c>
      <c r="E517" s="2" t="inlineStr">
        <is>
          <t>16:14</t>
        </is>
      </c>
      <c r="F517" s="5" t="n">
        <v>531.67</v>
      </c>
      <c r="G517" s="5" t="n"/>
      <c r="H517" s="5" t="n"/>
      <c r="I517" s="5" t="n"/>
      <c r="J517" s="5" t="n">
        <v>106.33</v>
      </c>
      <c r="K517" s="5" t="n"/>
      <c r="L517" s="5" t="n"/>
      <c r="M517" s="5" t="n"/>
      <c r="N517" s="5" t="n"/>
      <c r="O517" s="5" t="n">
        <v>638</v>
      </c>
      <c r="P517" s="5" t="n">
        <v>638</v>
      </c>
      <c r="Q517" s="5" t="n"/>
      <c r="R517" s="5" t="n"/>
    </row>
    <row r="518">
      <c r="A518" s="2" t="inlineStr">
        <is>
          <t>EJ011023.TXT</t>
        </is>
      </c>
      <c r="B518" s="3" t="inlineStr">
        <is>
          <t>005088</t>
        </is>
      </c>
      <c r="C518" s="3" t="inlineStr">
        <is>
          <t>004078</t>
        </is>
      </c>
      <c r="D518" s="4" t="n">
        <v>45187</v>
      </c>
      <c r="E518" s="2" t="inlineStr">
        <is>
          <t>11:07</t>
        </is>
      </c>
      <c r="F518" s="5" t="n">
        <v>66.33</v>
      </c>
      <c r="G518" s="5" t="n"/>
      <c r="H518" s="5" t="n"/>
      <c r="I518" s="5" t="n"/>
      <c r="J518" s="5" t="n">
        <v>13.27</v>
      </c>
      <c r="K518" s="5" t="n"/>
      <c r="L518" s="5" t="n"/>
      <c r="M518" s="5" t="n"/>
      <c r="N518" s="5" t="n"/>
      <c r="O518" s="5" t="n">
        <v>79.59999999999999</v>
      </c>
      <c r="P518" s="5" t="n"/>
      <c r="Q518" s="5" t="n">
        <v>79.59999999999999</v>
      </c>
      <c r="R518" s="5" t="n"/>
    </row>
    <row r="519">
      <c r="A519" s="2" t="inlineStr">
        <is>
          <t>EJ011023.TXT</t>
        </is>
      </c>
      <c r="B519" s="3" t="inlineStr">
        <is>
          <t>005089</t>
        </is>
      </c>
      <c r="C519" s="3" t="inlineStr">
        <is>
          <t>004079</t>
        </is>
      </c>
      <c r="D519" s="4" t="n">
        <v>45187</v>
      </c>
      <c r="E519" s="2" t="inlineStr">
        <is>
          <t>14:18</t>
        </is>
      </c>
      <c r="F519" s="5" t="n">
        <v>548.33</v>
      </c>
      <c r="G519" s="5" t="n"/>
      <c r="H519" s="5" t="n"/>
      <c r="I519" s="5" t="n"/>
      <c r="J519" s="5" t="n">
        <v>109.67</v>
      </c>
      <c r="K519" s="5" t="n"/>
      <c r="L519" s="5" t="n"/>
      <c r="M519" s="5" t="n"/>
      <c r="N519" s="5" t="n"/>
      <c r="O519" s="5" t="n">
        <v>658</v>
      </c>
      <c r="P519" s="5" t="n">
        <v>658</v>
      </c>
      <c r="Q519" s="5" t="n"/>
      <c r="R519" s="5" t="n"/>
    </row>
    <row r="520">
      <c r="A520" s="2" t="inlineStr">
        <is>
          <t>EJ011023.TXT</t>
        </is>
      </c>
      <c r="B520" s="3" t="inlineStr">
        <is>
          <t>005090</t>
        </is>
      </c>
      <c r="C520" s="3" t="inlineStr">
        <is>
          <t>004080</t>
        </is>
      </c>
      <c r="D520" s="4" t="n">
        <v>45187</v>
      </c>
      <c r="E520" s="2" t="inlineStr">
        <is>
          <t>15:58</t>
        </is>
      </c>
      <c r="F520" s="5" t="n">
        <v>274.17</v>
      </c>
      <c r="G520" s="5" t="n"/>
      <c r="H520" s="5" t="n"/>
      <c r="I520" s="5" t="n"/>
      <c r="J520" s="5" t="n">
        <v>54.83</v>
      </c>
      <c r="K520" s="5" t="n"/>
      <c r="L520" s="5" t="n"/>
      <c r="M520" s="5" t="n"/>
      <c r="N520" s="5" t="n"/>
      <c r="O520" s="5" t="n">
        <v>329</v>
      </c>
      <c r="P520" s="5" t="n"/>
      <c r="Q520" s="5" t="n">
        <v>329</v>
      </c>
      <c r="R520" s="5" t="n"/>
    </row>
    <row r="521">
      <c r="A521" s="2" t="inlineStr">
        <is>
          <t>EJ011023.TXT</t>
        </is>
      </c>
      <c r="B521" s="3" t="inlineStr">
        <is>
          <t>005091</t>
        </is>
      </c>
      <c r="C521" s="3" t="inlineStr">
        <is>
          <t>004081</t>
        </is>
      </c>
      <c r="D521" s="4" t="n">
        <v>45188</v>
      </c>
      <c r="E521" s="2" t="inlineStr">
        <is>
          <t>10:54</t>
        </is>
      </c>
      <c r="F521" s="5" t="n">
        <v>473.75</v>
      </c>
      <c r="G521" s="5" t="n"/>
      <c r="H521" s="5" t="n"/>
      <c r="I521" s="5" t="n"/>
      <c r="J521" s="5" t="n">
        <v>94.75</v>
      </c>
      <c r="K521" s="5" t="n"/>
      <c r="L521" s="5" t="n"/>
      <c r="M521" s="5" t="n"/>
      <c r="N521" s="5" t="n"/>
      <c r="O521" s="5" t="n">
        <v>568.5</v>
      </c>
      <c r="P521" s="5" t="n"/>
      <c r="Q521" s="5" t="n">
        <v>568.5</v>
      </c>
      <c r="R521" s="5" t="n"/>
    </row>
    <row r="522">
      <c r="A522" s="2" t="inlineStr">
        <is>
          <t>EJ011023.TXT</t>
        </is>
      </c>
      <c r="B522" s="3" t="inlineStr">
        <is>
          <t>005092</t>
        </is>
      </c>
      <c r="C522" s="3" t="inlineStr">
        <is>
          <t>004082</t>
        </is>
      </c>
      <c r="D522" s="4" t="n">
        <v>45188</v>
      </c>
      <c r="E522" s="2" t="inlineStr">
        <is>
          <t>10:54</t>
        </is>
      </c>
      <c r="F522" s="5" t="n">
        <v>473.75</v>
      </c>
      <c r="G522" s="5" t="n"/>
      <c r="H522" s="5" t="n"/>
      <c r="I522" s="5" t="n"/>
      <c r="J522" s="5" t="n">
        <v>94.75</v>
      </c>
      <c r="K522" s="5" t="n"/>
      <c r="L522" s="5" t="n"/>
      <c r="M522" s="5" t="n"/>
      <c r="N522" s="5" t="n"/>
      <c r="O522" s="5" t="n">
        <v>568.5</v>
      </c>
      <c r="P522" s="5" t="n"/>
      <c r="Q522" s="5" t="n">
        <v>568.5</v>
      </c>
      <c r="R522" s="5" t="n"/>
    </row>
    <row r="523">
      <c r="A523" s="2" t="inlineStr">
        <is>
          <t>EJ011023.TXT</t>
        </is>
      </c>
      <c r="B523" s="3" t="inlineStr">
        <is>
          <t>005093</t>
        </is>
      </c>
      <c r="C523" s="3" t="inlineStr">
        <is>
          <t>004083</t>
        </is>
      </c>
      <c r="D523" s="4" t="n">
        <v>45188</v>
      </c>
      <c r="E523" s="2" t="inlineStr">
        <is>
          <t>14:00</t>
        </is>
      </c>
      <c r="F523" s="5" t="n">
        <v>266.67</v>
      </c>
      <c r="G523" s="5" t="n"/>
      <c r="H523" s="5" t="n"/>
      <c r="I523" s="5" t="n"/>
      <c r="J523" s="5" t="n">
        <v>53.33</v>
      </c>
      <c r="K523" s="5" t="n"/>
      <c r="L523" s="5" t="n"/>
      <c r="M523" s="5" t="n"/>
      <c r="N523" s="5" t="n"/>
      <c r="O523" s="5" t="n">
        <v>320</v>
      </c>
      <c r="P523" s="5" t="n">
        <v>320</v>
      </c>
      <c r="Q523" s="5" t="n"/>
      <c r="R523" s="5" t="n"/>
    </row>
    <row r="524">
      <c r="A524" s="2" t="inlineStr">
        <is>
          <t>EJ011023.TXT</t>
        </is>
      </c>
      <c r="B524" s="3" t="inlineStr">
        <is>
          <t>005094</t>
        </is>
      </c>
      <c r="C524" s="3" t="inlineStr">
        <is>
          <t>004084</t>
        </is>
      </c>
      <c r="D524" s="4" t="n">
        <v>45188</v>
      </c>
      <c r="E524" s="2" t="inlineStr">
        <is>
          <t>16:46</t>
        </is>
      </c>
      <c r="F524" s="5" t="n">
        <v>231.67</v>
      </c>
      <c r="G524" s="5" t="n"/>
      <c r="H524" s="5" t="n"/>
      <c r="I524" s="5" t="n"/>
      <c r="J524" s="5" t="n">
        <v>46.33</v>
      </c>
      <c r="K524" s="5" t="n"/>
      <c r="L524" s="5" t="n"/>
      <c r="M524" s="5" t="n"/>
      <c r="N524" s="5" t="n"/>
      <c r="O524" s="5" t="n">
        <v>278</v>
      </c>
      <c r="P524" s="5" t="n">
        <v>278</v>
      </c>
      <c r="Q524" s="5" t="n"/>
      <c r="R524" s="5" t="n"/>
    </row>
    <row r="525">
      <c r="A525" s="2" t="inlineStr">
        <is>
          <t>EJ011023.TXT</t>
        </is>
      </c>
      <c r="B525" s="3" t="inlineStr">
        <is>
          <t>005095</t>
        </is>
      </c>
      <c r="C525" s="3" t="inlineStr">
        <is>
          <t>004085</t>
        </is>
      </c>
      <c r="D525" s="4" t="n">
        <v>45191</v>
      </c>
      <c r="E525" s="2" t="inlineStr">
        <is>
          <t>14:36</t>
        </is>
      </c>
      <c r="F525" s="5" t="n">
        <v>324.17</v>
      </c>
      <c r="G525" s="5" t="n"/>
      <c r="H525" s="5" t="n"/>
      <c r="I525" s="5" t="n"/>
      <c r="J525" s="5" t="n">
        <v>64.83</v>
      </c>
      <c r="K525" s="5" t="n"/>
      <c r="L525" s="5" t="n"/>
      <c r="M525" s="5" t="n"/>
      <c r="N525" s="5" t="n"/>
      <c r="O525" s="5" t="n">
        <v>389</v>
      </c>
      <c r="P525" s="5" t="n">
        <v>389</v>
      </c>
      <c r="Q525" s="5" t="n"/>
      <c r="R525" s="5" t="n"/>
    </row>
    <row r="526">
      <c r="A526" s="2" t="inlineStr">
        <is>
          <t>EJ011023.TXT</t>
        </is>
      </c>
      <c r="B526" s="3" t="inlineStr">
        <is>
          <t>005096</t>
        </is>
      </c>
      <c r="C526" s="3" t="inlineStr">
        <is>
          <t>004086</t>
        </is>
      </c>
      <c r="D526" s="4" t="n">
        <v>45192</v>
      </c>
      <c r="E526" s="2" t="inlineStr">
        <is>
          <t>15:35</t>
        </is>
      </c>
      <c r="F526" s="5" t="n">
        <v>548.33</v>
      </c>
      <c r="G526" s="5" t="n"/>
      <c r="H526" s="5" t="n"/>
      <c r="I526" s="5" t="n"/>
      <c r="J526" s="5" t="n">
        <v>109.67</v>
      </c>
      <c r="K526" s="5" t="n"/>
      <c r="L526" s="5" t="n"/>
      <c r="M526" s="5" t="n"/>
      <c r="N526" s="5" t="n"/>
      <c r="O526" s="5" t="n">
        <v>658</v>
      </c>
      <c r="P526" s="5" t="n"/>
      <c r="Q526" s="5" t="n">
        <v>658</v>
      </c>
      <c r="R526" s="5" t="n"/>
    </row>
    <row r="527">
      <c r="A527" s="2" t="inlineStr">
        <is>
          <t>EJ011023.TXT</t>
        </is>
      </c>
      <c r="B527" s="3" t="inlineStr">
        <is>
          <t>005097</t>
        </is>
      </c>
      <c r="C527" s="3" t="inlineStr">
        <is>
          <t>004087</t>
        </is>
      </c>
      <c r="D527" s="4" t="n">
        <v>45194</v>
      </c>
      <c r="E527" s="2" t="inlineStr">
        <is>
          <t>10:14</t>
        </is>
      </c>
      <c r="F527" s="5" t="n">
        <v>208.33</v>
      </c>
      <c r="G527" s="5" t="n"/>
      <c r="H527" s="5" t="n"/>
      <c r="I527" s="5" t="n"/>
      <c r="J527" s="5" t="n">
        <v>41.67</v>
      </c>
      <c r="K527" s="5" t="n"/>
      <c r="L527" s="5" t="n"/>
      <c r="M527" s="5" t="n"/>
      <c r="N527" s="5" t="n"/>
      <c r="O527" s="5" t="n">
        <v>250</v>
      </c>
      <c r="P527" s="5" t="n"/>
      <c r="Q527" s="5" t="n">
        <v>250</v>
      </c>
      <c r="R527" s="5" t="n"/>
    </row>
    <row r="528">
      <c r="A528" s="2" t="inlineStr">
        <is>
          <t>EJ011023.TXT</t>
        </is>
      </c>
      <c r="B528" s="3" t="inlineStr">
        <is>
          <t>005098</t>
        </is>
      </c>
      <c r="C528" s="3" t="inlineStr">
        <is>
          <t>004088</t>
        </is>
      </c>
      <c r="D528" s="4" t="n">
        <v>45194</v>
      </c>
      <c r="E528" s="2" t="inlineStr">
        <is>
          <t>11:41</t>
        </is>
      </c>
      <c r="F528" s="5" t="n">
        <v>208.33</v>
      </c>
      <c r="G528" s="5" t="n"/>
      <c r="H528" s="5" t="n"/>
      <c r="I528" s="5" t="n"/>
      <c r="J528" s="5" t="n">
        <v>41.67</v>
      </c>
      <c r="K528" s="5" t="n"/>
      <c r="L528" s="5" t="n"/>
      <c r="M528" s="5" t="n"/>
      <c r="N528" s="5" t="n"/>
      <c r="O528" s="5" t="n">
        <v>250</v>
      </c>
      <c r="P528" s="5" t="n"/>
      <c r="Q528" s="5" t="n">
        <v>250</v>
      </c>
      <c r="R528" s="5" t="n"/>
    </row>
    <row r="529">
      <c r="A529" s="2" t="inlineStr">
        <is>
          <t>EJ011023.TXT</t>
        </is>
      </c>
      <c r="B529" s="3" t="inlineStr">
        <is>
          <t>005099</t>
        </is>
      </c>
      <c r="C529" s="3" t="inlineStr">
        <is>
          <t>004089</t>
        </is>
      </c>
      <c r="D529" s="4" t="n">
        <v>45194</v>
      </c>
      <c r="E529" s="2" t="inlineStr">
        <is>
          <t>14:03</t>
        </is>
      </c>
      <c r="F529" s="5" t="n">
        <v>274.17</v>
      </c>
      <c r="G529" s="5" t="n"/>
      <c r="H529" s="5" t="n"/>
      <c r="I529" s="5" t="n"/>
      <c r="J529" s="5" t="n">
        <v>54.83</v>
      </c>
      <c r="K529" s="5" t="n"/>
      <c r="L529" s="5" t="n"/>
      <c r="M529" s="5" t="n"/>
      <c r="N529" s="5" t="n"/>
      <c r="O529" s="5" t="n">
        <v>329</v>
      </c>
      <c r="P529" s="5" t="n">
        <v>329</v>
      </c>
      <c r="Q529" s="5" t="n"/>
      <c r="R529" s="5" t="n"/>
    </row>
    <row r="530">
      <c r="A530" s="2" t="inlineStr">
        <is>
          <t>EJ011023.TXT</t>
        </is>
      </c>
      <c r="B530" s="3" t="inlineStr">
        <is>
          <t>005100</t>
        </is>
      </c>
      <c r="C530" s="3" t="inlineStr">
        <is>
          <t>004090</t>
        </is>
      </c>
      <c r="D530" s="4" t="n">
        <v>45194</v>
      </c>
      <c r="E530" s="2" t="inlineStr">
        <is>
          <t>16:20</t>
        </is>
      </c>
      <c r="F530" s="5" t="n">
        <v>548.33</v>
      </c>
      <c r="G530" s="5" t="n"/>
      <c r="H530" s="5" t="n"/>
      <c r="I530" s="5" t="n"/>
      <c r="J530" s="5" t="n">
        <v>109.67</v>
      </c>
      <c r="K530" s="5" t="n"/>
      <c r="L530" s="5" t="n"/>
      <c r="M530" s="5" t="n"/>
      <c r="N530" s="5" t="n"/>
      <c r="O530" s="5" t="n">
        <v>658</v>
      </c>
      <c r="P530" s="5" t="n">
        <v>658</v>
      </c>
      <c r="Q530" s="5" t="n"/>
      <c r="R530" s="5" t="n"/>
    </row>
    <row r="531">
      <c r="A531" s="2" t="inlineStr">
        <is>
          <t>EJ011023.TXT</t>
        </is>
      </c>
      <c r="B531" s="3" t="inlineStr">
        <is>
          <t>005101</t>
        </is>
      </c>
      <c r="C531" s="3" t="inlineStr">
        <is>
          <t>004091</t>
        </is>
      </c>
      <c r="D531" s="4" t="n">
        <v>45195</v>
      </c>
      <c r="E531" s="2" t="inlineStr">
        <is>
          <t>11:11</t>
        </is>
      </c>
      <c r="F531" s="5" t="n">
        <v>274.17</v>
      </c>
      <c r="G531" s="5" t="n"/>
      <c r="H531" s="5" t="n"/>
      <c r="I531" s="5" t="n"/>
      <c r="J531" s="5" t="n">
        <v>54.83</v>
      </c>
      <c r="K531" s="5" t="n"/>
      <c r="L531" s="5" t="n"/>
      <c r="M531" s="5" t="n"/>
      <c r="N531" s="5" t="n"/>
      <c r="O531" s="5" t="n">
        <v>329</v>
      </c>
      <c r="P531" s="5" t="n">
        <v>329</v>
      </c>
      <c r="Q531" s="5" t="n"/>
      <c r="R531" s="5" t="n"/>
    </row>
    <row r="532">
      <c r="A532" s="2" t="inlineStr">
        <is>
          <t>EJ011023.TXT</t>
        </is>
      </c>
      <c r="B532" s="3" t="inlineStr">
        <is>
          <t>005102</t>
        </is>
      </c>
      <c r="C532" s="3" t="inlineStr">
        <is>
          <t>004092</t>
        </is>
      </c>
      <c r="D532" s="4" t="n">
        <v>45196</v>
      </c>
      <c r="E532" s="2" t="inlineStr">
        <is>
          <t>10:34</t>
        </is>
      </c>
      <c r="F532" s="5" t="n">
        <v>548.33</v>
      </c>
      <c r="G532" s="5" t="n"/>
      <c r="H532" s="5" t="n"/>
      <c r="I532" s="5" t="n"/>
      <c r="J532" s="5" t="n">
        <v>109.67</v>
      </c>
      <c r="K532" s="5" t="n"/>
      <c r="L532" s="5" t="n"/>
      <c r="M532" s="5" t="n"/>
      <c r="N532" s="5" t="n"/>
      <c r="O532" s="5" t="n">
        <v>658</v>
      </c>
      <c r="P532" s="5" t="n">
        <v>658</v>
      </c>
      <c r="Q532" s="5" t="n"/>
      <c r="R532" s="5" t="n"/>
    </row>
    <row r="533">
      <c r="A533" s="2" t="inlineStr">
        <is>
          <t>EJ011023.TXT</t>
        </is>
      </c>
      <c r="B533" s="3" t="inlineStr">
        <is>
          <t>005103</t>
        </is>
      </c>
      <c r="C533" s="3" t="inlineStr">
        <is>
          <t>004093</t>
        </is>
      </c>
      <c r="D533" s="4" t="n">
        <v>45196</v>
      </c>
      <c r="E533" s="2" t="inlineStr">
        <is>
          <t>13:40</t>
        </is>
      </c>
      <c r="F533" s="5" t="n">
        <v>574.17</v>
      </c>
      <c r="G533" s="5" t="n"/>
      <c r="H533" s="5" t="n"/>
      <c r="I533" s="5" t="n"/>
      <c r="J533" s="5" t="n">
        <v>114.83</v>
      </c>
      <c r="K533" s="5" t="n"/>
      <c r="L533" s="5" t="n"/>
      <c r="M533" s="5" t="n"/>
      <c r="N533" s="5" t="n"/>
      <c r="O533" s="5" t="n">
        <v>689</v>
      </c>
      <c r="P533" s="5" t="n">
        <v>689</v>
      </c>
      <c r="Q533" s="5" t="n"/>
      <c r="R533" s="5" t="n"/>
    </row>
    <row r="534">
      <c r="A534" s="2" t="inlineStr">
        <is>
          <t>EJ011023.TXT</t>
        </is>
      </c>
      <c r="B534" s="3" t="inlineStr">
        <is>
          <t>005104</t>
        </is>
      </c>
      <c r="C534" s="3" t="inlineStr">
        <is>
          <t>004094</t>
        </is>
      </c>
      <c r="D534" s="4" t="n">
        <v>45197</v>
      </c>
      <c r="E534" s="2" t="inlineStr">
        <is>
          <t>11:04</t>
        </is>
      </c>
      <c r="F534" s="5" t="n">
        <v>574.17</v>
      </c>
      <c r="G534" s="5" t="n"/>
      <c r="H534" s="5" t="n"/>
      <c r="I534" s="5" t="n"/>
      <c r="J534" s="5" t="n">
        <v>114.83</v>
      </c>
      <c r="K534" s="5" t="n"/>
      <c r="L534" s="5" t="n"/>
      <c r="M534" s="5" t="n"/>
      <c r="N534" s="5" t="n"/>
      <c r="O534" s="5" t="n">
        <v>689</v>
      </c>
      <c r="P534" s="5" t="n">
        <v>689</v>
      </c>
      <c r="Q534" s="5" t="n"/>
      <c r="R534" s="5" t="n"/>
    </row>
    <row r="535">
      <c r="A535" s="2" t="inlineStr">
        <is>
          <t>EJ011023.TXT</t>
        </is>
      </c>
      <c r="B535" s="3" t="inlineStr">
        <is>
          <t>005105</t>
        </is>
      </c>
      <c r="C535" s="3" t="inlineStr">
        <is>
          <t>004095</t>
        </is>
      </c>
      <c r="D535" s="4" t="n">
        <v>45197</v>
      </c>
      <c r="E535" s="2" t="inlineStr">
        <is>
          <t>15:05</t>
        </is>
      </c>
      <c r="F535" s="5" t="n">
        <v>648.33</v>
      </c>
      <c r="G535" s="5" t="n"/>
      <c r="H535" s="5" t="n"/>
      <c r="I535" s="5" t="n"/>
      <c r="J535" s="5" t="n">
        <v>129.67</v>
      </c>
      <c r="K535" s="5" t="n"/>
      <c r="L535" s="5" t="n"/>
      <c r="M535" s="5" t="n"/>
      <c r="N535" s="5" t="n"/>
      <c r="O535" s="5" t="n">
        <v>778</v>
      </c>
      <c r="P535" s="5" t="n"/>
      <c r="Q535" s="5" t="n">
        <v>778</v>
      </c>
      <c r="R535" s="5" t="n"/>
    </row>
    <row r="536">
      <c r="A536" s="2" t="inlineStr">
        <is>
          <t>EJ011023.TXT</t>
        </is>
      </c>
      <c r="B536" s="3" t="inlineStr">
        <is>
          <t>005106</t>
        </is>
      </c>
      <c r="C536" s="3" t="inlineStr">
        <is>
          <t>004096</t>
        </is>
      </c>
      <c r="D536" s="4" t="n">
        <v>45197</v>
      </c>
      <c r="E536" s="2" t="inlineStr">
        <is>
          <t>16:22</t>
        </is>
      </c>
      <c r="F536" s="5" t="n">
        <v>199.17</v>
      </c>
      <c r="G536" s="5" t="n"/>
      <c r="H536" s="5" t="n"/>
      <c r="I536" s="5" t="n"/>
      <c r="J536" s="5" t="n">
        <v>39.83</v>
      </c>
      <c r="K536" s="5" t="n"/>
      <c r="L536" s="5" t="n"/>
      <c r="M536" s="5" t="n"/>
      <c r="N536" s="5" t="n"/>
      <c r="O536" s="5" t="n">
        <v>239</v>
      </c>
      <c r="P536" s="5" t="n"/>
      <c r="Q536" s="5" t="n">
        <v>239</v>
      </c>
      <c r="R536" s="5" t="n"/>
    </row>
    <row r="537">
      <c r="A537" s="2" t="inlineStr">
        <is>
          <t>EJ011023.TXT</t>
        </is>
      </c>
      <c r="B537" s="3" t="inlineStr">
        <is>
          <t>005107</t>
        </is>
      </c>
      <c r="C537" s="3" t="inlineStr">
        <is>
          <t>004097</t>
        </is>
      </c>
      <c r="D537" s="4" t="n">
        <v>45198</v>
      </c>
      <c r="E537" s="2" t="inlineStr">
        <is>
          <t>11:45</t>
        </is>
      </c>
      <c r="F537" s="5" t="n">
        <v>548.33</v>
      </c>
      <c r="G537" s="5" t="n"/>
      <c r="H537" s="5" t="n"/>
      <c r="I537" s="5" t="n"/>
      <c r="J537" s="5" t="n">
        <v>109.67</v>
      </c>
      <c r="K537" s="5" t="n"/>
      <c r="L537" s="5" t="n"/>
      <c r="M537" s="5" t="n"/>
      <c r="N537" s="5" t="n"/>
      <c r="O537" s="5" t="n">
        <v>658</v>
      </c>
      <c r="P537" s="5" t="n"/>
      <c r="Q537" s="5" t="n">
        <v>658</v>
      </c>
      <c r="R537" s="5" t="n"/>
    </row>
    <row r="538">
      <c r="A538" s="2" t="inlineStr">
        <is>
          <t>EJ011023.TXT</t>
        </is>
      </c>
      <c r="B538" s="3" t="inlineStr">
        <is>
          <t>005108</t>
        </is>
      </c>
      <c r="C538" s="3" t="inlineStr">
        <is>
          <t>004098</t>
        </is>
      </c>
      <c r="D538" s="4" t="n">
        <v>45198</v>
      </c>
      <c r="E538" s="2" t="inlineStr">
        <is>
          <t>13:53</t>
        </is>
      </c>
      <c r="F538" s="5" t="n">
        <v>74.17</v>
      </c>
      <c r="G538" s="5" t="n"/>
      <c r="H538" s="5" t="n"/>
      <c r="I538" s="5" t="n"/>
      <c r="J538" s="5" t="n">
        <v>14.83</v>
      </c>
      <c r="K538" s="5" t="n"/>
      <c r="L538" s="5" t="n"/>
      <c r="M538" s="5" t="n"/>
      <c r="N538" s="5" t="n"/>
      <c r="O538" s="5" t="n">
        <v>89</v>
      </c>
      <c r="P538" s="5" t="n"/>
      <c r="Q538" s="5" t="n">
        <v>89</v>
      </c>
      <c r="R538" s="5" t="n"/>
    </row>
    <row r="539">
      <c r="A539" s="2" t="inlineStr">
        <is>
          <t>EJ011023.TXT</t>
        </is>
      </c>
      <c r="B539" s="3" t="inlineStr">
        <is>
          <t>005109</t>
        </is>
      </c>
      <c r="C539" s="3" t="inlineStr">
        <is>
          <t>004099</t>
        </is>
      </c>
      <c r="D539" s="4" t="n">
        <v>45198</v>
      </c>
      <c r="E539" s="2" t="inlineStr">
        <is>
          <t>13:56</t>
        </is>
      </c>
      <c r="F539" s="5" t="n">
        <v>208.33</v>
      </c>
      <c r="G539" s="5" t="n"/>
      <c r="H539" s="5" t="n"/>
      <c r="I539" s="5" t="n"/>
      <c r="J539" s="5" t="n">
        <v>41.67</v>
      </c>
      <c r="K539" s="5" t="n"/>
      <c r="L539" s="5" t="n"/>
      <c r="M539" s="5" t="n"/>
      <c r="N539" s="5" t="n"/>
      <c r="O539" s="5" t="n">
        <v>250</v>
      </c>
      <c r="P539" s="5" t="n"/>
      <c r="Q539" s="5" t="n">
        <v>250</v>
      </c>
      <c r="R539" s="5" t="n"/>
    </row>
    <row r="540">
      <c r="A540" s="2" t="inlineStr">
        <is>
          <t>EJ011023.TXT</t>
        </is>
      </c>
      <c r="B540" s="3" t="inlineStr">
        <is>
          <t>005110</t>
        </is>
      </c>
      <c r="C540" s="3" t="inlineStr">
        <is>
          <t>004100</t>
        </is>
      </c>
      <c r="D540" s="4" t="n">
        <v>45198</v>
      </c>
      <c r="E540" s="2" t="inlineStr">
        <is>
          <t>14:00</t>
        </is>
      </c>
      <c r="F540" s="5" t="n">
        <v>822.5</v>
      </c>
      <c r="G540" s="5" t="n"/>
      <c r="H540" s="5" t="n"/>
      <c r="I540" s="5" t="n"/>
      <c r="J540" s="5" t="n">
        <v>164.5</v>
      </c>
      <c r="K540" s="5" t="n"/>
      <c r="L540" s="5" t="n"/>
      <c r="M540" s="5" t="n"/>
      <c r="N540" s="5" t="n"/>
      <c r="O540" s="5" t="n">
        <v>987</v>
      </c>
      <c r="P540" s="5" t="n"/>
      <c r="Q540" s="5" t="n">
        <v>987</v>
      </c>
      <c r="R540" s="5" t="n"/>
    </row>
    <row r="541">
      <c r="A541" s="2" t="inlineStr">
        <is>
          <t>EJ011023.TXT</t>
        </is>
      </c>
      <c r="B541" s="3" t="inlineStr">
        <is>
          <t>005111</t>
        </is>
      </c>
      <c r="C541" s="3" t="inlineStr">
        <is>
          <t>004101</t>
        </is>
      </c>
      <c r="D541" s="4" t="n">
        <v>45198</v>
      </c>
      <c r="E541" s="2" t="inlineStr">
        <is>
          <t>14:00</t>
        </is>
      </c>
      <c r="F541" s="5" t="n">
        <v>531.67</v>
      </c>
      <c r="G541" s="5" t="n"/>
      <c r="H541" s="5" t="n"/>
      <c r="I541" s="5" t="n"/>
      <c r="J541" s="5" t="n">
        <v>106.33</v>
      </c>
      <c r="K541" s="5" t="n"/>
      <c r="L541" s="5" t="n"/>
      <c r="M541" s="5" t="n"/>
      <c r="N541" s="5" t="n"/>
      <c r="O541" s="5" t="n">
        <v>638</v>
      </c>
      <c r="P541" s="5" t="n"/>
      <c r="Q541" s="5" t="n">
        <v>638</v>
      </c>
      <c r="R541" s="5" t="n"/>
    </row>
    <row r="542">
      <c r="A542" s="2" t="inlineStr">
        <is>
          <t>EJ011023.TXT</t>
        </is>
      </c>
      <c r="B542" s="3" t="inlineStr">
        <is>
          <t>005112</t>
        </is>
      </c>
      <c r="C542" s="3" t="inlineStr">
        <is>
          <t>004102</t>
        </is>
      </c>
      <c r="D542" s="4" t="n">
        <v>45199</v>
      </c>
      <c r="E542" s="2" t="inlineStr">
        <is>
          <t>14:48</t>
        </is>
      </c>
      <c r="F542" s="5" t="n">
        <v>548.33</v>
      </c>
      <c r="G542" s="5" t="n"/>
      <c r="H542" s="5" t="n"/>
      <c r="I542" s="5" t="n"/>
      <c r="J542" s="5" t="n">
        <v>109.67</v>
      </c>
      <c r="K542" s="5" t="n"/>
      <c r="L542" s="5" t="n"/>
      <c r="M542" s="5" t="n"/>
      <c r="N542" s="5" t="n"/>
      <c r="O542" s="5" t="n">
        <v>658</v>
      </c>
      <c r="P542" s="5" t="n"/>
      <c r="Q542" s="5" t="n">
        <v>658</v>
      </c>
      <c r="R542" s="5" t="n"/>
    </row>
    <row r="543">
      <c r="A543" s="2" t="inlineStr">
        <is>
          <t>EJ011023.TXT</t>
        </is>
      </c>
      <c r="B543" s="3" t="inlineStr">
        <is>
          <t>005113</t>
        </is>
      </c>
      <c r="C543" s="3" t="inlineStr">
        <is>
          <t>004103</t>
        </is>
      </c>
      <c r="D543" s="4" t="n">
        <v>45199</v>
      </c>
      <c r="E543" s="2" t="inlineStr">
        <is>
          <t>14:48</t>
        </is>
      </c>
      <c r="F543" s="5" t="n">
        <v>548.33</v>
      </c>
      <c r="G543" s="5" t="n"/>
      <c r="H543" s="5" t="n"/>
      <c r="I543" s="5" t="n"/>
      <c r="J543" s="5" t="n">
        <v>109.67</v>
      </c>
      <c r="K543" s="5" t="n"/>
      <c r="L543" s="5" t="n"/>
      <c r="M543" s="5" t="n"/>
      <c r="N543" s="5" t="n"/>
      <c r="O543" s="5" t="n">
        <v>658</v>
      </c>
      <c r="P543" s="5" t="n"/>
      <c r="Q543" s="5" t="n">
        <v>658</v>
      </c>
      <c r="R543" s="5" t="n"/>
    </row>
    <row r="544">
      <c r="A544" s="2" t="inlineStr">
        <is>
          <t>EJ011023.TXT</t>
        </is>
      </c>
      <c r="B544" s="3" t="inlineStr">
        <is>
          <t>005114</t>
        </is>
      </c>
      <c r="C544" s="3" t="inlineStr">
        <is>
          <t>004104</t>
        </is>
      </c>
      <c r="D544" s="4" t="n">
        <v>45199</v>
      </c>
      <c r="E544" s="2" t="inlineStr">
        <is>
          <t>14:52</t>
        </is>
      </c>
      <c r="F544" s="5" t="n">
        <v>822.5</v>
      </c>
      <c r="G544" s="5" t="n"/>
      <c r="H544" s="5" t="n"/>
      <c r="I544" s="5" t="n"/>
      <c r="J544" s="5" t="n">
        <v>164.5</v>
      </c>
      <c r="K544" s="5" t="n"/>
      <c r="L544" s="5" t="n"/>
      <c r="M544" s="5" t="n"/>
      <c r="N544" s="5" t="n"/>
      <c r="O544" s="5" t="n">
        <v>987</v>
      </c>
      <c r="P544" s="5" t="n"/>
      <c r="Q544" s="5" t="n">
        <v>987</v>
      </c>
      <c r="R544" s="5" t="n"/>
    </row>
    <row r="545">
      <c r="A545" s="2" t="inlineStr">
        <is>
          <t>EJ011023.TXT</t>
        </is>
      </c>
      <c r="B545" s="3" t="inlineStr">
        <is>
          <t>005115</t>
        </is>
      </c>
      <c r="C545" s="3" t="inlineStr">
        <is>
          <t>004105</t>
        </is>
      </c>
      <c r="D545" s="4" t="n">
        <v>45199</v>
      </c>
      <c r="E545" s="2" t="inlineStr">
        <is>
          <t>14:53</t>
        </is>
      </c>
      <c r="F545" s="5" t="n">
        <v>274.17</v>
      </c>
      <c r="G545" s="5" t="n"/>
      <c r="H545" s="5" t="n"/>
      <c r="I545" s="5" t="n"/>
      <c r="J545" s="5" t="n">
        <v>54.83</v>
      </c>
      <c r="K545" s="5" t="n"/>
      <c r="L545" s="5" t="n"/>
      <c r="M545" s="5" t="n"/>
      <c r="N545" s="5" t="n"/>
      <c r="O545" s="5" t="n">
        <v>329</v>
      </c>
      <c r="P545" s="5" t="n"/>
      <c r="Q545" s="5" t="n">
        <v>329</v>
      </c>
      <c r="R545" s="5" t="n"/>
    </row>
    <row r="546">
      <c r="A546" s="2" t="inlineStr">
        <is>
          <t>EJ011023.TXT</t>
        </is>
      </c>
      <c r="B546" s="3" t="inlineStr">
        <is>
          <t>005116</t>
        </is>
      </c>
      <c r="C546" s="3" t="inlineStr">
        <is>
          <t>004106</t>
        </is>
      </c>
      <c r="D546" s="4" t="n">
        <v>45199</v>
      </c>
      <c r="E546" s="2" t="inlineStr">
        <is>
          <t>14:53</t>
        </is>
      </c>
      <c r="F546" s="5" t="n">
        <v>822.5</v>
      </c>
      <c r="G546" s="5" t="n"/>
      <c r="H546" s="5" t="n"/>
      <c r="I546" s="5" t="n"/>
      <c r="J546" s="5" t="n">
        <v>164.5</v>
      </c>
      <c r="K546" s="5" t="n"/>
      <c r="L546" s="5" t="n"/>
      <c r="M546" s="5" t="n"/>
      <c r="N546" s="5" t="n"/>
      <c r="O546" s="5" t="n">
        <v>987</v>
      </c>
      <c r="P546" s="5" t="n"/>
      <c r="Q546" s="5" t="n">
        <v>987</v>
      </c>
      <c r="R546" s="5" t="n"/>
    </row>
    <row r="547">
      <c r="A547" s="2" t="inlineStr">
        <is>
          <t>EJ011023.TXT</t>
        </is>
      </c>
      <c r="B547" s="3" t="inlineStr">
        <is>
          <t>005117</t>
        </is>
      </c>
      <c r="C547" s="3" t="inlineStr">
        <is>
          <t>004107</t>
        </is>
      </c>
      <c r="D547" s="4" t="n">
        <v>45199</v>
      </c>
      <c r="E547" s="2" t="inlineStr">
        <is>
          <t>14:54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/>
      <c r="Q547" s="5" t="n">
        <v>658</v>
      </c>
      <c r="R547" s="5" t="n"/>
    </row>
    <row r="548">
      <c r="A548" s="2" t="inlineStr">
        <is>
          <t>EJ011023.TXT</t>
        </is>
      </c>
      <c r="B548" s="3" t="inlineStr">
        <is>
          <t>005118</t>
        </is>
      </c>
      <c r="C548" s="3" t="inlineStr">
        <is>
          <t>004108</t>
        </is>
      </c>
      <c r="D548" s="4" t="n">
        <v>45199</v>
      </c>
      <c r="E548" s="2" t="inlineStr">
        <is>
          <t>14:54</t>
        </is>
      </c>
      <c r="F548" s="5" t="n">
        <v>274.17</v>
      </c>
      <c r="G548" s="5" t="n"/>
      <c r="H548" s="5" t="n"/>
      <c r="I548" s="5" t="n"/>
      <c r="J548" s="5" t="n">
        <v>54.83</v>
      </c>
      <c r="K548" s="5" t="n"/>
      <c r="L548" s="5" t="n"/>
      <c r="M548" s="5" t="n"/>
      <c r="N548" s="5" t="n"/>
      <c r="O548" s="5" t="n">
        <v>329</v>
      </c>
      <c r="P548" s="5" t="n"/>
      <c r="Q548" s="5" t="n">
        <v>329</v>
      </c>
      <c r="R548" s="5" t="n"/>
    </row>
    <row r="549">
      <c r="A549" s="2" t="inlineStr">
        <is>
          <t>EJ011023.TXT</t>
        </is>
      </c>
      <c r="B549" s="3" t="inlineStr">
        <is>
          <t>005119</t>
        </is>
      </c>
      <c r="C549" s="3" t="inlineStr">
        <is>
          <t>004109</t>
        </is>
      </c>
      <c r="D549" s="4" t="n">
        <v>45199</v>
      </c>
      <c r="E549" s="2" t="inlineStr">
        <is>
          <t>16:42</t>
        </is>
      </c>
      <c r="F549" s="5" t="n">
        <v>222.5</v>
      </c>
      <c r="G549" s="5" t="n"/>
      <c r="H549" s="5" t="n"/>
      <c r="I549" s="5" t="n"/>
      <c r="J549" s="5" t="n">
        <v>44.5</v>
      </c>
      <c r="K549" s="5" t="n"/>
      <c r="L549" s="5" t="n"/>
      <c r="M549" s="5" t="n"/>
      <c r="N549" s="5" t="n"/>
      <c r="O549" s="5" t="n">
        <v>267</v>
      </c>
      <c r="P549" s="5" t="n"/>
      <c r="Q549" s="5" t="n">
        <v>267</v>
      </c>
      <c r="R549" s="5" t="n"/>
    </row>
    <row r="550">
      <c r="A550" s="2" t="inlineStr">
        <is>
          <t>EJ011023.TXT</t>
        </is>
      </c>
      <c r="B550" s="3" t="inlineStr">
        <is>
          <t>005120</t>
        </is>
      </c>
      <c r="C550" s="3" t="inlineStr">
        <is>
          <t>004110</t>
        </is>
      </c>
      <c r="D550" s="4" t="n">
        <v>45199</v>
      </c>
      <c r="E550" s="2" t="inlineStr">
        <is>
          <t>17:06</t>
        </is>
      </c>
      <c r="F550" s="5" t="n">
        <v>848.33</v>
      </c>
      <c r="G550" s="5" t="n"/>
      <c r="H550" s="5" t="n"/>
      <c r="I550" s="5" t="n"/>
      <c r="J550" s="5" t="n">
        <v>169.67</v>
      </c>
      <c r="K550" s="5" t="n"/>
      <c r="L550" s="5" t="n"/>
      <c r="M550" s="5" t="n"/>
      <c r="N550" s="5" t="n"/>
      <c r="O550" s="5" t="n">
        <v>1018</v>
      </c>
      <c r="P550" s="5" t="n">
        <v>1018</v>
      </c>
      <c r="Q550" s="5" t="n"/>
      <c r="R550" s="5" t="n"/>
    </row>
    <row r="551">
      <c r="A551" s="2" t="inlineStr">
        <is>
          <t>EJ101123.TXT</t>
        </is>
      </c>
      <c r="B551" s="3" t="inlineStr">
        <is>
          <t>005128</t>
        </is>
      </c>
      <c r="C551" s="3" t="inlineStr">
        <is>
          <t>004111</t>
        </is>
      </c>
      <c r="D551" s="4" t="n">
        <v>45201</v>
      </c>
      <c r="E551" s="2" t="inlineStr">
        <is>
          <t>16:38</t>
        </is>
      </c>
      <c r="F551" s="5" t="n">
        <v>822.5</v>
      </c>
      <c r="G551" s="5" t="n"/>
      <c r="H551" s="5" t="n"/>
      <c r="I551" s="5" t="n"/>
      <c r="J551" s="5" t="n">
        <v>164.5</v>
      </c>
      <c r="K551" s="5" t="n"/>
      <c r="L551" s="5" t="n"/>
      <c r="M551" s="5" t="n"/>
      <c r="N551" s="5" t="n"/>
      <c r="O551" s="5" t="n">
        <v>987</v>
      </c>
      <c r="P551" s="5" t="n"/>
      <c r="Q551" s="5" t="n">
        <v>987</v>
      </c>
      <c r="R551" s="5" t="n"/>
    </row>
    <row r="552">
      <c r="A552" s="2" t="inlineStr">
        <is>
          <t>EJ101123.TXT</t>
        </is>
      </c>
      <c r="B552" s="3" t="inlineStr">
        <is>
          <t>005129</t>
        </is>
      </c>
      <c r="C552" s="3" t="inlineStr">
        <is>
          <t>004112</t>
        </is>
      </c>
      <c r="D552" s="4" t="n">
        <v>45201</v>
      </c>
      <c r="E552" s="2" t="inlineStr">
        <is>
          <t>16:38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/>
      <c r="Q552" s="5" t="n">
        <v>658</v>
      </c>
      <c r="R552" s="5" t="n"/>
    </row>
    <row r="553">
      <c r="A553" s="2" t="inlineStr">
        <is>
          <t>EJ101123.TXT</t>
        </is>
      </c>
      <c r="B553" s="3" t="inlineStr">
        <is>
          <t>005130</t>
        </is>
      </c>
      <c r="C553" s="3" t="inlineStr">
        <is>
          <t>004113</t>
        </is>
      </c>
      <c r="D553" s="4" t="n">
        <v>45201</v>
      </c>
      <c r="E553" s="2" t="inlineStr">
        <is>
          <t>16:57</t>
        </is>
      </c>
      <c r="F553" s="5" t="n">
        <v>479.83</v>
      </c>
      <c r="G553" s="5" t="n"/>
      <c r="H553" s="5" t="n"/>
      <c r="I553" s="5" t="n"/>
      <c r="J553" s="5" t="n">
        <v>95.97</v>
      </c>
      <c r="K553" s="5" t="n"/>
      <c r="L553" s="5" t="n"/>
      <c r="M553" s="5" t="n"/>
      <c r="N553" s="5" t="n"/>
      <c r="O553" s="5" t="n">
        <v>575.8</v>
      </c>
      <c r="P553" s="5" t="n"/>
      <c r="Q553" s="5" t="n">
        <v>575.8</v>
      </c>
      <c r="R553" s="5" t="n"/>
    </row>
    <row r="554">
      <c r="A554" s="2" t="inlineStr">
        <is>
          <t>EJ101123.TXT</t>
        </is>
      </c>
      <c r="B554" s="3" t="inlineStr">
        <is>
          <t>005131</t>
        </is>
      </c>
      <c r="C554" s="3" t="inlineStr">
        <is>
          <t>004114</t>
        </is>
      </c>
      <c r="D554" s="4" t="n">
        <v>45202</v>
      </c>
      <c r="E554" s="2" t="inlineStr">
        <is>
          <t>09:39</t>
        </is>
      </c>
      <c r="F554" s="5" t="n">
        <v>265.83</v>
      </c>
      <c r="G554" s="5" t="n"/>
      <c r="H554" s="5" t="n"/>
      <c r="I554" s="5" t="n"/>
      <c r="J554" s="5" t="n">
        <v>53.17</v>
      </c>
      <c r="K554" s="5" t="n"/>
      <c r="L554" s="5" t="n"/>
      <c r="M554" s="5" t="n"/>
      <c r="N554" s="5" t="n"/>
      <c r="O554" s="5" t="n">
        <v>319</v>
      </c>
      <c r="P554" s="5" t="n"/>
      <c r="Q554" s="5" t="n">
        <v>319</v>
      </c>
      <c r="R554" s="5" t="n"/>
    </row>
    <row r="555">
      <c r="A555" s="2" t="inlineStr">
        <is>
          <t>EJ101123.TXT</t>
        </is>
      </c>
      <c r="B555" s="3" t="inlineStr">
        <is>
          <t>005132</t>
        </is>
      </c>
      <c r="C555" s="3" t="inlineStr">
        <is>
          <t>004115</t>
        </is>
      </c>
      <c r="D555" s="4" t="n">
        <v>45205</v>
      </c>
      <c r="E555" s="2" t="inlineStr">
        <is>
          <t>14:05</t>
        </is>
      </c>
      <c r="F555" s="5" t="n">
        <v>548.33</v>
      </c>
      <c r="G555" s="5" t="n"/>
      <c r="H555" s="5" t="n"/>
      <c r="I555" s="5" t="n"/>
      <c r="J555" s="5" t="n">
        <v>109.67</v>
      </c>
      <c r="K555" s="5" t="n"/>
      <c r="L555" s="5" t="n"/>
      <c r="M555" s="5" t="n"/>
      <c r="N555" s="5" t="n"/>
      <c r="O555" s="5" t="n">
        <v>658</v>
      </c>
      <c r="P555" s="5" t="n">
        <v>658</v>
      </c>
      <c r="Q555" s="5" t="n"/>
      <c r="R555" s="5" t="n"/>
    </row>
    <row r="556">
      <c r="A556" s="2" t="inlineStr">
        <is>
          <t>EJ101123.TXT</t>
        </is>
      </c>
      <c r="B556" s="3" t="inlineStr">
        <is>
          <t>005133</t>
        </is>
      </c>
      <c r="C556" s="3" t="inlineStr">
        <is>
          <t>004116</t>
        </is>
      </c>
      <c r="D556" s="4" t="n">
        <v>45206</v>
      </c>
      <c r="E556" s="2" t="inlineStr">
        <is>
          <t>15:50</t>
        </is>
      </c>
      <c r="F556" s="5" t="n">
        <v>199.17</v>
      </c>
      <c r="G556" s="5" t="n"/>
      <c r="H556" s="5" t="n"/>
      <c r="I556" s="5" t="n"/>
      <c r="J556" s="5" t="n">
        <v>39.83</v>
      </c>
      <c r="K556" s="5" t="n"/>
      <c r="L556" s="5" t="n"/>
      <c r="M556" s="5" t="n"/>
      <c r="N556" s="5" t="n"/>
      <c r="O556" s="5" t="n">
        <v>239</v>
      </c>
      <c r="P556" s="5" t="n">
        <v>239</v>
      </c>
      <c r="Q556" s="5" t="n"/>
      <c r="R556" s="5" t="n"/>
    </row>
    <row r="557">
      <c r="A557" s="2" t="inlineStr">
        <is>
          <t>EJ101123.TXT</t>
        </is>
      </c>
      <c r="B557" s="3" t="inlineStr">
        <is>
          <t>005134</t>
        </is>
      </c>
      <c r="C557" s="3" t="inlineStr">
        <is>
          <t>004117</t>
        </is>
      </c>
      <c r="D557" s="4" t="n">
        <v>45206</v>
      </c>
      <c r="E557" s="2" t="inlineStr">
        <is>
          <t>15:54</t>
        </is>
      </c>
      <c r="F557" s="5" t="n">
        <v>274.17</v>
      </c>
      <c r="G557" s="5" t="n"/>
      <c r="H557" s="5" t="n"/>
      <c r="I557" s="5" t="n"/>
      <c r="J557" s="5" t="n">
        <v>54.83</v>
      </c>
      <c r="K557" s="5" t="n"/>
      <c r="L557" s="5" t="n"/>
      <c r="M557" s="5" t="n"/>
      <c r="N557" s="5" t="n"/>
      <c r="O557" s="5" t="n">
        <v>329</v>
      </c>
      <c r="P557" s="5" t="n">
        <v>329</v>
      </c>
      <c r="Q557" s="5" t="n"/>
      <c r="R557" s="5" t="n"/>
    </row>
    <row r="558">
      <c r="A558" s="2" t="inlineStr">
        <is>
          <t>EJ101123.TXT</t>
        </is>
      </c>
      <c r="B558" s="3" t="inlineStr">
        <is>
          <t>005135</t>
        </is>
      </c>
      <c r="C558" s="3" t="inlineStr">
        <is>
          <t>004118</t>
        </is>
      </c>
      <c r="D558" s="4" t="n">
        <v>45206</v>
      </c>
      <c r="E558" s="2" t="inlineStr">
        <is>
          <t>15:54</t>
        </is>
      </c>
      <c r="F558" s="5" t="n">
        <v>274.17</v>
      </c>
      <c r="G558" s="5" t="n"/>
      <c r="H558" s="5" t="n"/>
      <c r="I558" s="5" t="n"/>
      <c r="J558" s="5" t="n">
        <v>54.83</v>
      </c>
      <c r="K558" s="5" t="n"/>
      <c r="L558" s="5" t="n"/>
      <c r="M558" s="5" t="n"/>
      <c r="N558" s="5" t="n"/>
      <c r="O558" s="5" t="n">
        <v>329</v>
      </c>
      <c r="P558" s="5" t="n"/>
      <c r="Q558" s="5" t="n">
        <v>329</v>
      </c>
      <c r="R558" s="5" t="n"/>
    </row>
    <row r="559">
      <c r="A559" s="2" t="inlineStr">
        <is>
          <t>EJ101123.TXT</t>
        </is>
      </c>
      <c r="B559" s="3" t="inlineStr">
        <is>
          <t>005136</t>
        </is>
      </c>
      <c r="C559" s="3" t="inlineStr">
        <is>
          <t>004119</t>
        </is>
      </c>
      <c r="D559" s="4" t="n">
        <v>45208</v>
      </c>
      <c r="E559" s="2" t="inlineStr">
        <is>
          <t>13:52</t>
        </is>
      </c>
      <c r="F559" s="5" t="n">
        <v>548.33</v>
      </c>
      <c r="G559" s="5" t="n"/>
      <c r="H559" s="5" t="n"/>
      <c r="I559" s="5" t="n"/>
      <c r="J559" s="5" t="n">
        <v>109.67</v>
      </c>
      <c r="K559" s="5" t="n"/>
      <c r="L559" s="5" t="n"/>
      <c r="M559" s="5" t="n"/>
      <c r="N559" s="5" t="n"/>
      <c r="O559" s="5" t="n">
        <v>658</v>
      </c>
      <c r="P559" s="5" t="n"/>
      <c r="Q559" s="5" t="n">
        <v>658</v>
      </c>
      <c r="R559" s="5" t="n"/>
    </row>
    <row r="560">
      <c r="A560" s="2" t="inlineStr">
        <is>
          <t>EJ101123.TXT</t>
        </is>
      </c>
      <c r="B560" s="3" t="inlineStr">
        <is>
          <t>005137</t>
        </is>
      </c>
      <c r="C560" s="3" t="inlineStr">
        <is>
          <t>004120</t>
        </is>
      </c>
      <c r="D560" s="4" t="n">
        <v>45209</v>
      </c>
      <c r="E560" s="2" t="inlineStr">
        <is>
          <t>13:43</t>
        </is>
      </c>
      <c r="F560" s="5" t="n">
        <v>274.17</v>
      </c>
      <c r="G560" s="5" t="n"/>
      <c r="H560" s="5" t="n"/>
      <c r="I560" s="5" t="n"/>
      <c r="J560" s="5" t="n">
        <v>54.83</v>
      </c>
      <c r="K560" s="5" t="n"/>
      <c r="L560" s="5" t="n"/>
      <c r="M560" s="5" t="n"/>
      <c r="N560" s="5" t="n"/>
      <c r="O560" s="5" t="n">
        <v>329</v>
      </c>
      <c r="P560" s="5" t="n">
        <v>329</v>
      </c>
      <c r="Q560" s="5" t="n"/>
      <c r="R560" s="5" t="n"/>
    </row>
    <row r="561">
      <c r="A561" s="2" t="inlineStr">
        <is>
          <t>EJ101123.TXT</t>
        </is>
      </c>
      <c r="B561" s="3" t="inlineStr">
        <is>
          <t>005138</t>
        </is>
      </c>
      <c r="C561" s="3" t="inlineStr">
        <is>
          <t>004121</t>
        </is>
      </c>
      <c r="D561" s="4" t="n">
        <v>45209</v>
      </c>
      <c r="E561" s="2" t="inlineStr">
        <is>
          <t>14:31</t>
        </is>
      </c>
      <c r="F561" s="5" t="n">
        <v>548.33</v>
      </c>
      <c r="G561" s="5" t="n"/>
      <c r="H561" s="5" t="n"/>
      <c r="I561" s="5" t="n"/>
      <c r="J561" s="5" t="n">
        <v>109.67</v>
      </c>
      <c r="K561" s="5" t="n"/>
      <c r="L561" s="5" t="n"/>
      <c r="M561" s="5" t="n"/>
      <c r="N561" s="5" t="n"/>
      <c r="O561" s="5" t="n">
        <v>658</v>
      </c>
      <c r="P561" s="5" t="n"/>
      <c r="Q561" s="5" t="n">
        <v>658</v>
      </c>
      <c r="R561" s="5" t="n"/>
    </row>
    <row r="562">
      <c r="A562" s="2" t="inlineStr">
        <is>
          <t>EJ101123.TXT</t>
        </is>
      </c>
      <c r="B562" s="3" t="inlineStr">
        <is>
          <t>005139</t>
        </is>
      </c>
      <c r="C562" s="3" t="inlineStr">
        <is>
          <t>004122</t>
        </is>
      </c>
      <c r="D562" s="4" t="n">
        <v>45209</v>
      </c>
      <c r="E562" s="2" t="inlineStr">
        <is>
          <t>16:17</t>
        </is>
      </c>
      <c r="F562" s="5" t="n">
        <v>175</v>
      </c>
      <c r="G562" s="5" t="n"/>
      <c r="H562" s="5" t="n"/>
      <c r="I562" s="5" t="n"/>
      <c r="J562" s="5" t="n">
        <v>35</v>
      </c>
      <c r="K562" s="5" t="n"/>
      <c r="L562" s="5" t="n"/>
      <c r="M562" s="5" t="n"/>
      <c r="N562" s="5" t="n"/>
      <c r="O562" s="5" t="n">
        <v>210</v>
      </c>
      <c r="P562" s="5" t="n">
        <v>210</v>
      </c>
      <c r="Q562" s="5" t="n"/>
      <c r="R562" s="5" t="n"/>
    </row>
    <row r="563">
      <c r="A563" s="2" t="inlineStr">
        <is>
          <t>EJ101123.TXT</t>
        </is>
      </c>
      <c r="B563" s="3" t="inlineStr">
        <is>
          <t>005140</t>
        </is>
      </c>
      <c r="C563" s="3" t="inlineStr">
        <is>
          <t>004123</t>
        </is>
      </c>
      <c r="D563" s="4" t="n">
        <v>45210</v>
      </c>
      <c r="E563" s="2" t="inlineStr">
        <is>
          <t>15:10</t>
        </is>
      </c>
      <c r="F563" s="5" t="n">
        <v>3290</v>
      </c>
      <c r="G563" s="5" t="n"/>
      <c r="H563" s="5" t="n"/>
      <c r="I563" s="5" t="n"/>
      <c r="J563" s="5" t="n">
        <v>658</v>
      </c>
      <c r="K563" s="5" t="n"/>
      <c r="L563" s="5" t="n"/>
      <c r="M563" s="5" t="n"/>
      <c r="N563" s="5" t="n"/>
      <c r="O563" s="5" t="n">
        <v>3948</v>
      </c>
      <c r="P563" s="5" t="n">
        <v>3948</v>
      </c>
      <c r="Q563" s="5" t="n"/>
      <c r="R563" s="5" t="n"/>
    </row>
    <row r="564">
      <c r="A564" s="2" t="inlineStr">
        <is>
          <t>EJ101123.TXT</t>
        </is>
      </c>
      <c r="B564" s="3" t="inlineStr">
        <is>
          <t>005141</t>
        </is>
      </c>
      <c r="C564" s="3" t="inlineStr">
        <is>
          <t>004124</t>
        </is>
      </c>
      <c r="D564" s="4" t="n">
        <v>45210</v>
      </c>
      <c r="E564" s="2" t="inlineStr">
        <is>
          <t>16:08</t>
        </is>
      </c>
      <c r="F564" s="5" t="n">
        <v>1096.67</v>
      </c>
      <c r="G564" s="5" t="n"/>
      <c r="H564" s="5" t="n"/>
      <c r="I564" s="5" t="n"/>
      <c r="J564" s="5" t="n">
        <v>219.33</v>
      </c>
      <c r="K564" s="5" t="n"/>
      <c r="L564" s="5" t="n"/>
      <c r="M564" s="5" t="n"/>
      <c r="N564" s="5" t="n"/>
      <c r="O564" s="5" t="n">
        <v>1316</v>
      </c>
      <c r="P564" s="5" t="n"/>
      <c r="Q564" s="5" t="n">
        <v>1316</v>
      </c>
      <c r="R564" s="5" t="n"/>
    </row>
    <row r="565">
      <c r="A565" s="2" t="inlineStr">
        <is>
          <t>EJ101123.TXT</t>
        </is>
      </c>
      <c r="B565" s="3" t="inlineStr">
        <is>
          <t>005142</t>
        </is>
      </c>
      <c r="C565" s="3" t="inlineStr">
        <is>
          <t>004125</t>
        </is>
      </c>
      <c r="D565" s="4" t="n">
        <v>45213</v>
      </c>
      <c r="E565" s="2" t="inlineStr">
        <is>
          <t>13:40</t>
        </is>
      </c>
      <c r="F565" s="5" t="n">
        <v>274.17</v>
      </c>
      <c r="G565" s="5" t="n"/>
      <c r="H565" s="5" t="n"/>
      <c r="I565" s="5" t="n"/>
      <c r="J565" s="5" t="n">
        <v>54.83</v>
      </c>
      <c r="K565" s="5" t="n"/>
      <c r="L565" s="5" t="n"/>
      <c r="M565" s="5" t="n"/>
      <c r="N565" s="5" t="n"/>
      <c r="O565" s="5" t="n">
        <v>329</v>
      </c>
      <c r="P565" s="5" t="n">
        <v>329</v>
      </c>
      <c r="Q565" s="5" t="n"/>
      <c r="R565" s="5" t="n"/>
    </row>
    <row r="566">
      <c r="A566" s="2" t="inlineStr">
        <is>
          <t>EJ101123.TXT</t>
        </is>
      </c>
      <c r="B566" s="3" t="inlineStr">
        <is>
          <t>005143</t>
        </is>
      </c>
      <c r="C566" s="3" t="inlineStr">
        <is>
          <t>004126</t>
        </is>
      </c>
      <c r="D566" s="4" t="n">
        <v>45213</v>
      </c>
      <c r="E566" s="2" t="inlineStr">
        <is>
          <t>15:52</t>
        </is>
      </c>
      <c r="F566" s="5" t="n">
        <v>274.17</v>
      </c>
      <c r="G566" s="5" t="n"/>
      <c r="H566" s="5" t="n"/>
      <c r="I566" s="5" t="n"/>
      <c r="J566" s="5" t="n">
        <v>54.83</v>
      </c>
      <c r="K566" s="5" t="n"/>
      <c r="L566" s="5" t="n"/>
      <c r="M566" s="5" t="n"/>
      <c r="N566" s="5" t="n"/>
      <c r="O566" s="5" t="n">
        <v>329</v>
      </c>
      <c r="P566" s="5" t="n">
        <v>329</v>
      </c>
      <c r="Q566" s="5" t="n"/>
      <c r="R566" s="5" t="n"/>
    </row>
    <row r="567">
      <c r="A567" s="2" t="inlineStr">
        <is>
          <t>EJ101123.TXT</t>
        </is>
      </c>
      <c r="B567" s="3" t="inlineStr">
        <is>
          <t>005144</t>
        </is>
      </c>
      <c r="C567" s="3" t="inlineStr">
        <is>
          <t>004127</t>
        </is>
      </c>
      <c r="D567" s="4" t="n">
        <v>45213</v>
      </c>
      <c r="E567" s="2" t="inlineStr">
        <is>
          <t>17:08</t>
        </is>
      </c>
      <c r="F567" s="5" t="n">
        <v>8240.83</v>
      </c>
      <c r="G567" s="5" t="n"/>
      <c r="H567" s="5" t="n"/>
      <c r="I567" s="5" t="n"/>
      <c r="J567" s="5" t="n">
        <v>1648.17</v>
      </c>
      <c r="K567" s="5" t="n"/>
      <c r="L567" s="5" t="n"/>
      <c r="M567" s="5" t="n"/>
      <c r="N567" s="5" t="n"/>
      <c r="O567" s="5" t="n">
        <v>9889</v>
      </c>
      <c r="P567" s="5" t="n">
        <v>9889</v>
      </c>
      <c r="Q567" s="5" t="n"/>
      <c r="R567" s="5" t="n"/>
    </row>
    <row r="568">
      <c r="A568" s="2" t="inlineStr">
        <is>
          <t>EJ101123.TXT</t>
        </is>
      </c>
      <c r="B568" s="3" t="inlineStr">
        <is>
          <t>005145</t>
        </is>
      </c>
      <c r="C568" s="3" t="inlineStr">
        <is>
          <t>004128</t>
        </is>
      </c>
      <c r="D568" s="4" t="n">
        <v>45216</v>
      </c>
      <c r="E568" s="2" t="inlineStr">
        <is>
          <t>10:17</t>
        </is>
      </c>
      <c r="F568" s="5" t="n">
        <v>1165</v>
      </c>
      <c r="G568" s="5" t="n"/>
      <c r="H568" s="5" t="n"/>
      <c r="I568" s="5" t="n"/>
      <c r="J568" s="5" t="n">
        <v>233</v>
      </c>
      <c r="K568" s="5" t="n"/>
      <c r="L568" s="5" t="n"/>
      <c r="M568" s="5" t="n"/>
      <c r="N568" s="5" t="n"/>
      <c r="O568" s="5" t="n">
        <v>1398</v>
      </c>
      <c r="P568" s="5" t="n">
        <v>1398</v>
      </c>
      <c r="Q568" s="5" t="n"/>
      <c r="R568" s="5" t="n"/>
    </row>
    <row r="569">
      <c r="A569" s="2" t="inlineStr">
        <is>
          <t>EJ101123.TXT</t>
        </is>
      </c>
      <c r="B569" s="3" t="inlineStr">
        <is>
          <t>005146</t>
        </is>
      </c>
      <c r="C569" s="3" t="inlineStr">
        <is>
          <t>004129</t>
        </is>
      </c>
      <c r="D569" s="4" t="n">
        <v>45216</v>
      </c>
      <c r="E569" s="2" t="inlineStr">
        <is>
          <t>15:28</t>
        </is>
      </c>
      <c r="F569" s="5" t="n">
        <v>37.5</v>
      </c>
      <c r="G569" s="5" t="n"/>
      <c r="H569" s="5" t="n"/>
      <c r="I569" s="5" t="n"/>
      <c r="J569" s="5" t="n">
        <v>7.5</v>
      </c>
      <c r="K569" s="5" t="n"/>
      <c r="L569" s="5" t="n"/>
      <c r="M569" s="5" t="n"/>
      <c r="N569" s="5" t="n"/>
      <c r="O569" s="5" t="n">
        <v>45</v>
      </c>
      <c r="P569" s="5" t="n"/>
      <c r="Q569" s="5" t="n">
        <v>45</v>
      </c>
      <c r="R569" s="5" t="n"/>
    </row>
    <row r="570">
      <c r="A570" s="2" t="inlineStr">
        <is>
          <t>EJ101123.TXT</t>
        </is>
      </c>
      <c r="B570" s="3" t="inlineStr">
        <is>
          <t>005147</t>
        </is>
      </c>
      <c r="C570" s="3" t="inlineStr">
        <is>
          <t>004130</t>
        </is>
      </c>
      <c r="D570" s="4" t="n">
        <v>45216</v>
      </c>
      <c r="E570" s="2" t="inlineStr">
        <is>
          <t>16:11</t>
        </is>
      </c>
      <c r="F570" s="5" t="n">
        <v>995.83</v>
      </c>
      <c r="G570" s="5" t="n"/>
      <c r="H570" s="5" t="n"/>
      <c r="I570" s="5" t="n"/>
      <c r="J570" s="5" t="n">
        <v>199.17</v>
      </c>
      <c r="K570" s="5" t="n"/>
      <c r="L570" s="5" t="n"/>
      <c r="M570" s="5" t="n"/>
      <c r="N570" s="5" t="n"/>
      <c r="O570" s="5" t="n">
        <v>1195</v>
      </c>
      <c r="P570" s="5" t="n">
        <v>1195</v>
      </c>
      <c r="Q570" s="5" t="n"/>
      <c r="R570" s="5" t="n"/>
    </row>
    <row r="571">
      <c r="A571" s="2" t="inlineStr">
        <is>
          <t>EJ101123.TXT</t>
        </is>
      </c>
      <c r="B571" s="3" t="inlineStr">
        <is>
          <t>005148</t>
        </is>
      </c>
      <c r="C571" s="3" t="inlineStr">
        <is>
          <t>004131</t>
        </is>
      </c>
      <c r="D571" s="4" t="n">
        <v>45220</v>
      </c>
      <c r="E571" s="2" t="inlineStr">
        <is>
          <t>14:48</t>
        </is>
      </c>
      <c r="F571" s="5" t="n">
        <v>124.17</v>
      </c>
      <c r="G571" s="5" t="n"/>
      <c r="H571" s="5" t="n"/>
      <c r="I571" s="5" t="n"/>
      <c r="J571" s="5" t="n">
        <v>24.83</v>
      </c>
      <c r="K571" s="5" t="n"/>
      <c r="L571" s="5" t="n"/>
      <c r="M571" s="5" t="n"/>
      <c r="N571" s="5" t="n"/>
      <c r="O571" s="5" t="n">
        <v>149</v>
      </c>
      <c r="P571" s="5" t="n"/>
      <c r="Q571" s="5" t="n">
        <v>149</v>
      </c>
      <c r="R571" s="5" t="n"/>
    </row>
    <row r="572">
      <c r="A572" s="2" t="inlineStr">
        <is>
          <t>EJ101123.TXT</t>
        </is>
      </c>
      <c r="B572" s="3" t="inlineStr">
        <is>
          <t>005149</t>
        </is>
      </c>
      <c r="C572" s="3" t="inlineStr">
        <is>
          <t>004132</t>
        </is>
      </c>
      <c r="D572" s="4" t="n">
        <v>45222</v>
      </c>
      <c r="E572" s="2" t="inlineStr">
        <is>
          <t>15:36</t>
        </is>
      </c>
      <c r="F572" s="5" t="n">
        <v>202.5</v>
      </c>
      <c r="G572" s="5" t="n"/>
      <c r="H572" s="5" t="n"/>
      <c r="I572" s="5" t="n"/>
      <c r="J572" s="5" t="n">
        <v>40.5</v>
      </c>
      <c r="K572" s="5" t="n"/>
      <c r="L572" s="5" t="n"/>
      <c r="M572" s="5" t="n"/>
      <c r="N572" s="5" t="n"/>
      <c r="O572" s="5" t="n">
        <v>243</v>
      </c>
      <c r="P572" s="5" t="n">
        <v>243</v>
      </c>
      <c r="Q572" s="5" t="n"/>
      <c r="R572" s="5" t="n"/>
    </row>
    <row r="573">
      <c r="A573" s="2" t="inlineStr">
        <is>
          <t>EJ101123.TXT</t>
        </is>
      </c>
      <c r="B573" s="3" t="inlineStr">
        <is>
          <t>005150</t>
        </is>
      </c>
      <c r="C573" s="3" t="inlineStr">
        <is>
          <t>004133</t>
        </is>
      </c>
      <c r="D573" s="4" t="n">
        <v>45222</v>
      </c>
      <c r="E573" s="2" t="inlineStr">
        <is>
          <t>16:05</t>
        </is>
      </c>
      <c r="F573" s="5" t="n">
        <v>531.67</v>
      </c>
      <c r="G573" s="5" t="n"/>
      <c r="H573" s="5" t="n"/>
      <c r="I573" s="5" t="n"/>
      <c r="J573" s="5" t="n">
        <v>106.33</v>
      </c>
      <c r="K573" s="5" t="n"/>
      <c r="L573" s="5" t="n"/>
      <c r="M573" s="5" t="n"/>
      <c r="N573" s="5" t="n"/>
      <c r="O573" s="5" t="n">
        <v>638</v>
      </c>
      <c r="P573" s="5" t="n"/>
      <c r="Q573" s="5" t="n">
        <v>638</v>
      </c>
      <c r="R573" s="5" t="n"/>
    </row>
    <row r="574">
      <c r="A574" s="2" t="inlineStr">
        <is>
          <t>EJ101123.TXT</t>
        </is>
      </c>
      <c r="B574" s="3" t="inlineStr">
        <is>
          <t>005151</t>
        </is>
      </c>
      <c r="C574" s="3" t="inlineStr">
        <is>
          <t>004134</t>
        </is>
      </c>
      <c r="D574" s="4" t="n">
        <v>45222</v>
      </c>
      <c r="E574" s="2" t="inlineStr">
        <is>
          <t>16:29</t>
        </is>
      </c>
      <c r="F574" s="5" t="n">
        <v>274.17</v>
      </c>
      <c r="G574" s="5" t="n"/>
      <c r="H574" s="5" t="n"/>
      <c r="I574" s="5" t="n"/>
      <c r="J574" s="5" t="n">
        <v>54.83</v>
      </c>
      <c r="K574" s="5" t="n"/>
      <c r="L574" s="5" t="n"/>
      <c r="M574" s="5" t="n"/>
      <c r="N574" s="5" t="n"/>
      <c r="O574" s="5" t="n">
        <v>329</v>
      </c>
      <c r="P574" s="5" t="n"/>
      <c r="Q574" s="5" t="n">
        <v>329</v>
      </c>
      <c r="R574" s="5" t="n"/>
    </row>
    <row r="575">
      <c r="A575" s="2" t="inlineStr">
        <is>
          <t>EJ101123.TXT</t>
        </is>
      </c>
      <c r="B575" s="3" t="inlineStr">
        <is>
          <t>005152</t>
        </is>
      </c>
      <c r="C575" s="3" t="inlineStr">
        <is>
          <t>004135</t>
        </is>
      </c>
      <c r="D575" s="4" t="n">
        <v>45222</v>
      </c>
      <c r="E575" s="2" t="inlineStr">
        <is>
          <t>16:39</t>
        </is>
      </c>
      <c r="F575" s="5" t="n">
        <v>274.17</v>
      </c>
      <c r="G575" s="5" t="n"/>
      <c r="H575" s="5" t="n"/>
      <c r="I575" s="5" t="n"/>
      <c r="J575" s="5" t="n">
        <v>54.83</v>
      </c>
      <c r="K575" s="5" t="n"/>
      <c r="L575" s="5" t="n"/>
      <c r="M575" s="5" t="n"/>
      <c r="N575" s="5" t="n"/>
      <c r="O575" s="5" t="n">
        <v>329</v>
      </c>
      <c r="P575" s="5" t="n"/>
      <c r="Q575" s="5" t="n">
        <v>329</v>
      </c>
      <c r="R575" s="5" t="n"/>
    </row>
    <row r="576">
      <c r="A576" s="2" t="inlineStr">
        <is>
          <t>EJ101123.TXT</t>
        </is>
      </c>
      <c r="B576" s="3" t="inlineStr">
        <is>
          <t>005153</t>
        </is>
      </c>
      <c r="C576" s="3" t="inlineStr">
        <is>
          <t>004136</t>
        </is>
      </c>
      <c r="D576" s="4" t="n">
        <v>45223</v>
      </c>
      <c r="E576" s="2" t="inlineStr">
        <is>
          <t>11:45</t>
        </is>
      </c>
      <c r="F576" s="5" t="n">
        <v>37.5</v>
      </c>
      <c r="G576" s="5" t="n"/>
      <c r="H576" s="5" t="n"/>
      <c r="I576" s="5" t="n"/>
      <c r="J576" s="5" t="n">
        <v>7.5</v>
      </c>
      <c r="K576" s="5" t="n"/>
      <c r="L576" s="5" t="n"/>
      <c r="M576" s="5" t="n"/>
      <c r="N576" s="5" t="n"/>
      <c r="O576" s="5" t="n">
        <v>45</v>
      </c>
      <c r="P576" s="5" t="n">
        <v>45</v>
      </c>
      <c r="Q576" s="5" t="n"/>
      <c r="R576" s="5" t="n"/>
    </row>
    <row r="577">
      <c r="A577" s="2" t="inlineStr">
        <is>
          <t>EJ101123.TXT</t>
        </is>
      </c>
      <c r="B577" s="3" t="inlineStr">
        <is>
          <t>005154</t>
        </is>
      </c>
      <c r="C577" s="3" t="inlineStr">
        <is>
          <t>004137</t>
        </is>
      </c>
      <c r="D577" s="4" t="n">
        <v>45223</v>
      </c>
      <c r="E577" s="2" t="inlineStr">
        <is>
          <t>17:13</t>
        </is>
      </c>
      <c r="F577" s="5" t="n">
        <v>274.17</v>
      </c>
      <c r="G577" s="5" t="n"/>
      <c r="H577" s="5" t="n"/>
      <c r="I577" s="5" t="n"/>
      <c r="J577" s="5" t="n">
        <v>54.83</v>
      </c>
      <c r="K577" s="5" t="n"/>
      <c r="L577" s="5" t="n"/>
      <c r="M577" s="5" t="n"/>
      <c r="N577" s="5" t="n"/>
      <c r="O577" s="5" t="n">
        <v>329</v>
      </c>
      <c r="P577" s="5" t="n"/>
      <c r="Q577" s="5" t="n">
        <v>329</v>
      </c>
      <c r="R577" s="5" t="n"/>
    </row>
    <row r="578">
      <c r="A578" s="2" t="inlineStr">
        <is>
          <t>EJ101123.TXT</t>
        </is>
      </c>
      <c r="B578" s="3" t="inlineStr">
        <is>
          <t>005155</t>
        </is>
      </c>
      <c r="C578" s="3" t="inlineStr">
        <is>
          <t>004138</t>
        </is>
      </c>
      <c r="D578" s="4" t="n">
        <v>45226</v>
      </c>
      <c r="E578" s="2" t="inlineStr">
        <is>
          <t>10:18</t>
        </is>
      </c>
      <c r="F578" s="5" t="n">
        <v>548.33</v>
      </c>
      <c r="G578" s="5" t="n"/>
      <c r="H578" s="5" t="n"/>
      <c r="I578" s="5" t="n"/>
      <c r="J578" s="5" t="n">
        <v>109.67</v>
      </c>
      <c r="K578" s="5" t="n"/>
      <c r="L578" s="5" t="n"/>
      <c r="M578" s="5" t="n"/>
      <c r="N578" s="5" t="n"/>
      <c r="O578" s="5" t="n">
        <v>658</v>
      </c>
      <c r="P578" s="5" t="n"/>
      <c r="Q578" s="5" t="n">
        <v>658</v>
      </c>
      <c r="R578" s="5" t="n"/>
    </row>
    <row r="579">
      <c r="A579" s="2" t="inlineStr">
        <is>
          <t>EJ101123.TXT</t>
        </is>
      </c>
      <c r="B579" s="3" t="inlineStr">
        <is>
          <t>005156</t>
        </is>
      </c>
      <c r="C579" s="3" t="inlineStr">
        <is>
          <t>004139</t>
        </is>
      </c>
      <c r="D579" s="4" t="n">
        <v>45229</v>
      </c>
      <c r="E579" s="2" t="inlineStr">
        <is>
          <t>14:55</t>
        </is>
      </c>
      <c r="F579" s="5" t="n">
        <v>324.17</v>
      </c>
      <c r="G579" s="5" t="n"/>
      <c r="H579" s="5" t="n"/>
      <c r="I579" s="5" t="n"/>
      <c r="J579" s="5" t="n">
        <v>64.83</v>
      </c>
      <c r="K579" s="5" t="n"/>
      <c r="L579" s="5" t="n"/>
      <c r="M579" s="5" t="n"/>
      <c r="N579" s="5" t="n"/>
      <c r="O579" s="5" t="n">
        <v>389</v>
      </c>
      <c r="P579" s="5" t="n"/>
      <c r="Q579" s="5" t="n">
        <v>389</v>
      </c>
      <c r="R579" s="5" t="n"/>
    </row>
    <row r="580">
      <c r="A580" s="2" t="inlineStr">
        <is>
          <t>EJ101123.TXT</t>
        </is>
      </c>
      <c r="B580" s="3" t="inlineStr">
        <is>
          <t>005157</t>
        </is>
      </c>
      <c r="C580" s="3" t="inlineStr">
        <is>
          <t>004140</t>
        </is>
      </c>
      <c r="D580" s="4" t="n">
        <v>45229</v>
      </c>
      <c r="E580" s="2" t="inlineStr">
        <is>
          <t>16:43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</row>
    <row r="581">
      <c r="A581" s="2" t="inlineStr">
        <is>
          <t>EJ101123.TXT</t>
        </is>
      </c>
      <c r="B581" s="3" t="inlineStr">
        <is>
          <t>005158</t>
        </is>
      </c>
      <c r="C581" s="3" t="inlineStr">
        <is>
          <t>004141</t>
        </is>
      </c>
      <c r="D581" s="4" t="n">
        <v>45229</v>
      </c>
      <c r="E581" s="2" t="inlineStr">
        <is>
          <t>16:52</t>
        </is>
      </c>
      <c r="F581" s="5" t="n">
        <v>548.33</v>
      </c>
      <c r="G581" s="5" t="n"/>
      <c r="H581" s="5" t="n"/>
      <c r="I581" s="5" t="n"/>
      <c r="J581" s="5" t="n">
        <v>109.67</v>
      </c>
      <c r="K581" s="5" t="n"/>
      <c r="L581" s="5" t="n"/>
      <c r="M581" s="5" t="n"/>
      <c r="N581" s="5" t="n"/>
      <c r="O581" s="5" t="n">
        <v>658</v>
      </c>
      <c r="P581" s="5" t="n"/>
      <c r="Q581" s="5" t="n">
        <v>658</v>
      </c>
      <c r="R581" s="5" t="n"/>
    </row>
    <row r="582">
      <c r="A582" s="2" t="inlineStr">
        <is>
          <t>EJ101123.TXT</t>
        </is>
      </c>
      <c r="B582" s="3" t="inlineStr">
        <is>
          <t>005159</t>
        </is>
      </c>
      <c r="C582" s="3" t="inlineStr">
        <is>
          <t>004142</t>
        </is>
      </c>
      <c r="D582" s="4" t="n">
        <v>45232</v>
      </c>
      <c r="E582" s="2" t="inlineStr">
        <is>
          <t>15:56</t>
        </is>
      </c>
      <c r="F582" s="5" t="n">
        <v>797.5</v>
      </c>
      <c r="G582" s="5" t="n"/>
      <c r="H582" s="5" t="n"/>
      <c r="I582" s="5" t="n"/>
      <c r="J582" s="5" t="n">
        <v>159.5</v>
      </c>
      <c r="K582" s="5" t="n"/>
      <c r="L582" s="5" t="n"/>
      <c r="M582" s="5" t="n"/>
      <c r="N582" s="5" t="n"/>
      <c r="O582" s="5" t="n">
        <v>957</v>
      </c>
      <c r="P582" s="5" t="n"/>
      <c r="Q582" s="5" t="n">
        <v>957</v>
      </c>
      <c r="R582" s="5" t="n"/>
    </row>
    <row r="583">
      <c r="A583" s="2" t="inlineStr">
        <is>
          <t>EJ101123.TXT</t>
        </is>
      </c>
      <c r="B583" s="3" t="inlineStr">
        <is>
          <t>005160</t>
        </is>
      </c>
      <c r="C583" s="3" t="inlineStr">
        <is>
          <t>004143</t>
        </is>
      </c>
      <c r="D583" s="4" t="n">
        <v>45232</v>
      </c>
      <c r="E583" s="2" t="inlineStr">
        <is>
          <t>15:58</t>
        </is>
      </c>
      <c r="F583" s="5" t="n">
        <v>265.83</v>
      </c>
      <c r="G583" s="5" t="n"/>
      <c r="H583" s="5" t="n"/>
      <c r="I583" s="5" t="n"/>
      <c r="J583" s="5" t="n">
        <v>53.17</v>
      </c>
      <c r="K583" s="5" t="n"/>
      <c r="L583" s="5" t="n"/>
      <c r="M583" s="5" t="n"/>
      <c r="N583" s="5" t="n"/>
      <c r="O583" s="5" t="n">
        <v>319</v>
      </c>
      <c r="P583" s="5" t="n">
        <v>319</v>
      </c>
      <c r="Q583" s="5" t="n"/>
      <c r="R583" s="5" t="n"/>
    </row>
    <row r="584">
      <c r="A584" s="2" t="inlineStr">
        <is>
          <t>EJ101123.TXT</t>
        </is>
      </c>
      <c r="B584" s="3" t="inlineStr">
        <is>
          <t>005161</t>
        </is>
      </c>
      <c r="C584" s="3" t="inlineStr">
        <is>
          <t>004144</t>
        </is>
      </c>
      <c r="D584" s="4" t="n">
        <v>45234</v>
      </c>
      <c r="E584" s="2" t="inlineStr">
        <is>
          <t>15:44</t>
        </is>
      </c>
      <c r="F584" s="5" t="n">
        <v>548.33</v>
      </c>
      <c r="G584" s="5" t="n"/>
      <c r="H584" s="5" t="n"/>
      <c r="I584" s="5" t="n"/>
      <c r="J584" s="5" t="n">
        <v>109.67</v>
      </c>
      <c r="K584" s="5" t="n"/>
      <c r="L584" s="5" t="n"/>
      <c r="M584" s="5" t="n"/>
      <c r="N584" s="5" t="n"/>
      <c r="O584" s="5" t="n">
        <v>658</v>
      </c>
      <c r="P584" s="5" t="n">
        <v>658</v>
      </c>
      <c r="Q584" s="5" t="n"/>
      <c r="R584" s="5" t="n"/>
    </row>
    <row r="585">
      <c r="A585" s="2" t="inlineStr">
        <is>
          <t>EJ101123.TXT</t>
        </is>
      </c>
      <c r="B585" s="3" t="inlineStr">
        <is>
          <t>005162</t>
        </is>
      </c>
      <c r="C585" s="3" t="inlineStr">
        <is>
          <t>004145</t>
        </is>
      </c>
      <c r="D585" s="4" t="n">
        <v>45238</v>
      </c>
      <c r="E585" s="2" t="inlineStr">
        <is>
          <t>16:43</t>
        </is>
      </c>
      <c r="F585" s="5" t="n">
        <v>265.83</v>
      </c>
      <c r="G585" s="5" t="n"/>
      <c r="H585" s="5" t="n"/>
      <c r="I585" s="5" t="n"/>
      <c r="J585" s="5" t="n">
        <v>53.17</v>
      </c>
      <c r="K585" s="5" t="n"/>
      <c r="L585" s="5" t="n"/>
      <c r="M585" s="5" t="n"/>
      <c r="N585" s="5" t="n"/>
      <c r="O585" s="5" t="n">
        <v>319</v>
      </c>
      <c r="P585" s="5" t="n"/>
      <c r="Q585" s="5" t="n">
        <v>319</v>
      </c>
      <c r="R585" s="5" t="n"/>
    </row>
    <row r="586">
      <c r="A586" s="2" t="inlineStr">
        <is>
          <t>EJ101123.TXT</t>
        </is>
      </c>
      <c r="B586" s="3" t="inlineStr">
        <is>
          <t>005163</t>
        </is>
      </c>
      <c r="C586" s="3" t="inlineStr">
        <is>
          <t>004146</t>
        </is>
      </c>
      <c r="D586" s="4" t="n">
        <v>45239</v>
      </c>
      <c r="E586" s="2" t="inlineStr">
        <is>
          <t>12:38</t>
        </is>
      </c>
      <c r="F586" s="5" t="n">
        <v>598.33</v>
      </c>
      <c r="G586" s="5" t="n"/>
      <c r="H586" s="5" t="n"/>
      <c r="I586" s="5" t="n"/>
      <c r="J586" s="5" t="n">
        <v>119.67</v>
      </c>
      <c r="K586" s="5" t="n"/>
      <c r="L586" s="5" t="n"/>
      <c r="M586" s="5" t="n"/>
      <c r="N586" s="5" t="n"/>
      <c r="O586" s="5" t="n">
        <v>718</v>
      </c>
      <c r="P586" s="5" t="n"/>
      <c r="Q586" s="5" t="n">
        <v>718</v>
      </c>
      <c r="R586" s="5" t="n"/>
    </row>
    <row r="587">
      <c r="A587" s="2" t="inlineStr">
        <is>
          <t>EJ101123.TXT</t>
        </is>
      </c>
      <c r="B587" s="3" t="inlineStr">
        <is>
          <t>005164</t>
        </is>
      </c>
      <c r="C587" s="3" t="inlineStr">
        <is>
          <t>004147</t>
        </is>
      </c>
      <c r="D587" s="4" t="n">
        <v>45239</v>
      </c>
      <c r="E587" s="2" t="inlineStr">
        <is>
          <t>16:03</t>
        </is>
      </c>
      <c r="F587" s="5" t="n">
        <v>274.17</v>
      </c>
      <c r="G587" s="5" t="n"/>
      <c r="H587" s="5" t="n"/>
      <c r="I587" s="5" t="n"/>
      <c r="J587" s="5" t="n">
        <v>54.83</v>
      </c>
      <c r="K587" s="5" t="n"/>
      <c r="L587" s="5" t="n"/>
      <c r="M587" s="5" t="n"/>
      <c r="N587" s="5" t="n"/>
      <c r="O587" s="5" t="n">
        <v>329</v>
      </c>
      <c r="P587" s="5" t="n"/>
      <c r="Q587" s="5" t="n">
        <v>329</v>
      </c>
      <c r="R587" s="5" t="n"/>
    </row>
    <row r="588">
      <c r="A588" s="2" t="inlineStr">
        <is>
          <t>EJ011223.TXT</t>
        </is>
      </c>
      <c r="B588" s="3" t="inlineStr">
        <is>
          <t>005173</t>
        </is>
      </c>
      <c r="C588" s="3" t="inlineStr">
        <is>
          <t>004148</t>
        </is>
      </c>
      <c r="D588" s="4" t="n">
        <v>45244</v>
      </c>
      <c r="E588" s="2" t="inlineStr">
        <is>
          <t>12:57</t>
        </is>
      </c>
      <c r="F588" s="5" t="n">
        <v>3240</v>
      </c>
      <c r="G588" s="5" t="n"/>
      <c r="H588" s="5" t="n"/>
      <c r="I588" s="5" t="n"/>
      <c r="J588" s="5" t="n">
        <v>648</v>
      </c>
      <c r="K588" s="5" t="n"/>
      <c r="L588" s="5" t="n"/>
      <c r="M588" s="5" t="n"/>
      <c r="N588" s="5" t="n"/>
      <c r="O588" s="5" t="n">
        <v>3888</v>
      </c>
      <c r="P588" s="5" t="n">
        <v>3888</v>
      </c>
      <c r="Q588" s="5" t="n"/>
      <c r="R588" s="5" t="n"/>
    </row>
    <row r="589">
      <c r="A589" s="2" t="inlineStr">
        <is>
          <t>EJ011223.TXT</t>
        </is>
      </c>
      <c r="B589" s="3" t="inlineStr">
        <is>
          <t>005174</t>
        </is>
      </c>
      <c r="C589" s="3" t="inlineStr">
        <is>
          <t>004149</t>
        </is>
      </c>
      <c r="D589" s="4" t="n">
        <v>45248</v>
      </c>
      <c r="E589" s="2" t="inlineStr">
        <is>
          <t>17:03</t>
        </is>
      </c>
      <c r="F589" s="5" t="n">
        <v>165.83</v>
      </c>
      <c r="G589" s="5" t="n"/>
      <c r="H589" s="5" t="n"/>
      <c r="I589" s="5" t="n"/>
      <c r="J589" s="5" t="n">
        <v>33.17</v>
      </c>
      <c r="K589" s="5" t="n"/>
      <c r="L589" s="5" t="n"/>
      <c r="M589" s="5" t="n"/>
      <c r="N589" s="5" t="n"/>
      <c r="O589" s="5" t="n">
        <v>199</v>
      </c>
      <c r="P589" s="5" t="n"/>
      <c r="Q589" s="5" t="n">
        <v>199</v>
      </c>
      <c r="R589" s="5" t="n"/>
    </row>
    <row r="590">
      <c r="A590" s="2" t="inlineStr">
        <is>
          <t>EJ011223.TXT</t>
        </is>
      </c>
      <c r="B590" s="3" t="inlineStr">
        <is>
          <t>005175</t>
        </is>
      </c>
      <c r="C590" s="3" t="inlineStr">
        <is>
          <t>004150</t>
        </is>
      </c>
      <c r="D590" s="4" t="n">
        <v>45252</v>
      </c>
      <c r="E590" s="2" t="inlineStr">
        <is>
          <t>12:26</t>
        </is>
      </c>
      <c r="F590" s="5" t="n">
        <v>274.17</v>
      </c>
      <c r="G590" s="5" t="n"/>
      <c r="H590" s="5" t="n"/>
      <c r="I590" s="5" t="n"/>
      <c r="J590" s="5" t="n">
        <v>54.83</v>
      </c>
      <c r="K590" s="5" t="n"/>
      <c r="L590" s="5" t="n"/>
      <c r="M590" s="5" t="n"/>
      <c r="N590" s="5" t="n"/>
      <c r="O590" s="5" t="n">
        <v>329</v>
      </c>
      <c r="P590" s="5" t="n"/>
      <c r="Q590" s="5" t="n">
        <v>329</v>
      </c>
      <c r="R590" s="5" t="n"/>
    </row>
    <row r="591">
      <c r="A591" s="2" t="inlineStr">
        <is>
          <t>EJ011223.TXT</t>
        </is>
      </c>
      <c r="B591" s="3" t="inlineStr">
        <is>
          <t>005176</t>
        </is>
      </c>
      <c r="C591" s="3" t="inlineStr">
        <is>
          <t>004151</t>
        </is>
      </c>
      <c r="D591" s="4" t="n">
        <v>45255</v>
      </c>
      <c r="E591" s="2" t="inlineStr">
        <is>
          <t>17:23</t>
        </is>
      </c>
      <c r="F591" s="5" t="n">
        <v>1096.67</v>
      </c>
      <c r="G591" s="5" t="n"/>
      <c r="H591" s="5" t="n"/>
      <c r="I591" s="5" t="n"/>
      <c r="J591" s="5" t="n">
        <v>219.33</v>
      </c>
      <c r="K591" s="5" t="n"/>
      <c r="L591" s="5" t="n"/>
      <c r="M591" s="5" t="n"/>
      <c r="N591" s="5" t="n"/>
      <c r="O591" s="5" t="n">
        <v>1316</v>
      </c>
      <c r="P591" s="5" t="n">
        <v>1316</v>
      </c>
      <c r="Q591" s="5" t="n"/>
      <c r="R591" s="5" t="n"/>
    </row>
    <row r="592">
      <c r="A592" s="2" t="inlineStr">
        <is>
          <t>EJ011223.TXT</t>
        </is>
      </c>
      <c r="B592" s="3" t="inlineStr">
        <is>
          <t>005177</t>
        </is>
      </c>
      <c r="C592" s="3" t="inlineStr">
        <is>
          <t>004152</t>
        </is>
      </c>
      <c r="D592" s="4" t="n">
        <v>45255</v>
      </c>
      <c r="E592" s="2" t="inlineStr">
        <is>
          <t>17:35</t>
        </is>
      </c>
      <c r="F592" s="5" t="n">
        <v>274.17</v>
      </c>
      <c r="G592" s="5" t="n"/>
      <c r="H592" s="5" t="n"/>
      <c r="I592" s="5" t="n"/>
      <c r="J592" s="5" t="n">
        <v>54.83</v>
      </c>
      <c r="K592" s="5" t="n"/>
      <c r="L592" s="5" t="n"/>
      <c r="M592" s="5" t="n"/>
      <c r="N592" s="5" t="n"/>
      <c r="O592" s="5" t="n">
        <v>329</v>
      </c>
      <c r="P592" s="5" t="n"/>
      <c r="Q592" s="5" t="n">
        <v>329</v>
      </c>
      <c r="R592" s="5" t="n"/>
    </row>
    <row r="593">
      <c r="A593" s="2" t="inlineStr">
        <is>
          <t>EJ011223.TXT</t>
        </is>
      </c>
      <c r="B593" s="3" t="inlineStr">
        <is>
          <t>005178</t>
        </is>
      </c>
      <c r="C593" s="3" t="inlineStr">
        <is>
          <t>004153</t>
        </is>
      </c>
      <c r="D593" s="4" t="n">
        <v>45260</v>
      </c>
      <c r="E593" s="2" t="inlineStr">
        <is>
          <t>10:50</t>
        </is>
      </c>
      <c r="F593" s="5" t="n">
        <v>274.17</v>
      </c>
      <c r="G593" s="5" t="n"/>
      <c r="H593" s="5" t="n"/>
      <c r="I593" s="5" t="n"/>
      <c r="J593" s="5" t="n">
        <v>54.83</v>
      </c>
      <c r="K593" s="5" t="n"/>
      <c r="L593" s="5" t="n"/>
      <c r="M593" s="5" t="n"/>
      <c r="N593" s="5" t="n"/>
      <c r="O593" s="5" t="n">
        <v>329</v>
      </c>
      <c r="P593" s="5" t="n"/>
      <c r="Q593" s="5" t="n">
        <v>329</v>
      </c>
      <c r="R593" s="5" t="n"/>
    </row>
    <row r="594">
      <c r="A594" s="2" t="inlineStr">
        <is>
          <t>EJ010124.TXT</t>
        </is>
      </c>
      <c r="B594" s="3" t="inlineStr">
        <is>
          <t>005187</t>
        </is>
      </c>
      <c r="C594" s="3" t="inlineStr">
        <is>
          <t>004154</t>
        </is>
      </c>
      <c r="D594" s="4" t="n">
        <v>45261</v>
      </c>
      <c r="E594" s="2" t="inlineStr">
        <is>
          <t>18:30</t>
        </is>
      </c>
      <c r="F594" s="5" t="n">
        <v>582.5</v>
      </c>
      <c r="G594" s="5" t="n"/>
      <c r="H594" s="5" t="n"/>
      <c r="I594" s="5" t="n"/>
      <c r="J594" s="5" t="n">
        <v>116.5</v>
      </c>
      <c r="K594" s="5" t="n"/>
      <c r="L594" s="5" t="n"/>
      <c r="M594" s="5" t="n"/>
      <c r="N594" s="5" t="n"/>
      <c r="O594" s="5" t="n">
        <v>699</v>
      </c>
      <c r="P594" s="5" t="n"/>
      <c r="Q594" s="5" t="n">
        <v>699</v>
      </c>
      <c r="R594" s="5" t="n"/>
    </row>
    <row r="595">
      <c r="A595" s="2" t="inlineStr">
        <is>
          <t>EJ010124.TXT</t>
        </is>
      </c>
      <c r="B595" s="3" t="inlineStr">
        <is>
          <t>005188</t>
        </is>
      </c>
      <c r="C595" s="3" t="inlineStr">
        <is>
          <t>004155</t>
        </is>
      </c>
      <c r="D595" s="4" t="n">
        <v>45261</v>
      </c>
      <c r="E595" s="2" t="inlineStr">
        <is>
          <t>18:32</t>
        </is>
      </c>
      <c r="F595" s="5" t="n">
        <v>531.67</v>
      </c>
      <c r="G595" s="5" t="n"/>
      <c r="H595" s="5" t="n"/>
      <c r="I595" s="5" t="n"/>
      <c r="J595" s="5" t="n">
        <v>106.33</v>
      </c>
      <c r="K595" s="5" t="n"/>
      <c r="L595" s="5" t="n"/>
      <c r="M595" s="5" t="n"/>
      <c r="N595" s="5" t="n"/>
      <c r="O595" s="5" t="n">
        <v>638</v>
      </c>
      <c r="P595" s="5" t="n"/>
      <c r="Q595" s="5" t="n">
        <v>638</v>
      </c>
      <c r="R595" s="5" t="n"/>
    </row>
    <row r="596">
      <c r="A596" s="2" t="inlineStr">
        <is>
          <t>EJ010124.TXT</t>
        </is>
      </c>
      <c r="B596" s="3" t="inlineStr">
        <is>
          <t>005189</t>
        </is>
      </c>
      <c r="C596" s="3" t="inlineStr">
        <is>
          <t>004156</t>
        </is>
      </c>
      <c r="D596" s="4" t="n">
        <v>45261</v>
      </c>
      <c r="E596" s="2" t="inlineStr">
        <is>
          <t>18:32</t>
        </is>
      </c>
      <c r="F596" s="5" t="n">
        <v>531.67</v>
      </c>
      <c r="G596" s="5" t="n"/>
      <c r="H596" s="5" t="n"/>
      <c r="I596" s="5" t="n"/>
      <c r="J596" s="5" t="n">
        <v>106.33</v>
      </c>
      <c r="K596" s="5" t="n"/>
      <c r="L596" s="5" t="n"/>
      <c r="M596" s="5" t="n"/>
      <c r="N596" s="5" t="n"/>
      <c r="O596" s="5" t="n">
        <v>638</v>
      </c>
      <c r="P596" s="5" t="n"/>
      <c r="Q596" s="5" t="n">
        <v>638</v>
      </c>
      <c r="R596" s="5" t="n"/>
    </row>
    <row r="597">
      <c r="A597" s="2" t="inlineStr">
        <is>
          <t>EJ010124.TXT</t>
        </is>
      </c>
      <c r="B597" s="3" t="inlineStr">
        <is>
          <t>005190</t>
        </is>
      </c>
      <c r="C597" s="3" t="inlineStr">
        <is>
          <t>004157</t>
        </is>
      </c>
      <c r="D597" s="4" t="n">
        <v>45262</v>
      </c>
      <c r="E597" s="2" t="inlineStr">
        <is>
          <t>14:52</t>
        </is>
      </c>
      <c r="F597" s="5" t="n">
        <v>822.5</v>
      </c>
      <c r="G597" s="5" t="n"/>
      <c r="H597" s="5" t="n"/>
      <c r="I597" s="5" t="n"/>
      <c r="J597" s="5" t="n">
        <v>164.5</v>
      </c>
      <c r="K597" s="5" t="n"/>
      <c r="L597" s="5" t="n"/>
      <c r="M597" s="5" t="n"/>
      <c r="N597" s="5" t="n"/>
      <c r="O597" s="5" t="n">
        <v>987</v>
      </c>
      <c r="P597" s="5" t="n"/>
      <c r="Q597" s="5" t="n">
        <v>987</v>
      </c>
      <c r="R597" s="5" t="n"/>
    </row>
    <row r="598">
      <c r="A598" s="2" t="inlineStr">
        <is>
          <t>EJ010124.TXT</t>
        </is>
      </c>
      <c r="B598" s="3" t="inlineStr">
        <is>
          <t>005191</t>
        </is>
      </c>
      <c r="C598" s="3" t="inlineStr">
        <is>
          <t>004158</t>
        </is>
      </c>
      <c r="D598" s="4" t="n">
        <v>45262</v>
      </c>
      <c r="E598" s="2" t="inlineStr">
        <is>
          <t>14:52</t>
        </is>
      </c>
      <c r="F598" s="5" t="n">
        <v>797.5</v>
      </c>
      <c r="G598" s="5" t="n"/>
      <c r="H598" s="5" t="n"/>
      <c r="I598" s="5" t="n"/>
      <c r="J598" s="5" t="n">
        <v>159.5</v>
      </c>
      <c r="K598" s="5" t="n"/>
      <c r="L598" s="5" t="n"/>
      <c r="M598" s="5" t="n"/>
      <c r="N598" s="5" t="n"/>
      <c r="O598" s="5" t="n">
        <v>957</v>
      </c>
      <c r="P598" s="5" t="n"/>
      <c r="Q598" s="5" t="n">
        <v>957</v>
      </c>
      <c r="R598" s="5" t="n"/>
    </row>
    <row r="599">
      <c r="A599" s="2" t="inlineStr">
        <is>
          <t>EJ010124.TXT</t>
        </is>
      </c>
      <c r="B599" s="3" t="inlineStr">
        <is>
          <t>005192</t>
        </is>
      </c>
      <c r="C599" s="3" t="inlineStr">
        <is>
          <t>004159</t>
        </is>
      </c>
      <c r="D599" s="4" t="n">
        <v>45262</v>
      </c>
      <c r="E599" s="2" t="inlineStr">
        <is>
          <t>14:52</t>
        </is>
      </c>
      <c r="F599" s="5" t="n">
        <v>822.5</v>
      </c>
      <c r="G599" s="5" t="n"/>
      <c r="H599" s="5" t="n"/>
      <c r="I599" s="5" t="n"/>
      <c r="J599" s="5" t="n">
        <v>164.5</v>
      </c>
      <c r="K599" s="5" t="n"/>
      <c r="L599" s="5" t="n"/>
      <c r="M599" s="5" t="n"/>
      <c r="N599" s="5" t="n"/>
      <c r="O599" s="5" t="n">
        <v>987</v>
      </c>
      <c r="P599" s="5" t="n"/>
      <c r="Q599" s="5" t="n">
        <v>987</v>
      </c>
      <c r="R599" s="5" t="n"/>
    </row>
    <row r="600">
      <c r="A600" s="2" t="inlineStr">
        <is>
          <t>EJ010124.TXT</t>
        </is>
      </c>
      <c r="B600" s="3" t="inlineStr">
        <is>
          <t>005193</t>
        </is>
      </c>
      <c r="C600" s="3" t="inlineStr">
        <is>
          <t>004160</t>
        </is>
      </c>
      <c r="D600" s="4" t="n">
        <v>45262</v>
      </c>
      <c r="E600" s="2" t="inlineStr">
        <is>
          <t>14:53</t>
        </is>
      </c>
      <c r="F600" s="5" t="n">
        <v>531.67</v>
      </c>
      <c r="G600" s="5" t="n"/>
      <c r="H600" s="5" t="n"/>
      <c r="I600" s="5" t="n"/>
      <c r="J600" s="5" t="n">
        <v>106.33</v>
      </c>
      <c r="K600" s="5" t="n"/>
      <c r="L600" s="5" t="n"/>
      <c r="M600" s="5" t="n"/>
      <c r="N600" s="5" t="n"/>
      <c r="O600" s="5" t="n">
        <v>638</v>
      </c>
      <c r="P600" s="5" t="n"/>
      <c r="Q600" s="5" t="n">
        <v>638</v>
      </c>
      <c r="R600" s="5" t="n"/>
    </row>
    <row r="601">
      <c r="A601" s="2" t="inlineStr">
        <is>
          <t>EJ010124.TXT</t>
        </is>
      </c>
      <c r="B601" s="3" t="inlineStr">
        <is>
          <t>005194</t>
        </is>
      </c>
      <c r="C601" s="3" t="inlineStr">
        <is>
          <t>004161</t>
        </is>
      </c>
      <c r="D601" s="4" t="n">
        <v>45262</v>
      </c>
      <c r="E601" s="2" t="inlineStr">
        <is>
          <t>14:53</t>
        </is>
      </c>
      <c r="F601" s="5" t="n">
        <v>265.83</v>
      </c>
      <c r="G601" s="5" t="n"/>
      <c r="H601" s="5" t="n"/>
      <c r="I601" s="5" t="n"/>
      <c r="J601" s="5" t="n">
        <v>53.17</v>
      </c>
      <c r="K601" s="5" t="n"/>
      <c r="L601" s="5" t="n"/>
      <c r="M601" s="5" t="n"/>
      <c r="N601" s="5" t="n"/>
      <c r="O601" s="5" t="n">
        <v>319</v>
      </c>
      <c r="P601" s="5" t="n"/>
      <c r="Q601" s="5" t="n">
        <v>319</v>
      </c>
      <c r="R601" s="5" t="n"/>
    </row>
    <row r="602">
      <c r="A602" s="2" t="inlineStr">
        <is>
          <t>EJ010124.TXT</t>
        </is>
      </c>
      <c r="B602" s="3" t="inlineStr">
        <is>
          <t>005195</t>
        </is>
      </c>
      <c r="C602" s="3" t="inlineStr">
        <is>
          <t>004162</t>
        </is>
      </c>
      <c r="D602" s="4" t="n">
        <v>45262</v>
      </c>
      <c r="E602" s="2" t="inlineStr">
        <is>
          <t>14:54</t>
        </is>
      </c>
      <c r="F602" s="5" t="n">
        <v>531.67</v>
      </c>
      <c r="G602" s="5" t="n"/>
      <c r="H602" s="5" t="n"/>
      <c r="I602" s="5" t="n"/>
      <c r="J602" s="5" t="n">
        <v>106.33</v>
      </c>
      <c r="K602" s="5" t="n"/>
      <c r="L602" s="5" t="n"/>
      <c r="M602" s="5" t="n"/>
      <c r="N602" s="5" t="n"/>
      <c r="O602" s="5" t="n">
        <v>638</v>
      </c>
      <c r="P602" s="5" t="n"/>
      <c r="Q602" s="5" t="n">
        <v>638</v>
      </c>
      <c r="R602" s="5" t="n"/>
    </row>
    <row r="603">
      <c r="A603" s="2" t="inlineStr">
        <is>
          <t>EJ010124.TXT</t>
        </is>
      </c>
      <c r="B603" s="3" t="inlineStr">
        <is>
          <t>005196</t>
        </is>
      </c>
      <c r="C603" s="3" t="inlineStr">
        <is>
          <t>004163</t>
        </is>
      </c>
      <c r="D603" s="4" t="n">
        <v>45262</v>
      </c>
      <c r="E603" s="2" t="inlineStr">
        <is>
          <t>14:54</t>
        </is>
      </c>
      <c r="F603" s="5" t="n">
        <v>797.5</v>
      </c>
      <c r="G603" s="5" t="n"/>
      <c r="H603" s="5" t="n"/>
      <c r="I603" s="5" t="n"/>
      <c r="J603" s="5" t="n">
        <v>159.5</v>
      </c>
      <c r="K603" s="5" t="n"/>
      <c r="L603" s="5" t="n"/>
      <c r="M603" s="5" t="n"/>
      <c r="N603" s="5" t="n"/>
      <c r="O603" s="5" t="n">
        <v>957</v>
      </c>
      <c r="P603" s="5" t="n"/>
      <c r="Q603" s="5" t="n">
        <v>957</v>
      </c>
      <c r="R603" s="5" t="n"/>
    </row>
    <row r="604">
      <c r="A604" s="2" t="inlineStr">
        <is>
          <t>EJ010124.TXT</t>
        </is>
      </c>
      <c r="B604" s="3" t="inlineStr">
        <is>
          <t>005197</t>
        </is>
      </c>
      <c r="C604" s="3" t="inlineStr">
        <is>
          <t>004164</t>
        </is>
      </c>
      <c r="D604" s="4" t="n">
        <v>45262</v>
      </c>
      <c r="E604" s="2" t="inlineStr">
        <is>
          <t>14:54</t>
        </is>
      </c>
      <c r="F604" s="5" t="n">
        <v>531.67</v>
      </c>
      <c r="G604" s="5" t="n"/>
      <c r="H604" s="5" t="n"/>
      <c r="I604" s="5" t="n"/>
      <c r="J604" s="5" t="n">
        <v>106.33</v>
      </c>
      <c r="K604" s="5" t="n"/>
      <c r="L604" s="5" t="n"/>
      <c r="M604" s="5" t="n"/>
      <c r="N604" s="5" t="n"/>
      <c r="O604" s="5" t="n">
        <v>638</v>
      </c>
      <c r="P604" s="5" t="n"/>
      <c r="Q604" s="5" t="n">
        <v>638</v>
      </c>
      <c r="R604" s="5" t="n"/>
    </row>
    <row r="605">
      <c r="A605" s="2" t="inlineStr">
        <is>
          <t>EJ010124.TXT</t>
        </is>
      </c>
      <c r="B605" s="3" t="inlineStr">
        <is>
          <t>005198</t>
        </is>
      </c>
      <c r="C605" s="3" t="inlineStr">
        <is>
          <t>004165</t>
        </is>
      </c>
      <c r="D605" s="4" t="n">
        <v>45262</v>
      </c>
      <c r="E605" s="2" t="inlineStr">
        <is>
          <t>14:55</t>
        </is>
      </c>
      <c r="F605" s="5" t="n">
        <v>797.5</v>
      </c>
      <c r="G605" s="5" t="n"/>
      <c r="H605" s="5" t="n"/>
      <c r="I605" s="5" t="n"/>
      <c r="J605" s="5" t="n">
        <v>159.5</v>
      </c>
      <c r="K605" s="5" t="n"/>
      <c r="L605" s="5" t="n"/>
      <c r="M605" s="5" t="n"/>
      <c r="N605" s="5" t="n"/>
      <c r="O605" s="5" t="n">
        <v>957</v>
      </c>
      <c r="P605" s="5" t="n"/>
      <c r="Q605" s="5" t="n">
        <v>957</v>
      </c>
      <c r="R605" s="5" t="n"/>
    </row>
    <row r="606">
      <c r="A606" s="2" t="inlineStr">
        <is>
          <t>EJ010124.TXT</t>
        </is>
      </c>
      <c r="B606" s="3" t="inlineStr">
        <is>
          <t>005199</t>
        </is>
      </c>
      <c r="C606" s="3" t="inlineStr">
        <is>
          <t>004166</t>
        </is>
      </c>
      <c r="D606" s="4" t="n">
        <v>45262</v>
      </c>
      <c r="E606" s="2" t="inlineStr">
        <is>
          <t>14:55</t>
        </is>
      </c>
      <c r="F606" s="5" t="n">
        <v>531.67</v>
      </c>
      <c r="G606" s="5" t="n"/>
      <c r="H606" s="5" t="n"/>
      <c r="I606" s="5" t="n"/>
      <c r="J606" s="5" t="n">
        <v>106.33</v>
      </c>
      <c r="K606" s="5" t="n"/>
      <c r="L606" s="5" t="n"/>
      <c r="M606" s="5" t="n"/>
      <c r="N606" s="5" t="n"/>
      <c r="O606" s="5" t="n">
        <v>638</v>
      </c>
      <c r="P606" s="5" t="n"/>
      <c r="Q606" s="5" t="n">
        <v>638</v>
      </c>
      <c r="R606" s="5" t="n"/>
    </row>
    <row r="607">
      <c r="A607" s="2" t="inlineStr">
        <is>
          <t>EJ010124.TXT</t>
        </is>
      </c>
      <c r="B607" s="3" t="inlineStr">
        <is>
          <t>005200</t>
        </is>
      </c>
      <c r="C607" s="3" t="inlineStr">
        <is>
          <t>004167</t>
        </is>
      </c>
      <c r="D607" s="4" t="n">
        <v>45262</v>
      </c>
      <c r="E607" s="2" t="inlineStr">
        <is>
          <t>14:55</t>
        </is>
      </c>
      <c r="F607" s="5" t="n">
        <v>531.67</v>
      </c>
      <c r="G607" s="5" t="n"/>
      <c r="H607" s="5" t="n"/>
      <c r="I607" s="5" t="n"/>
      <c r="J607" s="5" t="n">
        <v>106.33</v>
      </c>
      <c r="K607" s="5" t="n"/>
      <c r="L607" s="5" t="n"/>
      <c r="M607" s="5" t="n"/>
      <c r="N607" s="5" t="n"/>
      <c r="O607" s="5" t="n">
        <v>638</v>
      </c>
      <c r="P607" s="5" t="n"/>
      <c r="Q607" s="5" t="n">
        <v>638</v>
      </c>
      <c r="R607" s="5" t="n"/>
    </row>
    <row r="608">
      <c r="A608" s="2" t="inlineStr">
        <is>
          <t>EJ010124.TXT</t>
        </is>
      </c>
      <c r="B608" s="3" t="inlineStr">
        <is>
          <t>005201</t>
        </is>
      </c>
      <c r="C608" s="3" t="inlineStr">
        <is>
          <t>004168</t>
        </is>
      </c>
      <c r="D608" s="4" t="n">
        <v>45263</v>
      </c>
      <c r="E608" s="2" t="inlineStr">
        <is>
          <t>19:01</t>
        </is>
      </c>
      <c r="F608" s="5" t="n">
        <v>1133.33</v>
      </c>
      <c r="G608" s="5" t="n"/>
      <c r="H608" s="5" t="n"/>
      <c r="I608" s="5" t="n"/>
      <c r="J608" s="5" t="n">
        <v>226.67</v>
      </c>
      <c r="K608" s="5" t="n"/>
      <c r="L608" s="5" t="n"/>
      <c r="M608" s="5" t="n"/>
      <c r="N608" s="5" t="n"/>
      <c r="O608" s="5" t="n">
        <v>1360</v>
      </c>
      <c r="P608" s="5" t="n"/>
      <c r="Q608" s="5" t="n">
        <v>1360</v>
      </c>
      <c r="R608" s="5" t="n"/>
    </row>
    <row r="609">
      <c r="A609" s="2" t="inlineStr">
        <is>
          <t>EJ010124.TXT</t>
        </is>
      </c>
      <c r="B609" s="3" t="inlineStr">
        <is>
          <t>005202</t>
        </is>
      </c>
      <c r="C609" s="3" t="inlineStr">
        <is>
          <t>004169</t>
        </is>
      </c>
      <c r="D609" s="4" t="n">
        <v>45267</v>
      </c>
      <c r="E609" s="2" t="inlineStr">
        <is>
          <t>18:10</t>
        </is>
      </c>
      <c r="F609" s="5" t="n">
        <v>165.83</v>
      </c>
      <c r="G609" s="5" t="n"/>
      <c r="H609" s="5" t="n"/>
      <c r="I609" s="5" t="n"/>
      <c r="J609" s="5" t="n">
        <v>33.17</v>
      </c>
      <c r="K609" s="5" t="n"/>
      <c r="L609" s="5" t="n"/>
      <c r="M609" s="5" t="n"/>
      <c r="N609" s="5" t="n"/>
      <c r="O609" s="5" t="n">
        <v>199</v>
      </c>
      <c r="P609" s="5" t="n"/>
      <c r="Q609" s="5" t="n">
        <v>199</v>
      </c>
      <c r="R609" s="5" t="n"/>
    </row>
    <row r="610">
      <c r="A610" s="2" t="inlineStr">
        <is>
          <t>EJ010124.TXT</t>
        </is>
      </c>
      <c r="B610" s="3" t="inlineStr">
        <is>
          <t>005203</t>
        </is>
      </c>
      <c r="C610" s="3" t="inlineStr">
        <is>
          <t>004170</t>
        </is>
      </c>
      <c r="D610" s="4" t="n">
        <v>45267</v>
      </c>
      <c r="E610" s="2" t="inlineStr">
        <is>
          <t>18:15</t>
        </is>
      </c>
      <c r="F610" s="5" t="n">
        <v>199.17</v>
      </c>
      <c r="G610" s="5" t="n"/>
      <c r="H610" s="5" t="n"/>
      <c r="I610" s="5" t="n"/>
      <c r="J610" s="5" t="n">
        <v>39.83</v>
      </c>
      <c r="K610" s="5" t="n"/>
      <c r="L610" s="5" t="n"/>
      <c r="M610" s="5" t="n"/>
      <c r="N610" s="5" t="n"/>
      <c r="O610" s="5" t="n">
        <v>239</v>
      </c>
      <c r="P610" s="5" t="n">
        <v>239</v>
      </c>
      <c r="Q610" s="5" t="n"/>
      <c r="R610" s="5" t="n"/>
    </row>
    <row r="611">
      <c r="A611" s="2" t="inlineStr">
        <is>
          <t>EJ010124.TXT</t>
        </is>
      </c>
      <c r="B611" s="3" t="inlineStr">
        <is>
          <t>005204</t>
        </is>
      </c>
      <c r="C611" s="3" t="inlineStr">
        <is>
          <t>004171</t>
        </is>
      </c>
      <c r="D611" s="4" t="n">
        <v>45268</v>
      </c>
      <c r="E611" s="2" t="inlineStr">
        <is>
          <t>17:16</t>
        </is>
      </c>
      <c r="F611" s="5" t="n">
        <v>4185</v>
      </c>
      <c r="G611" s="5" t="n"/>
      <c r="H611" s="5" t="n"/>
      <c r="I611" s="5" t="n"/>
      <c r="J611" s="5" t="n">
        <v>837</v>
      </c>
      <c r="K611" s="5" t="n"/>
      <c r="L611" s="5" t="n"/>
      <c r="M611" s="5" t="n"/>
      <c r="N611" s="5" t="n"/>
      <c r="O611" s="5" t="n">
        <v>5022</v>
      </c>
      <c r="P611" s="5" t="n">
        <v>5022</v>
      </c>
      <c r="Q611" s="5" t="n"/>
      <c r="R611" s="5" t="n"/>
    </row>
    <row r="612">
      <c r="A612" s="2" t="inlineStr">
        <is>
          <t>EJ010124.TXT</t>
        </is>
      </c>
      <c r="B612" s="3" t="inlineStr">
        <is>
          <t>005205</t>
        </is>
      </c>
      <c r="C612" s="3" t="inlineStr">
        <is>
          <t>004172</t>
        </is>
      </c>
      <c r="D612" s="4" t="n">
        <v>45280</v>
      </c>
      <c r="E612" s="2" t="inlineStr">
        <is>
          <t>18:16</t>
        </is>
      </c>
      <c r="F612" s="5" t="n">
        <v>582.5</v>
      </c>
      <c r="G612" s="5" t="n"/>
      <c r="H612" s="5" t="n"/>
      <c r="I612" s="5" t="n"/>
      <c r="J612" s="5" t="n">
        <v>116.5</v>
      </c>
      <c r="K612" s="5" t="n"/>
      <c r="L612" s="5" t="n"/>
      <c r="M612" s="5" t="n"/>
      <c r="N612" s="5" t="n"/>
      <c r="O612" s="5" t="n">
        <v>699</v>
      </c>
      <c r="P612" s="5" t="n">
        <v>699</v>
      </c>
      <c r="Q612" s="5" t="n"/>
      <c r="R612" s="5" t="n"/>
    </row>
    <row r="613">
      <c r="A613" s="2" t="inlineStr">
        <is>
          <t>EJ010124.TXT</t>
        </is>
      </c>
      <c r="B613" s="3" t="inlineStr">
        <is>
          <t>005206</t>
        </is>
      </c>
      <c r="C613" s="3" t="inlineStr">
        <is>
          <t>004173</t>
        </is>
      </c>
      <c r="D613" s="4" t="n">
        <v>45281</v>
      </c>
      <c r="E613" s="2" t="inlineStr">
        <is>
          <t>17:33</t>
        </is>
      </c>
      <c r="F613" s="5" t="n">
        <v>822.5</v>
      </c>
      <c r="G613" s="5" t="n"/>
      <c r="H613" s="5" t="n"/>
      <c r="I613" s="5" t="n"/>
      <c r="J613" s="5" t="n">
        <v>164.5</v>
      </c>
      <c r="K613" s="5" t="n"/>
      <c r="L613" s="5" t="n"/>
      <c r="M613" s="5" t="n"/>
      <c r="N613" s="5" t="n"/>
      <c r="O613" s="5" t="n">
        <v>987</v>
      </c>
      <c r="P613" s="5" t="n"/>
      <c r="Q613" s="5" t="n">
        <v>987</v>
      </c>
      <c r="R613" s="5" t="n"/>
    </row>
    <row r="614">
      <c r="A614" s="2" t="inlineStr">
        <is>
          <t>EJ010124.TXT</t>
        </is>
      </c>
      <c r="B614" s="3" t="inlineStr">
        <is>
          <t>005207</t>
        </is>
      </c>
      <c r="C614" s="3" t="inlineStr">
        <is>
          <t>004174</t>
        </is>
      </c>
      <c r="D614" s="4" t="n">
        <v>45282</v>
      </c>
      <c r="E614" s="2" t="inlineStr">
        <is>
          <t>15:40</t>
        </is>
      </c>
      <c r="F614" s="5" t="n">
        <v>274.17</v>
      </c>
      <c r="G614" s="5" t="n"/>
      <c r="H614" s="5" t="n"/>
      <c r="I614" s="5" t="n"/>
      <c r="J614" s="5" t="n">
        <v>54.83</v>
      </c>
      <c r="K614" s="5" t="n"/>
      <c r="L614" s="5" t="n"/>
      <c r="M614" s="5" t="n"/>
      <c r="N614" s="5" t="n"/>
      <c r="O614" s="5" t="n">
        <v>329</v>
      </c>
      <c r="P614" s="5" t="n">
        <v>329</v>
      </c>
      <c r="Q614" s="5" t="n"/>
      <c r="R614" s="5" t="n"/>
    </row>
    <row r="615">
      <c r="A615" s="2" t="inlineStr">
        <is>
          <t>EJ010124.TXT</t>
        </is>
      </c>
      <c r="B615" s="3" t="inlineStr">
        <is>
          <t>005208</t>
        </is>
      </c>
      <c r="C615" s="3" t="inlineStr">
        <is>
          <t>004175</t>
        </is>
      </c>
      <c r="D615" s="4" t="n">
        <v>45282</v>
      </c>
      <c r="E615" s="2" t="inlineStr">
        <is>
          <t>15:45</t>
        </is>
      </c>
      <c r="F615" s="5" t="n">
        <v>482.5</v>
      </c>
      <c r="G615" s="5" t="n"/>
      <c r="H615" s="5" t="n"/>
      <c r="I615" s="5" t="n"/>
      <c r="J615" s="5" t="n">
        <v>96.5</v>
      </c>
      <c r="K615" s="5" t="n"/>
      <c r="L615" s="5" t="n"/>
      <c r="M615" s="5" t="n"/>
      <c r="N615" s="5" t="n"/>
      <c r="O615" s="5" t="n">
        <v>579</v>
      </c>
      <c r="P615" s="5" t="n">
        <v>579</v>
      </c>
      <c r="Q615" s="5" t="n"/>
      <c r="R615" s="5" t="n"/>
    </row>
    <row r="616">
      <c r="A616" s="2" t="inlineStr">
        <is>
          <t>EJ010124.TXT</t>
        </is>
      </c>
      <c r="B616" s="3" t="inlineStr">
        <is>
          <t>005209</t>
        </is>
      </c>
      <c r="C616" s="3" t="inlineStr">
        <is>
          <t>004176</t>
        </is>
      </c>
      <c r="D616" s="4" t="n">
        <v>45282</v>
      </c>
      <c r="E616" s="2" t="inlineStr">
        <is>
          <t>19:39</t>
        </is>
      </c>
      <c r="F616" s="5" t="n">
        <v>274.17</v>
      </c>
      <c r="G616" s="5" t="n"/>
      <c r="H616" s="5" t="n"/>
      <c r="I616" s="5" t="n"/>
      <c r="J616" s="5" t="n">
        <v>54.83</v>
      </c>
      <c r="K616" s="5" t="n"/>
      <c r="L616" s="5" t="n"/>
      <c r="M616" s="5" t="n"/>
      <c r="N616" s="5" t="n"/>
      <c r="O616" s="5" t="n">
        <v>329</v>
      </c>
      <c r="P616" s="5" t="n"/>
      <c r="Q616" s="5" t="n">
        <v>329</v>
      </c>
      <c r="R616" s="5" t="n"/>
    </row>
    <row r="617">
      <c r="A617" s="2" t="inlineStr">
        <is>
          <t>EJ010124.TXT</t>
        </is>
      </c>
      <c r="B617" s="3" t="inlineStr">
        <is>
          <t>005210</t>
        </is>
      </c>
      <c r="C617" s="3" t="inlineStr">
        <is>
          <t>004177</t>
        </is>
      </c>
      <c r="D617" s="4" t="n">
        <v>45283</v>
      </c>
      <c r="E617" s="2" t="inlineStr">
        <is>
          <t>15:39</t>
        </is>
      </c>
      <c r="F617" s="5" t="n">
        <v>274.17</v>
      </c>
      <c r="G617" s="5" t="n"/>
      <c r="H617" s="5" t="n"/>
      <c r="I617" s="5" t="n"/>
      <c r="J617" s="5" t="n">
        <v>54.83</v>
      </c>
      <c r="K617" s="5" t="n"/>
      <c r="L617" s="5" t="n"/>
      <c r="M617" s="5" t="n"/>
      <c r="N617" s="5" t="n"/>
      <c r="O617" s="5" t="n">
        <v>329</v>
      </c>
      <c r="P617" s="5" t="n"/>
      <c r="Q617" s="5" t="n">
        <v>329</v>
      </c>
      <c r="R617" s="5" t="n"/>
    </row>
    <row r="618">
      <c r="A618" s="2" t="inlineStr">
        <is>
          <t>EJ010124.TXT</t>
        </is>
      </c>
      <c r="B618" s="3" t="inlineStr">
        <is>
          <t>005211</t>
        </is>
      </c>
      <c r="C618" s="3" t="inlineStr">
        <is>
          <t>004178</t>
        </is>
      </c>
      <c r="D618" s="4" t="n">
        <v>45283</v>
      </c>
      <c r="E618" s="2" t="inlineStr">
        <is>
          <t>16:10</t>
        </is>
      </c>
      <c r="F618" s="5" t="n">
        <v>822.5</v>
      </c>
      <c r="G618" s="5" t="n"/>
      <c r="H618" s="5" t="n"/>
      <c r="I618" s="5" t="n"/>
      <c r="J618" s="5" t="n">
        <v>164.5</v>
      </c>
      <c r="K618" s="5" t="n"/>
      <c r="L618" s="5" t="n"/>
      <c r="M618" s="5" t="n"/>
      <c r="N618" s="5" t="n"/>
      <c r="O618" s="5" t="n">
        <v>987</v>
      </c>
      <c r="P618" s="5" t="n">
        <v>987</v>
      </c>
      <c r="Q618" s="5" t="n"/>
      <c r="R618" s="5" t="n"/>
    </row>
    <row r="619">
      <c r="A619" s="2" t="inlineStr">
        <is>
          <t>EJ010124.TXT</t>
        </is>
      </c>
      <c r="B619" s="3" t="inlineStr">
        <is>
          <t>005212</t>
        </is>
      </c>
      <c r="C619" s="3" t="inlineStr">
        <is>
          <t>004179</t>
        </is>
      </c>
      <c r="D619" s="4" t="n">
        <v>45283</v>
      </c>
      <c r="E619" s="2" t="inlineStr">
        <is>
          <t>16:29</t>
        </is>
      </c>
      <c r="F619" s="5" t="n">
        <v>548.33</v>
      </c>
      <c r="G619" s="5" t="n"/>
      <c r="H619" s="5" t="n"/>
      <c r="I619" s="5" t="n"/>
      <c r="J619" s="5" t="n">
        <v>109.67</v>
      </c>
      <c r="K619" s="5" t="n"/>
      <c r="L619" s="5" t="n"/>
      <c r="M619" s="5" t="n"/>
      <c r="N619" s="5" t="n"/>
      <c r="O619" s="5" t="n">
        <v>658</v>
      </c>
      <c r="P619" s="5" t="n">
        <v>658</v>
      </c>
      <c r="Q619" s="5" t="n"/>
      <c r="R619" s="5" t="n"/>
    </row>
    <row r="620">
      <c r="A620" s="2" t="inlineStr">
        <is>
          <t>EJ010124.TXT</t>
        </is>
      </c>
      <c r="B620" s="3" t="inlineStr">
        <is>
          <t>005213</t>
        </is>
      </c>
      <c r="C620" s="3" t="inlineStr">
        <is>
          <t>004180</t>
        </is>
      </c>
      <c r="D620" s="4" t="n">
        <v>45283</v>
      </c>
      <c r="E620" s="2" t="inlineStr">
        <is>
          <t>18:30</t>
        </is>
      </c>
      <c r="F620" s="5" t="n">
        <v>548.33</v>
      </c>
      <c r="G620" s="5" t="n"/>
      <c r="H620" s="5" t="n"/>
      <c r="I620" s="5" t="n"/>
      <c r="J620" s="5" t="n">
        <v>109.67</v>
      </c>
      <c r="K620" s="5" t="n"/>
      <c r="L620" s="5" t="n"/>
      <c r="M620" s="5" t="n"/>
      <c r="N620" s="5" t="n"/>
      <c r="O620" s="5" t="n">
        <v>658</v>
      </c>
      <c r="P620" s="5" t="n"/>
      <c r="Q620" s="5" t="n">
        <v>658</v>
      </c>
      <c r="R620" s="5" t="n"/>
    </row>
    <row r="621">
      <c r="A621" s="2" t="inlineStr">
        <is>
          <t>EJ010124.TXT</t>
        </is>
      </c>
      <c r="B621" s="3" t="inlineStr">
        <is>
          <t>005214</t>
        </is>
      </c>
      <c r="C621" s="3" t="inlineStr">
        <is>
          <t>004181</t>
        </is>
      </c>
      <c r="D621" s="4" t="n">
        <v>45286</v>
      </c>
      <c r="E621" s="2" t="inlineStr">
        <is>
          <t>11:49</t>
        </is>
      </c>
      <c r="F621" s="5" t="n">
        <v>797.5</v>
      </c>
      <c r="G621" s="5" t="n"/>
      <c r="H621" s="5" t="n"/>
      <c r="I621" s="5" t="n"/>
      <c r="J621" s="5" t="n">
        <v>159.5</v>
      </c>
      <c r="K621" s="5" t="n"/>
      <c r="L621" s="5" t="n"/>
      <c r="M621" s="5" t="n"/>
      <c r="N621" s="5" t="n"/>
      <c r="O621" s="5" t="n">
        <v>957</v>
      </c>
      <c r="P621" s="5" t="n"/>
      <c r="Q621" s="5" t="n">
        <v>957</v>
      </c>
      <c r="R621" s="5" t="n"/>
    </row>
    <row r="622">
      <c r="A622" s="2" t="inlineStr">
        <is>
          <t>EJ010124.TXT</t>
        </is>
      </c>
      <c r="B622" s="3" t="inlineStr">
        <is>
          <t>005215</t>
        </is>
      </c>
      <c r="C622" s="3" t="inlineStr">
        <is>
          <t>004182</t>
        </is>
      </c>
      <c r="D622" s="4" t="n">
        <v>45286</v>
      </c>
      <c r="E622" s="2" t="inlineStr">
        <is>
          <t>11:50</t>
        </is>
      </c>
      <c r="F622" s="5" t="n">
        <v>815.83</v>
      </c>
      <c r="G622" s="5" t="n"/>
      <c r="H622" s="5" t="n"/>
      <c r="I622" s="5" t="n"/>
      <c r="J622" s="5" t="n">
        <v>163.17</v>
      </c>
      <c r="K622" s="5" t="n"/>
      <c r="L622" s="5" t="n"/>
      <c r="M622" s="5" t="n"/>
      <c r="N622" s="5" t="n"/>
      <c r="O622" s="5" t="n">
        <v>979</v>
      </c>
      <c r="P622" s="5" t="n"/>
      <c r="Q622" s="5" t="n">
        <v>979</v>
      </c>
      <c r="R622" s="5" t="n"/>
    </row>
    <row r="623">
      <c r="A623" s="2" t="inlineStr">
        <is>
          <t>EJ010124.TXT</t>
        </is>
      </c>
      <c r="B623" s="3" t="inlineStr">
        <is>
          <t>005216</t>
        </is>
      </c>
      <c r="C623" s="3" t="inlineStr">
        <is>
          <t>004183</t>
        </is>
      </c>
      <c r="D623" s="4" t="n">
        <v>45286</v>
      </c>
      <c r="E623" s="2" t="inlineStr">
        <is>
          <t>11:50</t>
        </is>
      </c>
      <c r="F623" s="5" t="n">
        <v>614.17</v>
      </c>
      <c r="G623" s="5" t="n"/>
      <c r="H623" s="5" t="n"/>
      <c r="I623" s="5" t="n"/>
      <c r="J623" s="5" t="n">
        <v>122.83</v>
      </c>
      <c r="K623" s="5" t="n"/>
      <c r="L623" s="5" t="n"/>
      <c r="M623" s="5" t="n"/>
      <c r="N623" s="5" t="n"/>
      <c r="O623" s="5" t="n">
        <v>737</v>
      </c>
      <c r="P623" s="5" t="n"/>
      <c r="Q623" s="5" t="n">
        <v>737</v>
      </c>
      <c r="R623" s="5" t="n"/>
    </row>
    <row r="624">
      <c r="A624" s="2" t="inlineStr">
        <is>
          <t>EJ010124.TXT</t>
        </is>
      </c>
      <c r="B624" s="3" t="inlineStr">
        <is>
          <t>005217</t>
        </is>
      </c>
      <c r="C624" s="3" t="inlineStr">
        <is>
          <t>004184</t>
        </is>
      </c>
      <c r="D624" s="4" t="n">
        <v>45286</v>
      </c>
      <c r="E624" s="2" t="inlineStr">
        <is>
          <t>15:48</t>
        </is>
      </c>
      <c r="F624" s="5" t="n">
        <v>274.17</v>
      </c>
      <c r="G624" s="5" t="n"/>
      <c r="H624" s="5" t="n"/>
      <c r="I624" s="5" t="n"/>
      <c r="J624" s="5" t="n">
        <v>54.83</v>
      </c>
      <c r="K624" s="5" t="n"/>
      <c r="L624" s="5" t="n"/>
      <c r="M624" s="5" t="n"/>
      <c r="N624" s="5" t="n"/>
      <c r="O624" s="5" t="n">
        <v>329</v>
      </c>
      <c r="P624" s="5" t="n">
        <v>329</v>
      </c>
      <c r="Q624" s="5" t="n"/>
      <c r="R624" s="5" t="n"/>
    </row>
    <row r="625">
      <c r="A625" s="2" t="inlineStr">
        <is>
          <t>EJ010124.TXT</t>
        </is>
      </c>
      <c r="B625" s="3" t="inlineStr">
        <is>
          <t>005218</t>
        </is>
      </c>
      <c r="C625" s="3" t="inlineStr">
        <is>
          <t>004185</t>
        </is>
      </c>
      <c r="D625" s="4" t="n">
        <v>45286</v>
      </c>
      <c r="E625" s="2" t="inlineStr">
        <is>
          <t>15:49</t>
        </is>
      </c>
      <c r="F625" s="5" t="n">
        <v>274.17</v>
      </c>
      <c r="G625" s="5" t="n"/>
      <c r="H625" s="5" t="n"/>
      <c r="I625" s="5" t="n"/>
      <c r="J625" s="5" t="n">
        <v>54.83</v>
      </c>
      <c r="K625" s="5" t="n"/>
      <c r="L625" s="5" t="n"/>
      <c r="M625" s="5" t="n"/>
      <c r="N625" s="5" t="n"/>
      <c r="O625" s="5" t="n">
        <v>329</v>
      </c>
      <c r="P625" s="5" t="n">
        <v>329</v>
      </c>
      <c r="Q625" s="5" t="n"/>
      <c r="R625" s="5" t="n"/>
    </row>
    <row r="626">
      <c r="A626" s="2" t="inlineStr">
        <is>
          <t>EJ010124.TXT</t>
        </is>
      </c>
      <c r="B626" s="3" t="inlineStr">
        <is>
          <t>005219</t>
        </is>
      </c>
      <c r="C626" s="3" t="inlineStr">
        <is>
          <t>004186</t>
        </is>
      </c>
      <c r="D626" s="4" t="n">
        <v>45286</v>
      </c>
      <c r="E626" s="2" t="inlineStr">
        <is>
          <t>18:05</t>
        </is>
      </c>
      <c r="F626" s="5" t="n">
        <v>531.67</v>
      </c>
      <c r="G626" s="5" t="n"/>
      <c r="H626" s="5" t="n"/>
      <c r="I626" s="5" t="n"/>
      <c r="J626" s="5" t="n">
        <v>106.33</v>
      </c>
      <c r="K626" s="5" t="n"/>
      <c r="L626" s="5" t="n"/>
      <c r="M626" s="5" t="n"/>
      <c r="N626" s="5" t="n"/>
      <c r="O626" s="5" t="n">
        <v>638</v>
      </c>
      <c r="P626" s="5" t="n">
        <v>638</v>
      </c>
      <c r="Q626" s="5" t="n"/>
      <c r="R626" s="5" t="n"/>
    </row>
    <row r="627">
      <c r="A627" s="2" t="inlineStr">
        <is>
          <t>EJ010124.TXT</t>
        </is>
      </c>
      <c r="B627" s="3" t="inlineStr">
        <is>
          <t>005220</t>
        </is>
      </c>
      <c r="C627" s="3" t="inlineStr">
        <is>
          <t>004187</t>
        </is>
      </c>
      <c r="D627" s="4" t="n">
        <v>45287</v>
      </c>
      <c r="E627" s="2" t="inlineStr">
        <is>
          <t>15:44</t>
        </is>
      </c>
      <c r="F627" s="5" t="n">
        <v>398.33</v>
      </c>
      <c r="G627" s="5" t="n"/>
      <c r="H627" s="5" t="n"/>
      <c r="I627" s="5" t="n"/>
      <c r="J627" s="5" t="n">
        <v>79.67</v>
      </c>
      <c r="K627" s="5" t="n"/>
      <c r="L627" s="5" t="n"/>
      <c r="M627" s="5" t="n"/>
      <c r="N627" s="5" t="n"/>
      <c r="O627" s="5" t="n">
        <v>478</v>
      </c>
      <c r="P627" s="5" t="n"/>
      <c r="Q627" s="5" t="n">
        <v>478</v>
      </c>
      <c r="R627" s="5" t="n"/>
    </row>
    <row r="628">
      <c r="A628" s="2" t="inlineStr">
        <is>
          <t>EJ010124.TXT</t>
        </is>
      </c>
      <c r="B628" s="3" t="inlineStr">
        <is>
          <t>005221</t>
        </is>
      </c>
      <c r="C628" s="3" t="inlineStr">
        <is>
          <t>004188</t>
        </is>
      </c>
      <c r="D628" s="4" t="n">
        <v>45288</v>
      </c>
      <c r="E628" s="2" t="inlineStr">
        <is>
          <t>16:46</t>
        </is>
      </c>
      <c r="F628" s="5" t="n">
        <v>274.17</v>
      </c>
      <c r="G628" s="5" t="n"/>
      <c r="H628" s="5" t="n"/>
      <c r="I628" s="5" t="n"/>
      <c r="J628" s="5" t="n">
        <v>54.83</v>
      </c>
      <c r="K628" s="5" t="n"/>
      <c r="L628" s="5" t="n"/>
      <c r="M628" s="5" t="n"/>
      <c r="N628" s="5" t="n"/>
      <c r="O628" s="5" t="n">
        <v>329</v>
      </c>
      <c r="P628" s="5" t="n"/>
      <c r="Q628" s="5" t="n">
        <v>329</v>
      </c>
      <c r="R628" s="5" t="n"/>
    </row>
    <row r="629">
      <c r="A629" s="2" t="inlineStr">
        <is>
          <t>EJ010124.TXT</t>
        </is>
      </c>
      <c r="B629" s="3" t="inlineStr">
        <is>
          <t>005222</t>
        </is>
      </c>
      <c r="C629" s="3" t="inlineStr">
        <is>
          <t>004189</t>
        </is>
      </c>
      <c r="D629" s="4" t="n">
        <v>45290</v>
      </c>
      <c r="E629" s="2" t="inlineStr">
        <is>
          <t>15:47</t>
        </is>
      </c>
      <c r="F629" s="5" t="n">
        <v>548.33</v>
      </c>
      <c r="G629" s="5" t="n"/>
      <c r="H629" s="5" t="n"/>
      <c r="I629" s="5" t="n"/>
      <c r="J629" s="5" t="n">
        <v>109.67</v>
      </c>
      <c r="K629" s="5" t="n"/>
      <c r="L629" s="5" t="n"/>
      <c r="M629" s="5" t="n"/>
      <c r="N629" s="5" t="n"/>
      <c r="O629" s="5" t="n">
        <v>658</v>
      </c>
      <c r="P629" s="5" t="n"/>
      <c r="Q629" s="5" t="n">
        <v>658</v>
      </c>
      <c r="R629" s="5" t="n"/>
    </row>
    <row r="630">
      <c r="A630" s="2" t="inlineStr">
        <is>
          <t>EJ020224.TXT</t>
        </is>
      </c>
      <c r="B630" s="3" t="inlineStr">
        <is>
          <t>005230</t>
        </is>
      </c>
      <c r="C630" s="3" t="inlineStr">
        <is>
          <t>004190</t>
        </is>
      </c>
      <c r="D630" s="4" t="n">
        <v>45295</v>
      </c>
      <c r="E630" s="2" t="inlineStr">
        <is>
          <t>14:36</t>
        </is>
      </c>
      <c r="F630" s="5" t="n">
        <v>797.5</v>
      </c>
      <c r="G630" s="5" t="n"/>
      <c r="H630" s="5" t="n"/>
      <c r="I630" s="5" t="n"/>
      <c r="J630" s="5" t="n">
        <v>159.5</v>
      </c>
      <c r="K630" s="5" t="n"/>
      <c r="L630" s="5" t="n"/>
      <c r="M630" s="5" t="n"/>
      <c r="N630" s="5" t="n"/>
      <c r="O630" s="5" t="n">
        <v>957</v>
      </c>
      <c r="P630" s="5" t="n"/>
      <c r="Q630" s="5" t="n">
        <v>957</v>
      </c>
      <c r="R630" s="5" t="n"/>
    </row>
    <row r="631">
      <c r="A631" s="2" t="inlineStr">
        <is>
          <t>EJ020224.TXT</t>
        </is>
      </c>
      <c r="B631" s="3" t="inlineStr">
        <is>
          <t>005231</t>
        </is>
      </c>
      <c r="C631" s="3" t="inlineStr">
        <is>
          <t>004191</t>
        </is>
      </c>
      <c r="D631" s="4" t="n">
        <v>45295</v>
      </c>
      <c r="E631" s="2" t="inlineStr">
        <is>
          <t>14:37</t>
        </is>
      </c>
      <c r="F631" s="5" t="n">
        <v>531.67</v>
      </c>
      <c r="G631" s="5" t="n"/>
      <c r="H631" s="5" t="n"/>
      <c r="I631" s="5" t="n"/>
      <c r="J631" s="5" t="n">
        <v>106.33</v>
      </c>
      <c r="K631" s="5" t="n"/>
      <c r="L631" s="5" t="n"/>
      <c r="M631" s="5" t="n"/>
      <c r="N631" s="5" t="n"/>
      <c r="O631" s="5" t="n">
        <v>638</v>
      </c>
      <c r="P631" s="5" t="n"/>
      <c r="Q631" s="5" t="n">
        <v>638</v>
      </c>
      <c r="R631" s="5" t="n"/>
    </row>
    <row r="632">
      <c r="A632" s="2" t="inlineStr">
        <is>
          <t>EJ020224.TXT</t>
        </is>
      </c>
      <c r="B632" s="3" t="inlineStr">
        <is>
          <t>005232</t>
        </is>
      </c>
      <c r="C632" s="3" t="inlineStr">
        <is>
          <t>004192</t>
        </is>
      </c>
      <c r="D632" s="4" t="n">
        <v>45295</v>
      </c>
      <c r="E632" s="2" t="inlineStr">
        <is>
          <t>14:37</t>
        </is>
      </c>
      <c r="F632" s="5" t="n">
        <v>265.83</v>
      </c>
      <c r="G632" s="5" t="n"/>
      <c r="H632" s="5" t="n"/>
      <c r="I632" s="5" t="n"/>
      <c r="J632" s="5" t="n">
        <v>53.17</v>
      </c>
      <c r="K632" s="5" t="n"/>
      <c r="L632" s="5" t="n"/>
      <c r="M632" s="5" t="n"/>
      <c r="N632" s="5" t="n"/>
      <c r="O632" s="5" t="n">
        <v>319</v>
      </c>
      <c r="P632" s="5" t="n"/>
      <c r="Q632" s="5" t="n">
        <v>319</v>
      </c>
      <c r="R632" s="5" t="n"/>
    </row>
    <row r="633">
      <c r="A633" s="2" t="inlineStr">
        <is>
          <t>EJ020224.TXT</t>
        </is>
      </c>
      <c r="B633" s="3" t="inlineStr">
        <is>
          <t>005233</t>
        </is>
      </c>
      <c r="C633" s="3" t="inlineStr">
        <is>
          <t>004193</t>
        </is>
      </c>
      <c r="D633" s="4" t="n">
        <v>45295</v>
      </c>
      <c r="E633" s="2" t="inlineStr">
        <is>
          <t>14:37</t>
        </is>
      </c>
      <c r="F633" s="5" t="n">
        <v>797.5</v>
      </c>
      <c r="G633" s="5" t="n"/>
      <c r="H633" s="5" t="n"/>
      <c r="I633" s="5" t="n"/>
      <c r="J633" s="5" t="n">
        <v>159.5</v>
      </c>
      <c r="K633" s="5" t="n"/>
      <c r="L633" s="5" t="n"/>
      <c r="M633" s="5" t="n"/>
      <c r="N633" s="5" t="n"/>
      <c r="O633" s="5" t="n">
        <v>957</v>
      </c>
      <c r="P633" s="5" t="n"/>
      <c r="Q633" s="5" t="n">
        <v>957</v>
      </c>
      <c r="R633" s="5" t="n"/>
    </row>
    <row r="634">
      <c r="A634" s="2" t="inlineStr">
        <is>
          <t>EJ020224.TXT</t>
        </is>
      </c>
      <c r="B634" s="3" t="inlineStr">
        <is>
          <t>005234</t>
        </is>
      </c>
      <c r="C634" s="3" t="inlineStr">
        <is>
          <t>004194</t>
        </is>
      </c>
      <c r="D634" s="4" t="n">
        <v>45295</v>
      </c>
      <c r="E634" s="2" t="inlineStr">
        <is>
          <t>14:37</t>
        </is>
      </c>
      <c r="F634" s="5" t="n">
        <v>797.5</v>
      </c>
      <c r="G634" s="5" t="n"/>
      <c r="H634" s="5" t="n"/>
      <c r="I634" s="5" t="n"/>
      <c r="J634" s="5" t="n">
        <v>159.5</v>
      </c>
      <c r="K634" s="5" t="n"/>
      <c r="L634" s="5" t="n"/>
      <c r="M634" s="5" t="n"/>
      <c r="N634" s="5" t="n"/>
      <c r="O634" s="5" t="n">
        <v>957</v>
      </c>
      <c r="P634" s="5" t="n"/>
      <c r="Q634" s="5" t="n">
        <v>957</v>
      </c>
      <c r="R634" s="5" t="n"/>
    </row>
    <row r="635">
      <c r="A635" s="2" t="inlineStr">
        <is>
          <t>EJ020224.TXT</t>
        </is>
      </c>
      <c r="B635" s="3" t="inlineStr">
        <is>
          <t>005235</t>
        </is>
      </c>
      <c r="C635" s="3" t="inlineStr">
        <is>
          <t>004195</t>
        </is>
      </c>
      <c r="D635" s="4" t="n">
        <v>45295</v>
      </c>
      <c r="E635" s="2" t="inlineStr">
        <is>
          <t>14:46</t>
        </is>
      </c>
      <c r="F635" s="5" t="n">
        <v>548.33</v>
      </c>
      <c r="G635" s="5" t="n"/>
      <c r="H635" s="5" t="n"/>
      <c r="I635" s="5" t="n"/>
      <c r="J635" s="5" t="n">
        <v>109.67</v>
      </c>
      <c r="K635" s="5" t="n"/>
      <c r="L635" s="5" t="n"/>
      <c r="M635" s="5" t="n"/>
      <c r="N635" s="5" t="n"/>
      <c r="O635" s="5" t="n">
        <v>658</v>
      </c>
      <c r="P635" s="5" t="n"/>
      <c r="Q635" s="5" t="n">
        <v>658</v>
      </c>
      <c r="R635" s="5" t="n"/>
    </row>
    <row r="636">
      <c r="A636" s="2" t="inlineStr">
        <is>
          <t>EJ020224.TXT</t>
        </is>
      </c>
      <c r="B636" s="3" t="inlineStr">
        <is>
          <t>005236</t>
        </is>
      </c>
      <c r="C636" s="3" t="inlineStr">
        <is>
          <t>004196</t>
        </is>
      </c>
      <c r="D636" s="4" t="n">
        <v>45295</v>
      </c>
      <c r="E636" s="2" t="inlineStr">
        <is>
          <t>15:25</t>
        </is>
      </c>
      <c r="F636" s="5" t="n">
        <v>548.33</v>
      </c>
      <c r="G636" s="5" t="n"/>
      <c r="H636" s="5" t="n"/>
      <c r="I636" s="5" t="n"/>
      <c r="J636" s="5" t="n">
        <v>109.67</v>
      </c>
      <c r="K636" s="5" t="n"/>
      <c r="L636" s="5" t="n"/>
      <c r="M636" s="5" t="n"/>
      <c r="N636" s="5" t="n"/>
      <c r="O636" s="5" t="n">
        <v>658</v>
      </c>
      <c r="P636" s="5" t="n"/>
      <c r="Q636" s="5" t="n">
        <v>658</v>
      </c>
      <c r="R636" s="5" t="n"/>
    </row>
    <row r="637">
      <c r="A637" s="2" t="inlineStr">
        <is>
          <t>EJ020224.TXT</t>
        </is>
      </c>
      <c r="B637" s="3" t="inlineStr">
        <is>
          <t>005237</t>
        </is>
      </c>
      <c r="C637" s="3" t="inlineStr">
        <is>
          <t>004197</t>
        </is>
      </c>
      <c r="D637" s="4" t="n">
        <v>45301</v>
      </c>
      <c r="E637" s="2" t="inlineStr">
        <is>
          <t>15:41</t>
        </is>
      </c>
      <c r="F637" s="5" t="n">
        <v>548.33</v>
      </c>
      <c r="G637" s="5" t="n"/>
      <c r="H637" s="5" t="n"/>
      <c r="I637" s="5" t="n"/>
      <c r="J637" s="5" t="n">
        <v>109.67</v>
      </c>
      <c r="K637" s="5" t="n"/>
      <c r="L637" s="5" t="n"/>
      <c r="M637" s="5" t="n"/>
      <c r="N637" s="5" t="n"/>
      <c r="O637" s="5" t="n">
        <v>658</v>
      </c>
      <c r="P637" s="5" t="n"/>
      <c r="Q637" s="5" t="n">
        <v>658</v>
      </c>
      <c r="R637" s="5" t="n"/>
    </row>
    <row r="638">
      <c r="A638" s="2" t="inlineStr">
        <is>
          <t>EJ020224.TXT</t>
        </is>
      </c>
      <c r="B638" s="3" t="inlineStr">
        <is>
          <t>005238</t>
        </is>
      </c>
      <c r="C638" s="3" t="inlineStr">
        <is>
          <t>004198</t>
        </is>
      </c>
      <c r="D638" s="4" t="n">
        <v>45301</v>
      </c>
      <c r="E638" s="2" t="inlineStr">
        <is>
          <t>17:19</t>
        </is>
      </c>
      <c r="F638" s="5" t="n">
        <v>274.17</v>
      </c>
      <c r="G638" s="5" t="n"/>
      <c r="H638" s="5" t="n"/>
      <c r="I638" s="5" t="n"/>
      <c r="J638" s="5" t="n">
        <v>54.83</v>
      </c>
      <c r="K638" s="5" t="n"/>
      <c r="L638" s="5" t="n"/>
      <c r="M638" s="5" t="n"/>
      <c r="N638" s="5" t="n"/>
      <c r="O638" s="5" t="n">
        <v>329</v>
      </c>
      <c r="P638" s="5" t="n"/>
      <c r="Q638" s="5" t="n">
        <v>329</v>
      </c>
      <c r="R638" s="5" t="n"/>
    </row>
    <row r="639">
      <c r="A639" s="2" t="inlineStr">
        <is>
          <t>EJ020224.TXT</t>
        </is>
      </c>
      <c r="B639" s="3" t="inlineStr">
        <is>
          <t>005239</t>
        </is>
      </c>
      <c r="C639" s="3" t="inlineStr">
        <is>
          <t>004199</t>
        </is>
      </c>
      <c r="D639" s="4" t="n">
        <v>45302</v>
      </c>
      <c r="E639" s="2" t="inlineStr">
        <is>
          <t>11:53</t>
        </is>
      </c>
      <c r="F639" s="5" t="n">
        <v>274.17</v>
      </c>
      <c r="G639" s="5" t="n"/>
      <c r="H639" s="5" t="n"/>
      <c r="I639" s="5" t="n"/>
      <c r="J639" s="5" t="n">
        <v>54.83</v>
      </c>
      <c r="K639" s="5" t="n"/>
      <c r="L639" s="5" t="n"/>
      <c r="M639" s="5" t="n"/>
      <c r="N639" s="5" t="n"/>
      <c r="O639" s="5" t="n">
        <v>329</v>
      </c>
      <c r="P639" s="5" t="n">
        <v>329</v>
      </c>
      <c r="Q639" s="5" t="n"/>
      <c r="R639" s="5" t="n"/>
    </row>
    <row r="640">
      <c r="A640" s="2" t="inlineStr">
        <is>
          <t>EJ020224.TXT</t>
        </is>
      </c>
      <c r="B640" s="3" t="inlineStr">
        <is>
          <t>005240</t>
        </is>
      </c>
      <c r="C640" s="3" t="inlineStr">
        <is>
          <t>004200</t>
        </is>
      </c>
      <c r="D640" s="4" t="n">
        <v>45304</v>
      </c>
      <c r="E640" s="2" t="inlineStr">
        <is>
          <t>15:49</t>
        </is>
      </c>
      <c r="F640" s="5" t="n">
        <v>274.17</v>
      </c>
      <c r="G640" s="5" t="n"/>
      <c r="H640" s="5" t="n"/>
      <c r="I640" s="5" t="n"/>
      <c r="J640" s="5" t="n">
        <v>54.83</v>
      </c>
      <c r="K640" s="5" t="n"/>
      <c r="L640" s="5" t="n"/>
      <c r="M640" s="5" t="n"/>
      <c r="N640" s="5" t="n"/>
      <c r="O640" s="5" t="n">
        <v>329</v>
      </c>
      <c r="P640" s="5" t="n"/>
      <c r="Q640" s="5" t="n">
        <v>329</v>
      </c>
      <c r="R640" s="5" t="n"/>
    </row>
    <row r="641">
      <c r="A641" s="2" t="inlineStr">
        <is>
          <t>EJ020224.TXT</t>
        </is>
      </c>
      <c r="B641" s="3" t="inlineStr">
        <is>
          <t>005241</t>
        </is>
      </c>
      <c r="C641" s="3" t="inlineStr">
        <is>
          <t>004201</t>
        </is>
      </c>
      <c r="D641" s="4" t="n">
        <v>45304</v>
      </c>
      <c r="E641" s="2" t="inlineStr">
        <is>
          <t>16:11</t>
        </is>
      </c>
      <c r="F641" s="5" t="n">
        <v>856.67</v>
      </c>
      <c r="G641" s="5" t="n"/>
      <c r="H641" s="5" t="n"/>
      <c r="I641" s="5" t="n"/>
      <c r="J641" s="5" t="n">
        <v>171.33</v>
      </c>
      <c r="K641" s="5" t="n"/>
      <c r="L641" s="5" t="n"/>
      <c r="M641" s="5" t="n"/>
      <c r="N641" s="5" t="n"/>
      <c r="O641" s="5" t="n">
        <v>1028</v>
      </c>
      <c r="P641" s="5" t="n">
        <v>1028</v>
      </c>
      <c r="Q641" s="5" t="n"/>
      <c r="R641" s="5" t="n"/>
    </row>
    <row r="642">
      <c r="A642" s="2" t="inlineStr">
        <is>
          <t>EJ020224.TXT</t>
        </is>
      </c>
      <c r="B642" s="3" t="inlineStr">
        <is>
          <t>005242</t>
        </is>
      </c>
      <c r="C642" s="3" t="inlineStr">
        <is>
          <t>004202</t>
        </is>
      </c>
      <c r="D642" s="4" t="n">
        <v>45304</v>
      </c>
      <c r="E642" s="2" t="inlineStr">
        <is>
          <t>16:14</t>
        </is>
      </c>
      <c r="F642" s="5" t="n">
        <v>473.33</v>
      </c>
      <c r="G642" s="5" t="n"/>
      <c r="H642" s="5" t="n"/>
      <c r="I642" s="5" t="n"/>
      <c r="J642" s="5" t="n">
        <v>94.67</v>
      </c>
      <c r="K642" s="5" t="n"/>
      <c r="L642" s="5" t="n"/>
      <c r="M642" s="5" t="n"/>
      <c r="N642" s="5" t="n"/>
      <c r="O642" s="5" t="n">
        <v>568</v>
      </c>
      <c r="P642" s="5" t="n"/>
      <c r="Q642" s="5" t="n">
        <v>568</v>
      </c>
      <c r="R642" s="5" t="n"/>
    </row>
    <row r="643">
      <c r="A643" s="2" t="inlineStr">
        <is>
          <t>EJ020224.TXT</t>
        </is>
      </c>
      <c r="B643" s="3" t="inlineStr">
        <is>
          <t>005243</t>
        </is>
      </c>
      <c r="C643" s="3" t="inlineStr">
        <is>
          <t>004203</t>
        </is>
      </c>
      <c r="D643" s="4" t="n">
        <v>45304</v>
      </c>
      <c r="E643" s="2" t="inlineStr">
        <is>
          <t>16:17</t>
        </is>
      </c>
      <c r="F643" s="5" t="n">
        <v>733.33</v>
      </c>
      <c r="G643" s="5" t="n"/>
      <c r="H643" s="5" t="n"/>
      <c r="I643" s="5" t="n"/>
      <c r="J643" s="5" t="n">
        <v>146.67</v>
      </c>
      <c r="K643" s="5" t="n"/>
      <c r="L643" s="5" t="n"/>
      <c r="M643" s="5" t="n"/>
      <c r="N643" s="5" t="n"/>
      <c r="O643" s="5" t="n">
        <v>880</v>
      </c>
      <c r="P643" s="5" t="n"/>
      <c r="Q643" s="5" t="n">
        <v>880</v>
      </c>
      <c r="R643" s="5" t="n"/>
    </row>
    <row r="644">
      <c r="A644" s="2" t="inlineStr">
        <is>
          <t>EJ020224.TXT</t>
        </is>
      </c>
      <c r="B644" s="3" t="inlineStr">
        <is>
          <t>005244</t>
        </is>
      </c>
      <c r="C644" s="3" t="inlineStr">
        <is>
          <t>004204</t>
        </is>
      </c>
      <c r="D644" s="4" t="n">
        <v>45307</v>
      </c>
      <c r="E644" s="2" t="inlineStr">
        <is>
          <t>12:36</t>
        </is>
      </c>
      <c r="F644" s="5" t="n">
        <v>274.17</v>
      </c>
      <c r="G644" s="5" t="n"/>
      <c r="H644" s="5" t="n"/>
      <c r="I644" s="5" t="n"/>
      <c r="J644" s="5" t="n">
        <v>54.83</v>
      </c>
      <c r="K644" s="5" t="n"/>
      <c r="L644" s="5" t="n"/>
      <c r="M644" s="5" t="n"/>
      <c r="N644" s="5" t="n"/>
      <c r="O644" s="5" t="n">
        <v>329</v>
      </c>
      <c r="P644" s="5" t="n"/>
      <c r="Q644" s="5" t="n">
        <v>329</v>
      </c>
      <c r="R644" s="5" t="n"/>
    </row>
    <row r="645">
      <c r="A645" s="2" t="inlineStr">
        <is>
          <t>EJ020224.TXT</t>
        </is>
      </c>
      <c r="B645" s="3" t="inlineStr">
        <is>
          <t>005245</t>
        </is>
      </c>
      <c r="C645" s="3" t="inlineStr">
        <is>
          <t>004205</t>
        </is>
      </c>
      <c r="D645" s="4" t="n">
        <v>45307</v>
      </c>
      <c r="E645" s="2" t="inlineStr">
        <is>
          <t>14:34</t>
        </is>
      </c>
      <c r="F645" s="5" t="n">
        <v>274.17</v>
      </c>
      <c r="G645" s="5" t="n"/>
      <c r="H645" s="5" t="n"/>
      <c r="I645" s="5" t="n"/>
      <c r="J645" s="5" t="n">
        <v>54.83</v>
      </c>
      <c r="K645" s="5" t="n"/>
      <c r="L645" s="5" t="n"/>
      <c r="M645" s="5" t="n"/>
      <c r="N645" s="5" t="n"/>
      <c r="O645" s="5" t="n">
        <v>329</v>
      </c>
      <c r="P645" s="5" t="n">
        <v>329</v>
      </c>
      <c r="Q645" s="5" t="n"/>
      <c r="R645" s="5" t="n"/>
    </row>
    <row r="646">
      <c r="A646" s="2" t="inlineStr">
        <is>
          <t>EJ020224.TXT</t>
        </is>
      </c>
      <c r="B646" s="3" t="inlineStr">
        <is>
          <t>005246</t>
        </is>
      </c>
      <c r="C646" s="3" t="inlineStr">
        <is>
          <t>004206</t>
        </is>
      </c>
      <c r="D646" s="4" t="n">
        <v>45311</v>
      </c>
      <c r="E646" s="2" t="inlineStr">
        <is>
          <t>16:54</t>
        </is>
      </c>
      <c r="F646" s="5" t="n">
        <v>548.33</v>
      </c>
      <c r="G646" s="5" t="n"/>
      <c r="H646" s="5" t="n"/>
      <c r="I646" s="5" t="n"/>
      <c r="J646" s="5" t="n">
        <v>109.67</v>
      </c>
      <c r="K646" s="5" t="n"/>
      <c r="L646" s="5" t="n"/>
      <c r="M646" s="5" t="n"/>
      <c r="N646" s="5" t="n"/>
      <c r="O646" s="5" t="n">
        <v>658</v>
      </c>
      <c r="P646" s="5" t="n"/>
      <c r="Q646" s="5" t="n">
        <v>658</v>
      </c>
      <c r="R646" s="5" t="n"/>
    </row>
    <row r="647">
      <c r="A647" s="2" t="inlineStr">
        <is>
          <t>EJ020224.TXT</t>
        </is>
      </c>
      <c r="B647" s="3" t="inlineStr">
        <is>
          <t>005247</t>
        </is>
      </c>
      <c r="C647" s="3" t="inlineStr">
        <is>
          <t>004207</t>
        </is>
      </c>
      <c r="D647" s="4" t="n">
        <v>45311</v>
      </c>
      <c r="E647" s="2" t="inlineStr">
        <is>
          <t>17:48</t>
        </is>
      </c>
      <c r="F647" s="5" t="n">
        <v>82.5</v>
      </c>
      <c r="G647" s="5" t="n"/>
      <c r="H647" s="5" t="n"/>
      <c r="I647" s="5" t="n"/>
      <c r="J647" s="5" t="n">
        <v>16.5</v>
      </c>
      <c r="K647" s="5" t="n"/>
      <c r="L647" s="5" t="n"/>
      <c r="M647" s="5" t="n"/>
      <c r="N647" s="5" t="n"/>
      <c r="O647" s="5" t="n">
        <v>99</v>
      </c>
      <c r="P647" s="5" t="n">
        <v>99</v>
      </c>
      <c r="Q647" s="5" t="n"/>
      <c r="R647" s="5" t="n"/>
    </row>
    <row r="648">
      <c r="A648" s="2" t="inlineStr">
        <is>
          <t>EJ020224.TXT</t>
        </is>
      </c>
      <c r="B648" s="3" t="inlineStr">
        <is>
          <t>005248</t>
        </is>
      </c>
      <c r="C648" s="3" t="inlineStr">
        <is>
          <t>004208</t>
        </is>
      </c>
      <c r="D648" s="4" t="n">
        <v>45313</v>
      </c>
      <c r="E648" s="2" t="inlineStr">
        <is>
          <t>17:14</t>
        </is>
      </c>
      <c r="F648" s="5" t="n">
        <v>274.17</v>
      </c>
      <c r="G648" s="5" t="n"/>
      <c r="H648" s="5" t="n"/>
      <c r="I648" s="5" t="n"/>
      <c r="J648" s="5" t="n">
        <v>54.83</v>
      </c>
      <c r="K648" s="5" t="n"/>
      <c r="L648" s="5" t="n"/>
      <c r="M648" s="5" t="n"/>
      <c r="N648" s="5" t="n"/>
      <c r="O648" s="5" t="n">
        <v>329</v>
      </c>
      <c r="P648" s="5" t="n">
        <v>329</v>
      </c>
      <c r="Q648" s="5" t="n"/>
      <c r="R648" s="5" t="n"/>
    </row>
    <row r="649">
      <c r="A649" s="2" t="inlineStr">
        <is>
          <t>EJ020224.TXT</t>
        </is>
      </c>
      <c r="B649" s="3" t="inlineStr">
        <is>
          <t>005249</t>
        </is>
      </c>
      <c r="C649" s="3" t="inlineStr">
        <is>
          <t>004209</t>
        </is>
      </c>
      <c r="D649" s="4" t="n">
        <v>45315</v>
      </c>
      <c r="E649" s="2" t="inlineStr">
        <is>
          <t>11:47</t>
        </is>
      </c>
      <c r="F649" s="5" t="n">
        <v>175</v>
      </c>
      <c r="G649" s="5" t="n"/>
      <c r="H649" s="5" t="n"/>
      <c r="I649" s="5" t="n"/>
      <c r="J649" s="5" t="n">
        <v>35</v>
      </c>
      <c r="K649" s="5" t="n"/>
      <c r="L649" s="5" t="n"/>
      <c r="M649" s="5" t="n"/>
      <c r="N649" s="5" t="n"/>
      <c r="O649" s="5" t="n">
        <v>210</v>
      </c>
      <c r="P649" s="5" t="n">
        <v>210</v>
      </c>
      <c r="Q649" s="5" t="n"/>
      <c r="R649" s="5" t="n"/>
    </row>
    <row r="650">
      <c r="A650" s="2" t="inlineStr">
        <is>
          <t>EJ020224.TXT</t>
        </is>
      </c>
      <c r="B650" s="3" t="inlineStr">
        <is>
          <t>005250</t>
        </is>
      </c>
      <c r="C650" s="3" t="inlineStr">
        <is>
          <t>004210</t>
        </is>
      </c>
      <c r="D650" s="4" t="n">
        <v>45324</v>
      </c>
      <c r="E650" s="2" t="inlineStr">
        <is>
          <t>10:43</t>
        </is>
      </c>
      <c r="F650" s="5" t="n">
        <v>274.17</v>
      </c>
      <c r="G650" s="5" t="n"/>
      <c r="H650" s="5" t="n"/>
      <c r="I650" s="5" t="n"/>
      <c r="J650" s="5" t="n">
        <v>54.83</v>
      </c>
      <c r="K650" s="5" t="n"/>
      <c r="L650" s="5" t="n"/>
      <c r="M650" s="5" t="n"/>
      <c r="N650" s="5" t="n"/>
      <c r="O650" s="5" t="n">
        <v>329</v>
      </c>
      <c r="P650" s="5" t="n"/>
      <c r="Q650" s="5" t="n">
        <v>329</v>
      </c>
      <c r="R650" s="5" t="n"/>
    </row>
    <row r="651">
      <c r="A651" s="2" t="inlineStr">
        <is>
          <t>EJ020324.TXT</t>
        </is>
      </c>
      <c r="B651" s="3" t="inlineStr">
        <is>
          <t>005258</t>
        </is>
      </c>
      <c r="C651" s="3" t="inlineStr">
        <is>
          <t>004211</t>
        </is>
      </c>
      <c r="D651" s="4" t="n">
        <v>45324</v>
      </c>
      <c r="E651" s="2" t="inlineStr">
        <is>
          <t>11:42</t>
        </is>
      </c>
      <c r="F651" s="5" t="n">
        <v>833.33</v>
      </c>
      <c r="G651" s="5" t="n"/>
      <c r="H651" s="5" t="n"/>
      <c r="I651" s="5" t="n"/>
      <c r="J651" s="5" t="n">
        <v>166.67</v>
      </c>
      <c r="K651" s="5" t="n"/>
      <c r="L651" s="5" t="n"/>
      <c r="M651" s="5" t="n"/>
      <c r="N651" s="5" t="n"/>
      <c r="O651" s="5" t="n">
        <v>1000</v>
      </c>
      <c r="P651" s="5" t="n"/>
      <c r="Q651" s="5" t="n">
        <v>1000</v>
      </c>
      <c r="R651" s="5" t="n"/>
    </row>
    <row r="652">
      <c r="A652" s="2" t="inlineStr">
        <is>
          <t>EJ020324.TXT</t>
        </is>
      </c>
      <c r="B652" s="3" t="inlineStr">
        <is>
          <t>005259</t>
        </is>
      </c>
      <c r="C652" s="3" t="inlineStr">
        <is>
          <t>004212</t>
        </is>
      </c>
      <c r="D652" s="4" t="n">
        <v>45324</v>
      </c>
      <c r="E652" s="2" t="inlineStr">
        <is>
          <t>11:43</t>
        </is>
      </c>
      <c r="F652" s="5" t="n">
        <v>822.5</v>
      </c>
      <c r="G652" s="5" t="n"/>
      <c r="H652" s="5" t="n"/>
      <c r="I652" s="5" t="n"/>
      <c r="J652" s="5" t="n">
        <v>164.5</v>
      </c>
      <c r="K652" s="5" t="n"/>
      <c r="L652" s="5" t="n"/>
      <c r="M652" s="5" t="n"/>
      <c r="N652" s="5" t="n"/>
      <c r="O652" s="5" t="n">
        <v>987</v>
      </c>
      <c r="P652" s="5" t="n"/>
      <c r="Q652" s="5" t="n">
        <v>987</v>
      </c>
      <c r="R652" s="5" t="n"/>
    </row>
    <row r="653">
      <c r="A653" s="2" t="inlineStr">
        <is>
          <t>EJ020324.TXT</t>
        </is>
      </c>
      <c r="B653" s="3" t="inlineStr">
        <is>
          <t>005260</t>
        </is>
      </c>
      <c r="C653" s="3" t="inlineStr">
        <is>
          <t>004213</t>
        </is>
      </c>
      <c r="D653" s="4" t="n">
        <v>45324</v>
      </c>
      <c r="E653" s="2" t="inlineStr">
        <is>
          <t>11:44</t>
        </is>
      </c>
      <c r="F653" s="5" t="n">
        <v>822.5</v>
      </c>
      <c r="G653" s="5" t="n"/>
      <c r="H653" s="5" t="n"/>
      <c r="I653" s="5" t="n"/>
      <c r="J653" s="5" t="n">
        <v>164.5</v>
      </c>
      <c r="K653" s="5" t="n"/>
      <c r="L653" s="5" t="n"/>
      <c r="M653" s="5" t="n"/>
      <c r="N653" s="5" t="n"/>
      <c r="O653" s="5" t="n">
        <v>987</v>
      </c>
      <c r="P653" s="5" t="n"/>
      <c r="Q653" s="5" t="n">
        <v>987</v>
      </c>
      <c r="R653" s="5" t="n"/>
    </row>
    <row r="654">
      <c r="A654" s="2" t="inlineStr">
        <is>
          <t>EJ020324.TXT</t>
        </is>
      </c>
      <c r="B654" s="3" t="inlineStr">
        <is>
          <t>005261</t>
        </is>
      </c>
      <c r="C654" s="3" t="inlineStr">
        <is>
          <t>004214</t>
        </is>
      </c>
      <c r="D654" s="4" t="n">
        <v>45324</v>
      </c>
      <c r="E654" s="2" t="inlineStr">
        <is>
          <t>11:45</t>
        </is>
      </c>
      <c r="F654" s="5" t="n">
        <v>625</v>
      </c>
      <c r="G654" s="5" t="n"/>
      <c r="H654" s="5" t="n"/>
      <c r="I654" s="5" t="n"/>
      <c r="J654" s="5" t="n">
        <v>125</v>
      </c>
      <c r="K654" s="5" t="n"/>
      <c r="L654" s="5" t="n"/>
      <c r="M654" s="5" t="n"/>
      <c r="N654" s="5" t="n"/>
      <c r="O654" s="5" t="n">
        <v>750</v>
      </c>
      <c r="P654" s="5" t="n"/>
      <c r="Q654" s="5" t="n">
        <v>750</v>
      </c>
      <c r="R654" s="5" t="n"/>
    </row>
    <row r="655">
      <c r="A655" s="2" t="inlineStr">
        <is>
          <t>EJ020324.TXT</t>
        </is>
      </c>
      <c r="B655" s="3" t="inlineStr">
        <is>
          <t>005262</t>
        </is>
      </c>
      <c r="C655" s="3" t="inlineStr">
        <is>
          <t>004215</t>
        </is>
      </c>
      <c r="D655" s="4" t="n">
        <v>45324</v>
      </c>
      <c r="E655" s="2" t="inlineStr">
        <is>
          <t>11:46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/>
      <c r="Q655" s="5" t="n">
        <v>658</v>
      </c>
      <c r="R655" s="5" t="n"/>
    </row>
    <row r="656">
      <c r="A656" s="2" t="inlineStr">
        <is>
          <t>EJ020324.TXT</t>
        </is>
      </c>
      <c r="B656" s="3" t="inlineStr">
        <is>
          <t>005263</t>
        </is>
      </c>
      <c r="C656" s="3" t="inlineStr">
        <is>
          <t>004216</t>
        </is>
      </c>
      <c r="D656" s="4" t="n">
        <v>45324</v>
      </c>
      <c r="E656" s="2" t="inlineStr">
        <is>
          <t>11:47</t>
        </is>
      </c>
      <c r="F656" s="5" t="n">
        <v>423.33</v>
      </c>
      <c r="G656" s="5" t="n"/>
      <c r="H656" s="5" t="n"/>
      <c r="I656" s="5" t="n"/>
      <c r="J656" s="5" t="n">
        <v>84.67</v>
      </c>
      <c r="K656" s="5" t="n"/>
      <c r="L656" s="5" t="n"/>
      <c r="M656" s="5" t="n"/>
      <c r="N656" s="5" t="n"/>
      <c r="O656" s="5" t="n">
        <v>508</v>
      </c>
      <c r="P656" s="5" t="n"/>
      <c r="Q656" s="5" t="n">
        <v>508</v>
      </c>
      <c r="R656" s="5" t="n"/>
    </row>
    <row r="657">
      <c r="A657" s="2" t="inlineStr">
        <is>
          <t>EJ020324.TXT</t>
        </is>
      </c>
      <c r="B657" s="3" t="inlineStr">
        <is>
          <t>005264</t>
        </is>
      </c>
      <c r="C657" s="3" t="inlineStr">
        <is>
          <t>004217</t>
        </is>
      </c>
      <c r="D657" s="4" t="n">
        <v>45327</v>
      </c>
      <c r="E657" s="2" t="inlineStr">
        <is>
          <t>13:37</t>
        </is>
      </c>
      <c r="F657" s="5" t="n">
        <v>37.5</v>
      </c>
      <c r="G657" s="5" t="n"/>
      <c r="H657" s="5" t="n"/>
      <c r="I657" s="5" t="n"/>
      <c r="J657" s="5" t="n">
        <v>7.5</v>
      </c>
      <c r="K657" s="5" t="n"/>
      <c r="L657" s="5" t="n"/>
      <c r="M657" s="5" t="n"/>
      <c r="N657" s="5" t="n"/>
      <c r="O657" s="5" t="n">
        <v>45</v>
      </c>
      <c r="P657" s="5" t="n">
        <v>45</v>
      </c>
      <c r="Q657" s="5" t="n"/>
      <c r="R657" s="5" t="n"/>
    </row>
    <row r="658">
      <c r="A658" s="2" t="inlineStr">
        <is>
          <t>EJ020324.TXT</t>
        </is>
      </c>
      <c r="B658" s="3" t="inlineStr">
        <is>
          <t>005265</t>
        </is>
      </c>
      <c r="C658" s="3" t="inlineStr">
        <is>
          <t>004218</t>
        </is>
      </c>
      <c r="D658" s="4" t="n">
        <v>45327</v>
      </c>
      <c r="E658" s="2" t="inlineStr">
        <is>
          <t>14:42</t>
        </is>
      </c>
      <c r="F658" s="5" t="n">
        <v>1096.67</v>
      </c>
      <c r="G658" s="5" t="n"/>
      <c r="H658" s="5" t="n"/>
      <c r="I658" s="5" t="n"/>
      <c r="J658" s="5" t="n">
        <v>219.33</v>
      </c>
      <c r="K658" s="5" t="n"/>
      <c r="L658" s="5" t="n"/>
      <c r="M658" s="5" t="n"/>
      <c r="N658" s="5" t="n"/>
      <c r="O658" s="5" t="n">
        <v>1316</v>
      </c>
      <c r="P658" s="5" t="n">
        <v>1316</v>
      </c>
      <c r="Q658" s="5" t="n"/>
      <c r="R658" s="5" t="n"/>
    </row>
    <row r="659">
      <c r="A659" s="2" t="inlineStr">
        <is>
          <t>EJ020324.TXT</t>
        </is>
      </c>
      <c r="B659" s="3" t="inlineStr">
        <is>
          <t>005266</t>
        </is>
      </c>
      <c r="C659" s="3" t="inlineStr">
        <is>
          <t>004219</t>
        </is>
      </c>
      <c r="D659" s="4" t="n">
        <v>45328</v>
      </c>
      <c r="E659" s="2" t="inlineStr">
        <is>
          <t>13:55</t>
        </is>
      </c>
      <c r="F659" s="5" t="n">
        <v>621.67</v>
      </c>
      <c r="G659" s="5" t="n"/>
      <c r="H659" s="5" t="n"/>
      <c r="I659" s="5" t="n"/>
      <c r="J659" s="5" t="n">
        <v>124.33</v>
      </c>
      <c r="K659" s="5" t="n"/>
      <c r="L659" s="5" t="n"/>
      <c r="M659" s="5" t="n"/>
      <c r="N659" s="5" t="n"/>
      <c r="O659" s="5" t="n">
        <v>746</v>
      </c>
      <c r="P659" s="5" t="n">
        <v>746</v>
      </c>
      <c r="Q659" s="5" t="n"/>
      <c r="R659" s="5" t="n"/>
    </row>
    <row r="660">
      <c r="A660" s="2" t="inlineStr">
        <is>
          <t>EJ020324.TXT</t>
        </is>
      </c>
      <c r="B660" s="3" t="inlineStr">
        <is>
          <t>005267</t>
        </is>
      </c>
      <c r="C660" s="3" t="inlineStr">
        <is>
          <t>004220</t>
        </is>
      </c>
      <c r="D660" s="4" t="n">
        <v>45328</v>
      </c>
      <c r="E660" s="2" t="inlineStr">
        <is>
          <t>18:59</t>
        </is>
      </c>
      <c r="F660" s="5" t="n">
        <v>73.33</v>
      </c>
      <c r="G660" s="5" t="n"/>
      <c r="H660" s="5" t="n"/>
      <c r="I660" s="5" t="n"/>
      <c r="J660" s="5" t="n">
        <v>14.67</v>
      </c>
      <c r="K660" s="5" t="n"/>
      <c r="L660" s="5" t="n"/>
      <c r="M660" s="5" t="n"/>
      <c r="N660" s="5" t="n"/>
      <c r="O660" s="5" t="n">
        <v>88</v>
      </c>
      <c r="P660" s="5" t="n">
        <v>88</v>
      </c>
      <c r="Q660" s="5" t="n"/>
      <c r="R660" s="5" t="n"/>
    </row>
    <row r="661">
      <c r="A661" s="2" t="inlineStr">
        <is>
          <t>EJ020324.TXT</t>
        </is>
      </c>
      <c r="B661" s="3" t="inlineStr">
        <is>
          <t>005268</t>
        </is>
      </c>
      <c r="C661" s="3" t="inlineStr">
        <is>
          <t>004221</t>
        </is>
      </c>
      <c r="D661" s="4" t="n">
        <v>45331</v>
      </c>
      <c r="E661" s="2" t="inlineStr">
        <is>
          <t>15:12</t>
        </is>
      </c>
      <c r="F661" s="5" t="n">
        <v>190.83</v>
      </c>
      <c r="G661" s="5" t="n"/>
      <c r="H661" s="5" t="n"/>
      <c r="I661" s="5" t="n"/>
      <c r="J661" s="5" t="n">
        <v>38.17</v>
      </c>
      <c r="K661" s="5" t="n"/>
      <c r="L661" s="5" t="n"/>
      <c r="M661" s="5" t="n"/>
      <c r="N661" s="5" t="n"/>
      <c r="O661" s="5" t="n">
        <v>229</v>
      </c>
      <c r="P661" s="5" t="n">
        <v>229</v>
      </c>
      <c r="Q661" s="5" t="n"/>
      <c r="R661" s="5" t="n"/>
    </row>
    <row r="662">
      <c r="A662" s="2" t="inlineStr">
        <is>
          <t>EJ020324.TXT</t>
        </is>
      </c>
      <c r="B662" s="3" t="inlineStr">
        <is>
          <t>005269</t>
        </is>
      </c>
      <c r="C662" s="3" t="inlineStr">
        <is>
          <t>004222</t>
        </is>
      </c>
      <c r="D662" s="4" t="n">
        <v>45331</v>
      </c>
      <c r="E662" s="2" t="inlineStr">
        <is>
          <t>15:14</t>
        </is>
      </c>
      <c r="F662" s="5" t="n">
        <v>190.83</v>
      </c>
      <c r="G662" s="5" t="n"/>
      <c r="H662" s="5" t="n"/>
      <c r="I662" s="5" t="n"/>
      <c r="J662" s="5" t="n">
        <v>38.17</v>
      </c>
      <c r="K662" s="5" t="n"/>
      <c r="L662" s="5" t="n"/>
      <c r="M662" s="5" t="n"/>
      <c r="N662" s="5" t="n"/>
      <c r="O662" s="5" t="n">
        <v>229</v>
      </c>
      <c r="P662" s="5" t="n">
        <v>229</v>
      </c>
      <c r="Q662" s="5" t="n"/>
      <c r="R662" s="5" t="n"/>
    </row>
    <row r="663">
      <c r="A663" s="2" t="inlineStr">
        <is>
          <t>EJ020324.TXT</t>
        </is>
      </c>
      <c r="B663" s="3" t="inlineStr">
        <is>
          <t>005270</t>
        </is>
      </c>
      <c r="C663" s="3" t="inlineStr">
        <is>
          <t>004223</t>
        </is>
      </c>
      <c r="D663" s="4" t="n">
        <v>45341</v>
      </c>
      <c r="E663" s="2" t="inlineStr">
        <is>
          <t>14:32</t>
        </is>
      </c>
      <c r="F663" s="5" t="n">
        <v>274.17</v>
      </c>
      <c r="G663" s="5" t="n"/>
      <c r="H663" s="5" t="n"/>
      <c r="I663" s="5" t="n"/>
      <c r="J663" s="5" t="n">
        <v>54.83</v>
      </c>
      <c r="K663" s="5" t="n"/>
      <c r="L663" s="5" t="n"/>
      <c r="M663" s="5" t="n"/>
      <c r="N663" s="5" t="n"/>
      <c r="O663" s="5" t="n">
        <v>329</v>
      </c>
      <c r="P663" s="5" t="n">
        <v>329</v>
      </c>
      <c r="Q663" s="5" t="n"/>
      <c r="R663" s="5" t="n"/>
    </row>
    <row r="664">
      <c r="A664" s="2" t="inlineStr">
        <is>
          <t>EJ020324.TXT</t>
        </is>
      </c>
      <c r="B664" s="3" t="inlineStr">
        <is>
          <t>005271</t>
        </is>
      </c>
      <c r="C664" s="3" t="inlineStr">
        <is>
          <t>004224</t>
        </is>
      </c>
      <c r="D664" s="4" t="n">
        <v>45341</v>
      </c>
      <c r="E664" s="2" t="inlineStr">
        <is>
          <t>15:42</t>
        </is>
      </c>
      <c r="F664" s="5" t="n">
        <v>329.17</v>
      </c>
      <c r="G664" s="5" t="n"/>
      <c r="H664" s="5" t="n"/>
      <c r="I664" s="5" t="n"/>
      <c r="J664" s="5" t="n">
        <v>65.83</v>
      </c>
      <c r="K664" s="5" t="n"/>
      <c r="L664" s="5" t="n"/>
      <c r="M664" s="5" t="n"/>
      <c r="N664" s="5" t="n"/>
      <c r="O664" s="5" t="n">
        <v>395</v>
      </c>
      <c r="P664" s="5" t="n"/>
      <c r="Q664" s="5" t="n">
        <v>395</v>
      </c>
      <c r="R664" s="5" t="n"/>
    </row>
    <row r="665">
      <c r="A665" s="2" t="inlineStr">
        <is>
          <t>EJ020324.TXT</t>
        </is>
      </c>
      <c r="B665" s="3" t="inlineStr">
        <is>
          <t>005272</t>
        </is>
      </c>
      <c r="C665" s="3" t="inlineStr">
        <is>
          <t>004225</t>
        </is>
      </c>
      <c r="D665" s="4" t="n">
        <v>45341</v>
      </c>
      <c r="E665" s="2" t="inlineStr">
        <is>
          <t>15:44</t>
        </is>
      </c>
      <c r="F665" s="5" t="n">
        <v>208.33</v>
      </c>
      <c r="G665" s="5" t="n"/>
      <c r="H665" s="5" t="n"/>
      <c r="I665" s="5" t="n"/>
      <c r="J665" s="5" t="n">
        <v>41.67</v>
      </c>
      <c r="K665" s="5" t="n"/>
      <c r="L665" s="5" t="n"/>
      <c r="M665" s="5" t="n"/>
      <c r="N665" s="5" t="n"/>
      <c r="O665" s="5" t="n">
        <v>250</v>
      </c>
      <c r="P665" s="5" t="n"/>
      <c r="Q665" s="5" t="n">
        <v>250</v>
      </c>
      <c r="R665" s="5" t="n"/>
    </row>
    <row r="666">
      <c r="A666" s="2" t="inlineStr">
        <is>
          <t>EJ020324.TXT</t>
        </is>
      </c>
      <c r="B666" s="3" t="inlineStr">
        <is>
          <t>005273</t>
        </is>
      </c>
      <c r="C666" s="3" t="inlineStr">
        <is>
          <t>004226</t>
        </is>
      </c>
      <c r="D666" s="4" t="n">
        <v>45344</v>
      </c>
      <c r="E666" s="2" t="inlineStr">
        <is>
          <t>17:51</t>
        </is>
      </c>
      <c r="F666" s="5" t="n">
        <v>274.17</v>
      </c>
      <c r="G666" s="5" t="n"/>
      <c r="H666" s="5" t="n"/>
      <c r="I666" s="5" t="n"/>
      <c r="J666" s="5" t="n">
        <v>54.83</v>
      </c>
      <c r="K666" s="5" t="n"/>
      <c r="L666" s="5" t="n"/>
      <c r="M666" s="5" t="n"/>
      <c r="N666" s="5" t="n"/>
      <c r="O666" s="5" t="n">
        <v>329</v>
      </c>
      <c r="P666" s="5" t="n"/>
      <c r="Q666" s="5" t="n">
        <v>329</v>
      </c>
      <c r="R666" s="5" t="n"/>
    </row>
    <row r="667">
      <c r="A667" s="2" t="inlineStr">
        <is>
          <t>EJ020324.TXT</t>
        </is>
      </c>
      <c r="B667" s="3" t="inlineStr">
        <is>
          <t>005274</t>
        </is>
      </c>
      <c r="C667" s="3" t="inlineStr">
        <is>
          <t>004227</t>
        </is>
      </c>
      <c r="D667" s="4" t="n">
        <v>45345</v>
      </c>
      <c r="E667" s="2" t="inlineStr">
        <is>
          <t>15:53</t>
        </is>
      </c>
      <c r="F667" s="5" t="n">
        <v>265.83</v>
      </c>
      <c r="G667" s="5" t="n"/>
      <c r="H667" s="5" t="n"/>
      <c r="I667" s="5" t="n"/>
      <c r="J667" s="5" t="n">
        <v>53.17</v>
      </c>
      <c r="K667" s="5" t="n"/>
      <c r="L667" s="5" t="n"/>
      <c r="M667" s="5" t="n"/>
      <c r="N667" s="5" t="n"/>
      <c r="O667" s="5" t="n">
        <v>319</v>
      </c>
      <c r="P667" s="5" t="n"/>
      <c r="Q667" s="5" t="n">
        <v>319</v>
      </c>
      <c r="R667" s="5" t="n"/>
    </row>
    <row r="668">
      <c r="A668" s="2" t="inlineStr">
        <is>
          <t>EJ020324.TXT</t>
        </is>
      </c>
      <c r="B668" s="3" t="inlineStr">
        <is>
          <t>005275</t>
        </is>
      </c>
      <c r="C668" s="3" t="inlineStr">
        <is>
          <t>004228</t>
        </is>
      </c>
      <c r="D668" s="4" t="n">
        <v>45345</v>
      </c>
      <c r="E668" s="2" t="inlineStr">
        <is>
          <t>16:10</t>
        </is>
      </c>
      <c r="F668" s="5" t="n">
        <v>265.83</v>
      </c>
      <c r="G668" s="5" t="n"/>
      <c r="H668" s="5" t="n"/>
      <c r="I668" s="5" t="n"/>
      <c r="J668" s="5" t="n">
        <v>53.17</v>
      </c>
      <c r="K668" s="5" t="n"/>
      <c r="L668" s="5" t="n"/>
      <c r="M668" s="5" t="n"/>
      <c r="N668" s="5" t="n"/>
      <c r="O668" s="5" t="n">
        <v>319</v>
      </c>
      <c r="P668" s="5" t="n"/>
      <c r="Q668" s="5" t="n">
        <v>319</v>
      </c>
      <c r="R668" s="5" t="n"/>
    </row>
    <row r="669">
      <c r="A669" s="2" t="inlineStr">
        <is>
          <t>EJ020324.TXT</t>
        </is>
      </c>
      <c r="B669" s="3" t="inlineStr">
        <is>
          <t>005276</t>
        </is>
      </c>
      <c r="C669" s="3" t="inlineStr">
        <is>
          <t>004229</t>
        </is>
      </c>
      <c r="D669" s="4" t="n">
        <v>45346</v>
      </c>
      <c r="E669" s="2" t="inlineStr">
        <is>
          <t>16:25</t>
        </is>
      </c>
      <c r="F669" s="5" t="n">
        <v>822.5</v>
      </c>
      <c r="G669" s="5" t="n"/>
      <c r="H669" s="5" t="n"/>
      <c r="I669" s="5" t="n"/>
      <c r="J669" s="5" t="n">
        <v>164.5</v>
      </c>
      <c r="K669" s="5" t="n"/>
      <c r="L669" s="5" t="n"/>
      <c r="M669" s="5" t="n"/>
      <c r="N669" s="5" t="n"/>
      <c r="O669" s="5" t="n">
        <v>987</v>
      </c>
      <c r="P669" s="5" t="n">
        <v>987</v>
      </c>
      <c r="Q669" s="5" t="n"/>
      <c r="R669" s="5" t="n"/>
    </row>
    <row r="670">
      <c r="A670" s="2" t="inlineStr">
        <is>
          <t>EJ020324.TXT</t>
        </is>
      </c>
      <c r="B670" s="3" t="inlineStr">
        <is>
          <t>005278</t>
        </is>
      </c>
      <c r="C670" s="3" t="inlineStr">
        <is>
          <t>004230</t>
        </is>
      </c>
      <c r="D670" s="4" t="n">
        <v>45348</v>
      </c>
      <c r="E670" s="2" t="inlineStr">
        <is>
          <t>15:02</t>
        </is>
      </c>
      <c r="F670" s="5" t="n">
        <v>324.17</v>
      </c>
      <c r="G670" s="5" t="n"/>
      <c r="H670" s="5" t="n"/>
      <c r="I670" s="5" t="n"/>
      <c r="J670" s="5" t="n">
        <v>64.83</v>
      </c>
      <c r="K670" s="5" t="n"/>
      <c r="L670" s="5" t="n"/>
      <c r="M670" s="5" t="n"/>
      <c r="N670" s="5" t="n"/>
      <c r="O670" s="5" t="n">
        <v>389</v>
      </c>
      <c r="P670" s="5" t="n"/>
      <c r="Q670" s="5" t="n">
        <v>389</v>
      </c>
      <c r="R670" s="5" t="n"/>
    </row>
    <row r="671">
      <c r="A671" s="2" t="inlineStr">
        <is>
          <t>EJ020324.TXT</t>
        </is>
      </c>
      <c r="B671" s="3" t="inlineStr">
        <is>
          <t>005279</t>
        </is>
      </c>
      <c r="C671" s="3" t="inlineStr">
        <is>
          <t>004231</t>
        </is>
      </c>
      <c r="D671" s="4" t="n">
        <v>45350</v>
      </c>
      <c r="E671" s="2" t="inlineStr">
        <is>
          <t>15:46</t>
        </is>
      </c>
      <c r="F671" s="5" t="n">
        <v>124.17</v>
      </c>
      <c r="G671" s="5" t="n"/>
      <c r="H671" s="5" t="n"/>
      <c r="I671" s="5" t="n"/>
      <c r="J671" s="5" t="n">
        <v>24.83</v>
      </c>
      <c r="K671" s="5" t="n"/>
      <c r="L671" s="5" t="n"/>
      <c r="M671" s="5" t="n"/>
      <c r="N671" s="5" t="n"/>
      <c r="O671" s="5" t="n">
        <v>149</v>
      </c>
      <c r="P671" s="5" t="n"/>
      <c r="Q671" s="5" t="n">
        <v>149</v>
      </c>
      <c r="R671" s="5" t="n"/>
    </row>
    <row r="672">
      <c r="A672" s="2" t="inlineStr">
        <is>
          <t>EJ020324.TXT</t>
        </is>
      </c>
      <c r="B672" s="3" t="inlineStr">
        <is>
          <t>005280</t>
        </is>
      </c>
      <c r="C672" s="3" t="inlineStr">
        <is>
          <t>004232</t>
        </is>
      </c>
      <c r="D672" s="4" t="n">
        <v>45352</v>
      </c>
      <c r="E672" s="2" t="inlineStr">
        <is>
          <t>15:59</t>
        </is>
      </c>
      <c r="F672" s="5" t="n">
        <v>73.33</v>
      </c>
      <c r="G672" s="5" t="n"/>
      <c r="H672" s="5" t="n"/>
      <c r="I672" s="5" t="n"/>
      <c r="J672" s="5" t="n">
        <v>14.67</v>
      </c>
      <c r="K672" s="5" t="n"/>
      <c r="L672" s="5" t="n"/>
      <c r="M672" s="5" t="n"/>
      <c r="N672" s="5" t="n"/>
      <c r="O672" s="5" t="n">
        <v>88</v>
      </c>
      <c r="P672" s="5" t="n">
        <v>88</v>
      </c>
      <c r="Q672" s="5" t="n"/>
      <c r="R672" s="5" t="n"/>
    </row>
    <row r="673">
      <c r="A673" s="2" t="inlineStr">
        <is>
          <t>EJ020324.TXT</t>
        </is>
      </c>
      <c r="B673" s="3" t="inlineStr">
        <is>
          <t>005281</t>
        </is>
      </c>
      <c r="C673" s="3" t="inlineStr">
        <is>
          <t>004233</t>
        </is>
      </c>
      <c r="D673" s="4" t="n">
        <v>45353</v>
      </c>
      <c r="E673" s="2" t="inlineStr">
        <is>
          <t>10:23</t>
        </is>
      </c>
      <c r="F673" s="5" t="n">
        <v>548.33</v>
      </c>
      <c r="G673" s="5" t="n"/>
      <c r="H673" s="5" t="n"/>
      <c r="I673" s="5" t="n"/>
      <c r="J673" s="5" t="n">
        <v>109.67</v>
      </c>
      <c r="K673" s="5" t="n"/>
      <c r="L673" s="5" t="n"/>
      <c r="M673" s="5" t="n"/>
      <c r="N673" s="5" t="n"/>
      <c r="O673" s="5" t="n">
        <v>658</v>
      </c>
      <c r="P673" s="5" t="n">
        <v>658</v>
      </c>
      <c r="Q673" s="5" t="n"/>
      <c r="R673" s="5" t="n"/>
    </row>
    <row r="674">
      <c r="A674" s="2" t="inlineStr">
        <is>
          <t>EJ020324.TXT</t>
        </is>
      </c>
      <c r="B674" s="3" t="inlineStr">
        <is>
          <t>005282</t>
        </is>
      </c>
      <c r="C674" s="3" t="inlineStr">
        <is>
          <t>004234</t>
        </is>
      </c>
      <c r="D674" s="4" t="n">
        <v>45353</v>
      </c>
      <c r="E674" s="2" t="inlineStr">
        <is>
          <t>14:36</t>
        </is>
      </c>
      <c r="F674" s="5" t="n">
        <v>199.17</v>
      </c>
      <c r="G674" s="5" t="n"/>
      <c r="H674" s="5" t="n"/>
      <c r="I674" s="5" t="n"/>
      <c r="J674" s="5" t="n">
        <v>39.83</v>
      </c>
      <c r="K674" s="5" t="n"/>
      <c r="L674" s="5" t="n"/>
      <c r="M674" s="5" t="n"/>
      <c r="N674" s="5" t="n"/>
      <c r="O674" s="5" t="n">
        <v>239</v>
      </c>
      <c r="P674" s="5" t="n">
        <v>239</v>
      </c>
      <c r="Q674" s="5" t="n"/>
      <c r="R674" s="5" t="n"/>
    </row>
    <row r="675">
      <c r="A675" s="2" t="inlineStr">
        <is>
          <t>EJ020424.TXT</t>
        </is>
      </c>
      <c r="B675" s="3" t="inlineStr">
        <is>
          <t>005289</t>
        </is>
      </c>
      <c r="C675" s="3" t="inlineStr">
        <is>
          <t>004235</t>
        </is>
      </c>
      <c r="D675" s="4" t="n">
        <v>45353</v>
      </c>
      <c r="E675" s="2" t="inlineStr">
        <is>
          <t>15:05</t>
        </is>
      </c>
      <c r="F675" s="5" t="n">
        <v>208.33</v>
      </c>
      <c r="G675" s="5" t="n"/>
      <c r="H675" s="5" t="n"/>
      <c r="I675" s="5" t="n"/>
      <c r="J675" s="5" t="n">
        <v>41.67</v>
      </c>
      <c r="K675" s="5" t="n"/>
      <c r="L675" s="5" t="n"/>
      <c r="M675" s="5" t="n"/>
      <c r="N675" s="5" t="n"/>
      <c r="O675" s="5" t="n">
        <v>250</v>
      </c>
      <c r="P675" s="5" t="n"/>
      <c r="Q675" s="5" t="n">
        <v>250</v>
      </c>
      <c r="R675" s="5" t="n"/>
    </row>
    <row r="676">
      <c r="A676" s="2" t="inlineStr">
        <is>
          <t>EJ020424.TXT</t>
        </is>
      </c>
      <c r="B676" s="3" t="inlineStr">
        <is>
          <t>005290</t>
        </is>
      </c>
      <c r="C676" s="3" t="inlineStr">
        <is>
          <t>004236</t>
        </is>
      </c>
      <c r="D676" s="4" t="n">
        <v>45355</v>
      </c>
      <c r="E676" s="2" t="inlineStr">
        <is>
          <t>11:13</t>
        </is>
      </c>
      <c r="F676" s="5" t="n">
        <v>208.33</v>
      </c>
      <c r="G676" s="5" t="n"/>
      <c r="H676" s="5" t="n"/>
      <c r="I676" s="5" t="n"/>
      <c r="J676" s="5" t="n">
        <v>41.67</v>
      </c>
      <c r="K676" s="5" t="n"/>
      <c r="L676" s="5" t="n"/>
      <c r="M676" s="5" t="n"/>
      <c r="N676" s="5" t="n"/>
      <c r="O676" s="5" t="n">
        <v>250</v>
      </c>
      <c r="P676" s="5" t="n"/>
      <c r="Q676" s="5" t="n">
        <v>250</v>
      </c>
      <c r="R676" s="5" t="n"/>
    </row>
    <row r="677">
      <c r="A677" s="2" t="inlineStr">
        <is>
          <t>EJ020424.TXT</t>
        </is>
      </c>
      <c r="B677" s="3" t="inlineStr">
        <is>
          <t>005291</t>
        </is>
      </c>
      <c r="C677" s="3" t="inlineStr">
        <is>
          <t>004237</t>
        </is>
      </c>
      <c r="D677" s="4" t="n">
        <v>45355</v>
      </c>
      <c r="E677" s="2" t="inlineStr">
        <is>
          <t>11:25</t>
        </is>
      </c>
      <c r="F677" s="5" t="n">
        <v>129.17</v>
      </c>
      <c r="G677" s="5" t="n"/>
      <c r="H677" s="5" t="n"/>
      <c r="I677" s="5" t="n"/>
      <c r="J677" s="5" t="n">
        <v>25.83</v>
      </c>
      <c r="K677" s="5" t="n"/>
      <c r="L677" s="5" t="n"/>
      <c r="M677" s="5" t="n"/>
      <c r="N677" s="5" t="n"/>
      <c r="O677" s="5" t="n">
        <v>155</v>
      </c>
      <c r="P677" s="5" t="n"/>
      <c r="Q677" s="5" t="n">
        <v>155</v>
      </c>
      <c r="R677" s="5" t="n"/>
    </row>
    <row r="678">
      <c r="A678" s="2" t="inlineStr">
        <is>
          <t>EJ020424.TXT</t>
        </is>
      </c>
      <c r="B678" s="3" t="inlineStr">
        <is>
          <t>005292</t>
        </is>
      </c>
      <c r="C678" s="3" t="inlineStr">
        <is>
          <t>004238</t>
        </is>
      </c>
      <c r="D678" s="4" t="n">
        <v>45355</v>
      </c>
      <c r="E678" s="2" t="inlineStr">
        <is>
          <t>11:40</t>
        </is>
      </c>
      <c r="F678" s="5" t="n">
        <v>208.33</v>
      </c>
      <c r="G678" s="5" t="n"/>
      <c r="H678" s="5" t="n"/>
      <c r="I678" s="5" t="n"/>
      <c r="J678" s="5" t="n">
        <v>41.67</v>
      </c>
      <c r="K678" s="5" t="n"/>
      <c r="L678" s="5" t="n"/>
      <c r="M678" s="5" t="n"/>
      <c r="N678" s="5" t="n"/>
      <c r="O678" s="5" t="n">
        <v>250</v>
      </c>
      <c r="P678" s="5" t="n"/>
      <c r="Q678" s="5" t="n">
        <v>250</v>
      </c>
      <c r="R678" s="5" t="n"/>
    </row>
    <row r="679">
      <c r="A679" s="2" t="inlineStr">
        <is>
          <t>EJ020424.TXT</t>
        </is>
      </c>
      <c r="B679" s="3" t="inlineStr">
        <is>
          <t>005293</t>
        </is>
      </c>
      <c r="C679" s="3" t="inlineStr">
        <is>
          <t>004239</t>
        </is>
      </c>
      <c r="D679" s="4" t="n">
        <v>45356</v>
      </c>
      <c r="E679" s="2" t="inlineStr">
        <is>
          <t>11:46</t>
        </is>
      </c>
      <c r="F679" s="5" t="n">
        <v>410</v>
      </c>
      <c r="G679" s="5" t="n"/>
      <c r="H679" s="5" t="n"/>
      <c r="I679" s="5" t="n"/>
      <c r="J679" s="5" t="n">
        <v>82</v>
      </c>
      <c r="K679" s="5" t="n"/>
      <c r="L679" s="5" t="n"/>
      <c r="M679" s="5" t="n"/>
      <c r="N679" s="5" t="n"/>
      <c r="O679" s="5" t="n">
        <v>492</v>
      </c>
      <c r="P679" s="5" t="n"/>
      <c r="Q679" s="5" t="n">
        <v>492</v>
      </c>
      <c r="R679" s="5" t="n"/>
    </row>
    <row r="680">
      <c r="A680" s="2" t="inlineStr">
        <is>
          <t>EJ020424.TXT</t>
        </is>
      </c>
      <c r="B680" s="3" t="inlineStr">
        <is>
          <t>005294</t>
        </is>
      </c>
      <c r="C680" s="3" t="inlineStr">
        <is>
          <t>004240</t>
        </is>
      </c>
      <c r="D680" s="4" t="n">
        <v>45356</v>
      </c>
      <c r="E680" s="2" t="inlineStr">
        <is>
          <t>14:51</t>
        </is>
      </c>
      <c r="F680" s="5" t="n">
        <v>274.17</v>
      </c>
      <c r="G680" s="5" t="n"/>
      <c r="H680" s="5" t="n"/>
      <c r="I680" s="5" t="n"/>
      <c r="J680" s="5" t="n">
        <v>54.83</v>
      </c>
      <c r="K680" s="5" t="n"/>
      <c r="L680" s="5" t="n"/>
      <c r="M680" s="5" t="n"/>
      <c r="N680" s="5" t="n"/>
      <c r="O680" s="5" t="n">
        <v>329</v>
      </c>
      <c r="P680" s="5" t="n"/>
      <c r="Q680" s="5" t="n">
        <v>329</v>
      </c>
      <c r="R680" s="5" t="n"/>
    </row>
    <row r="681">
      <c r="A681" s="2" t="inlineStr">
        <is>
          <t>EJ020424.TXT</t>
        </is>
      </c>
      <c r="B681" s="3" t="inlineStr">
        <is>
          <t>005295</t>
        </is>
      </c>
      <c r="C681" s="3" t="inlineStr">
        <is>
          <t>004241</t>
        </is>
      </c>
      <c r="D681" s="4" t="n">
        <v>45357</v>
      </c>
      <c r="E681" s="2" t="inlineStr">
        <is>
          <t>17:58</t>
        </is>
      </c>
      <c r="F681" s="5" t="n">
        <v>381.67</v>
      </c>
      <c r="G681" s="5" t="n"/>
      <c r="H681" s="5" t="n"/>
      <c r="I681" s="5" t="n"/>
      <c r="J681" s="5" t="n">
        <v>76.33</v>
      </c>
      <c r="K681" s="5" t="n"/>
      <c r="L681" s="5" t="n"/>
      <c r="M681" s="5" t="n"/>
      <c r="N681" s="5" t="n"/>
      <c r="O681" s="5" t="n">
        <v>458</v>
      </c>
      <c r="P681" s="5" t="n">
        <v>458</v>
      </c>
      <c r="Q681" s="5" t="n"/>
      <c r="R681" s="5" t="n"/>
    </row>
    <row r="682">
      <c r="A682" s="2" t="inlineStr">
        <is>
          <t>EJ020424.TXT</t>
        </is>
      </c>
      <c r="B682" s="3" t="inlineStr">
        <is>
          <t>005296</t>
        </is>
      </c>
      <c r="C682" s="3" t="inlineStr">
        <is>
          <t>004242</t>
        </is>
      </c>
      <c r="D682" s="4" t="n">
        <v>45359</v>
      </c>
      <c r="E682" s="2" t="inlineStr">
        <is>
          <t>17:27</t>
        </is>
      </c>
      <c r="F682" s="5" t="n">
        <v>208.33</v>
      </c>
      <c r="G682" s="5" t="n"/>
      <c r="H682" s="5" t="n"/>
      <c r="I682" s="5" t="n"/>
      <c r="J682" s="5" t="n">
        <v>41.67</v>
      </c>
      <c r="K682" s="5" t="n"/>
      <c r="L682" s="5" t="n"/>
      <c r="M682" s="5" t="n"/>
      <c r="N682" s="5" t="n"/>
      <c r="O682" s="5" t="n">
        <v>250</v>
      </c>
      <c r="P682" s="5" t="n"/>
      <c r="Q682" s="5" t="n">
        <v>250</v>
      </c>
      <c r="R682" s="5" t="n"/>
    </row>
    <row r="683">
      <c r="A683" s="2" t="inlineStr">
        <is>
          <t>EJ020424.TXT</t>
        </is>
      </c>
      <c r="B683" s="3" t="inlineStr">
        <is>
          <t>005297</t>
        </is>
      </c>
      <c r="C683" s="3" t="inlineStr">
        <is>
          <t>004243</t>
        </is>
      </c>
      <c r="D683" s="4" t="n">
        <v>45359</v>
      </c>
      <c r="E683" s="2" t="inlineStr">
        <is>
          <t>17:53</t>
        </is>
      </c>
      <c r="F683" s="5" t="n">
        <v>208.33</v>
      </c>
      <c r="G683" s="5" t="n"/>
      <c r="H683" s="5" t="n"/>
      <c r="I683" s="5" t="n"/>
      <c r="J683" s="5" t="n">
        <v>41.67</v>
      </c>
      <c r="K683" s="5" t="n"/>
      <c r="L683" s="5" t="n"/>
      <c r="M683" s="5" t="n"/>
      <c r="N683" s="5" t="n"/>
      <c r="O683" s="5" t="n">
        <v>250</v>
      </c>
      <c r="P683" s="5" t="n"/>
      <c r="Q683" s="5" t="n">
        <v>250</v>
      </c>
      <c r="R683" s="5" t="n"/>
    </row>
    <row r="684">
      <c r="A684" s="2" t="inlineStr">
        <is>
          <t>EJ020424.TXT</t>
        </is>
      </c>
      <c r="B684" s="3" t="inlineStr">
        <is>
          <t>005298</t>
        </is>
      </c>
      <c r="C684" s="3" t="inlineStr">
        <is>
          <t>004244</t>
        </is>
      </c>
      <c r="D684" s="4" t="n">
        <v>45360</v>
      </c>
      <c r="E684" s="2" t="inlineStr">
        <is>
          <t>18:26</t>
        </is>
      </c>
      <c r="F684" s="5" t="n">
        <v>548.33</v>
      </c>
      <c r="G684" s="5" t="n"/>
      <c r="H684" s="5" t="n"/>
      <c r="I684" s="5" t="n"/>
      <c r="J684" s="5" t="n">
        <v>109.67</v>
      </c>
      <c r="K684" s="5" t="n"/>
      <c r="L684" s="5" t="n"/>
      <c r="M684" s="5" t="n"/>
      <c r="N684" s="5" t="n"/>
      <c r="O684" s="5" t="n">
        <v>658</v>
      </c>
      <c r="P684" s="5" t="n"/>
      <c r="Q684" s="5" t="n">
        <v>658</v>
      </c>
      <c r="R684" s="5" t="n"/>
    </row>
    <row r="685">
      <c r="A685" s="2" t="inlineStr">
        <is>
          <t>EJ020424.TXT</t>
        </is>
      </c>
      <c r="B685" s="3" t="inlineStr">
        <is>
          <t>005299</t>
        </is>
      </c>
      <c r="C685" s="3" t="inlineStr">
        <is>
          <t>004245</t>
        </is>
      </c>
      <c r="D685" s="4" t="n">
        <v>45360</v>
      </c>
      <c r="E685" s="2" t="inlineStr">
        <is>
          <t>18:29</t>
        </is>
      </c>
      <c r="F685" s="5" t="n">
        <v>223.25</v>
      </c>
      <c r="G685" s="5" t="n"/>
      <c r="H685" s="5" t="n"/>
      <c r="I685" s="5" t="n"/>
      <c r="J685" s="5" t="n">
        <v>44.65</v>
      </c>
      <c r="K685" s="5" t="n"/>
      <c r="L685" s="5" t="n"/>
      <c r="M685" s="5" t="n"/>
      <c r="N685" s="5" t="n"/>
      <c r="O685" s="5" t="n">
        <v>267.9</v>
      </c>
      <c r="P685" s="5" t="n">
        <v>267.9</v>
      </c>
      <c r="Q685" s="5" t="n"/>
      <c r="R685" s="5" t="n"/>
    </row>
    <row r="686">
      <c r="A686" s="2" t="inlineStr">
        <is>
          <t>EJ020424.TXT</t>
        </is>
      </c>
      <c r="B686" s="3" t="inlineStr">
        <is>
          <t>005300</t>
        </is>
      </c>
      <c r="C686" s="3" t="inlineStr">
        <is>
          <t>004246</t>
        </is>
      </c>
      <c r="D686" s="4" t="n">
        <v>45366</v>
      </c>
      <c r="E686" s="2" t="inlineStr">
        <is>
          <t>11:54</t>
        </is>
      </c>
      <c r="F686" s="5" t="n">
        <v>548.33</v>
      </c>
      <c r="G686" s="5" t="n"/>
      <c r="H686" s="5" t="n"/>
      <c r="I686" s="5" t="n"/>
      <c r="J686" s="5" t="n">
        <v>109.67</v>
      </c>
      <c r="K686" s="5" t="n"/>
      <c r="L686" s="5" t="n"/>
      <c r="M686" s="5" t="n"/>
      <c r="N686" s="5" t="n"/>
      <c r="O686" s="5" t="n">
        <v>658</v>
      </c>
      <c r="P686" s="5" t="n"/>
      <c r="Q686" s="5" t="n">
        <v>658</v>
      </c>
      <c r="R686" s="5" t="n"/>
    </row>
    <row r="687">
      <c r="A687" s="2" t="inlineStr">
        <is>
          <t>EJ020424.TXT</t>
        </is>
      </c>
      <c r="B687" s="3" t="inlineStr">
        <is>
          <t>005301</t>
        </is>
      </c>
      <c r="C687" s="3" t="inlineStr">
        <is>
          <t>004247</t>
        </is>
      </c>
      <c r="D687" s="4" t="n">
        <v>45366</v>
      </c>
      <c r="E687" s="2" t="inlineStr">
        <is>
          <t>17:21</t>
        </is>
      </c>
      <c r="F687" s="5" t="n">
        <v>208.33</v>
      </c>
      <c r="G687" s="5" t="n"/>
      <c r="H687" s="5" t="n"/>
      <c r="I687" s="5" t="n"/>
      <c r="J687" s="5" t="n">
        <v>41.67</v>
      </c>
      <c r="K687" s="5" t="n"/>
      <c r="L687" s="5" t="n"/>
      <c r="M687" s="5" t="n"/>
      <c r="N687" s="5" t="n"/>
      <c r="O687" s="5" t="n">
        <v>250</v>
      </c>
      <c r="P687" s="5" t="n"/>
      <c r="Q687" s="5" t="n">
        <v>250</v>
      </c>
      <c r="R687" s="5" t="n"/>
    </row>
    <row r="688">
      <c r="A688" s="2" t="inlineStr">
        <is>
          <t>EJ020424.TXT</t>
        </is>
      </c>
      <c r="B688" s="3" t="inlineStr">
        <is>
          <t>005302</t>
        </is>
      </c>
      <c r="C688" s="3" t="inlineStr">
        <is>
          <t>004248</t>
        </is>
      </c>
      <c r="D688" s="4" t="n">
        <v>45369</v>
      </c>
      <c r="E688" s="2" t="inlineStr">
        <is>
          <t>11:00</t>
        </is>
      </c>
      <c r="F688" s="5" t="n">
        <v>548.33</v>
      </c>
      <c r="G688" s="5" t="n"/>
      <c r="H688" s="5" t="n"/>
      <c r="I688" s="5" t="n"/>
      <c r="J688" s="5" t="n">
        <v>109.67</v>
      </c>
      <c r="K688" s="5" t="n"/>
      <c r="L688" s="5" t="n"/>
      <c r="M688" s="5" t="n"/>
      <c r="N688" s="5" t="n"/>
      <c r="O688" s="5" t="n">
        <v>658</v>
      </c>
      <c r="P688" s="5" t="n"/>
      <c r="Q688" s="5" t="n">
        <v>658</v>
      </c>
      <c r="R688" s="5" t="n"/>
    </row>
    <row r="689">
      <c r="A689" s="2" t="inlineStr">
        <is>
          <t>EJ020424.TXT</t>
        </is>
      </c>
      <c r="B689" s="3" t="inlineStr">
        <is>
          <t>005303</t>
        </is>
      </c>
      <c r="C689" s="3" t="inlineStr">
        <is>
          <t>004249</t>
        </is>
      </c>
      <c r="D689" s="4" t="n">
        <v>45369</v>
      </c>
      <c r="E689" s="2" t="inlineStr">
        <is>
          <t>16:36</t>
        </is>
      </c>
      <c r="F689" s="5" t="n">
        <v>208.33</v>
      </c>
      <c r="G689" s="5" t="n"/>
      <c r="H689" s="5" t="n"/>
      <c r="I689" s="5" t="n"/>
      <c r="J689" s="5" t="n">
        <v>41.67</v>
      </c>
      <c r="K689" s="5" t="n"/>
      <c r="L689" s="5" t="n"/>
      <c r="M689" s="5" t="n"/>
      <c r="N689" s="5" t="n"/>
      <c r="O689" s="5" t="n">
        <v>250</v>
      </c>
      <c r="P689" s="5" t="n"/>
      <c r="Q689" s="5" t="n">
        <v>250</v>
      </c>
      <c r="R689" s="5" t="n"/>
    </row>
    <row r="690">
      <c r="A690" s="2" t="inlineStr">
        <is>
          <t>EJ020424.TXT</t>
        </is>
      </c>
      <c r="B690" s="3" t="inlineStr">
        <is>
          <t>005304</t>
        </is>
      </c>
      <c r="C690" s="3" t="inlineStr">
        <is>
          <t>004250</t>
        </is>
      </c>
      <c r="D690" s="4" t="n">
        <v>45370</v>
      </c>
      <c r="E690" s="2" t="inlineStr">
        <is>
          <t>17:05</t>
        </is>
      </c>
      <c r="F690" s="5" t="n">
        <v>199.17</v>
      </c>
      <c r="G690" s="5" t="n"/>
      <c r="H690" s="5" t="n"/>
      <c r="I690" s="5" t="n"/>
      <c r="J690" s="5" t="n">
        <v>39.83</v>
      </c>
      <c r="K690" s="5" t="n"/>
      <c r="L690" s="5" t="n"/>
      <c r="M690" s="5" t="n"/>
      <c r="N690" s="5" t="n"/>
      <c r="O690" s="5" t="n">
        <v>239</v>
      </c>
      <c r="P690" s="5" t="n">
        <v>239</v>
      </c>
      <c r="Q690" s="5" t="n"/>
      <c r="R690" s="5" t="n"/>
    </row>
    <row r="691">
      <c r="A691" s="2" t="inlineStr">
        <is>
          <t>EJ020424.TXT</t>
        </is>
      </c>
      <c r="B691" s="3" t="inlineStr">
        <is>
          <t>005305</t>
        </is>
      </c>
      <c r="C691" s="3" t="inlineStr">
        <is>
          <t>004251</t>
        </is>
      </c>
      <c r="D691" s="4" t="n">
        <v>45372</v>
      </c>
      <c r="E691" s="2" t="inlineStr">
        <is>
          <t>10:23</t>
        </is>
      </c>
      <c r="F691" s="5" t="n">
        <v>548.33</v>
      </c>
      <c r="G691" s="5" t="n"/>
      <c r="H691" s="5" t="n"/>
      <c r="I691" s="5" t="n"/>
      <c r="J691" s="5" t="n">
        <v>109.67</v>
      </c>
      <c r="K691" s="5" t="n"/>
      <c r="L691" s="5" t="n"/>
      <c r="M691" s="5" t="n"/>
      <c r="N691" s="5" t="n"/>
      <c r="O691" s="5" t="n">
        <v>658</v>
      </c>
      <c r="P691" s="5" t="n"/>
      <c r="Q691" s="5" t="n">
        <v>658</v>
      </c>
      <c r="R691" s="5" t="n"/>
    </row>
    <row r="692">
      <c r="A692" s="2" t="inlineStr">
        <is>
          <t>EJ020424.TXT</t>
        </is>
      </c>
      <c r="B692" s="3" t="inlineStr">
        <is>
          <t>005306</t>
        </is>
      </c>
      <c r="C692" s="3" t="inlineStr">
        <is>
          <t>004252</t>
        </is>
      </c>
      <c r="D692" s="4" t="n">
        <v>45372</v>
      </c>
      <c r="E692" s="2" t="inlineStr">
        <is>
          <t>11:16</t>
        </is>
      </c>
      <c r="F692" s="5" t="n">
        <v>66.33</v>
      </c>
      <c r="G692" s="5" t="n"/>
      <c r="H692" s="5" t="n"/>
      <c r="I692" s="5" t="n"/>
      <c r="J692" s="5" t="n">
        <v>13.27</v>
      </c>
      <c r="K692" s="5" t="n"/>
      <c r="L692" s="5" t="n"/>
      <c r="M692" s="5" t="n"/>
      <c r="N692" s="5" t="n"/>
      <c r="O692" s="5" t="n">
        <v>79.59999999999999</v>
      </c>
      <c r="P692" s="5" t="n">
        <v>79.59999999999999</v>
      </c>
      <c r="Q692" s="5" t="n"/>
      <c r="R692" s="5" t="n"/>
    </row>
    <row r="693">
      <c r="A693" s="2" t="inlineStr">
        <is>
          <t>EJ020424.TXT</t>
        </is>
      </c>
      <c r="B693" s="3" t="inlineStr">
        <is>
          <t>005307</t>
        </is>
      </c>
      <c r="C693" s="3" t="inlineStr">
        <is>
          <t>004253</t>
        </is>
      </c>
      <c r="D693" s="4" t="n">
        <v>45373</v>
      </c>
      <c r="E693" s="2" t="inlineStr">
        <is>
          <t>16:12</t>
        </is>
      </c>
      <c r="F693" s="5" t="n">
        <v>548.33</v>
      </c>
      <c r="G693" s="5" t="n"/>
      <c r="H693" s="5" t="n"/>
      <c r="I693" s="5" t="n"/>
      <c r="J693" s="5" t="n">
        <v>109.67</v>
      </c>
      <c r="K693" s="5" t="n"/>
      <c r="L693" s="5" t="n"/>
      <c r="M693" s="5" t="n"/>
      <c r="N693" s="5" t="n"/>
      <c r="O693" s="5" t="n">
        <v>658</v>
      </c>
      <c r="P693" s="5" t="n"/>
      <c r="Q693" s="5" t="n">
        <v>658</v>
      </c>
      <c r="R693" s="5" t="n"/>
    </row>
    <row r="694">
      <c r="A694" s="2" t="inlineStr">
        <is>
          <t>EJ020424.TXT</t>
        </is>
      </c>
      <c r="B694" s="3" t="inlineStr">
        <is>
          <t>005308</t>
        </is>
      </c>
      <c r="C694" s="3" t="inlineStr">
        <is>
          <t>004254</t>
        </is>
      </c>
      <c r="D694" s="4" t="n">
        <v>45373</v>
      </c>
      <c r="E694" s="2" t="inlineStr">
        <is>
          <t>16:18</t>
        </is>
      </c>
      <c r="F694" s="5" t="n">
        <v>208.33</v>
      </c>
      <c r="G694" s="5" t="n"/>
      <c r="H694" s="5" t="n"/>
      <c r="I694" s="5" t="n"/>
      <c r="J694" s="5" t="n">
        <v>41.67</v>
      </c>
      <c r="K694" s="5" t="n"/>
      <c r="L694" s="5" t="n"/>
      <c r="M694" s="5" t="n"/>
      <c r="N694" s="5" t="n"/>
      <c r="O694" s="5" t="n">
        <v>250</v>
      </c>
      <c r="P694" s="5" t="n"/>
      <c r="Q694" s="5" t="n">
        <v>250</v>
      </c>
      <c r="R694" s="5" t="n"/>
    </row>
    <row r="695">
      <c r="A695" s="2" t="inlineStr">
        <is>
          <t>EJ020424.TXT</t>
        </is>
      </c>
      <c r="B695" s="3" t="inlineStr">
        <is>
          <t>005309</t>
        </is>
      </c>
      <c r="C695" s="3" t="inlineStr">
        <is>
          <t>004255</t>
        </is>
      </c>
      <c r="D695" s="4" t="n">
        <v>45374</v>
      </c>
      <c r="E695" s="2" t="inlineStr">
        <is>
          <t>16:12</t>
        </is>
      </c>
      <c r="F695" s="5" t="n">
        <v>548.33</v>
      </c>
      <c r="G695" s="5" t="n"/>
      <c r="H695" s="5" t="n"/>
      <c r="I695" s="5" t="n"/>
      <c r="J695" s="5" t="n">
        <v>109.67</v>
      </c>
      <c r="K695" s="5" t="n"/>
      <c r="L695" s="5" t="n"/>
      <c r="M695" s="5" t="n"/>
      <c r="N695" s="5" t="n"/>
      <c r="O695" s="5" t="n">
        <v>658</v>
      </c>
      <c r="P695" s="5" t="n"/>
      <c r="Q695" s="5" t="n">
        <v>658</v>
      </c>
      <c r="R695" s="5" t="n"/>
    </row>
    <row r="696">
      <c r="A696" s="2" t="inlineStr">
        <is>
          <t>EJ020424.TXT</t>
        </is>
      </c>
      <c r="B696" s="3" t="inlineStr">
        <is>
          <t>005310</t>
        </is>
      </c>
      <c r="C696" s="3" t="inlineStr">
        <is>
          <t>004256</t>
        </is>
      </c>
      <c r="D696" s="4" t="n">
        <v>45374</v>
      </c>
      <c r="E696" s="2" t="inlineStr">
        <is>
          <t>17:11</t>
        </is>
      </c>
      <c r="F696" s="5" t="n">
        <v>265.83</v>
      </c>
      <c r="G696" s="5" t="n"/>
      <c r="H696" s="5" t="n"/>
      <c r="I696" s="5" t="n"/>
      <c r="J696" s="5" t="n">
        <v>53.17</v>
      </c>
      <c r="K696" s="5" t="n"/>
      <c r="L696" s="5" t="n"/>
      <c r="M696" s="5" t="n"/>
      <c r="N696" s="5" t="n"/>
      <c r="O696" s="5" t="n">
        <v>319</v>
      </c>
      <c r="P696" s="5" t="n"/>
      <c r="Q696" s="5" t="n">
        <v>319</v>
      </c>
      <c r="R696" s="5" t="n"/>
    </row>
    <row r="697">
      <c r="A697" s="2" t="inlineStr">
        <is>
          <t>EJ020424.TXT</t>
        </is>
      </c>
      <c r="B697" s="3" t="inlineStr">
        <is>
          <t>005311</t>
        </is>
      </c>
      <c r="C697" s="3" t="inlineStr">
        <is>
          <t>004257</t>
        </is>
      </c>
      <c r="D697" s="4" t="n">
        <v>45379</v>
      </c>
      <c r="E697" s="2" t="inlineStr">
        <is>
          <t>11:26</t>
        </is>
      </c>
      <c r="F697" s="5" t="n">
        <v>208.33</v>
      </c>
      <c r="G697" s="5" t="n"/>
      <c r="H697" s="5" t="n"/>
      <c r="I697" s="5" t="n"/>
      <c r="J697" s="5" t="n">
        <v>41.67</v>
      </c>
      <c r="K697" s="5" t="n"/>
      <c r="L697" s="5" t="n"/>
      <c r="M697" s="5" t="n"/>
      <c r="N697" s="5" t="n"/>
      <c r="O697" s="5" t="n">
        <v>250</v>
      </c>
      <c r="P697" s="5" t="n"/>
      <c r="Q697" s="5" t="n">
        <v>250</v>
      </c>
      <c r="R697" s="5" t="n"/>
    </row>
    <row r="698">
      <c r="A698" s="2" t="inlineStr">
        <is>
          <t>EJ020424.TXT</t>
        </is>
      </c>
      <c r="B698" s="3" t="inlineStr">
        <is>
          <t>005312</t>
        </is>
      </c>
      <c r="C698" s="3" t="inlineStr">
        <is>
          <t>004258</t>
        </is>
      </c>
      <c r="D698" s="4" t="n">
        <v>45379</v>
      </c>
      <c r="E698" s="2" t="inlineStr">
        <is>
          <t>15:36</t>
        </is>
      </c>
      <c r="F698" s="5" t="n">
        <v>274.17</v>
      </c>
      <c r="G698" s="5" t="n"/>
      <c r="H698" s="5" t="n"/>
      <c r="I698" s="5" t="n"/>
      <c r="J698" s="5" t="n">
        <v>54.83</v>
      </c>
      <c r="K698" s="5" t="n"/>
      <c r="L698" s="5" t="n"/>
      <c r="M698" s="5" t="n"/>
      <c r="N698" s="5" t="n"/>
      <c r="O698" s="5" t="n">
        <v>329</v>
      </c>
      <c r="P698" s="5" t="n"/>
      <c r="Q698" s="5" t="n">
        <v>329</v>
      </c>
      <c r="R698" s="5" t="n"/>
    </row>
    <row r="699">
      <c r="A699" s="2" t="inlineStr">
        <is>
          <t>EJ020424.TXT</t>
        </is>
      </c>
      <c r="B699" s="3" t="inlineStr">
        <is>
          <t>005313</t>
        </is>
      </c>
      <c r="C699" s="3" t="inlineStr">
        <is>
          <t>004259</t>
        </is>
      </c>
      <c r="D699" s="4" t="n">
        <v>45380</v>
      </c>
      <c r="E699" s="2" t="inlineStr">
        <is>
          <t>11:53</t>
        </is>
      </c>
      <c r="F699" s="5" t="n">
        <v>74</v>
      </c>
      <c r="G699" s="5" t="n"/>
      <c r="H699" s="5" t="n"/>
      <c r="I699" s="5" t="n"/>
      <c r="J699" s="5" t="n">
        <v>14.8</v>
      </c>
      <c r="K699" s="5" t="n"/>
      <c r="L699" s="5" t="n"/>
      <c r="M699" s="5" t="n"/>
      <c r="N699" s="5" t="n"/>
      <c r="O699" s="5" t="n">
        <v>88.8</v>
      </c>
      <c r="P699" s="5" t="n"/>
      <c r="Q699" s="5" t="n">
        <v>88.8</v>
      </c>
      <c r="R699" s="5" t="n"/>
    </row>
    <row r="700">
      <c r="A700" s="2" t="inlineStr">
        <is>
          <t>EJ020424.TXT</t>
        </is>
      </c>
      <c r="B700" s="3" t="inlineStr">
        <is>
          <t>005314</t>
        </is>
      </c>
      <c r="C700" s="3" t="inlineStr">
        <is>
          <t>004260</t>
        </is>
      </c>
      <c r="D700" s="4" t="n">
        <v>45380</v>
      </c>
      <c r="E700" s="2" t="inlineStr">
        <is>
          <t>17:02</t>
        </is>
      </c>
      <c r="F700" s="5" t="n">
        <v>208.33</v>
      </c>
      <c r="G700" s="5" t="n"/>
      <c r="H700" s="5" t="n"/>
      <c r="I700" s="5" t="n"/>
      <c r="J700" s="5" t="n">
        <v>41.67</v>
      </c>
      <c r="K700" s="5" t="n"/>
      <c r="L700" s="5" t="n"/>
      <c r="M700" s="5" t="n"/>
      <c r="N700" s="5" t="n"/>
      <c r="O700" s="5" t="n">
        <v>250</v>
      </c>
      <c r="P700" s="5" t="n"/>
      <c r="Q700" s="5" t="n">
        <v>250</v>
      </c>
      <c r="R700" s="5" t="n"/>
    </row>
    <row r="701">
      <c r="A701" s="2" t="inlineStr">
        <is>
          <t>EJ020424.TXT</t>
        </is>
      </c>
      <c r="B701" s="3" t="inlineStr">
        <is>
          <t>005315</t>
        </is>
      </c>
      <c r="C701" s="3" t="inlineStr">
        <is>
          <t>004261</t>
        </is>
      </c>
      <c r="D701" s="4" t="n">
        <v>45381</v>
      </c>
      <c r="E701" s="2" t="inlineStr">
        <is>
          <t>15:02</t>
        </is>
      </c>
      <c r="F701" s="5" t="n">
        <v>822.5</v>
      </c>
      <c r="G701" s="5" t="n"/>
      <c r="H701" s="5" t="n"/>
      <c r="I701" s="5" t="n"/>
      <c r="J701" s="5" t="n">
        <v>164.5</v>
      </c>
      <c r="K701" s="5" t="n"/>
      <c r="L701" s="5" t="n"/>
      <c r="M701" s="5" t="n"/>
      <c r="N701" s="5" t="n"/>
      <c r="O701" s="5" t="n">
        <v>987</v>
      </c>
      <c r="P701" s="5" t="n"/>
      <c r="Q701" s="5" t="n">
        <v>987</v>
      </c>
      <c r="R701" s="5" t="n"/>
    </row>
    <row r="702">
      <c r="A702" s="2" t="inlineStr">
        <is>
          <t>EJ020424.TXT</t>
        </is>
      </c>
      <c r="B702" s="3" t="inlineStr">
        <is>
          <t>005316</t>
        </is>
      </c>
      <c r="C702" s="3" t="inlineStr">
        <is>
          <t>004262</t>
        </is>
      </c>
      <c r="D702" s="4" t="n">
        <v>45381</v>
      </c>
      <c r="E702" s="2" t="inlineStr">
        <is>
          <t>15:03</t>
        </is>
      </c>
      <c r="F702" s="5" t="n">
        <v>548.33</v>
      </c>
      <c r="G702" s="5" t="n"/>
      <c r="H702" s="5" t="n"/>
      <c r="I702" s="5" t="n"/>
      <c r="J702" s="5" t="n">
        <v>109.67</v>
      </c>
      <c r="K702" s="5" t="n"/>
      <c r="L702" s="5" t="n"/>
      <c r="M702" s="5" t="n"/>
      <c r="N702" s="5" t="n"/>
      <c r="O702" s="5" t="n">
        <v>658</v>
      </c>
      <c r="P702" s="5" t="n"/>
      <c r="Q702" s="5" t="n">
        <v>658</v>
      </c>
      <c r="R702" s="5" t="n"/>
    </row>
    <row r="703">
      <c r="A703" s="2" t="inlineStr">
        <is>
          <t>EJ020424.TXT</t>
        </is>
      </c>
      <c r="B703" s="3" t="inlineStr">
        <is>
          <t>005317</t>
        </is>
      </c>
      <c r="C703" s="3" t="inlineStr">
        <is>
          <t>004263</t>
        </is>
      </c>
      <c r="D703" s="4" t="n">
        <v>45381</v>
      </c>
      <c r="E703" s="2" t="inlineStr">
        <is>
          <t>15:03</t>
        </is>
      </c>
      <c r="F703" s="5" t="n">
        <v>274.17</v>
      </c>
      <c r="G703" s="5" t="n"/>
      <c r="H703" s="5" t="n"/>
      <c r="I703" s="5" t="n"/>
      <c r="J703" s="5" t="n">
        <v>54.83</v>
      </c>
      <c r="K703" s="5" t="n"/>
      <c r="L703" s="5" t="n"/>
      <c r="M703" s="5" t="n"/>
      <c r="N703" s="5" t="n"/>
      <c r="O703" s="5" t="n">
        <v>329</v>
      </c>
      <c r="P703" s="5" t="n"/>
      <c r="Q703" s="5" t="n">
        <v>329</v>
      </c>
      <c r="R703" s="5" t="n"/>
    </row>
    <row r="704">
      <c r="A704" s="2" t="inlineStr">
        <is>
          <t>EJ020424.TXT</t>
        </is>
      </c>
      <c r="B704" s="3" t="inlineStr">
        <is>
          <t>005318</t>
        </is>
      </c>
      <c r="C704" s="3" t="inlineStr">
        <is>
          <t>004264</t>
        </is>
      </c>
      <c r="D704" s="4" t="n">
        <v>45381</v>
      </c>
      <c r="E704" s="2" t="inlineStr">
        <is>
          <t>15:03</t>
        </is>
      </c>
      <c r="F704" s="5" t="n">
        <v>548.33</v>
      </c>
      <c r="G704" s="5" t="n"/>
      <c r="H704" s="5" t="n"/>
      <c r="I704" s="5" t="n"/>
      <c r="J704" s="5" t="n">
        <v>109.67</v>
      </c>
      <c r="K704" s="5" t="n"/>
      <c r="L704" s="5" t="n"/>
      <c r="M704" s="5" t="n"/>
      <c r="N704" s="5" t="n"/>
      <c r="O704" s="5" t="n">
        <v>658</v>
      </c>
      <c r="P704" s="5" t="n"/>
      <c r="Q704" s="5" t="n">
        <v>658</v>
      </c>
      <c r="R704" s="5" t="n"/>
    </row>
    <row r="705">
      <c r="A705" s="2" t="inlineStr">
        <is>
          <t>EJ020424.TXT</t>
        </is>
      </c>
      <c r="B705" s="3" t="inlineStr">
        <is>
          <t>005319</t>
        </is>
      </c>
      <c r="C705" s="3" t="inlineStr">
        <is>
          <t>004265</t>
        </is>
      </c>
      <c r="D705" s="4" t="n">
        <v>45381</v>
      </c>
      <c r="E705" s="2" t="inlineStr">
        <is>
          <t>15:04</t>
        </is>
      </c>
      <c r="F705" s="5" t="n">
        <v>274.17</v>
      </c>
      <c r="G705" s="5" t="n"/>
      <c r="H705" s="5" t="n"/>
      <c r="I705" s="5" t="n"/>
      <c r="J705" s="5" t="n">
        <v>54.83</v>
      </c>
      <c r="K705" s="5" t="n"/>
      <c r="L705" s="5" t="n"/>
      <c r="M705" s="5" t="n"/>
      <c r="N705" s="5" t="n"/>
      <c r="O705" s="5" t="n">
        <v>329</v>
      </c>
      <c r="P705" s="5" t="n"/>
      <c r="Q705" s="5" t="n">
        <v>329</v>
      </c>
      <c r="R705" s="5" t="n"/>
    </row>
    <row r="706">
      <c r="A706" s="2" t="inlineStr">
        <is>
          <t>EJ020424.TXT</t>
        </is>
      </c>
      <c r="B706" s="3" t="inlineStr">
        <is>
          <t>005320</t>
        </is>
      </c>
      <c r="C706" s="3" t="inlineStr">
        <is>
          <t>004266</t>
        </is>
      </c>
      <c r="D706" s="4" t="n">
        <v>45381</v>
      </c>
      <c r="E706" s="2" t="inlineStr">
        <is>
          <t>15:04</t>
        </is>
      </c>
      <c r="F706" s="5" t="n">
        <v>548.33</v>
      </c>
      <c r="G706" s="5" t="n"/>
      <c r="H706" s="5" t="n"/>
      <c r="I706" s="5" t="n"/>
      <c r="J706" s="5" t="n">
        <v>109.67</v>
      </c>
      <c r="K706" s="5" t="n"/>
      <c r="L706" s="5" t="n"/>
      <c r="M706" s="5" t="n"/>
      <c r="N706" s="5" t="n"/>
      <c r="O706" s="5" t="n">
        <v>658</v>
      </c>
      <c r="P706" s="5" t="n"/>
      <c r="Q706" s="5" t="n">
        <v>658</v>
      </c>
      <c r="R706" s="5" t="n"/>
    </row>
    <row r="707">
      <c r="A707" s="2" t="inlineStr">
        <is>
          <t>EJ020424.TXT</t>
        </is>
      </c>
      <c r="B707" s="3" t="inlineStr">
        <is>
          <t>005321</t>
        </is>
      </c>
      <c r="C707" s="3" t="inlineStr">
        <is>
          <t>004267</t>
        </is>
      </c>
      <c r="D707" s="4" t="n">
        <v>45381</v>
      </c>
      <c r="E707" s="2" t="inlineStr">
        <is>
          <t>15:04</t>
        </is>
      </c>
      <c r="F707" s="5" t="n">
        <v>274.17</v>
      </c>
      <c r="G707" s="5" t="n"/>
      <c r="H707" s="5" t="n"/>
      <c r="I707" s="5" t="n"/>
      <c r="J707" s="5" t="n">
        <v>54.83</v>
      </c>
      <c r="K707" s="5" t="n"/>
      <c r="L707" s="5" t="n"/>
      <c r="M707" s="5" t="n"/>
      <c r="N707" s="5" t="n"/>
      <c r="O707" s="5" t="n">
        <v>329</v>
      </c>
      <c r="P707" s="5" t="n"/>
      <c r="Q707" s="5" t="n">
        <v>329</v>
      </c>
      <c r="R707" s="5" t="n"/>
    </row>
    <row r="708">
      <c r="A708" s="2" t="inlineStr">
        <is>
          <t>EJ020424.TXT</t>
        </is>
      </c>
      <c r="B708" s="3" t="inlineStr">
        <is>
          <t>005322</t>
        </is>
      </c>
      <c r="C708" s="3" t="inlineStr">
        <is>
          <t>004268</t>
        </is>
      </c>
      <c r="D708" s="4" t="n">
        <v>45381</v>
      </c>
      <c r="E708" s="2" t="inlineStr">
        <is>
          <t>15:05</t>
        </is>
      </c>
      <c r="F708" s="5" t="n">
        <v>822.5</v>
      </c>
      <c r="G708" s="5" t="n"/>
      <c r="H708" s="5" t="n"/>
      <c r="I708" s="5" t="n"/>
      <c r="J708" s="5" t="n">
        <v>164.5</v>
      </c>
      <c r="K708" s="5" t="n"/>
      <c r="L708" s="5" t="n"/>
      <c r="M708" s="5" t="n"/>
      <c r="N708" s="5" t="n"/>
      <c r="O708" s="5" t="n">
        <v>987</v>
      </c>
      <c r="P708" s="5" t="n"/>
      <c r="Q708" s="5" t="n">
        <v>987</v>
      </c>
      <c r="R708" s="5" t="n"/>
    </row>
    <row r="709">
      <c r="A709" s="2" t="inlineStr">
        <is>
          <t>EJ020424.TXT</t>
        </is>
      </c>
      <c r="B709" s="3" t="inlineStr">
        <is>
          <t>005323</t>
        </is>
      </c>
      <c r="C709" s="3" t="inlineStr">
        <is>
          <t>004269</t>
        </is>
      </c>
      <c r="D709" s="4" t="n">
        <v>45381</v>
      </c>
      <c r="E709" s="2" t="inlineStr">
        <is>
          <t>15:05</t>
        </is>
      </c>
      <c r="F709" s="5" t="n">
        <v>822.5</v>
      </c>
      <c r="G709" s="5" t="n"/>
      <c r="H709" s="5" t="n"/>
      <c r="I709" s="5" t="n"/>
      <c r="J709" s="5" t="n">
        <v>164.5</v>
      </c>
      <c r="K709" s="5" t="n"/>
      <c r="L709" s="5" t="n"/>
      <c r="M709" s="5" t="n"/>
      <c r="N709" s="5" t="n"/>
      <c r="O709" s="5" t="n">
        <v>987</v>
      </c>
      <c r="P709" s="5" t="n"/>
      <c r="Q709" s="5" t="n">
        <v>987</v>
      </c>
      <c r="R709" s="5" t="n"/>
    </row>
    <row r="710">
      <c r="A710" s="2" t="inlineStr">
        <is>
          <t>EJ020424.TXT</t>
        </is>
      </c>
      <c r="B710" s="3" t="inlineStr">
        <is>
          <t>005324</t>
        </is>
      </c>
      <c r="C710" s="3" t="inlineStr">
        <is>
          <t>004270</t>
        </is>
      </c>
      <c r="D710" s="4" t="n">
        <v>45381</v>
      </c>
      <c r="E710" s="2" t="inlineStr">
        <is>
          <t>17:42</t>
        </is>
      </c>
      <c r="F710" s="5" t="n">
        <v>58.25</v>
      </c>
      <c r="G710" s="5" t="n"/>
      <c r="H710" s="5" t="n"/>
      <c r="I710" s="5" t="n"/>
      <c r="J710" s="5" t="n">
        <v>11.65</v>
      </c>
      <c r="K710" s="5" t="n"/>
      <c r="L710" s="5" t="n"/>
      <c r="M710" s="5" t="n"/>
      <c r="N710" s="5" t="n"/>
      <c r="O710" s="5" t="n">
        <v>69.90000000000001</v>
      </c>
      <c r="P710" s="5" t="n"/>
      <c r="Q710" s="5" t="n">
        <v>69.90000000000001</v>
      </c>
      <c r="R710" s="5" t="n"/>
    </row>
    <row r="711">
      <c r="A711" s="2" t="inlineStr">
        <is>
          <t>EJ020424.TXT</t>
        </is>
      </c>
      <c r="B711" s="3" t="inlineStr">
        <is>
          <t>005325</t>
        </is>
      </c>
      <c r="C711" s="3" t="inlineStr">
        <is>
          <t>004271</t>
        </is>
      </c>
      <c r="D711" s="4" t="n">
        <v>45381</v>
      </c>
      <c r="E711" s="2" t="inlineStr">
        <is>
          <t>17:47</t>
        </is>
      </c>
      <c r="F711" s="5" t="n">
        <v>94.92</v>
      </c>
      <c r="G711" s="5" t="n"/>
      <c r="H711" s="5" t="n"/>
      <c r="I711" s="5" t="n"/>
      <c r="J711" s="5" t="n">
        <v>18.98</v>
      </c>
      <c r="K711" s="5" t="n"/>
      <c r="L711" s="5" t="n"/>
      <c r="M711" s="5" t="n"/>
      <c r="N711" s="5" t="n"/>
      <c r="O711" s="5" t="n">
        <v>113.9</v>
      </c>
      <c r="P711" s="5" t="n"/>
      <c r="Q711" s="5" t="n">
        <v>113.9</v>
      </c>
      <c r="R711" s="5" t="n"/>
    </row>
    <row r="712">
      <c r="A712" s="2" t="inlineStr">
        <is>
          <t>EJ300424.TXT</t>
        </is>
      </c>
      <c r="B712" s="3" t="inlineStr">
        <is>
          <t>005333</t>
        </is>
      </c>
      <c r="C712" s="3" t="inlineStr">
        <is>
          <t>004272</t>
        </is>
      </c>
      <c r="D712" s="4" t="n">
        <v>45385</v>
      </c>
      <c r="E712" s="2" t="inlineStr">
        <is>
          <t>09:59</t>
        </is>
      </c>
      <c r="F712" s="5" t="n">
        <v>582.5</v>
      </c>
      <c r="G712" s="5" t="n"/>
      <c r="H712" s="5" t="n"/>
      <c r="I712" s="5" t="n"/>
      <c r="J712" s="5" t="n">
        <v>116.5</v>
      </c>
      <c r="K712" s="5" t="n"/>
      <c r="L712" s="5" t="n"/>
      <c r="M712" s="5" t="n"/>
      <c r="N712" s="5" t="n"/>
      <c r="O712" s="5" t="n">
        <v>699</v>
      </c>
      <c r="P712" s="5" t="n">
        <v>699</v>
      </c>
      <c r="Q712" s="5" t="n"/>
      <c r="R712" s="5" t="n"/>
    </row>
    <row r="713">
      <c r="A713" s="2" t="inlineStr">
        <is>
          <t>EJ300424.TXT</t>
        </is>
      </c>
      <c r="B713" s="3" t="inlineStr">
        <is>
          <t>005334</t>
        </is>
      </c>
      <c r="C713" s="3" t="inlineStr">
        <is>
          <t>004273</t>
        </is>
      </c>
      <c r="D713" s="4" t="n">
        <v>45385</v>
      </c>
      <c r="E713" s="2" t="inlineStr">
        <is>
          <t>14:26</t>
        </is>
      </c>
      <c r="F713" s="5" t="n">
        <v>548.33</v>
      </c>
      <c r="G713" s="5" t="n"/>
      <c r="H713" s="5" t="n"/>
      <c r="I713" s="5" t="n"/>
      <c r="J713" s="5" t="n">
        <v>109.67</v>
      </c>
      <c r="K713" s="5" t="n"/>
      <c r="L713" s="5" t="n"/>
      <c r="M713" s="5" t="n"/>
      <c r="N713" s="5" t="n"/>
      <c r="O713" s="5" t="n">
        <v>658</v>
      </c>
      <c r="P713" s="5" t="n">
        <v>658</v>
      </c>
      <c r="Q713" s="5" t="n"/>
      <c r="R713" s="5" t="n"/>
    </row>
    <row r="714">
      <c r="A714" s="2" t="inlineStr">
        <is>
          <t>EJ300424.TXT</t>
        </is>
      </c>
      <c r="B714" s="3" t="inlineStr">
        <is>
          <t>005335</t>
        </is>
      </c>
      <c r="C714" s="3" t="inlineStr">
        <is>
          <t>004274</t>
        </is>
      </c>
      <c r="D714" s="4" t="n">
        <v>45386</v>
      </c>
      <c r="E714" s="2" t="inlineStr">
        <is>
          <t>15:16</t>
        </is>
      </c>
      <c r="F714" s="5" t="n">
        <v>41.58</v>
      </c>
      <c r="G714" s="5" t="n"/>
      <c r="H714" s="5" t="n"/>
      <c r="I714" s="5" t="n"/>
      <c r="J714" s="5" t="n">
        <v>8.32</v>
      </c>
      <c r="K714" s="5" t="n"/>
      <c r="L714" s="5" t="n"/>
      <c r="M714" s="5" t="n"/>
      <c r="N714" s="5" t="n"/>
      <c r="O714" s="5" t="n">
        <v>49.9</v>
      </c>
      <c r="P714" s="5" t="n">
        <v>49.9</v>
      </c>
      <c r="Q714" s="5" t="n"/>
      <c r="R714" s="5" t="n"/>
    </row>
    <row r="715">
      <c r="A715" s="2" t="inlineStr">
        <is>
          <t>EJ300424.TXT</t>
        </is>
      </c>
      <c r="B715" s="3" t="inlineStr">
        <is>
          <t>005336</t>
        </is>
      </c>
      <c r="C715" s="3" t="inlineStr">
        <is>
          <t>004275</t>
        </is>
      </c>
      <c r="D715" s="4" t="n">
        <v>45387</v>
      </c>
      <c r="E715" s="2" t="inlineStr">
        <is>
          <t>15:45</t>
        </is>
      </c>
      <c r="F715" s="5" t="n">
        <v>208.33</v>
      </c>
      <c r="G715" s="5" t="n"/>
      <c r="H715" s="5" t="n"/>
      <c r="I715" s="5" t="n"/>
      <c r="J715" s="5" t="n">
        <v>41.67</v>
      </c>
      <c r="K715" s="5" t="n"/>
      <c r="L715" s="5" t="n"/>
      <c r="M715" s="5" t="n"/>
      <c r="N715" s="5" t="n"/>
      <c r="O715" s="5" t="n">
        <v>250</v>
      </c>
      <c r="P715" s="5" t="n"/>
      <c r="Q715" s="5" t="n">
        <v>250</v>
      </c>
      <c r="R715" s="5" t="n"/>
    </row>
    <row r="716">
      <c r="A716" s="2" t="inlineStr">
        <is>
          <t>EJ300424.TXT</t>
        </is>
      </c>
      <c r="B716" s="3" t="inlineStr">
        <is>
          <t>005337</t>
        </is>
      </c>
      <c r="C716" s="3" t="inlineStr">
        <is>
          <t>004276</t>
        </is>
      </c>
      <c r="D716" s="4" t="n">
        <v>45388</v>
      </c>
      <c r="E716" s="2" t="inlineStr">
        <is>
          <t>15:32</t>
        </is>
      </c>
      <c r="F716" s="5" t="n">
        <v>274.17</v>
      </c>
      <c r="G716" s="5" t="n"/>
      <c r="H716" s="5" t="n"/>
      <c r="I716" s="5" t="n"/>
      <c r="J716" s="5" t="n">
        <v>54.83</v>
      </c>
      <c r="K716" s="5" t="n"/>
      <c r="L716" s="5" t="n"/>
      <c r="M716" s="5" t="n"/>
      <c r="N716" s="5" t="n"/>
      <c r="O716" s="5" t="n">
        <v>329</v>
      </c>
      <c r="P716" s="5" t="n"/>
      <c r="Q716" s="5" t="n">
        <v>329</v>
      </c>
      <c r="R716" s="5" t="n"/>
    </row>
    <row r="717">
      <c r="A717" s="2" t="inlineStr">
        <is>
          <t>EJ300424.TXT</t>
        </is>
      </c>
      <c r="B717" s="3" t="inlineStr">
        <is>
          <t>005338</t>
        </is>
      </c>
      <c r="C717" s="3" t="inlineStr">
        <is>
          <t>004277</t>
        </is>
      </c>
      <c r="D717" s="4" t="n">
        <v>45390</v>
      </c>
      <c r="E717" s="2" t="inlineStr">
        <is>
          <t>11:59</t>
        </is>
      </c>
      <c r="F717" s="5" t="n">
        <v>465</v>
      </c>
      <c r="G717" s="5" t="n"/>
      <c r="H717" s="5" t="n"/>
      <c r="I717" s="5" t="n"/>
      <c r="J717" s="5" t="n">
        <v>93</v>
      </c>
      <c r="K717" s="5" t="n"/>
      <c r="L717" s="5" t="n"/>
      <c r="M717" s="5" t="n"/>
      <c r="N717" s="5" t="n"/>
      <c r="O717" s="5" t="n">
        <v>558</v>
      </c>
      <c r="P717" s="5" t="n"/>
      <c r="Q717" s="5" t="n">
        <v>558</v>
      </c>
      <c r="R717" s="5" t="n"/>
    </row>
    <row r="718">
      <c r="A718" s="2" t="inlineStr">
        <is>
          <t>EJ300424.TXT</t>
        </is>
      </c>
      <c r="B718" s="3" t="inlineStr">
        <is>
          <t>005339</t>
        </is>
      </c>
      <c r="C718" s="3" t="inlineStr">
        <is>
          <t>004278</t>
        </is>
      </c>
      <c r="D718" s="4" t="n">
        <v>45392</v>
      </c>
      <c r="E718" s="2" t="inlineStr">
        <is>
          <t>09:38</t>
        </is>
      </c>
      <c r="F718" s="5" t="n">
        <v>548.33</v>
      </c>
      <c r="G718" s="5" t="n"/>
      <c r="H718" s="5" t="n"/>
      <c r="I718" s="5" t="n"/>
      <c r="J718" s="5" t="n">
        <v>109.67</v>
      </c>
      <c r="K718" s="5" t="n"/>
      <c r="L718" s="5" t="n"/>
      <c r="M718" s="5" t="n"/>
      <c r="N718" s="5" t="n"/>
      <c r="O718" s="5" t="n">
        <v>658</v>
      </c>
      <c r="P718" s="5" t="n">
        <v>658</v>
      </c>
      <c r="Q718" s="5" t="n"/>
      <c r="R718" s="5" t="n"/>
    </row>
    <row r="719">
      <c r="A719" s="2" t="inlineStr">
        <is>
          <t>EJ300424.TXT</t>
        </is>
      </c>
      <c r="B719" s="3" t="inlineStr">
        <is>
          <t>005340</t>
        </is>
      </c>
      <c r="C719" s="3" t="inlineStr">
        <is>
          <t>004279</t>
        </is>
      </c>
      <c r="D719" s="4" t="n">
        <v>45394</v>
      </c>
      <c r="E719" s="2" t="inlineStr">
        <is>
          <t>16:47</t>
        </is>
      </c>
      <c r="F719" s="5" t="n">
        <v>199.17</v>
      </c>
      <c r="G719" s="5" t="n"/>
      <c r="H719" s="5" t="n"/>
      <c r="I719" s="5" t="n"/>
      <c r="J719" s="5" t="n">
        <v>39.83</v>
      </c>
      <c r="K719" s="5" t="n"/>
      <c r="L719" s="5" t="n"/>
      <c r="M719" s="5" t="n"/>
      <c r="N719" s="5" t="n"/>
      <c r="O719" s="5" t="n">
        <v>239</v>
      </c>
      <c r="P719" s="5" t="n"/>
      <c r="Q719" s="5" t="n">
        <v>239</v>
      </c>
      <c r="R719" s="5" t="n"/>
    </row>
    <row r="720">
      <c r="A720" s="2" t="inlineStr">
        <is>
          <t>EJ300424.TXT</t>
        </is>
      </c>
      <c r="B720" s="3" t="inlineStr">
        <is>
          <t>005341</t>
        </is>
      </c>
      <c r="C720" s="3" t="inlineStr">
        <is>
          <t>004280</t>
        </is>
      </c>
      <c r="D720" s="4" t="n">
        <v>45395</v>
      </c>
      <c r="E720" s="2" t="inlineStr">
        <is>
          <t>13:46</t>
        </is>
      </c>
      <c r="F720" s="5" t="n">
        <v>274.17</v>
      </c>
      <c r="G720" s="5" t="n"/>
      <c r="H720" s="5" t="n"/>
      <c r="I720" s="5" t="n"/>
      <c r="J720" s="5" t="n">
        <v>54.83</v>
      </c>
      <c r="K720" s="5" t="n"/>
      <c r="L720" s="5" t="n"/>
      <c r="M720" s="5" t="n"/>
      <c r="N720" s="5" t="n"/>
      <c r="O720" s="5" t="n">
        <v>329</v>
      </c>
      <c r="P720" s="5" t="n"/>
      <c r="Q720" s="5" t="n">
        <v>329</v>
      </c>
      <c r="R720" s="5" t="n"/>
    </row>
    <row r="721">
      <c r="A721" s="2" t="inlineStr">
        <is>
          <t>EJ300424.TXT</t>
        </is>
      </c>
      <c r="B721" s="3" t="inlineStr">
        <is>
          <t>005342</t>
        </is>
      </c>
      <c r="C721" s="3" t="inlineStr">
        <is>
          <t>004281</t>
        </is>
      </c>
      <c r="D721" s="4" t="n">
        <v>45395</v>
      </c>
      <c r="E721" s="2" t="inlineStr">
        <is>
          <t>13:47</t>
        </is>
      </c>
      <c r="F721" s="5" t="n">
        <v>274.17</v>
      </c>
      <c r="G721" s="5" t="n"/>
      <c r="H721" s="5" t="n"/>
      <c r="I721" s="5" t="n"/>
      <c r="J721" s="5" t="n">
        <v>54.83</v>
      </c>
      <c r="K721" s="5" t="n"/>
      <c r="L721" s="5" t="n"/>
      <c r="M721" s="5" t="n"/>
      <c r="N721" s="5" t="n"/>
      <c r="O721" s="5" t="n">
        <v>329</v>
      </c>
      <c r="P721" s="5" t="n">
        <v>329</v>
      </c>
      <c r="Q721" s="5" t="n"/>
      <c r="R721" s="5" t="n"/>
    </row>
    <row r="722">
      <c r="A722" s="2" t="inlineStr">
        <is>
          <t>EJ300424.TXT</t>
        </is>
      </c>
      <c r="B722" s="3" t="inlineStr">
        <is>
          <t>005343</t>
        </is>
      </c>
      <c r="C722" s="3" t="inlineStr">
        <is>
          <t>004282</t>
        </is>
      </c>
      <c r="D722" s="4" t="n">
        <v>45395</v>
      </c>
      <c r="E722" s="2" t="inlineStr">
        <is>
          <t>16:11</t>
        </is>
      </c>
      <c r="F722" s="5" t="n">
        <v>2390</v>
      </c>
      <c r="G722" s="5" t="n"/>
      <c r="H722" s="5" t="n"/>
      <c r="I722" s="5" t="n"/>
      <c r="J722" s="5" t="n">
        <v>478</v>
      </c>
      <c r="K722" s="5" t="n"/>
      <c r="L722" s="5" t="n"/>
      <c r="M722" s="5" t="n"/>
      <c r="N722" s="5" t="n"/>
      <c r="O722" s="5" t="n">
        <v>2868</v>
      </c>
      <c r="P722" s="5" t="n">
        <v>2868</v>
      </c>
      <c r="Q722" s="5" t="n"/>
      <c r="R722" s="5" t="n"/>
    </row>
    <row r="723">
      <c r="A723" s="2" t="inlineStr">
        <is>
          <t>EJ300424.TXT</t>
        </is>
      </c>
      <c r="B723" s="3" t="inlineStr">
        <is>
          <t>005344</t>
        </is>
      </c>
      <c r="C723" s="3" t="inlineStr">
        <is>
          <t>004283</t>
        </is>
      </c>
      <c r="D723" s="4" t="n">
        <v>45398</v>
      </c>
      <c r="E723" s="2" t="inlineStr">
        <is>
          <t>17:19</t>
        </is>
      </c>
      <c r="F723" s="5" t="n">
        <v>41.58</v>
      </c>
      <c r="G723" s="5" t="n"/>
      <c r="H723" s="5" t="n"/>
      <c r="I723" s="5" t="n"/>
      <c r="J723" s="5" t="n">
        <v>8.32</v>
      </c>
      <c r="K723" s="5" t="n"/>
      <c r="L723" s="5" t="n"/>
      <c r="M723" s="5" t="n"/>
      <c r="N723" s="5" t="n"/>
      <c r="O723" s="5" t="n">
        <v>49.9</v>
      </c>
      <c r="P723" s="5" t="n">
        <v>49.9</v>
      </c>
      <c r="Q723" s="5" t="n"/>
      <c r="R723" s="5" t="n"/>
    </row>
    <row r="724">
      <c r="A724" s="2" t="inlineStr">
        <is>
          <t>EJ300424.TXT</t>
        </is>
      </c>
      <c r="B724" s="3" t="inlineStr">
        <is>
          <t>005345</t>
        </is>
      </c>
      <c r="C724" s="3" t="inlineStr">
        <is>
          <t>004284</t>
        </is>
      </c>
      <c r="D724" s="4" t="n">
        <v>45399</v>
      </c>
      <c r="E724" s="2" t="inlineStr">
        <is>
          <t>16:19</t>
        </is>
      </c>
      <c r="F724" s="5" t="n">
        <v>548.33</v>
      </c>
      <c r="G724" s="5" t="n"/>
      <c r="H724" s="5" t="n"/>
      <c r="I724" s="5" t="n"/>
      <c r="J724" s="5" t="n">
        <v>109.67</v>
      </c>
      <c r="K724" s="5" t="n"/>
      <c r="L724" s="5" t="n"/>
      <c r="M724" s="5" t="n"/>
      <c r="N724" s="5" t="n"/>
      <c r="O724" s="5" t="n">
        <v>658</v>
      </c>
      <c r="P724" s="5" t="n">
        <v>658</v>
      </c>
      <c r="Q724" s="5" t="n"/>
      <c r="R724" s="5" t="n"/>
    </row>
    <row r="725">
      <c r="A725" s="2" t="inlineStr">
        <is>
          <t>EJ300424.TXT</t>
        </is>
      </c>
      <c r="B725" s="3" t="inlineStr">
        <is>
          <t>005347</t>
        </is>
      </c>
      <c r="C725" s="3" t="inlineStr">
        <is>
          <t>004285</t>
        </is>
      </c>
      <c r="D725" s="4" t="n">
        <v>45402</v>
      </c>
      <c r="E725" s="2" t="inlineStr">
        <is>
          <t>13:49</t>
        </is>
      </c>
      <c r="F725" s="5" t="n">
        <v>190.83</v>
      </c>
      <c r="G725" s="5" t="n"/>
      <c r="H725" s="5" t="n"/>
      <c r="I725" s="5" t="n"/>
      <c r="J725" s="5" t="n">
        <v>38.17</v>
      </c>
      <c r="K725" s="5" t="n"/>
      <c r="L725" s="5" t="n"/>
      <c r="M725" s="5" t="n"/>
      <c r="N725" s="5" t="n"/>
      <c r="O725" s="5" t="n">
        <v>229</v>
      </c>
      <c r="P725" s="5" t="n"/>
      <c r="Q725" s="5" t="n">
        <v>229</v>
      </c>
      <c r="R725" s="5" t="n"/>
    </row>
    <row r="726">
      <c r="A726" s="2" t="inlineStr">
        <is>
          <t>EJ300424.TXT</t>
        </is>
      </c>
      <c r="B726" s="3" t="inlineStr">
        <is>
          <t>005348</t>
        </is>
      </c>
      <c r="C726" s="3" t="inlineStr">
        <is>
          <t>004286</t>
        </is>
      </c>
      <c r="D726" s="4" t="n">
        <v>45402</v>
      </c>
      <c r="E726" s="2" t="inlineStr">
        <is>
          <t>14:32</t>
        </is>
      </c>
      <c r="F726" s="5" t="n">
        <v>199.17</v>
      </c>
      <c r="G726" s="5" t="n"/>
      <c r="H726" s="5" t="n"/>
      <c r="I726" s="5" t="n"/>
      <c r="J726" s="5" t="n">
        <v>39.83</v>
      </c>
      <c r="K726" s="5" t="n"/>
      <c r="L726" s="5" t="n"/>
      <c r="M726" s="5" t="n"/>
      <c r="N726" s="5" t="n"/>
      <c r="O726" s="5" t="n">
        <v>239</v>
      </c>
      <c r="P726" s="5" t="n"/>
      <c r="Q726" s="5" t="n">
        <v>239</v>
      </c>
      <c r="R726" s="5" t="n"/>
    </row>
    <row r="727">
      <c r="A727" s="2" t="inlineStr">
        <is>
          <t>EJ300424.TXT</t>
        </is>
      </c>
      <c r="B727" s="3" t="inlineStr">
        <is>
          <t>005349</t>
        </is>
      </c>
      <c r="C727" s="3" t="inlineStr">
        <is>
          <t>004287</t>
        </is>
      </c>
      <c r="D727" s="4" t="n">
        <v>45402</v>
      </c>
      <c r="E727" s="2" t="inlineStr">
        <is>
          <t>14:37</t>
        </is>
      </c>
      <c r="F727" s="5" t="n">
        <v>124.17</v>
      </c>
      <c r="G727" s="5" t="n"/>
      <c r="H727" s="5" t="n"/>
      <c r="I727" s="5" t="n"/>
      <c r="J727" s="5" t="n">
        <v>24.83</v>
      </c>
      <c r="K727" s="5" t="n"/>
      <c r="L727" s="5" t="n"/>
      <c r="M727" s="5" t="n"/>
      <c r="N727" s="5" t="n"/>
      <c r="O727" s="5" t="n">
        <v>149</v>
      </c>
      <c r="P727" s="5" t="n">
        <v>149</v>
      </c>
      <c r="Q727" s="5" t="n"/>
      <c r="R727" s="5" t="n"/>
    </row>
    <row r="728">
      <c r="A728" s="2" t="inlineStr">
        <is>
          <t>EJ300424.TXT</t>
        </is>
      </c>
      <c r="B728" s="3" t="inlineStr">
        <is>
          <t>005350</t>
        </is>
      </c>
      <c r="C728" s="3" t="inlineStr">
        <is>
          <t>004288</t>
        </is>
      </c>
      <c r="D728" s="4" t="n">
        <v>45402</v>
      </c>
      <c r="E728" s="2" t="inlineStr">
        <is>
          <t>16:46</t>
        </is>
      </c>
      <c r="F728" s="5" t="n">
        <v>274.17</v>
      </c>
      <c r="G728" s="5" t="n"/>
      <c r="H728" s="5" t="n"/>
      <c r="I728" s="5" t="n"/>
      <c r="J728" s="5" t="n">
        <v>54.83</v>
      </c>
      <c r="K728" s="5" t="n"/>
      <c r="L728" s="5" t="n"/>
      <c r="M728" s="5" t="n"/>
      <c r="N728" s="5" t="n"/>
      <c r="O728" s="5" t="n">
        <v>329</v>
      </c>
      <c r="P728" s="5" t="n">
        <v>329</v>
      </c>
      <c r="Q728" s="5" t="n"/>
      <c r="R728" s="5" t="n"/>
    </row>
    <row r="729">
      <c r="A729" s="2" t="inlineStr">
        <is>
          <t>EJ300424.TXT</t>
        </is>
      </c>
      <c r="B729" s="3" t="inlineStr">
        <is>
          <t>005351</t>
        </is>
      </c>
      <c r="C729" s="3" t="inlineStr">
        <is>
          <t>004289</t>
        </is>
      </c>
      <c r="D729" s="4" t="n">
        <v>45404</v>
      </c>
      <c r="E729" s="2" t="inlineStr">
        <is>
          <t>15:43</t>
        </is>
      </c>
      <c r="F729" s="5" t="n">
        <v>208.33</v>
      </c>
      <c r="G729" s="5" t="n"/>
      <c r="H729" s="5" t="n"/>
      <c r="I729" s="5" t="n"/>
      <c r="J729" s="5" t="n">
        <v>41.67</v>
      </c>
      <c r="K729" s="5" t="n"/>
      <c r="L729" s="5" t="n"/>
      <c r="M729" s="5" t="n"/>
      <c r="N729" s="5" t="n"/>
      <c r="O729" s="5" t="n">
        <v>250</v>
      </c>
      <c r="P729" s="5" t="n"/>
      <c r="Q729" s="5" t="n">
        <v>250</v>
      </c>
      <c r="R729" s="5" t="n"/>
    </row>
    <row r="730">
      <c r="A730" s="2" t="inlineStr">
        <is>
          <t>EJ300424.TXT</t>
        </is>
      </c>
      <c r="B730" s="3" t="inlineStr">
        <is>
          <t>005352</t>
        </is>
      </c>
      <c r="C730" s="3" t="inlineStr">
        <is>
          <t>004290</t>
        </is>
      </c>
      <c r="D730" s="4" t="n">
        <v>45407</v>
      </c>
      <c r="E730" s="2" t="inlineStr">
        <is>
          <t>15:00</t>
        </is>
      </c>
      <c r="F730" s="5" t="n">
        <v>1096.67</v>
      </c>
      <c r="G730" s="5" t="n"/>
      <c r="H730" s="5" t="n"/>
      <c r="I730" s="5" t="n"/>
      <c r="J730" s="5" t="n">
        <v>219.33</v>
      </c>
      <c r="K730" s="5" t="n"/>
      <c r="L730" s="5" t="n"/>
      <c r="M730" s="5" t="n"/>
      <c r="N730" s="5" t="n"/>
      <c r="O730" s="5" t="n">
        <v>1316</v>
      </c>
      <c r="P730" s="5" t="n">
        <v>1316</v>
      </c>
      <c r="Q730" s="5" t="n"/>
      <c r="R730" s="5" t="n"/>
    </row>
    <row r="731">
      <c r="A731" s="2" t="inlineStr">
        <is>
          <t>EJ300424.TXT</t>
        </is>
      </c>
      <c r="B731" s="3" t="inlineStr">
        <is>
          <t>005353</t>
        </is>
      </c>
      <c r="C731" s="3" t="inlineStr">
        <is>
          <t>004291</t>
        </is>
      </c>
      <c r="D731" s="4" t="n">
        <v>45407</v>
      </c>
      <c r="E731" s="2" t="inlineStr">
        <is>
          <t>15:07</t>
        </is>
      </c>
      <c r="F731" s="5" t="n">
        <v>548.33</v>
      </c>
      <c r="G731" s="5" t="n"/>
      <c r="H731" s="5" t="n"/>
      <c r="I731" s="5" t="n"/>
      <c r="J731" s="5" t="n">
        <v>109.67</v>
      </c>
      <c r="K731" s="5" t="n"/>
      <c r="L731" s="5" t="n"/>
      <c r="M731" s="5" t="n"/>
      <c r="N731" s="5" t="n"/>
      <c r="O731" s="5" t="n">
        <v>658</v>
      </c>
      <c r="P731" s="5" t="n">
        <v>658</v>
      </c>
      <c r="Q731" s="5" t="n"/>
      <c r="R731" s="5" t="n"/>
    </row>
    <row r="732">
      <c r="A732" s="2" t="inlineStr">
        <is>
          <t>EJ300424.TXT</t>
        </is>
      </c>
      <c r="B732" s="3" t="inlineStr">
        <is>
          <t>005354</t>
        </is>
      </c>
      <c r="C732" s="3" t="inlineStr">
        <is>
          <t>004292</t>
        </is>
      </c>
      <c r="D732" s="4" t="n">
        <v>45407</v>
      </c>
      <c r="E732" s="2" t="inlineStr">
        <is>
          <t>15:27</t>
        </is>
      </c>
      <c r="F732" s="5" t="n">
        <v>124.17</v>
      </c>
      <c r="G732" s="5" t="n"/>
      <c r="H732" s="5" t="n"/>
      <c r="I732" s="5" t="n"/>
      <c r="J732" s="5" t="n">
        <v>24.83</v>
      </c>
      <c r="K732" s="5" t="n"/>
      <c r="L732" s="5" t="n"/>
      <c r="M732" s="5" t="n"/>
      <c r="N732" s="5" t="n"/>
      <c r="O732" s="5" t="n">
        <v>149</v>
      </c>
      <c r="P732" s="5" t="n">
        <v>149</v>
      </c>
      <c r="Q732" s="5" t="n"/>
      <c r="R732" s="5" t="n"/>
    </row>
    <row r="733">
      <c r="A733" s="2" t="inlineStr">
        <is>
          <t>EJ300424.TXT</t>
        </is>
      </c>
      <c r="B733" s="3" t="inlineStr">
        <is>
          <t>005355</t>
        </is>
      </c>
      <c r="C733" s="3" t="inlineStr">
        <is>
          <t>004293</t>
        </is>
      </c>
      <c r="D733" s="4" t="n">
        <v>45409</v>
      </c>
      <c r="E733" s="2" t="inlineStr">
        <is>
          <t>14:51</t>
        </is>
      </c>
      <c r="F733" s="5" t="n">
        <v>82.5</v>
      </c>
      <c r="G733" s="5" t="n"/>
      <c r="H733" s="5" t="n"/>
      <c r="I733" s="5" t="n"/>
      <c r="J733" s="5" t="n">
        <v>16.5</v>
      </c>
      <c r="K733" s="5" t="n"/>
      <c r="L733" s="5" t="n"/>
      <c r="M733" s="5" t="n"/>
      <c r="N733" s="5" t="n"/>
      <c r="O733" s="5" t="n">
        <v>99</v>
      </c>
      <c r="P733" s="5" t="n"/>
      <c r="Q733" s="5" t="n">
        <v>99</v>
      </c>
      <c r="R733" s="5" t="n"/>
    </row>
    <row r="734">
      <c r="A734" s="2" t="inlineStr">
        <is>
          <t>EJ300424.TXT</t>
        </is>
      </c>
      <c r="B734" s="3" t="inlineStr">
        <is>
          <t>005356</t>
        </is>
      </c>
      <c r="C734" s="3" t="inlineStr">
        <is>
          <t>004294</t>
        </is>
      </c>
      <c r="D734" s="4" t="n">
        <v>45411</v>
      </c>
      <c r="E734" s="2" t="inlineStr">
        <is>
          <t>11:22</t>
        </is>
      </c>
      <c r="F734" s="5" t="n">
        <v>41.58</v>
      </c>
      <c r="G734" s="5" t="n"/>
      <c r="H734" s="5" t="n"/>
      <c r="I734" s="5" t="n"/>
      <c r="J734" s="5" t="n">
        <v>8.32</v>
      </c>
      <c r="K734" s="5" t="n"/>
      <c r="L734" s="5" t="n"/>
      <c r="M734" s="5" t="n"/>
      <c r="N734" s="5" t="n"/>
      <c r="O734" s="5" t="n">
        <v>49.9</v>
      </c>
      <c r="P734" s="5" t="n"/>
      <c r="Q734" s="5" t="n">
        <v>49.9</v>
      </c>
      <c r="R734" s="5" t="n"/>
    </row>
    <row r="735">
      <c r="A735" s="2" t="inlineStr">
        <is>
          <t>EJ300424.TXT</t>
        </is>
      </c>
      <c r="B735" s="3" t="inlineStr">
        <is>
          <t>005357</t>
        </is>
      </c>
      <c r="C735" s="3" t="inlineStr">
        <is>
          <t>004295</t>
        </is>
      </c>
      <c r="D735" s="4" t="n">
        <v>45412</v>
      </c>
      <c r="E735" s="2" t="inlineStr">
        <is>
          <t>15:10</t>
        </is>
      </c>
      <c r="F735" s="5" t="n">
        <v>208.33</v>
      </c>
      <c r="G735" s="5" t="n"/>
      <c r="H735" s="5" t="n"/>
      <c r="I735" s="5" t="n"/>
      <c r="J735" s="5" t="n">
        <v>41.67</v>
      </c>
      <c r="K735" s="5" t="n"/>
      <c r="L735" s="5" t="n"/>
      <c r="M735" s="5" t="n"/>
      <c r="N735" s="5" t="n"/>
      <c r="O735" s="5" t="n">
        <v>250</v>
      </c>
      <c r="P735" s="5" t="n"/>
      <c r="Q735" s="5" t="n">
        <v>250</v>
      </c>
      <c r="R735" s="5" t="n"/>
    </row>
    <row r="736">
      <c r="A736" s="2" t="inlineStr">
        <is>
          <t>EJ300424.TXT</t>
        </is>
      </c>
      <c r="B736" s="3" t="inlineStr">
        <is>
          <t>005358</t>
        </is>
      </c>
      <c r="C736" s="3" t="inlineStr">
        <is>
          <t>004296</t>
        </is>
      </c>
      <c r="D736" s="4" t="n">
        <v>45412</v>
      </c>
      <c r="E736" s="2" t="inlineStr">
        <is>
          <t>17:08</t>
        </is>
      </c>
      <c r="F736" s="5" t="n">
        <v>82.5</v>
      </c>
      <c r="G736" s="5" t="n"/>
      <c r="H736" s="5" t="n"/>
      <c r="I736" s="5" t="n"/>
      <c r="J736" s="5" t="n">
        <v>16.5</v>
      </c>
      <c r="K736" s="5" t="n"/>
      <c r="L736" s="5" t="n"/>
      <c r="M736" s="5" t="n"/>
      <c r="N736" s="5" t="n"/>
      <c r="O736" s="5" t="n">
        <v>99</v>
      </c>
      <c r="P736" s="5" t="n">
        <v>99</v>
      </c>
      <c r="Q736" s="5" t="n"/>
      <c r="R736" s="5" t="n"/>
    </row>
    <row r="737">
      <c r="A737" s="2" t="inlineStr">
        <is>
          <t>EJ010624.TXT</t>
        </is>
      </c>
      <c r="B737" s="3" t="inlineStr">
        <is>
          <t>005367</t>
        </is>
      </c>
      <c r="C737" s="3" t="inlineStr">
        <is>
          <t>004297</t>
        </is>
      </c>
      <c r="D737" s="4" t="n">
        <v>45416</v>
      </c>
      <c r="E737" s="2" t="inlineStr">
        <is>
          <t>14:56</t>
        </is>
      </c>
      <c r="F737" s="5" t="n">
        <v>1480</v>
      </c>
      <c r="G737" s="5" t="n"/>
      <c r="H737" s="5" t="n"/>
      <c r="I737" s="5" t="n"/>
      <c r="J737" s="5" t="n">
        <v>296</v>
      </c>
      <c r="K737" s="5" t="n"/>
      <c r="L737" s="5" t="n"/>
      <c r="M737" s="5" t="n"/>
      <c r="N737" s="5" t="n"/>
      <c r="O737" s="5" t="n">
        <v>1776</v>
      </c>
      <c r="P737" s="5" t="n">
        <v>1776</v>
      </c>
      <c r="Q737" s="5" t="n"/>
      <c r="R737" s="5" t="n"/>
    </row>
    <row r="738">
      <c r="A738" s="2" t="inlineStr">
        <is>
          <t>EJ010624.TXT</t>
        </is>
      </c>
      <c r="B738" s="3" t="inlineStr">
        <is>
          <t>005368</t>
        </is>
      </c>
      <c r="C738" s="3" t="inlineStr">
        <is>
          <t>004298</t>
        </is>
      </c>
      <c r="D738" s="4" t="n">
        <v>45416</v>
      </c>
      <c r="E738" s="2" t="inlineStr">
        <is>
          <t>16:33</t>
        </is>
      </c>
      <c r="F738" s="5" t="n">
        <v>822.5</v>
      </c>
      <c r="G738" s="5" t="n"/>
      <c r="H738" s="5" t="n"/>
      <c r="I738" s="5" t="n"/>
      <c r="J738" s="5" t="n">
        <v>164.5</v>
      </c>
      <c r="K738" s="5" t="n"/>
      <c r="L738" s="5" t="n"/>
      <c r="M738" s="5" t="n"/>
      <c r="N738" s="5" t="n"/>
      <c r="O738" s="5" t="n">
        <v>987</v>
      </c>
      <c r="P738" s="5" t="n"/>
      <c r="Q738" s="5" t="n">
        <v>987</v>
      </c>
      <c r="R738" s="5" t="n"/>
    </row>
    <row r="739">
      <c r="A739" s="2" t="inlineStr">
        <is>
          <t>EJ010624.TXT</t>
        </is>
      </c>
      <c r="B739" s="3" t="inlineStr">
        <is>
          <t>005369</t>
        </is>
      </c>
      <c r="C739" s="3" t="inlineStr">
        <is>
          <t>004299</t>
        </is>
      </c>
      <c r="D739" s="4" t="n">
        <v>45416</v>
      </c>
      <c r="E739" s="2" t="inlineStr">
        <is>
          <t>16:34</t>
        </is>
      </c>
      <c r="F739" s="5" t="n">
        <v>548.33</v>
      </c>
      <c r="G739" s="5" t="n"/>
      <c r="H739" s="5" t="n"/>
      <c r="I739" s="5" t="n"/>
      <c r="J739" s="5" t="n">
        <v>109.67</v>
      </c>
      <c r="K739" s="5" t="n"/>
      <c r="L739" s="5" t="n"/>
      <c r="M739" s="5" t="n"/>
      <c r="N739" s="5" t="n"/>
      <c r="O739" s="5" t="n">
        <v>658</v>
      </c>
      <c r="P739" s="5" t="n"/>
      <c r="Q739" s="5" t="n">
        <v>658</v>
      </c>
      <c r="R739" s="5" t="n"/>
    </row>
    <row r="740">
      <c r="A740" s="2" t="inlineStr">
        <is>
          <t>EJ010624.TXT</t>
        </is>
      </c>
      <c r="B740" s="3" t="inlineStr">
        <is>
          <t>005370</t>
        </is>
      </c>
      <c r="C740" s="3" t="inlineStr">
        <is>
          <t>004300</t>
        </is>
      </c>
      <c r="D740" s="4" t="n">
        <v>45416</v>
      </c>
      <c r="E740" s="2" t="inlineStr">
        <is>
          <t>16:34</t>
        </is>
      </c>
      <c r="F740" s="5" t="n">
        <v>540</v>
      </c>
      <c r="G740" s="5" t="n"/>
      <c r="H740" s="5" t="n"/>
      <c r="I740" s="5" t="n"/>
      <c r="J740" s="5" t="n">
        <v>108</v>
      </c>
      <c r="K740" s="5" t="n"/>
      <c r="L740" s="5" t="n"/>
      <c r="M740" s="5" t="n"/>
      <c r="N740" s="5" t="n"/>
      <c r="O740" s="5" t="n">
        <v>648</v>
      </c>
      <c r="P740" s="5" t="n"/>
      <c r="Q740" s="5" t="n">
        <v>648</v>
      </c>
      <c r="R740" s="5" t="n"/>
    </row>
    <row r="741">
      <c r="A741" s="2" t="inlineStr">
        <is>
          <t>EJ010624.TXT</t>
        </is>
      </c>
      <c r="B741" s="3" t="inlineStr">
        <is>
          <t>005371</t>
        </is>
      </c>
      <c r="C741" s="3" t="inlineStr">
        <is>
          <t>004301</t>
        </is>
      </c>
      <c r="D741" s="4" t="n">
        <v>45419</v>
      </c>
      <c r="E741" s="2" t="inlineStr">
        <is>
          <t>18:01</t>
        </is>
      </c>
      <c r="F741" s="5" t="n">
        <v>548.33</v>
      </c>
      <c r="G741" s="5" t="n"/>
      <c r="H741" s="5" t="n"/>
      <c r="I741" s="5" t="n"/>
      <c r="J741" s="5" t="n">
        <v>109.67</v>
      </c>
      <c r="K741" s="5" t="n"/>
      <c r="L741" s="5" t="n"/>
      <c r="M741" s="5" t="n"/>
      <c r="N741" s="5" t="n"/>
      <c r="O741" s="5" t="n">
        <v>658</v>
      </c>
      <c r="P741" s="5" t="n">
        <v>658</v>
      </c>
      <c r="Q741" s="5" t="n"/>
      <c r="R741" s="5" t="n"/>
    </row>
    <row r="742">
      <c r="A742" s="2" t="inlineStr">
        <is>
          <t>EJ010624.TXT</t>
        </is>
      </c>
      <c r="B742" s="3" t="inlineStr">
        <is>
          <t>005372</t>
        </is>
      </c>
      <c r="C742" s="3" t="inlineStr">
        <is>
          <t>004302</t>
        </is>
      </c>
      <c r="D742" s="4" t="n">
        <v>45423</v>
      </c>
      <c r="E742" s="2" t="inlineStr">
        <is>
          <t>16:04</t>
        </is>
      </c>
      <c r="F742" s="5" t="n">
        <v>548.33</v>
      </c>
      <c r="G742" s="5" t="n"/>
      <c r="H742" s="5" t="n"/>
      <c r="I742" s="5" t="n"/>
      <c r="J742" s="5" t="n">
        <v>109.67</v>
      </c>
      <c r="K742" s="5" t="n"/>
      <c r="L742" s="5" t="n"/>
      <c r="M742" s="5" t="n"/>
      <c r="N742" s="5" t="n"/>
      <c r="O742" s="5" t="n">
        <v>658</v>
      </c>
      <c r="P742" s="5" t="n">
        <v>658</v>
      </c>
      <c r="Q742" s="5" t="n"/>
      <c r="R742" s="5" t="n"/>
    </row>
    <row r="743">
      <c r="A743" s="2" t="inlineStr">
        <is>
          <t>EJ010624.TXT</t>
        </is>
      </c>
      <c r="B743" s="3" t="inlineStr">
        <is>
          <t>005373</t>
        </is>
      </c>
      <c r="C743" s="3" t="inlineStr">
        <is>
          <t>004303</t>
        </is>
      </c>
      <c r="D743" s="4" t="n">
        <v>45423</v>
      </c>
      <c r="E743" s="2" t="inlineStr">
        <is>
          <t>17:03</t>
        </is>
      </c>
      <c r="F743" s="5" t="n">
        <v>350</v>
      </c>
      <c r="G743" s="5" t="n"/>
      <c r="H743" s="5" t="n"/>
      <c r="I743" s="5" t="n"/>
      <c r="J743" s="5" t="n">
        <v>70</v>
      </c>
      <c r="K743" s="5" t="n"/>
      <c r="L743" s="5" t="n"/>
      <c r="M743" s="5" t="n"/>
      <c r="N743" s="5" t="n"/>
      <c r="O743" s="5" t="n">
        <v>420</v>
      </c>
      <c r="P743" s="5" t="n">
        <v>420</v>
      </c>
      <c r="Q743" s="5" t="n"/>
      <c r="R743" s="5" t="n"/>
    </row>
    <row r="744">
      <c r="A744" s="2" t="inlineStr">
        <is>
          <t>EJ010624.TXT</t>
        </is>
      </c>
      <c r="B744" s="3" t="inlineStr">
        <is>
          <t>005374</t>
        </is>
      </c>
      <c r="C744" s="3" t="inlineStr">
        <is>
          <t>004304</t>
        </is>
      </c>
      <c r="D744" s="4" t="n">
        <v>45423</v>
      </c>
      <c r="E744" s="2" t="inlineStr">
        <is>
          <t>17:04</t>
        </is>
      </c>
      <c r="F744" s="5" t="n">
        <v>175</v>
      </c>
      <c r="G744" s="5" t="n"/>
      <c r="H744" s="5" t="n"/>
      <c r="I744" s="5" t="n"/>
      <c r="J744" s="5" t="n">
        <v>35</v>
      </c>
      <c r="K744" s="5" t="n"/>
      <c r="L744" s="5" t="n"/>
      <c r="M744" s="5" t="n"/>
      <c r="N744" s="5" t="n"/>
      <c r="O744" s="5" t="n">
        <v>210</v>
      </c>
      <c r="P744" s="5" t="n">
        <v>210</v>
      </c>
      <c r="Q744" s="5" t="n"/>
      <c r="R744" s="5" t="n"/>
    </row>
    <row r="745">
      <c r="A745" s="2" t="inlineStr">
        <is>
          <t>EJ010624.TXT</t>
        </is>
      </c>
      <c r="B745" s="3" t="inlineStr">
        <is>
          <t>005375</t>
        </is>
      </c>
      <c r="C745" s="3" t="inlineStr">
        <is>
          <t>004305</t>
        </is>
      </c>
      <c r="D745" s="4" t="n">
        <v>45423</v>
      </c>
      <c r="E745" s="2" t="inlineStr">
        <is>
          <t>17:08</t>
        </is>
      </c>
      <c r="F745" s="5" t="n">
        <v>548.33</v>
      </c>
      <c r="G745" s="5" t="n"/>
      <c r="H745" s="5" t="n"/>
      <c r="I745" s="5" t="n"/>
      <c r="J745" s="5" t="n">
        <v>109.67</v>
      </c>
      <c r="K745" s="5" t="n"/>
      <c r="L745" s="5" t="n"/>
      <c r="M745" s="5" t="n"/>
      <c r="N745" s="5" t="n"/>
      <c r="O745" s="5" t="n">
        <v>658</v>
      </c>
      <c r="P745" s="5" t="n"/>
      <c r="Q745" s="5" t="n">
        <v>658</v>
      </c>
      <c r="R745" s="5" t="n"/>
    </row>
    <row r="746">
      <c r="A746" s="2" t="inlineStr">
        <is>
          <t>EJ010624.TXT</t>
        </is>
      </c>
      <c r="B746" s="3" t="inlineStr">
        <is>
          <t>005376</t>
        </is>
      </c>
      <c r="C746" s="3" t="inlineStr">
        <is>
          <t>004306</t>
        </is>
      </c>
      <c r="D746" s="4" t="n">
        <v>45429</v>
      </c>
      <c r="E746" s="2" t="inlineStr">
        <is>
          <t>16:22</t>
        </is>
      </c>
      <c r="F746" s="5" t="n">
        <v>274.17</v>
      </c>
      <c r="G746" s="5" t="n"/>
      <c r="H746" s="5" t="n"/>
      <c r="I746" s="5" t="n"/>
      <c r="J746" s="5" t="n">
        <v>54.83</v>
      </c>
      <c r="K746" s="5" t="n"/>
      <c r="L746" s="5" t="n"/>
      <c r="M746" s="5" t="n"/>
      <c r="N746" s="5" t="n"/>
      <c r="O746" s="5" t="n">
        <v>329</v>
      </c>
      <c r="P746" s="5" t="n">
        <v>329</v>
      </c>
      <c r="Q746" s="5" t="n"/>
      <c r="R746" s="5" t="n"/>
    </row>
    <row r="747">
      <c r="A747" s="2" t="inlineStr">
        <is>
          <t>EJ010624.TXT</t>
        </is>
      </c>
      <c r="B747" s="3" t="inlineStr">
        <is>
          <t>005377</t>
        </is>
      </c>
      <c r="C747" s="3" t="inlineStr">
        <is>
          <t>004307</t>
        </is>
      </c>
      <c r="D747" s="4" t="n">
        <v>45429</v>
      </c>
      <c r="E747" s="2" t="inlineStr">
        <is>
          <t>16:26</t>
        </is>
      </c>
      <c r="F747" s="5" t="n">
        <v>208.33</v>
      </c>
      <c r="G747" s="5" t="n"/>
      <c r="H747" s="5" t="n"/>
      <c r="I747" s="5" t="n"/>
      <c r="J747" s="5" t="n">
        <v>41.67</v>
      </c>
      <c r="K747" s="5" t="n"/>
      <c r="L747" s="5" t="n"/>
      <c r="M747" s="5" t="n"/>
      <c r="N747" s="5" t="n"/>
      <c r="O747" s="5" t="n">
        <v>250</v>
      </c>
      <c r="P747" s="5" t="n"/>
      <c r="Q747" s="5" t="n">
        <v>250</v>
      </c>
      <c r="R747" s="5" t="n"/>
    </row>
    <row r="748">
      <c r="A748" s="2" t="inlineStr">
        <is>
          <t>EJ010624.TXT</t>
        </is>
      </c>
      <c r="B748" s="3" t="inlineStr">
        <is>
          <t>005378</t>
        </is>
      </c>
      <c r="C748" s="3" t="inlineStr">
        <is>
          <t>004308</t>
        </is>
      </c>
      <c r="D748" s="4" t="n">
        <v>45433</v>
      </c>
      <c r="E748" s="2" t="inlineStr">
        <is>
          <t>14:25</t>
        </is>
      </c>
      <c r="F748" s="5" t="n">
        <v>208.33</v>
      </c>
      <c r="G748" s="5" t="n"/>
      <c r="H748" s="5" t="n"/>
      <c r="I748" s="5" t="n"/>
      <c r="J748" s="5" t="n">
        <v>41.67</v>
      </c>
      <c r="K748" s="5" t="n"/>
      <c r="L748" s="5" t="n"/>
      <c r="M748" s="5" t="n"/>
      <c r="N748" s="5" t="n"/>
      <c r="O748" s="5" t="n">
        <v>250</v>
      </c>
      <c r="P748" s="5" t="n"/>
      <c r="Q748" s="5" t="n">
        <v>250</v>
      </c>
      <c r="R748" s="5" t="n"/>
    </row>
    <row r="749">
      <c r="A749" s="2" t="inlineStr">
        <is>
          <t>EJ010624.TXT</t>
        </is>
      </c>
      <c r="B749" s="3" t="inlineStr">
        <is>
          <t>005379</t>
        </is>
      </c>
      <c r="C749" s="3" t="inlineStr">
        <is>
          <t>004309</t>
        </is>
      </c>
      <c r="D749" s="4" t="n">
        <v>45434</v>
      </c>
      <c r="E749" s="2" t="inlineStr">
        <is>
          <t>09:57</t>
        </is>
      </c>
      <c r="F749" s="5" t="n">
        <v>548.33</v>
      </c>
      <c r="G749" s="5" t="n"/>
      <c r="H749" s="5" t="n"/>
      <c r="I749" s="5" t="n"/>
      <c r="J749" s="5" t="n">
        <v>109.67</v>
      </c>
      <c r="K749" s="5" t="n"/>
      <c r="L749" s="5" t="n"/>
      <c r="M749" s="5" t="n"/>
      <c r="N749" s="5" t="n"/>
      <c r="O749" s="5" t="n">
        <v>658</v>
      </c>
      <c r="P749" s="5" t="n"/>
      <c r="Q749" s="5" t="n">
        <v>658</v>
      </c>
      <c r="R749" s="5" t="n"/>
    </row>
    <row r="750">
      <c r="A750" s="2" t="inlineStr">
        <is>
          <t>EJ010624.TXT</t>
        </is>
      </c>
      <c r="B750" s="3" t="inlineStr">
        <is>
          <t>005380</t>
        </is>
      </c>
      <c r="C750" s="3" t="inlineStr">
        <is>
          <t>004310</t>
        </is>
      </c>
      <c r="D750" s="4" t="n">
        <v>45434</v>
      </c>
      <c r="E750" s="2" t="inlineStr">
        <is>
          <t>10:00</t>
        </is>
      </c>
      <c r="F750" s="5" t="n">
        <v>208.33</v>
      </c>
      <c r="G750" s="5" t="n"/>
      <c r="H750" s="5" t="n"/>
      <c r="I750" s="5" t="n"/>
      <c r="J750" s="5" t="n">
        <v>41.67</v>
      </c>
      <c r="K750" s="5" t="n"/>
      <c r="L750" s="5" t="n"/>
      <c r="M750" s="5" t="n"/>
      <c r="N750" s="5" t="n"/>
      <c r="O750" s="5" t="n">
        <v>250</v>
      </c>
      <c r="P750" s="5" t="n"/>
      <c r="Q750" s="5" t="n">
        <v>250</v>
      </c>
      <c r="R750" s="5" t="n"/>
    </row>
    <row r="751">
      <c r="A751" s="2" t="inlineStr">
        <is>
          <t>EJ010624.TXT</t>
        </is>
      </c>
      <c r="B751" s="3" t="inlineStr">
        <is>
          <t>005381</t>
        </is>
      </c>
      <c r="C751" s="3" t="inlineStr">
        <is>
          <t>004311</t>
        </is>
      </c>
      <c r="D751" s="4" t="n">
        <v>45435</v>
      </c>
      <c r="E751" s="2" t="inlineStr">
        <is>
          <t>14:27</t>
        </is>
      </c>
      <c r="F751" s="5" t="n">
        <v>797.5</v>
      </c>
      <c r="G751" s="5" t="n"/>
      <c r="H751" s="5" t="n"/>
      <c r="I751" s="5" t="n"/>
      <c r="J751" s="5" t="n">
        <v>159.5</v>
      </c>
      <c r="K751" s="5" t="n"/>
      <c r="L751" s="5" t="n"/>
      <c r="M751" s="5" t="n"/>
      <c r="N751" s="5" t="n"/>
      <c r="O751" s="5" t="n">
        <v>957</v>
      </c>
      <c r="P751" s="5" t="n"/>
      <c r="Q751" s="5" t="n">
        <v>957</v>
      </c>
      <c r="R751" s="5" t="n"/>
    </row>
    <row r="752">
      <c r="A752" s="2" t="inlineStr">
        <is>
          <t>EJ010624.TXT</t>
        </is>
      </c>
      <c r="B752" s="3" t="inlineStr">
        <is>
          <t>005382</t>
        </is>
      </c>
      <c r="C752" s="3" t="inlineStr">
        <is>
          <t>004312</t>
        </is>
      </c>
      <c r="D752" s="4" t="n">
        <v>45435</v>
      </c>
      <c r="E752" s="2" t="inlineStr">
        <is>
          <t>14:27</t>
        </is>
      </c>
      <c r="F752" s="5" t="n">
        <v>797.5</v>
      </c>
      <c r="G752" s="5" t="n"/>
      <c r="H752" s="5" t="n"/>
      <c r="I752" s="5" t="n"/>
      <c r="J752" s="5" t="n">
        <v>159.5</v>
      </c>
      <c r="K752" s="5" t="n"/>
      <c r="L752" s="5" t="n"/>
      <c r="M752" s="5" t="n"/>
      <c r="N752" s="5" t="n"/>
      <c r="O752" s="5" t="n">
        <v>957</v>
      </c>
      <c r="P752" s="5" t="n"/>
      <c r="Q752" s="5" t="n">
        <v>957</v>
      </c>
      <c r="R752" s="5" t="n"/>
    </row>
    <row r="753">
      <c r="A753" s="2" t="inlineStr">
        <is>
          <t>EJ010624.TXT</t>
        </is>
      </c>
      <c r="B753" s="3" t="inlineStr">
        <is>
          <t>005383</t>
        </is>
      </c>
      <c r="C753" s="3" t="inlineStr">
        <is>
          <t>004313</t>
        </is>
      </c>
      <c r="D753" s="4" t="n">
        <v>45436</v>
      </c>
      <c r="E753" s="2" t="inlineStr">
        <is>
          <t>10:00</t>
        </is>
      </c>
      <c r="F753" s="5" t="n">
        <v>822.5</v>
      </c>
      <c r="G753" s="5" t="n"/>
      <c r="H753" s="5" t="n"/>
      <c r="I753" s="5" t="n"/>
      <c r="J753" s="5" t="n">
        <v>164.5</v>
      </c>
      <c r="K753" s="5" t="n"/>
      <c r="L753" s="5" t="n"/>
      <c r="M753" s="5" t="n"/>
      <c r="N753" s="5" t="n"/>
      <c r="O753" s="5" t="n">
        <v>987</v>
      </c>
      <c r="P753" s="5" t="n"/>
      <c r="Q753" s="5" t="n">
        <v>987</v>
      </c>
      <c r="R753" s="5" t="n"/>
    </row>
    <row r="754">
      <c r="A754" s="2" t="inlineStr">
        <is>
          <t>EJ010624.TXT</t>
        </is>
      </c>
      <c r="B754" s="3" t="inlineStr">
        <is>
          <t>005384</t>
        </is>
      </c>
      <c r="C754" s="3" t="inlineStr">
        <is>
          <t>004314</t>
        </is>
      </c>
      <c r="D754" s="4" t="n">
        <v>45436</v>
      </c>
      <c r="E754" s="2" t="inlineStr">
        <is>
          <t>10:01</t>
        </is>
      </c>
      <c r="F754" s="5" t="n">
        <v>822.5</v>
      </c>
      <c r="G754" s="5" t="n"/>
      <c r="H754" s="5" t="n"/>
      <c r="I754" s="5" t="n"/>
      <c r="J754" s="5" t="n">
        <v>164.5</v>
      </c>
      <c r="K754" s="5" t="n"/>
      <c r="L754" s="5" t="n"/>
      <c r="M754" s="5" t="n"/>
      <c r="N754" s="5" t="n"/>
      <c r="O754" s="5" t="n">
        <v>987</v>
      </c>
      <c r="P754" s="5" t="n">
        <v>987</v>
      </c>
      <c r="Q754" s="5" t="n"/>
      <c r="R754" s="5" t="n"/>
    </row>
    <row r="755">
      <c r="A755" s="2" t="inlineStr">
        <is>
          <t>EJ010624.TXT</t>
        </is>
      </c>
      <c r="B755" s="3" t="inlineStr">
        <is>
          <t>005385</t>
        </is>
      </c>
      <c r="C755" s="3" t="inlineStr">
        <is>
          <t>004315</t>
        </is>
      </c>
      <c r="D755" s="4" t="n">
        <v>45436</v>
      </c>
      <c r="E755" s="2" t="inlineStr">
        <is>
          <t>14:16</t>
        </is>
      </c>
      <c r="F755" s="5" t="n">
        <v>3190</v>
      </c>
      <c r="G755" s="5" t="n"/>
      <c r="H755" s="5" t="n"/>
      <c r="I755" s="5" t="n"/>
      <c r="J755" s="5" t="n">
        <v>638</v>
      </c>
      <c r="K755" s="5" t="n"/>
      <c r="L755" s="5" t="n"/>
      <c r="M755" s="5" t="n"/>
      <c r="N755" s="5" t="n"/>
      <c r="O755" s="5" t="n">
        <v>3828</v>
      </c>
      <c r="P755" s="5" t="n">
        <v>3828</v>
      </c>
      <c r="Q755" s="5" t="n"/>
      <c r="R755" s="5" t="n"/>
    </row>
    <row r="756">
      <c r="A756" s="2" t="inlineStr">
        <is>
          <t>EJ010624.TXT</t>
        </is>
      </c>
      <c r="B756" s="3" t="inlineStr">
        <is>
          <t>005386</t>
        </is>
      </c>
      <c r="C756" s="3" t="inlineStr">
        <is>
          <t>004316</t>
        </is>
      </c>
      <c r="D756" s="4" t="n">
        <v>45436</v>
      </c>
      <c r="E756" s="2" t="inlineStr">
        <is>
          <t>16:29</t>
        </is>
      </c>
      <c r="F756" s="5" t="n">
        <v>208.33</v>
      </c>
      <c r="G756" s="5" t="n"/>
      <c r="H756" s="5" t="n"/>
      <c r="I756" s="5" t="n"/>
      <c r="J756" s="5" t="n">
        <v>41.67</v>
      </c>
      <c r="K756" s="5" t="n"/>
      <c r="L756" s="5" t="n"/>
      <c r="M756" s="5" t="n"/>
      <c r="N756" s="5" t="n"/>
      <c r="O756" s="5" t="n">
        <v>250</v>
      </c>
      <c r="P756" s="5" t="n"/>
      <c r="Q756" s="5" t="n">
        <v>250</v>
      </c>
      <c r="R756" s="5" t="n"/>
    </row>
    <row r="757">
      <c r="A757" s="2" t="inlineStr">
        <is>
          <t>EJ010624.TXT</t>
        </is>
      </c>
      <c r="B757" s="3" t="inlineStr">
        <is>
          <t>005387</t>
        </is>
      </c>
      <c r="C757" s="3" t="inlineStr">
        <is>
          <t>004317</t>
        </is>
      </c>
      <c r="D757" s="4" t="n">
        <v>45437</v>
      </c>
      <c r="E757" s="2" t="inlineStr">
        <is>
          <t>15:17</t>
        </is>
      </c>
      <c r="F757" s="5" t="n">
        <v>274.17</v>
      </c>
      <c r="G757" s="5" t="n"/>
      <c r="H757" s="5" t="n"/>
      <c r="I757" s="5" t="n"/>
      <c r="J757" s="5" t="n">
        <v>54.83</v>
      </c>
      <c r="K757" s="5" t="n"/>
      <c r="L757" s="5" t="n"/>
      <c r="M757" s="5" t="n"/>
      <c r="N757" s="5" t="n"/>
      <c r="O757" s="5" t="n">
        <v>329</v>
      </c>
      <c r="P757" s="5" t="n">
        <v>329</v>
      </c>
      <c r="Q757" s="5" t="n"/>
      <c r="R757" s="5" t="n"/>
    </row>
    <row r="758">
      <c r="A758" s="2" t="inlineStr">
        <is>
          <t>EJ010624.TXT</t>
        </is>
      </c>
      <c r="B758" s="3" t="inlineStr">
        <is>
          <t>005388</t>
        </is>
      </c>
      <c r="C758" s="3" t="inlineStr">
        <is>
          <t>004318</t>
        </is>
      </c>
      <c r="D758" s="4" t="n">
        <v>45437</v>
      </c>
      <c r="E758" s="2" t="inlineStr">
        <is>
          <t>15:25</t>
        </is>
      </c>
      <c r="F758" s="5" t="n">
        <v>316.08</v>
      </c>
      <c r="G758" s="5" t="n"/>
      <c r="H758" s="5" t="n"/>
      <c r="I758" s="5" t="n"/>
      <c r="J758" s="5" t="n">
        <v>63.22</v>
      </c>
      <c r="K758" s="5" t="n"/>
      <c r="L758" s="5" t="n"/>
      <c r="M758" s="5" t="n"/>
      <c r="N758" s="5" t="n"/>
      <c r="O758" s="5" t="n">
        <v>379.3</v>
      </c>
      <c r="P758" s="5" t="n">
        <v>379.3</v>
      </c>
      <c r="Q758" s="5" t="n"/>
      <c r="R758" s="5" t="n"/>
    </row>
    <row r="759">
      <c r="A759" s="2" t="inlineStr">
        <is>
          <t>EJ010624.TXT</t>
        </is>
      </c>
      <c r="B759" s="3" t="inlineStr">
        <is>
          <t>005389</t>
        </is>
      </c>
      <c r="C759" s="3" t="inlineStr">
        <is>
          <t>004319</t>
        </is>
      </c>
      <c r="D759" s="4" t="n">
        <v>45440</v>
      </c>
      <c r="E759" s="2" t="inlineStr">
        <is>
          <t>14:40</t>
        </is>
      </c>
      <c r="F759" s="5" t="n">
        <v>548.33</v>
      </c>
      <c r="G759" s="5" t="n"/>
      <c r="H759" s="5" t="n"/>
      <c r="I759" s="5" t="n"/>
      <c r="J759" s="5" t="n">
        <v>109.67</v>
      </c>
      <c r="K759" s="5" t="n"/>
      <c r="L759" s="5" t="n"/>
      <c r="M759" s="5" t="n"/>
      <c r="N759" s="5" t="n"/>
      <c r="O759" s="5" t="n">
        <v>658</v>
      </c>
      <c r="P759" s="5" t="n"/>
      <c r="Q759" s="5" t="n">
        <v>658</v>
      </c>
      <c r="R759" s="5" t="n"/>
    </row>
    <row r="760">
      <c r="A760" s="2" t="inlineStr">
        <is>
          <t>EJ010624.TXT</t>
        </is>
      </c>
      <c r="B760" s="3" t="inlineStr">
        <is>
          <t>005390</t>
        </is>
      </c>
      <c r="C760" s="3" t="inlineStr">
        <is>
          <t>004320</t>
        </is>
      </c>
      <c r="D760" s="4" t="n">
        <v>45440</v>
      </c>
      <c r="E760" s="2" t="inlineStr">
        <is>
          <t>14:42</t>
        </is>
      </c>
      <c r="F760" s="5" t="n">
        <v>548.33</v>
      </c>
      <c r="G760" s="5" t="n"/>
      <c r="H760" s="5" t="n"/>
      <c r="I760" s="5" t="n"/>
      <c r="J760" s="5" t="n">
        <v>109.67</v>
      </c>
      <c r="K760" s="5" t="n"/>
      <c r="L760" s="5" t="n"/>
      <c r="M760" s="5" t="n"/>
      <c r="N760" s="5" t="n"/>
      <c r="O760" s="5" t="n">
        <v>658</v>
      </c>
      <c r="P760" s="5" t="n">
        <v>658</v>
      </c>
      <c r="Q760" s="5" t="n"/>
      <c r="R760" s="5" t="n"/>
    </row>
    <row r="761">
      <c r="A761" s="2" t="inlineStr">
        <is>
          <t>EJ010624.TXT</t>
        </is>
      </c>
      <c r="B761" s="3" t="inlineStr">
        <is>
          <t>005391</t>
        </is>
      </c>
      <c r="C761" s="3" t="inlineStr">
        <is>
          <t>004321</t>
        </is>
      </c>
      <c r="D761" s="4" t="n">
        <v>45441</v>
      </c>
      <c r="E761" s="2" t="inlineStr">
        <is>
          <t>15:47</t>
        </is>
      </c>
      <c r="F761" s="5" t="n">
        <v>41.58</v>
      </c>
      <c r="G761" s="5" t="n"/>
      <c r="H761" s="5" t="n"/>
      <c r="I761" s="5" t="n"/>
      <c r="J761" s="5" t="n">
        <v>8.32</v>
      </c>
      <c r="K761" s="5" t="n"/>
      <c r="L761" s="5" t="n"/>
      <c r="M761" s="5" t="n"/>
      <c r="N761" s="5" t="n"/>
      <c r="O761" s="5" t="n">
        <v>49.9</v>
      </c>
      <c r="P761" s="5" t="n"/>
      <c r="Q761" s="5" t="n">
        <v>49.9</v>
      </c>
      <c r="R761" s="5" t="n"/>
    </row>
    <row r="762">
      <c r="A762" s="2" t="inlineStr">
        <is>
          <t>EJ010624.TXT</t>
        </is>
      </c>
      <c r="B762" s="3" t="inlineStr">
        <is>
          <t>005392</t>
        </is>
      </c>
      <c r="C762" s="3" t="inlineStr">
        <is>
          <t>004322</t>
        </is>
      </c>
      <c r="D762" s="4" t="n">
        <v>45441</v>
      </c>
      <c r="E762" s="2" t="inlineStr">
        <is>
          <t>15:47</t>
        </is>
      </c>
      <c r="F762" s="5" t="n">
        <v>208.33</v>
      </c>
      <c r="G762" s="5" t="n"/>
      <c r="H762" s="5" t="n"/>
      <c r="I762" s="5" t="n"/>
      <c r="J762" s="5" t="n">
        <v>41.67</v>
      </c>
      <c r="K762" s="5" t="n"/>
      <c r="L762" s="5" t="n"/>
      <c r="M762" s="5" t="n"/>
      <c r="N762" s="5" t="n"/>
      <c r="O762" s="5" t="n">
        <v>250</v>
      </c>
      <c r="P762" s="5" t="n"/>
      <c r="Q762" s="5" t="n">
        <v>250</v>
      </c>
      <c r="R762" s="5" t="n"/>
    </row>
    <row r="763">
      <c r="A763" s="2" t="inlineStr">
        <is>
          <t>EJ010624.TXT</t>
        </is>
      </c>
      <c r="B763" s="3" t="inlineStr">
        <is>
          <t>005393</t>
        </is>
      </c>
      <c r="C763" s="3" t="inlineStr">
        <is>
          <t>004323</t>
        </is>
      </c>
      <c r="D763" s="4" t="n">
        <v>45441</v>
      </c>
      <c r="E763" s="2" t="inlineStr">
        <is>
          <t>15:51</t>
        </is>
      </c>
      <c r="F763" s="5" t="n">
        <v>208.33</v>
      </c>
      <c r="G763" s="5" t="n"/>
      <c r="H763" s="5" t="n"/>
      <c r="I763" s="5" t="n"/>
      <c r="J763" s="5" t="n">
        <v>41.67</v>
      </c>
      <c r="K763" s="5" t="n"/>
      <c r="L763" s="5" t="n"/>
      <c r="M763" s="5" t="n"/>
      <c r="N763" s="5" t="n"/>
      <c r="O763" s="5" t="n">
        <v>250</v>
      </c>
      <c r="P763" s="5" t="n"/>
      <c r="Q763" s="5" t="n">
        <v>250</v>
      </c>
      <c r="R763" s="5" t="n"/>
    </row>
    <row r="764">
      <c r="A764" s="2" t="inlineStr">
        <is>
          <t>EJ010624.TXT</t>
        </is>
      </c>
      <c r="B764" s="3" t="inlineStr">
        <is>
          <t>005394</t>
        </is>
      </c>
      <c r="C764" s="3" t="inlineStr">
        <is>
          <t>004324</t>
        </is>
      </c>
      <c r="D764" s="4" t="n">
        <v>45443</v>
      </c>
      <c r="E764" s="2" t="inlineStr">
        <is>
          <t>16:07</t>
        </is>
      </c>
      <c r="F764" s="5" t="n">
        <v>208.33</v>
      </c>
      <c r="G764" s="5" t="n"/>
      <c r="H764" s="5" t="n"/>
      <c r="I764" s="5" t="n"/>
      <c r="J764" s="5" t="n">
        <v>41.67</v>
      </c>
      <c r="K764" s="5" t="n"/>
      <c r="L764" s="5" t="n"/>
      <c r="M764" s="5" t="n"/>
      <c r="N764" s="5" t="n"/>
      <c r="O764" s="5" t="n">
        <v>250</v>
      </c>
      <c r="P764" s="5" t="n"/>
      <c r="Q764" s="5" t="n">
        <v>250</v>
      </c>
      <c r="R764" s="5" t="n"/>
    </row>
    <row r="765">
      <c r="A765" s="2" t="inlineStr">
        <is>
          <t>EJ010724.TXT</t>
        </is>
      </c>
      <c r="B765" s="3" t="inlineStr">
        <is>
          <t>005401</t>
        </is>
      </c>
      <c r="C765" s="3" t="inlineStr">
        <is>
          <t>004325</t>
        </is>
      </c>
      <c r="D765" s="4" t="n">
        <v>45444</v>
      </c>
      <c r="E765" s="2" t="inlineStr">
        <is>
          <t>16:18</t>
        </is>
      </c>
      <c r="F765" s="5" t="n">
        <v>830</v>
      </c>
      <c r="G765" s="5" t="n"/>
      <c r="H765" s="5" t="n"/>
      <c r="I765" s="5" t="n"/>
      <c r="J765" s="5" t="n">
        <v>166</v>
      </c>
      <c r="K765" s="5" t="n"/>
      <c r="L765" s="5" t="n"/>
      <c r="M765" s="5" t="n"/>
      <c r="N765" s="5" t="n"/>
      <c r="O765" s="5" t="n">
        <v>996</v>
      </c>
      <c r="P765" s="5" t="n"/>
      <c r="Q765" s="5" t="n">
        <v>996</v>
      </c>
      <c r="R765" s="5" t="n"/>
    </row>
    <row r="766">
      <c r="A766" s="2" t="inlineStr">
        <is>
          <t>EJ010724.TXT</t>
        </is>
      </c>
      <c r="B766" s="3" t="inlineStr">
        <is>
          <t>005402</t>
        </is>
      </c>
      <c r="C766" s="3" t="inlineStr">
        <is>
          <t>004326</t>
        </is>
      </c>
      <c r="D766" s="4" t="n">
        <v>45445</v>
      </c>
      <c r="E766" s="2" t="inlineStr">
        <is>
          <t>12:42</t>
        </is>
      </c>
      <c r="F766" s="5" t="n">
        <v>1063.33</v>
      </c>
      <c r="G766" s="5" t="n"/>
      <c r="H766" s="5" t="n"/>
      <c r="I766" s="5" t="n"/>
      <c r="J766" s="5" t="n">
        <v>212.67</v>
      </c>
      <c r="K766" s="5" t="n"/>
      <c r="L766" s="5" t="n"/>
      <c r="M766" s="5" t="n"/>
      <c r="N766" s="5" t="n"/>
      <c r="O766" s="5" t="n">
        <v>1276</v>
      </c>
      <c r="P766" s="5" t="n">
        <v>1276</v>
      </c>
      <c r="Q766" s="5" t="n"/>
      <c r="R766" s="5" t="n"/>
    </row>
    <row r="767">
      <c r="A767" s="2" t="inlineStr">
        <is>
          <t>EJ010724.TXT</t>
        </is>
      </c>
      <c r="B767" s="3" t="inlineStr">
        <is>
          <t>005403</t>
        </is>
      </c>
      <c r="C767" s="3" t="inlineStr">
        <is>
          <t>004327</t>
        </is>
      </c>
      <c r="D767" s="4" t="n">
        <v>45446</v>
      </c>
      <c r="E767" s="2" t="inlineStr">
        <is>
          <t>10:47</t>
        </is>
      </c>
      <c r="F767" s="5" t="n">
        <v>582.5</v>
      </c>
      <c r="G767" s="5" t="n"/>
      <c r="H767" s="5" t="n"/>
      <c r="I767" s="5" t="n"/>
      <c r="J767" s="5" t="n">
        <v>116.5</v>
      </c>
      <c r="K767" s="5" t="n"/>
      <c r="L767" s="5" t="n"/>
      <c r="M767" s="5" t="n"/>
      <c r="N767" s="5" t="n"/>
      <c r="O767" s="5" t="n">
        <v>699</v>
      </c>
      <c r="P767" s="5" t="n">
        <v>699</v>
      </c>
      <c r="Q767" s="5" t="n"/>
      <c r="R767" s="5" t="n"/>
    </row>
    <row r="768">
      <c r="A768" s="2" t="inlineStr">
        <is>
          <t>EJ010724.TXT</t>
        </is>
      </c>
      <c r="B768" s="3" t="inlineStr">
        <is>
          <t>005404</t>
        </is>
      </c>
      <c r="C768" s="3" t="inlineStr">
        <is>
          <t>004328</t>
        </is>
      </c>
      <c r="D768" s="4" t="n">
        <v>45446</v>
      </c>
      <c r="E768" s="2" t="inlineStr">
        <is>
          <t>10:47</t>
        </is>
      </c>
      <c r="F768" s="5" t="n">
        <v>582.5</v>
      </c>
      <c r="G768" s="5" t="n"/>
      <c r="H768" s="5" t="n"/>
      <c r="I768" s="5" t="n"/>
      <c r="J768" s="5" t="n">
        <v>116.5</v>
      </c>
      <c r="K768" s="5" t="n"/>
      <c r="L768" s="5" t="n"/>
      <c r="M768" s="5" t="n"/>
      <c r="N768" s="5" t="n"/>
      <c r="O768" s="5" t="n">
        <v>699</v>
      </c>
      <c r="P768" s="5" t="n">
        <v>699</v>
      </c>
      <c r="Q768" s="5" t="n"/>
      <c r="R768" s="5" t="n"/>
    </row>
    <row r="769">
      <c r="A769" s="2" t="inlineStr">
        <is>
          <t>EJ010724.TXT</t>
        </is>
      </c>
      <c r="B769" s="3" t="inlineStr">
        <is>
          <t>005405</t>
        </is>
      </c>
      <c r="C769" s="3" t="inlineStr">
        <is>
          <t>004329</t>
        </is>
      </c>
      <c r="D769" s="4" t="n">
        <v>45447</v>
      </c>
      <c r="E769" s="2" t="inlineStr">
        <is>
          <t>10:49</t>
        </is>
      </c>
      <c r="F769" s="5" t="n">
        <v>797.5</v>
      </c>
      <c r="G769" s="5" t="n"/>
      <c r="H769" s="5" t="n"/>
      <c r="I769" s="5" t="n"/>
      <c r="J769" s="5" t="n">
        <v>159.5</v>
      </c>
      <c r="K769" s="5" t="n"/>
      <c r="L769" s="5" t="n"/>
      <c r="M769" s="5" t="n"/>
      <c r="N769" s="5" t="n"/>
      <c r="O769" s="5" t="n">
        <v>957</v>
      </c>
      <c r="P769" s="5" t="n"/>
      <c r="Q769" s="5" t="n">
        <v>957</v>
      </c>
      <c r="R769" s="5" t="n"/>
    </row>
    <row r="770">
      <c r="A770" s="2" t="inlineStr">
        <is>
          <t>EJ010724.TXT</t>
        </is>
      </c>
      <c r="B770" s="3" t="inlineStr">
        <is>
          <t>005406</t>
        </is>
      </c>
      <c r="C770" s="3" t="inlineStr">
        <is>
          <t>004330</t>
        </is>
      </c>
      <c r="D770" s="4" t="n">
        <v>45447</v>
      </c>
      <c r="E770" s="2" t="inlineStr">
        <is>
          <t>10:50</t>
        </is>
      </c>
      <c r="F770" s="5" t="n">
        <v>2356.67</v>
      </c>
      <c r="G770" s="5" t="n"/>
      <c r="H770" s="5" t="n"/>
      <c r="I770" s="5" t="n"/>
      <c r="J770" s="5" t="n">
        <v>471.33</v>
      </c>
      <c r="K770" s="5" t="n"/>
      <c r="L770" s="5" t="n"/>
      <c r="M770" s="5" t="n"/>
      <c r="N770" s="5" t="n"/>
      <c r="O770" s="5" t="n">
        <v>2828</v>
      </c>
      <c r="P770" s="5" t="n">
        <v>2828</v>
      </c>
      <c r="Q770" s="5" t="n"/>
      <c r="R770" s="5" t="n"/>
    </row>
    <row r="771">
      <c r="A771" s="2" t="inlineStr">
        <is>
          <t>EJ010724.TXT</t>
        </is>
      </c>
      <c r="B771" s="3" t="inlineStr">
        <is>
          <t>005407</t>
        </is>
      </c>
      <c r="C771" s="3" t="inlineStr">
        <is>
          <t>004331</t>
        </is>
      </c>
      <c r="D771" s="4" t="n">
        <v>45447</v>
      </c>
      <c r="E771" s="2" t="inlineStr">
        <is>
          <t>10:52</t>
        </is>
      </c>
      <c r="F771" s="5" t="n">
        <v>35.83</v>
      </c>
      <c r="G771" s="5" t="n"/>
      <c r="H771" s="5" t="n"/>
      <c r="I771" s="5" t="n"/>
      <c r="J771" s="5" t="n">
        <v>7.17</v>
      </c>
      <c r="K771" s="5" t="n"/>
      <c r="L771" s="5" t="n"/>
      <c r="M771" s="5" t="n"/>
      <c r="N771" s="5" t="n"/>
      <c r="O771" s="5" t="n">
        <v>43</v>
      </c>
      <c r="P771" s="5" t="n"/>
      <c r="Q771" s="5" t="n">
        <v>43</v>
      </c>
      <c r="R771" s="5" t="n"/>
    </row>
    <row r="772">
      <c r="A772" s="2" t="inlineStr">
        <is>
          <t>EJ010724.TXT</t>
        </is>
      </c>
      <c r="B772" s="3" t="inlineStr">
        <is>
          <t>005408</t>
        </is>
      </c>
      <c r="C772" s="3" t="inlineStr">
        <is>
          <t>004332</t>
        </is>
      </c>
      <c r="D772" s="4" t="n">
        <v>45447</v>
      </c>
      <c r="E772" s="2" t="inlineStr">
        <is>
          <t>10:53</t>
        </is>
      </c>
      <c r="F772" s="5" t="n">
        <v>625</v>
      </c>
      <c r="G772" s="5" t="n"/>
      <c r="H772" s="5" t="n"/>
      <c r="I772" s="5" t="n"/>
      <c r="J772" s="5" t="n">
        <v>125</v>
      </c>
      <c r="K772" s="5" t="n"/>
      <c r="L772" s="5" t="n"/>
      <c r="M772" s="5" t="n"/>
      <c r="N772" s="5" t="n"/>
      <c r="O772" s="5" t="n">
        <v>750</v>
      </c>
      <c r="P772" s="5" t="n"/>
      <c r="Q772" s="5" t="n">
        <v>750</v>
      </c>
      <c r="R772" s="5" t="n"/>
    </row>
    <row r="773">
      <c r="A773" s="2" t="inlineStr">
        <is>
          <t>EJ010724.TXT</t>
        </is>
      </c>
      <c r="B773" s="3" t="inlineStr">
        <is>
          <t>005409</t>
        </is>
      </c>
      <c r="C773" s="3" t="inlineStr">
        <is>
          <t>004333</t>
        </is>
      </c>
      <c r="D773" s="4" t="n">
        <v>45447</v>
      </c>
      <c r="E773" s="2" t="inlineStr">
        <is>
          <t>11:00</t>
        </is>
      </c>
      <c r="F773" s="5" t="n">
        <v>172.5</v>
      </c>
      <c r="G773" s="5" t="n"/>
      <c r="H773" s="5" t="n"/>
      <c r="I773" s="5" t="n"/>
      <c r="J773" s="5" t="n">
        <v>34.5</v>
      </c>
      <c r="K773" s="5" t="n"/>
      <c r="L773" s="5" t="n"/>
      <c r="M773" s="5" t="n"/>
      <c r="N773" s="5" t="n"/>
      <c r="O773" s="5" t="n">
        <v>207</v>
      </c>
      <c r="P773" s="5" t="n"/>
      <c r="Q773" s="5" t="n">
        <v>207</v>
      </c>
      <c r="R773" s="5" t="n"/>
    </row>
    <row r="774">
      <c r="A774" s="2" t="inlineStr">
        <is>
          <t>EJ010724.TXT</t>
        </is>
      </c>
      <c r="B774" s="3" t="inlineStr">
        <is>
          <t>005410</t>
        </is>
      </c>
      <c r="C774" s="3" t="inlineStr">
        <is>
          <t>004334</t>
        </is>
      </c>
      <c r="D774" s="4" t="n">
        <v>45447</v>
      </c>
      <c r="E774" s="2" t="inlineStr">
        <is>
          <t>11:01</t>
        </is>
      </c>
      <c r="F774" s="5" t="n">
        <v>265.83</v>
      </c>
      <c r="G774" s="5" t="n"/>
      <c r="H774" s="5" t="n"/>
      <c r="I774" s="5" t="n"/>
      <c r="J774" s="5" t="n">
        <v>53.17</v>
      </c>
      <c r="K774" s="5" t="n"/>
      <c r="L774" s="5" t="n"/>
      <c r="M774" s="5" t="n"/>
      <c r="N774" s="5" t="n"/>
      <c r="O774" s="5" t="n">
        <v>319</v>
      </c>
      <c r="P774" s="5" t="n"/>
      <c r="Q774" s="5" t="n">
        <v>319</v>
      </c>
      <c r="R774" s="5" t="n"/>
    </row>
    <row r="775">
      <c r="A775" s="2" t="inlineStr">
        <is>
          <t>EJ010724.TXT</t>
        </is>
      </c>
      <c r="B775" s="3" t="inlineStr">
        <is>
          <t>005411</t>
        </is>
      </c>
      <c r="C775" s="3" t="inlineStr">
        <is>
          <t>004335</t>
        </is>
      </c>
      <c r="D775" s="4" t="n">
        <v>45447</v>
      </c>
      <c r="E775" s="2" t="inlineStr">
        <is>
          <t>14:46</t>
        </is>
      </c>
      <c r="F775" s="5" t="n">
        <v>833.33</v>
      </c>
      <c r="G775" s="5" t="n"/>
      <c r="H775" s="5" t="n"/>
      <c r="I775" s="5" t="n"/>
      <c r="J775" s="5" t="n">
        <v>166.67</v>
      </c>
      <c r="K775" s="5" t="n"/>
      <c r="L775" s="5" t="n"/>
      <c r="M775" s="5" t="n"/>
      <c r="N775" s="5" t="n"/>
      <c r="O775" s="5" t="n">
        <v>1000</v>
      </c>
      <c r="P775" s="5" t="n"/>
      <c r="Q775" s="5" t="n">
        <v>1000</v>
      </c>
      <c r="R775" s="5" t="n"/>
    </row>
    <row r="776">
      <c r="A776" s="2" t="inlineStr">
        <is>
          <t>EJ010724.TXT</t>
        </is>
      </c>
      <c r="B776" s="3" t="inlineStr">
        <is>
          <t>005412</t>
        </is>
      </c>
      <c r="C776" s="3" t="inlineStr">
        <is>
          <t>004336</t>
        </is>
      </c>
      <c r="D776" s="4" t="n">
        <v>45447</v>
      </c>
      <c r="E776" s="2" t="inlineStr">
        <is>
          <t>14:48</t>
        </is>
      </c>
      <c r="F776" s="5" t="n">
        <v>2356.67</v>
      </c>
      <c r="G776" s="5" t="n"/>
      <c r="H776" s="5" t="n"/>
      <c r="I776" s="5" t="n"/>
      <c r="J776" s="5" t="n">
        <v>471.33</v>
      </c>
      <c r="K776" s="5" t="n"/>
      <c r="L776" s="5" t="n"/>
      <c r="M776" s="5" t="n"/>
      <c r="N776" s="5" t="n"/>
      <c r="O776" s="5" t="n">
        <v>2828</v>
      </c>
      <c r="P776" s="5" t="n">
        <v>2828</v>
      </c>
      <c r="Q776" s="5" t="n"/>
      <c r="R776" s="5" t="n"/>
    </row>
    <row r="777">
      <c r="A777" s="2" t="inlineStr">
        <is>
          <t>EJ010724.TXT</t>
        </is>
      </c>
      <c r="B777" s="3" t="inlineStr">
        <is>
          <t>005413</t>
        </is>
      </c>
      <c r="C777" s="3" t="inlineStr">
        <is>
          <t>004337</t>
        </is>
      </c>
      <c r="D777" s="4" t="n">
        <v>45448</v>
      </c>
      <c r="E777" s="2" t="inlineStr">
        <is>
          <t>14:14</t>
        </is>
      </c>
      <c r="F777" s="5" t="n">
        <v>274.17</v>
      </c>
      <c r="G777" s="5" t="n"/>
      <c r="H777" s="5" t="n"/>
      <c r="I777" s="5" t="n"/>
      <c r="J777" s="5" t="n">
        <v>54.83</v>
      </c>
      <c r="K777" s="5" t="n"/>
      <c r="L777" s="5" t="n"/>
      <c r="M777" s="5" t="n"/>
      <c r="N777" s="5" t="n"/>
      <c r="O777" s="5" t="n">
        <v>329</v>
      </c>
      <c r="P777" s="5" t="n"/>
      <c r="Q777" s="5" t="n">
        <v>329</v>
      </c>
      <c r="R777" s="5" t="n"/>
    </row>
    <row r="778">
      <c r="A778" s="2" t="inlineStr">
        <is>
          <t>EJ010724.TXT</t>
        </is>
      </c>
      <c r="B778" s="3" t="inlineStr">
        <is>
          <t>005414</t>
        </is>
      </c>
      <c r="C778" s="3" t="inlineStr">
        <is>
          <t>004338</t>
        </is>
      </c>
      <c r="D778" s="4" t="n">
        <v>45448</v>
      </c>
      <c r="E778" s="2" t="inlineStr">
        <is>
          <t>15:47</t>
        </is>
      </c>
      <c r="F778" s="5" t="n">
        <v>208.33</v>
      </c>
      <c r="G778" s="5" t="n"/>
      <c r="H778" s="5" t="n"/>
      <c r="I778" s="5" t="n"/>
      <c r="J778" s="5" t="n">
        <v>41.67</v>
      </c>
      <c r="K778" s="5" t="n"/>
      <c r="L778" s="5" t="n"/>
      <c r="M778" s="5" t="n"/>
      <c r="N778" s="5" t="n"/>
      <c r="O778" s="5" t="n">
        <v>250</v>
      </c>
      <c r="P778" s="5" t="n"/>
      <c r="Q778" s="5" t="n">
        <v>250</v>
      </c>
      <c r="R778" s="5" t="n"/>
    </row>
    <row r="779">
      <c r="A779" s="2" t="inlineStr">
        <is>
          <t>EJ010724.TXT</t>
        </is>
      </c>
      <c r="B779" s="3" t="inlineStr">
        <is>
          <t>005415</t>
        </is>
      </c>
      <c r="C779" s="3" t="inlineStr">
        <is>
          <t>004339</t>
        </is>
      </c>
      <c r="D779" s="4" t="n">
        <v>45449</v>
      </c>
      <c r="E779" s="2" t="inlineStr">
        <is>
          <t>16:36</t>
        </is>
      </c>
      <c r="F779" s="5" t="n">
        <v>175</v>
      </c>
      <c r="G779" s="5" t="n"/>
      <c r="H779" s="5" t="n"/>
      <c r="I779" s="5" t="n"/>
      <c r="J779" s="5" t="n">
        <v>35</v>
      </c>
      <c r="K779" s="5" t="n"/>
      <c r="L779" s="5" t="n"/>
      <c r="M779" s="5" t="n"/>
      <c r="N779" s="5" t="n"/>
      <c r="O779" s="5" t="n">
        <v>210</v>
      </c>
      <c r="P779" s="5" t="n">
        <v>210</v>
      </c>
      <c r="Q779" s="5" t="n"/>
      <c r="R779" s="5" t="n"/>
    </row>
    <row r="780">
      <c r="A780" s="2" t="inlineStr">
        <is>
          <t>EJ010724.TXT</t>
        </is>
      </c>
      <c r="B780" s="3" t="inlineStr">
        <is>
          <t>005416</t>
        </is>
      </c>
      <c r="C780" s="3" t="inlineStr">
        <is>
          <t>004340</t>
        </is>
      </c>
      <c r="D780" s="4" t="n">
        <v>45449</v>
      </c>
      <c r="E780" s="2" t="inlineStr">
        <is>
          <t>16:48</t>
        </is>
      </c>
      <c r="F780" s="5" t="n">
        <v>1096.67</v>
      </c>
      <c r="G780" s="5" t="n"/>
      <c r="H780" s="5" t="n"/>
      <c r="I780" s="5" t="n"/>
      <c r="J780" s="5" t="n">
        <v>219.33</v>
      </c>
      <c r="K780" s="5" t="n"/>
      <c r="L780" s="5" t="n"/>
      <c r="M780" s="5" t="n"/>
      <c r="N780" s="5" t="n"/>
      <c r="O780" s="5" t="n">
        <v>1316</v>
      </c>
      <c r="P780" s="5" t="n">
        <v>1316</v>
      </c>
      <c r="Q780" s="5" t="n"/>
      <c r="R780" s="5" t="n"/>
    </row>
    <row r="781">
      <c r="A781" s="2" t="inlineStr">
        <is>
          <t>EJ010724.TXT</t>
        </is>
      </c>
      <c r="B781" s="3" t="inlineStr">
        <is>
          <t>005417</t>
        </is>
      </c>
      <c r="C781" s="3" t="inlineStr">
        <is>
          <t>004341</t>
        </is>
      </c>
      <c r="D781" s="4" t="n">
        <v>45450</v>
      </c>
      <c r="E781" s="2" t="inlineStr">
        <is>
          <t>16:36</t>
        </is>
      </c>
      <c r="F781" s="5" t="n">
        <v>208.33</v>
      </c>
      <c r="G781" s="5" t="n"/>
      <c r="H781" s="5" t="n"/>
      <c r="I781" s="5" t="n"/>
      <c r="J781" s="5" t="n">
        <v>41.67</v>
      </c>
      <c r="K781" s="5" t="n"/>
      <c r="L781" s="5" t="n"/>
      <c r="M781" s="5" t="n"/>
      <c r="N781" s="5" t="n"/>
      <c r="O781" s="5" t="n">
        <v>250</v>
      </c>
      <c r="P781" s="5" t="n"/>
      <c r="Q781" s="5" t="n">
        <v>250</v>
      </c>
      <c r="R781" s="5" t="n"/>
    </row>
    <row r="782">
      <c r="A782" s="2" t="inlineStr">
        <is>
          <t>EJ010724.TXT</t>
        </is>
      </c>
      <c r="B782" s="3" t="inlineStr">
        <is>
          <t>005418</t>
        </is>
      </c>
      <c r="C782" s="3" t="inlineStr">
        <is>
          <t>004342</t>
        </is>
      </c>
      <c r="D782" s="4" t="n">
        <v>45451</v>
      </c>
      <c r="E782" s="2" t="inlineStr">
        <is>
          <t>17:58</t>
        </is>
      </c>
      <c r="F782" s="5" t="n">
        <v>208.33</v>
      </c>
      <c r="G782" s="5" t="n"/>
      <c r="H782" s="5" t="n"/>
      <c r="I782" s="5" t="n"/>
      <c r="J782" s="5" t="n">
        <v>41.67</v>
      </c>
      <c r="K782" s="5" t="n"/>
      <c r="L782" s="5" t="n"/>
      <c r="M782" s="5" t="n"/>
      <c r="N782" s="5" t="n"/>
      <c r="O782" s="5" t="n">
        <v>250</v>
      </c>
      <c r="P782" s="5" t="n"/>
      <c r="Q782" s="5" t="n">
        <v>250</v>
      </c>
      <c r="R782" s="5" t="n"/>
    </row>
    <row r="783">
      <c r="A783" s="2" t="inlineStr">
        <is>
          <t>EJ010724.TXT</t>
        </is>
      </c>
      <c r="B783" s="3" t="inlineStr">
        <is>
          <t>005419</t>
        </is>
      </c>
      <c r="C783" s="3" t="inlineStr">
        <is>
          <t>004343</t>
        </is>
      </c>
      <c r="D783" s="4" t="n">
        <v>45453</v>
      </c>
      <c r="E783" s="2" t="inlineStr">
        <is>
          <t>15:35</t>
        </is>
      </c>
      <c r="F783" s="5" t="n">
        <v>208.33</v>
      </c>
      <c r="G783" s="5" t="n"/>
      <c r="H783" s="5" t="n"/>
      <c r="I783" s="5" t="n"/>
      <c r="J783" s="5" t="n">
        <v>41.67</v>
      </c>
      <c r="K783" s="5" t="n"/>
      <c r="L783" s="5" t="n"/>
      <c r="M783" s="5" t="n"/>
      <c r="N783" s="5" t="n"/>
      <c r="O783" s="5" t="n">
        <v>250</v>
      </c>
      <c r="P783" s="5" t="n"/>
      <c r="Q783" s="5" t="n">
        <v>250</v>
      </c>
      <c r="R783" s="5" t="n"/>
    </row>
    <row r="784">
      <c r="A784" s="2" t="inlineStr">
        <is>
          <t>EJ010724.TXT</t>
        </is>
      </c>
      <c r="B784" s="3" t="inlineStr">
        <is>
          <t>005420</t>
        </is>
      </c>
      <c r="C784" s="3" t="inlineStr">
        <is>
          <t>004344</t>
        </is>
      </c>
      <c r="D784" s="4" t="n">
        <v>45455</v>
      </c>
      <c r="E784" s="2" t="inlineStr">
        <is>
          <t>10:47</t>
        </is>
      </c>
      <c r="F784" s="5" t="n">
        <v>548.33</v>
      </c>
      <c r="G784" s="5" t="n"/>
      <c r="H784" s="5" t="n"/>
      <c r="I784" s="5" t="n"/>
      <c r="J784" s="5" t="n">
        <v>109.67</v>
      </c>
      <c r="K784" s="5" t="n"/>
      <c r="L784" s="5" t="n"/>
      <c r="M784" s="5" t="n"/>
      <c r="N784" s="5" t="n"/>
      <c r="O784" s="5" t="n">
        <v>658</v>
      </c>
      <c r="P784" s="5" t="n"/>
      <c r="Q784" s="5" t="n">
        <v>658</v>
      </c>
      <c r="R784" s="5" t="n"/>
    </row>
    <row r="785">
      <c r="A785" s="2" t="inlineStr">
        <is>
          <t>EJ010724.TXT</t>
        </is>
      </c>
      <c r="B785" s="3" t="inlineStr">
        <is>
          <t>005421</t>
        </is>
      </c>
      <c r="C785" s="3" t="inlineStr">
        <is>
          <t>004345</t>
        </is>
      </c>
      <c r="D785" s="4" t="n">
        <v>45456</v>
      </c>
      <c r="E785" s="2" t="inlineStr">
        <is>
          <t>14:01</t>
        </is>
      </c>
      <c r="F785" s="5" t="n">
        <v>45.75</v>
      </c>
      <c r="G785" s="5" t="n"/>
      <c r="H785" s="5" t="n"/>
      <c r="I785" s="5" t="n"/>
      <c r="J785" s="5" t="n">
        <v>9.15</v>
      </c>
      <c r="K785" s="5" t="n"/>
      <c r="L785" s="5" t="n"/>
      <c r="M785" s="5" t="n"/>
      <c r="N785" s="5" t="n"/>
      <c r="O785" s="5" t="n">
        <v>54.9</v>
      </c>
      <c r="P785" s="5" t="n"/>
      <c r="Q785" s="5" t="n">
        <v>54.9</v>
      </c>
      <c r="R785" s="5" t="n"/>
    </row>
    <row r="786">
      <c r="A786" s="2" t="inlineStr">
        <is>
          <t>EJ010724.TXT</t>
        </is>
      </c>
      <c r="B786" s="3" t="inlineStr">
        <is>
          <t>005422</t>
        </is>
      </c>
      <c r="C786" s="3" t="inlineStr">
        <is>
          <t>004346</t>
        </is>
      </c>
      <c r="D786" s="4" t="n">
        <v>45457</v>
      </c>
      <c r="E786" s="2" t="inlineStr">
        <is>
          <t>15:03</t>
        </is>
      </c>
      <c r="F786" s="5" t="n">
        <v>208.33</v>
      </c>
      <c r="G786" s="5" t="n"/>
      <c r="H786" s="5" t="n"/>
      <c r="I786" s="5" t="n"/>
      <c r="J786" s="5" t="n">
        <v>41.67</v>
      </c>
      <c r="K786" s="5" t="n"/>
      <c r="L786" s="5" t="n"/>
      <c r="M786" s="5" t="n"/>
      <c r="N786" s="5" t="n"/>
      <c r="O786" s="5" t="n">
        <v>250</v>
      </c>
      <c r="P786" s="5" t="n"/>
      <c r="Q786" s="5" t="n">
        <v>250</v>
      </c>
      <c r="R786" s="5" t="n"/>
    </row>
    <row r="787">
      <c r="A787" s="2" t="inlineStr">
        <is>
          <t>EJ010724.TXT</t>
        </is>
      </c>
      <c r="B787" s="3" t="inlineStr">
        <is>
          <t>005423</t>
        </is>
      </c>
      <c r="C787" s="3" t="inlineStr">
        <is>
          <t>004347</t>
        </is>
      </c>
      <c r="D787" s="4" t="n">
        <v>45457</v>
      </c>
      <c r="E787" s="2" t="inlineStr">
        <is>
          <t>15:44</t>
        </is>
      </c>
      <c r="F787" s="5" t="n">
        <v>329.17</v>
      </c>
      <c r="G787" s="5" t="n"/>
      <c r="H787" s="5" t="n"/>
      <c r="I787" s="5" t="n"/>
      <c r="J787" s="5" t="n">
        <v>65.83</v>
      </c>
      <c r="K787" s="5" t="n"/>
      <c r="L787" s="5" t="n"/>
      <c r="M787" s="5" t="n"/>
      <c r="N787" s="5" t="n"/>
      <c r="O787" s="5" t="n">
        <v>395</v>
      </c>
      <c r="P787" s="5" t="n"/>
      <c r="Q787" s="5" t="n">
        <v>395</v>
      </c>
      <c r="R787" s="5" t="n"/>
    </row>
    <row r="788">
      <c r="A788" s="2" t="inlineStr">
        <is>
          <t>EJ010724.TXT</t>
        </is>
      </c>
      <c r="B788" s="3" t="inlineStr">
        <is>
          <t>005424</t>
        </is>
      </c>
      <c r="C788" s="3" t="inlineStr">
        <is>
          <t>004348</t>
        </is>
      </c>
      <c r="D788" s="4" t="n">
        <v>45461</v>
      </c>
      <c r="E788" s="2" t="inlineStr">
        <is>
          <t>15:13</t>
        </is>
      </c>
      <c r="F788" s="5" t="n">
        <v>797.5</v>
      </c>
      <c r="G788" s="5" t="n"/>
      <c r="H788" s="5" t="n"/>
      <c r="I788" s="5" t="n"/>
      <c r="J788" s="5" t="n">
        <v>159.5</v>
      </c>
      <c r="K788" s="5" t="n"/>
      <c r="L788" s="5" t="n"/>
      <c r="M788" s="5" t="n"/>
      <c r="N788" s="5" t="n"/>
      <c r="O788" s="5" t="n">
        <v>957</v>
      </c>
      <c r="P788" s="5" t="n"/>
      <c r="Q788" s="5" t="n">
        <v>957</v>
      </c>
      <c r="R788" s="5" t="n"/>
    </row>
    <row r="789">
      <c r="A789" s="2" t="inlineStr">
        <is>
          <t>EJ010724.TXT</t>
        </is>
      </c>
      <c r="B789" s="3" t="inlineStr">
        <is>
          <t>005425</t>
        </is>
      </c>
      <c r="C789" s="3" t="inlineStr">
        <is>
          <t>004349</t>
        </is>
      </c>
      <c r="D789" s="4" t="n">
        <v>45461</v>
      </c>
      <c r="E789" s="2" t="inlineStr">
        <is>
          <t>15:16</t>
        </is>
      </c>
      <c r="F789" s="5" t="n">
        <v>797.5</v>
      </c>
      <c r="G789" s="5" t="n"/>
      <c r="H789" s="5" t="n"/>
      <c r="I789" s="5" t="n"/>
      <c r="J789" s="5" t="n">
        <v>159.5</v>
      </c>
      <c r="K789" s="5" t="n"/>
      <c r="L789" s="5" t="n"/>
      <c r="M789" s="5" t="n"/>
      <c r="N789" s="5" t="n"/>
      <c r="O789" s="5" t="n">
        <v>957</v>
      </c>
      <c r="P789" s="5" t="n"/>
      <c r="Q789" s="5" t="n">
        <v>957</v>
      </c>
      <c r="R789" s="5" t="n"/>
    </row>
    <row r="790">
      <c r="A790" s="2" t="inlineStr">
        <is>
          <t>EJ010724.TXT</t>
        </is>
      </c>
      <c r="B790" s="3" t="inlineStr">
        <is>
          <t>005426</t>
        </is>
      </c>
      <c r="C790" s="3" t="inlineStr">
        <is>
          <t>004350</t>
        </is>
      </c>
      <c r="D790" s="4" t="n">
        <v>45461</v>
      </c>
      <c r="E790" s="2" t="inlineStr">
        <is>
          <t>16:00</t>
        </is>
      </c>
      <c r="F790" s="5" t="n">
        <v>548.33</v>
      </c>
      <c r="G790" s="5" t="n"/>
      <c r="H790" s="5" t="n"/>
      <c r="I790" s="5" t="n"/>
      <c r="J790" s="5" t="n">
        <v>109.67</v>
      </c>
      <c r="K790" s="5" t="n"/>
      <c r="L790" s="5" t="n"/>
      <c r="M790" s="5" t="n"/>
      <c r="N790" s="5" t="n"/>
      <c r="O790" s="5" t="n">
        <v>658</v>
      </c>
      <c r="P790" s="5" t="n">
        <v>658</v>
      </c>
      <c r="Q790" s="5" t="n"/>
      <c r="R790" s="5" t="n"/>
    </row>
    <row r="791">
      <c r="A791" s="2" t="inlineStr">
        <is>
          <t>EJ010724.TXT</t>
        </is>
      </c>
      <c r="B791" s="3" t="inlineStr">
        <is>
          <t>005427</t>
        </is>
      </c>
      <c r="C791" s="3" t="inlineStr">
        <is>
          <t>004351</t>
        </is>
      </c>
      <c r="D791" s="4" t="n">
        <v>45461</v>
      </c>
      <c r="E791" s="2" t="inlineStr">
        <is>
          <t>16:00</t>
        </is>
      </c>
      <c r="F791" s="5" t="n">
        <v>548.33</v>
      </c>
      <c r="G791" s="5" t="n"/>
      <c r="H791" s="5" t="n"/>
      <c r="I791" s="5" t="n"/>
      <c r="J791" s="5" t="n">
        <v>109.67</v>
      </c>
      <c r="K791" s="5" t="n"/>
      <c r="L791" s="5" t="n"/>
      <c r="M791" s="5" t="n"/>
      <c r="N791" s="5" t="n"/>
      <c r="O791" s="5" t="n">
        <v>658</v>
      </c>
      <c r="P791" s="5" t="n">
        <v>658</v>
      </c>
      <c r="Q791" s="5" t="n"/>
      <c r="R791" s="5" t="n"/>
    </row>
    <row r="792">
      <c r="A792" s="2" t="inlineStr">
        <is>
          <t>EJ010724.TXT</t>
        </is>
      </c>
      <c r="B792" s="3" t="inlineStr">
        <is>
          <t>005428</t>
        </is>
      </c>
      <c r="C792" s="3" t="inlineStr">
        <is>
          <t>004352</t>
        </is>
      </c>
      <c r="D792" s="4" t="n">
        <v>45462</v>
      </c>
      <c r="E792" s="2" t="inlineStr">
        <is>
          <t>14:06</t>
        </is>
      </c>
      <c r="F792" s="5" t="n">
        <v>548.33</v>
      </c>
      <c r="G792" s="5" t="n"/>
      <c r="H792" s="5" t="n"/>
      <c r="I792" s="5" t="n"/>
      <c r="J792" s="5" t="n">
        <v>109.67</v>
      </c>
      <c r="K792" s="5" t="n"/>
      <c r="L792" s="5" t="n"/>
      <c r="M792" s="5" t="n"/>
      <c r="N792" s="5" t="n"/>
      <c r="O792" s="5" t="n">
        <v>658</v>
      </c>
      <c r="P792" s="5" t="n">
        <v>658</v>
      </c>
      <c r="Q792" s="5" t="n"/>
      <c r="R792" s="5" t="n"/>
    </row>
    <row r="793">
      <c r="A793" s="2" t="inlineStr">
        <is>
          <t>EJ010724.TXT</t>
        </is>
      </c>
      <c r="B793" s="3" t="inlineStr">
        <is>
          <t>005429</t>
        </is>
      </c>
      <c r="C793" s="3" t="inlineStr">
        <is>
          <t>004353</t>
        </is>
      </c>
      <c r="D793" s="4" t="n">
        <v>45463</v>
      </c>
      <c r="E793" s="2" t="inlineStr">
        <is>
          <t>11:19</t>
        </is>
      </c>
      <c r="F793" s="5" t="n">
        <v>381.67</v>
      </c>
      <c r="G793" s="5" t="n"/>
      <c r="H793" s="5" t="n"/>
      <c r="I793" s="5" t="n"/>
      <c r="J793" s="5" t="n">
        <v>76.33</v>
      </c>
      <c r="K793" s="5" t="n"/>
      <c r="L793" s="5" t="n"/>
      <c r="M793" s="5" t="n"/>
      <c r="N793" s="5" t="n"/>
      <c r="O793" s="5" t="n">
        <v>458</v>
      </c>
      <c r="P793" s="5" t="n">
        <v>458</v>
      </c>
      <c r="Q793" s="5" t="n"/>
      <c r="R793" s="5" t="n"/>
    </row>
    <row r="794">
      <c r="A794" s="2" t="inlineStr">
        <is>
          <t>EJ010724.TXT</t>
        </is>
      </c>
      <c r="B794" s="3" t="inlineStr">
        <is>
          <t>005430</t>
        </is>
      </c>
      <c r="C794" s="3" t="inlineStr">
        <is>
          <t>004354</t>
        </is>
      </c>
      <c r="D794" s="4" t="n">
        <v>45464</v>
      </c>
      <c r="E794" s="2" t="inlineStr">
        <is>
          <t>16:13</t>
        </is>
      </c>
      <c r="F794" s="5" t="n">
        <v>208.33</v>
      </c>
      <c r="G794" s="5" t="n"/>
      <c r="H794" s="5" t="n"/>
      <c r="I794" s="5" t="n"/>
      <c r="J794" s="5" t="n">
        <v>41.67</v>
      </c>
      <c r="K794" s="5" t="n"/>
      <c r="L794" s="5" t="n"/>
      <c r="M794" s="5" t="n"/>
      <c r="N794" s="5" t="n"/>
      <c r="O794" s="5" t="n">
        <v>250</v>
      </c>
      <c r="P794" s="5" t="n"/>
      <c r="Q794" s="5" t="n">
        <v>250</v>
      </c>
      <c r="R794" s="5" t="n"/>
    </row>
    <row r="795">
      <c r="A795" s="2" t="inlineStr">
        <is>
          <t>EJ010724.TXT</t>
        </is>
      </c>
      <c r="B795" s="3" t="inlineStr">
        <is>
          <t>005431</t>
        </is>
      </c>
      <c r="C795" s="3" t="inlineStr">
        <is>
          <t>004355</t>
        </is>
      </c>
      <c r="D795" s="4" t="n">
        <v>45464</v>
      </c>
      <c r="E795" s="2" t="inlineStr">
        <is>
          <t>17:41</t>
        </is>
      </c>
      <c r="F795" s="5" t="n">
        <v>822.5</v>
      </c>
      <c r="G795" s="5" t="n"/>
      <c r="H795" s="5" t="n"/>
      <c r="I795" s="5" t="n"/>
      <c r="J795" s="5" t="n">
        <v>164.5</v>
      </c>
      <c r="K795" s="5" t="n"/>
      <c r="L795" s="5" t="n"/>
      <c r="M795" s="5" t="n"/>
      <c r="N795" s="5" t="n"/>
      <c r="O795" s="5" t="n">
        <v>987</v>
      </c>
      <c r="P795" s="5" t="n"/>
      <c r="Q795" s="5" t="n">
        <v>987</v>
      </c>
      <c r="R795" s="5" t="n"/>
    </row>
    <row r="796">
      <c r="A796" s="2" t="inlineStr">
        <is>
          <t>EJ010724.TXT</t>
        </is>
      </c>
      <c r="B796" s="3" t="inlineStr">
        <is>
          <t>005432</t>
        </is>
      </c>
      <c r="C796" s="3" t="inlineStr">
        <is>
          <t>004356</t>
        </is>
      </c>
      <c r="D796" s="4" t="n">
        <v>45464</v>
      </c>
      <c r="E796" s="2" t="inlineStr">
        <is>
          <t>17:42</t>
        </is>
      </c>
      <c r="F796" s="5" t="n">
        <v>797.5</v>
      </c>
      <c r="G796" s="5" t="n"/>
      <c r="H796" s="5" t="n"/>
      <c r="I796" s="5" t="n"/>
      <c r="J796" s="5" t="n">
        <v>159.5</v>
      </c>
      <c r="K796" s="5" t="n"/>
      <c r="L796" s="5" t="n"/>
      <c r="M796" s="5" t="n"/>
      <c r="N796" s="5" t="n"/>
      <c r="O796" s="5" t="n">
        <v>957</v>
      </c>
      <c r="P796" s="5" t="n"/>
      <c r="Q796" s="5" t="n">
        <v>957</v>
      </c>
      <c r="R796" s="5" t="n"/>
    </row>
    <row r="797">
      <c r="A797" s="2" t="inlineStr">
        <is>
          <t>EJ010724.TXT</t>
        </is>
      </c>
      <c r="B797" s="3" t="inlineStr">
        <is>
          <t>005433</t>
        </is>
      </c>
      <c r="C797" s="3" t="inlineStr">
        <is>
          <t>004357</t>
        </is>
      </c>
      <c r="D797" s="4" t="n">
        <v>45464</v>
      </c>
      <c r="E797" s="2" t="inlineStr">
        <is>
          <t>17:43</t>
        </is>
      </c>
      <c r="F797" s="5" t="n">
        <v>822.5</v>
      </c>
      <c r="G797" s="5" t="n"/>
      <c r="H797" s="5" t="n"/>
      <c r="I797" s="5" t="n"/>
      <c r="J797" s="5" t="n">
        <v>164.5</v>
      </c>
      <c r="K797" s="5" t="n"/>
      <c r="L797" s="5" t="n"/>
      <c r="M797" s="5" t="n"/>
      <c r="N797" s="5" t="n"/>
      <c r="O797" s="5" t="n">
        <v>987</v>
      </c>
      <c r="P797" s="5" t="n"/>
      <c r="Q797" s="5" t="n">
        <v>987</v>
      </c>
      <c r="R797" s="5" t="n"/>
    </row>
    <row r="798">
      <c r="A798" s="2" t="inlineStr">
        <is>
          <t>EJ010724.TXT</t>
        </is>
      </c>
      <c r="B798" s="3" t="inlineStr">
        <is>
          <t>005434</t>
        </is>
      </c>
      <c r="C798" s="3" t="inlineStr">
        <is>
          <t>004358</t>
        </is>
      </c>
      <c r="D798" s="4" t="n">
        <v>45464</v>
      </c>
      <c r="E798" s="2" t="inlineStr">
        <is>
          <t>17:43</t>
        </is>
      </c>
      <c r="F798" s="5" t="n">
        <v>265.83</v>
      </c>
      <c r="G798" s="5" t="n"/>
      <c r="H798" s="5" t="n"/>
      <c r="I798" s="5" t="n"/>
      <c r="J798" s="5" t="n">
        <v>53.17</v>
      </c>
      <c r="K798" s="5" t="n"/>
      <c r="L798" s="5" t="n"/>
      <c r="M798" s="5" t="n"/>
      <c r="N798" s="5" t="n"/>
      <c r="O798" s="5" t="n">
        <v>319</v>
      </c>
      <c r="P798" s="5" t="n"/>
      <c r="Q798" s="5" t="n">
        <v>319</v>
      </c>
      <c r="R798" s="5" t="n"/>
    </row>
    <row r="799">
      <c r="A799" s="2" t="inlineStr">
        <is>
          <t>EJ010724.TXT</t>
        </is>
      </c>
      <c r="B799" s="3" t="inlineStr">
        <is>
          <t>005435</t>
        </is>
      </c>
      <c r="C799" s="3" t="inlineStr">
        <is>
          <t>004359</t>
        </is>
      </c>
      <c r="D799" s="4" t="n">
        <v>45464</v>
      </c>
      <c r="E799" s="2" t="inlineStr">
        <is>
          <t>17:43</t>
        </is>
      </c>
      <c r="F799" s="5" t="n">
        <v>531.67</v>
      </c>
      <c r="G799" s="5" t="n"/>
      <c r="H799" s="5" t="n"/>
      <c r="I799" s="5" t="n"/>
      <c r="J799" s="5" t="n">
        <v>106.33</v>
      </c>
      <c r="K799" s="5" t="n"/>
      <c r="L799" s="5" t="n"/>
      <c r="M799" s="5" t="n"/>
      <c r="N799" s="5" t="n"/>
      <c r="O799" s="5" t="n">
        <v>638</v>
      </c>
      <c r="P799" s="5" t="n"/>
      <c r="Q799" s="5" t="n">
        <v>638</v>
      </c>
      <c r="R799" s="5" t="n"/>
    </row>
    <row r="800">
      <c r="A800" s="2" t="inlineStr">
        <is>
          <t>EJ010724.TXT</t>
        </is>
      </c>
      <c r="B800" s="3" t="inlineStr">
        <is>
          <t>005436</t>
        </is>
      </c>
      <c r="C800" s="3" t="inlineStr">
        <is>
          <t>004360</t>
        </is>
      </c>
      <c r="D800" s="4" t="n">
        <v>45465</v>
      </c>
      <c r="E800" s="2" t="inlineStr">
        <is>
          <t>12:58</t>
        </is>
      </c>
      <c r="F800" s="5" t="n">
        <v>1595</v>
      </c>
      <c r="G800" s="5" t="n"/>
      <c r="H800" s="5" t="n"/>
      <c r="I800" s="5" t="n"/>
      <c r="J800" s="5" t="n">
        <v>319</v>
      </c>
      <c r="K800" s="5" t="n"/>
      <c r="L800" s="5" t="n"/>
      <c r="M800" s="5" t="n"/>
      <c r="N800" s="5" t="n"/>
      <c r="O800" s="5" t="n">
        <v>1914</v>
      </c>
      <c r="P800" s="5" t="n">
        <v>1914</v>
      </c>
      <c r="Q800" s="5" t="n"/>
      <c r="R800" s="5" t="n"/>
    </row>
    <row r="801">
      <c r="A801" s="2" t="inlineStr">
        <is>
          <t>EJ010724.TXT</t>
        </is>
      </c>
      <c r="B801" s="3" t="inlineStr">
        <is>
          <t>005437</t>
        </is>
      </c>
      <c r="C801" s="3" t="inlineStr">
        <is>
          <t>004361</t>
        </is>
      </c>
      <c r="D801" s="4" t="n">
        <v>45467</v>
      </c>
      <c r="E801" s="2" t="inlineStr">
        <is>
          <t>15:37</t>
        </is>
      </c>
      <c r="F801" s="5" t="n">
        <v>797.5</v>
      </c>
      <c r="G801" s="5" t="n"/>
      <c r="H801" s="5" t="n"/>
      <c r="I801" s="5" t="n"/>
      <c r="J801" s="5" t="n">
        <v>159.5</v>
      </c>
      <c r="K801" s="5" t="n"/>
      <c r="L801" s="5" t="n"/>
      <c r="M801" s="5" t="n"/>
      <c r="N801" s="5" t="n"/>
      <c r="O801" s="5" t="n">
        <v>957</v>
      </c>
      <c r="P801" s="5" t="n"/>
      <c r="Q801" s="5" t="n">
        <v>957</v>
      </c>
      <c r="R801" s="5" t="n"/>
    </row>
    <row r="802">
      <c r="A802" s="2" t="inlineStr">
        <is>
          <t>EJ010724.TXT</t>
        </is>
      </c>
      <c r="B802" s="3" t="inlineStr">
        <is>
          <t>005438</t>
        </is>
      </c>
      <c r="C802" s="3" t="inlineStr">
        <is>
          <t>004362</t>
        </is>
      </c>
      <c r="D802" s="4" t="n">
        <v>45467</v>
      </c>
      <c r="E802" s="2" t="inlineStr">
        <is>
          <t>15:38</t>
        </is>
      </c>
      <c r="F802" s="5" t="n">
        <v>797.5</v>
      </c>
      <c r="G802" s="5" t="n"/>
      <c r="H802" s="5" t="n"/>
      <c r="I802" s="5" t="n"/>
      <c r="J802" s="5" t="n">
        <v>159.5</v>
      </c>
      <c r="K802" s="5" t="n"/>
      <c r="L802" s="5" t="n"/>
      <c r="M802" s="5" t="n"/>
      <c r="N802" s="5" t="n"/>
      <c r="O802" s="5" t="n">
        <v>957</v>
      </c>
      <c r="P802" s="5" t="n"/>
      <c r="Q802" s="5" t="n">
        <v>957</v>
      </c>
      <c r="R802" s="5" t="n"/>
    </row>
    <row r="803">
      <c r="A803" s="2" t="inlineStr">
        <is>
          <t>EJ010724.TXT</t>
        </is>
      </c>
      <c r="B803" s="3" t="inlineStr">
        <is>
          <t>005439</t>
        </is>
      </c>
      <c r="C803" s="3" t="inlineStr">
        <is>
          <t>004363</t>
        </is>
      </c>
      <c r="D803" s="4" t="n">
        <v>45467</v>
      </c>
      <c r="E803" s="2" t="inlineStr">
        <is>
          <t>15:38</t>
        </is>
      </c>
      <c r="F803" s="5" t="n">
        <v>797.5</v>
      </c>
      <c r="G803" s="5" t="n"/>
      <c r="H803" s="5" t="n"/>
      <c r="I803" s="5" t="n"/>
      <c r="J803" s="5" t="n">
        <v>159.5</v>
      </c>
      <c r="K803" s="5" t="n"/>
      <c r="L803" s="5" t="n"/>
      <c r="M803" s="5" t="n"/>
      <c r="N803" s="5" t="n"/>
      <c r="O803" s="5" t="n">
        <v>957</v>
      </c>
      <c r="P803" s="5" t="n"/>
      <c r="Q803" s="5" t="n">
        <v>957</v>
      </c>
      <c r="R803" s="5" t="n"/>
    </row>
    <row r="804">
      <c r="A804" s="2" t="inlineStr">
        <is>
          <t>EJ010724.TXT</t>
        </is>
      </c>
      <c r="B804" s="3" t="inlineStr">
        <is>
          <t>005440</t>
        </is>
      </c>
      <c r="C804" s="3" t="inlineStr">
        <is>
          <t>004364</t>
        </is>
      </c>
      <c r="D804" s="4" t="n">
        <v>45467</v>
      </c>
      <c r="E804" s="2" t="inlineStr">
        <is>
          <t>17:02</t>
        </is>
      </c>
      <c r="F804" s="5" t="n">
        <v>208.33</v>
      </c>
      <c r="G804" s="5" t="n"/>
      <c r="H804" s="5" t="n"/>
      <c r="I804" s="5" t="n"/>
      <c r="J804" s="5" t="n">
        <v>41.67</v>
      </c>
      <c r="K804" s="5" t="n"/>
      <c r="L804" s="5" t="n"/>
      <c r="M804" s="5" t="n"/>
      <c r="N804" s="5" t="n"/>
      <c r="O804" s="5" t="n">
        <v>250</v>
      </c>
      <c r="P804" s="5" t="n"/>
      <c r="Q804" s="5" t="n">
        <v>250</v>
      </c>
      <c r="R804" s="5" t="n"/>
    </row>
    <row r="805">
      <c r="A805" s="2" t="inlineStr">
        <is>
          <t>EJ010724.TXT</t>
        </is>
      </c>
      <c r="B805" s="3" t="inlineStr">
        <is>
          <t>005441</t>
        </is>
      </c>
      <c r="C805" s="3" t="inlineStr">
        <is>
          <t>004365</t>
        </is>
      </c>
      <c r="D805" s="4" t="n">
        <v>45468</v>
      </c>
      <c r="E805" s="2" t="inlineStr">
        <is>
          <t>11:01</t>
        </is>
      </c>
      <c r="F805" s="5" t="n">
        <v>190.83</v>
      </c>
      <c r="G805" s="5" t="n"/>
      <c r="H805" s="5" t="n"/>
      <c r="I805" s="5" t="n"/>
      <c r="J805" s="5" t="n">
        <v>38.17</v>
      </c>
      <c r="K805" s="5" t="n"/>
      <c r="L805" s="5" t="n"/>
      <c r="M805" s="5" t="n"/>
      <c r="N805" s="5" t="n"/>
      <c r="O805" s="5" t="n">
        <v>229</v>
      </c>
      <c r="P805" s="5" t="n">
        <v>229</v>
      </c>
      <c r="Q805" s="5" t="n"/>
      <c r="R805" s="5" t="n"/>
    </row>
    <row r="806">
      <c r="A806" s="2" t="inlineStr">
        <is>
          <t>EJ010724.TXT</t>
        </is>
      </c>
      <c r="B806" s="3" t="inlineStr">
        <is>
          <t>005442</t>
        </is>
      </c>
      <c r="C806" s="3" t="inlineStr">
        <is>
          <t>004366</t>
        </is>
      </c>
      <c r="D806" s="4" t="n">
        <v>45469</v>
      </c>
      <c r="E806" s="2" t="inlineStr">
        <is>
          <t>09:31</t>
        </is>
      </c>
      <c r="F806" s="5" t="n">
        <v>548.33</v>
      </c>
      <c r="G806" s="5" t="n"/>
      <c r="H806" s="5" t="n"/>
      <c r="I806" s="5" t="n"/>
      <c r="J806" s="5" t="n">
        <v>109.67</v>
      </c>
      <c r="K806" s="5" t="n"/>
      <c r="L806" s="5" t="n"/>
      <c r="M806" s="5" t="n"/>
      <c r="N806" s="5" t="n"/>
      <c r="O806" s="5" t="n">
        <v>658</v>
      </c>
      <c r="P806" s="5" t="n">
        <v>658</v>
      </c>
      <c r="Q806" s="5" t="n"/>
      <c r="R806" s="5" t="n"/>
    </row>
    <row r="807">
      <c r="A807" s="2" t="inlineStr">
        <is>
          <t>EJ010724.TXT</t>
        </is>
      </c>
      <c r="B807" s="3" t="inlineStr">
        <is>
          <t>005443</t>
        </is>
      </c>
      <c r="C807" s="3" t="inlineStr">
        <is>
          <t>004367</t>
        </is>
      </c>
      <c r="D807" s="4" t="n">
        <v>45469</v>
      </c>
      <c r="E807" s="2" t="inlineStr">
        <is>
          <t>13:43</t>
        </is>
      </c>
      <c r="F807" s="5" t="n">
        <v>190.83</v>
      </c>
      <c r="G807" s="5" t="n"/>
      <c r="H807" s="5" t="n"/>
      <c r="I807" s="5" t="n"/>
      <c r="J807" s="5" t="n">
        <v>38.17</v>
      </c>
      <c r="K807" s="5" t="n"/>
      <c r="L807" s="5" t="n"/>
      <c r="M807" s="5" t="n"/>
      <c r="N807" s="5" t="n"/>
      <c r="O807" s="5" t="n">
        <v>229</v>
      </c>
      <c r="P807" s="5" t="n">
        <v>229</v>
      </c>
      <c r="Q807" s="5" t="n"/>
      <c r="R807" s="5" t="n"/>
    </row>
    <row r="808">
      <c r="A808" s="2" t="inlineStr">
        <is>
          <t>EJ010724.TXT</t>
        </is>
      </c>
      <c r="B808" s="3" t="inlineStr">
        <is>
          <t>005444</t>
        </is>
      </c>
      <c r="C808" s="3" t="inlineStr">
        <is>
          <t>004368</t>
        </is>
      </c>
      <c r="D808" s="4" t="n">
        <v>45471</v>
      </c>
      <c r="E808" s="2" t="inlineStr">
        <is>
          <t>16:15</t>
        </is>
      </c>
      <c r="F808" s="5" t="n">
        <v>208.33</v>
      </c>
      <c r="G808" s="5" t="n"/>
      <c r="H808" s="5" t="n"/>
      <c r="I808" s="5" t="n"/>
      <c r="J808" s="5" t="n">
        <v>41.67</v>
      </c>
      <c r="K808" s="5" t="n"/>
      <c r="L808" s="5" t="n"/>
      <c r="M808" s="5" t="n"/>
      <c r="N808" s="5" t="n"/>
      <c r="O808" s="5" t="n">
        <v>250</v>
      </c>
      <c r="P808" s="5" t="n"/>
      <c r="Q808" s="5" t="n">
        <v>250</v>
      </c>
      <c r="R808" s="5" t="n"/>
    </row>
    <row r="809">
      <c r="A809" s="2" t="inlineStr">
        <is>
          <t>EJ010724.TXT</t>
        </is>
      </c>
      <c r="B809" s="3" t="inlineStr">
        <is>
          <t>005445</t>
        </is>
      </c>
      <c r="C809" s="3" t="inlineStr">
        <is>
          <t>004369</t>
        </is>
      </c>
      <c r="D809" s="4" t="n">
        <v>45472</v>
      </c>
      <c r="E809" s="2" t="inlineStr">
        <is>
          <t>16:53</t>
        </is>
      </c>
      <c r="F809" s="5" t="n">
        <v>797.5</v>
      </c>
      <c r="G809" s="5" t="n"/>
      <c r="H809" s="5" t="n"/>
      <c r="I809" s="5" t="n"/>
      <c r="J809" s="5" t="n">
        <v>159.5</v>
      </c>
      <c r="K809" s="5" t="n"/>
      <c r="L809" s="5" t="n"/>
      <c r="M809" s="5" t="n"/>
      <c r="N809" s="5" t="n"/>
      <c r="O809" s="5" t="n">
        <v>957</v>
      </c>
      <c r="P809" s="5" t="n"/>
      <c r="Q809" s="5" t="n">
        <v>957</v>
      </c>
      <c r="R809" s="5" t="n"/>
    </row>
    <row r="810">
      <c r="A810" s="2" t="inlineStr">
        <is>
          <t>EJ010724.TXT</t>
        </is>
      </c>
      <c r="B810" s="3" t="inlineStr">
        <is>
          <t>005446</t>
        </is>
      </c>
      <c r="C810" s="3" t="inlineStr">
        <is>
          <t>004370</t>
        </is>
      </c>
      <c r="D810" s="4" t="n">
        <v>45472</v>
      </c>
      <c r="E810" s="2" t="inlineStr">
        <is>
          <t>16:53</t>
        </is>
      </c>
      <c r="F810" s="5" t="n">
        <v>797.5</v>
      </c>
      <c r="G810" s="5" t="n"/>
      <c r="H810" s="5" t="n"/>
      <c r="I810" s="5" t="n"/>
      <c r="J810" s="5" t="n">
        <v>159.5</v>
      </c>
      <c r="K810" s="5" t="n"/>
      <c r="L810" s="5" t="n"/>
      <c r="M810" s="5" t="n"/>
      <c r="N810" s="5" t="n"/>
      <c r="O810" s="5" t="n">
        <v>957</v>
      </c>
      <c r="P810" s="5" t="n"/>
      <c r="Q810" s="5" t="n">
        <v>957</v>
      </c>
      <c r="R810" s="5" t="n"/>
    </row>
    <row r="811">
      <c r="A811" s="2" t="inlineStr">
        <is>
          <t>EJ010724.TXT</t>
        </is>
      </c>
      <c r="B811" s="3" t="inlineStr">
        <is>
          <t>005447</t>
        </is>
      </c>
      <c r="C811" s="3" t="inlineStr">
        <is>
          <t>004371</t>
        </is>
      </c>
      <c r="D811" s="4" t="n">
        <v>45472</v>
      </c>
      <c r="E811" s="2" t="inlineStr">
        <is>
          <t>16:57</t>
        </is>
      </c>
      <c r="F811" s="5" t="n">
        <v>53.33</v>
      </c>
      <c r="G811" s="5" t="n"/>
      <c r="H811" s="5" t="n"/>
      <c r="I811" s="5" t="n"/>
      <c r="J811" s="5" t="n">
        <v>10.67</v>
      </c>
      <c r="K811" s="5" t="n"/>
      <c r="L811" s="5" t="n"/>
      <c r="M811" s="5" t="n"/>
      <c r="N811" s="5" t="n"/>
      <c r="O811" s="5" t="n">
        <v>64</v>
      </c>
      <c r="P811" s="5" t="n">
        <v>64</v>
      </c>
      <c r="Q811" s="5" t="n"/>
      <c r="R811" s="5" t="n"/>
    </row>
    <row r="812">
      <c r="A812" s="2" t="inlineStr">
        <is>
          <t>EJ030824.TXT</t>
        </is>
      </c>
      <c r="B812" s="3" t="inlineStr">
        <is>
          <t>005455</t>
        </is>
      </c>
      <c r="C812" s="3" t="inlineStr">
        <is>
          <t>004372</t>
        </is>
      </c>
      <c r="D812" s="4" t="n">
        <v>45478</v>
      </c>
      <c r="E812" s="2" t="inlineStr">
        <is>
          <t>16:53</t>
        </is>
      </c>
      <c r="F812" s="5" t="n">
        <v>208.33</v>
      </c>
      <c r="G812" s="5" t="n"/>
      <c r="H812" s="5" t="n"/>
      <c r="I812" s="5" t="n"/>
      <c r="J812" s="5" t="n">
        <v>41.67</v>
      </c>
      <c r="K812" s="5" t="n"/>
      <c r="L812" s="5" t="n"/>
      <c r="M812" s="5" t="n"/>
      <c r="N812" s="5" t="n"/>
      <c r="O812" s="5" t="n">
        <v>250</v>
      </c>
      <c r="P812" s="5" t="n"/>
      <c r="Q812" s="5" t="n">
        <v>250</v>
      </c>
      <c r="R812" s="5" t="n"/>
    </row>
    <row r="813">
      <c r="A813" s="2" t="inlineStr">
        <is>
          <t>EJ030824.TXT</t>
        </is>
      </c>
      <c r="B813" s="3" t="inlineStr">
        <is>
          <t>005456</t>
        </is>
      </c>
      <c r="C813" s="3" t="inlineStr">
        <is>
          <t>004373</t>
        </is>
      </c>
      <c r="D813" s="4" t="n">
        <v>45482</v>
      </c>
      <c r="E813" s="2" t="inlineStr">
        <is>
          <t>13:35</t>
        </is>
      </c>
      <c r="F813" s="5" t="n">
        <v>415</v>
      </c>
      <c r="G813" s="5" t="n"/>
      <c r="H813" s="5" t="n"/>
      <c r="I813" s="5" t="n"/>
      <c r="J813" s="5" t="n">
        <v>83</v>
      </c>
      <c r="K813" s="5" t="n"/>
      <c r="L813" s="5" t="n"/>
      <c r="M813" s="5" t="n"/>
      <c r="N813" s="5" t="n"/>
      <c r="O813" s="5" t="n">
        <v>498</v>
      </c>
      <c r="P813" s="5" t="n"/>
      <c r="Q813" s="5" t="n">
        <v>498</v>
      </c>
      <c r="R813" s="5" t="n"/>
    </row>
    <row r="814">
      <c r="A814" s="2" t="inlineStr">
        <is>
          <t>EJ030824.TXT</t>
        </is>
      </c>
      <c r="B814" s="3" t="inlineStr">
        <is>
          <t>005457</t>
        </is>
      </c>
      <c r="C814" s="3" t="inlineStr">
        <is>
          <t>004374</t>
        </is>
      </c>
      <c r="D814" s="4" t="n">
        <v>45482</v>
      </c>
      <c r="E814" s="2" t="inlineStr">
        <is>
          <t>15:21</t>
        </is>
      </c>
      <c r="F814" s="5" t="n">
        <v>822.5</v>
      </c>
      <c r="G814" s="5" t="n"/>
      <c r="H814" s="5" t="n"/>
      <c r="I814" s="5" t="n"/>
      <c r="J814" s="5" t="n">
        <v>164.5</v>
      </c>
      <c r="K814" s="5" t="n"/>
      <c r="L814" s="5" t="n"/>
      <c r="M814" s="5" t="n"/>
      <c r="N814" s="5" t="n"/>
      <c r="O814" s="5" t="n">
        <v>987</v>
      </c>
      <c r="P814" s="5" t="n">
        <v>987</v>
      </c>
      <c r="Q814" s="5" t="n"/>
      <c r="R814" s="5" t="n"/>
    </row>
    <row r="815">
      <c r="A815" s="2" t="inlineStr">
        <is>
          <t>EJ030824.TXT</t>
        </is>
      </c>
      <c r="B815" s="3" t="inlineStr">
        <is>
          <t>005458</t>
        </is>
      </c>
      <c r="C815" s="3" t="inlineStr">
        <is>
          <t>004375</t>
        </is>
      </c>
      <c r="D815" s="4" t="n">
        <v>45484</v>
      </c>
      <c r="E815" s="2" t="inlineStr">
        <is>
          <t>11:07</t>
        </is>
      </c>
      <c r="F815" s="5" t="n">
        <v>791.67</v>
      </c>
      <c r="G815" s="5" t="n"/>
      <c r="H815" s="5" t="n"/>
      <c r="I815" s="5" t="n"/>
      <c r="J815" s="5" t="n">
        <v>158.33</v>
      </c>
      <c r="K815" s="5" t="n"/>
      <c r="L815" s="5" t="n"/>
      <c r="M815" s="5" t="n"/>
      <c r="N815" s="5" t="n"/>
      <c r="O815" s="5" t="n">
        <v>950</v>
      </c>
      <c r="P815" s="5" t="n"/>
      <c r="Q815" s="5" t="n">
        <v>950</v>
      </c>
      <c r="R815" s="5" t="n"/>
    </row>
    <row r="816">
      <c r="A816" s="2" t="inlineStr">
        <is>
          <t>EJ030824.TXT</t>
        </is>
      </c>
      <c r="B816" s="3" t="inlineStr">
        <is>
          <t>005459</t>
        </is>
      </c>
      <c r="C816" s="3" t="inlineStr">
        <is>
          <t>004376</t>
        </is>
      </c>
      <c r="D816" s="4" t="n">
        <v>45484</v>
      </c>
      <c r="E816" s="2" t="inlineStr">
        <is>
          <t>11:07</t>
        </is>
      </c>
      <c r="F816" s="5" t="n">
        <v>791.67</v>
      </c>
      <c r="G816" s="5" t="n"/>
      <c r="H816" s="5" t="n"/>
      <c r="I816" s="5" t="n"/>
      <c r="J816" s="5" t="n">
        <v>158.33</v>
      </c>
      <c r="K816" s="5" t="n"/>
      <c r="L816" s="5" t="n"/>
      <c r="M816" s="5" t="n"/>
      <c r="N816" s="5" t="n"/>
      <c r="O816" s="5" t="n">
        <v>950</v>
      </c>
      <c r="P816" s="5" t="n"/>
      <c r="Q816" s="5" t="n">
        <v>950</v>
      </c>
      <c r="R816" s="5" t="n"/>
    </row>
    <row r="817">
      <c r="A817" s="2" t="inlineStr">
        <is>
          <t>EJ030824.TXT</t>
        </is>
      </c>
      <c r="B817" s="3" t="inlineStr">
        <is>
          <t>005460</t>
        </is>
      </c>
      <c r="C817" s="3" t="inlineStr">
        <is>
          <t>004377</t>
        </is>
      </c>
      <c r="D817" s="4" t="n">
        <v>45484</v>
      </c>
      <c r="E817" s="2" t="inlineStr">
        <is>
          <t>11:07</t>
        </is>
      </c>
      <c r="F817" s="5" t="n">
        <v>791.67</v>
      </c>
      <c r="G817" s="5" t="n"/>
      <c r="H817" s="5" t="n"/>
      <c r="I817" s="5" t="n"/>
      <c r="J817" s="5" t="n">
        <v>158.33</v>
      </c>
      <c r="K817" s="5" t="n"/>
      <c r="L817" s="5" t="n"/>
      <c r="M817" s="5" t="n"/>
      <c r="N817" s="5" t="n"/>
      <c r="O817" s="5" t="n">
        <v>950</v>
      </c>
      <c r="P817" s="5" t="n"/>
      <c r="Q817" s="5" t="n">
        <v>950</v>
      </c>
      <c r="R817" s="5" t="n"/>
    </row>
    <row r="818">
      <c r="A818" s="2" t="inlineStr">
        <is>
          <t>EJ030824.TXT</t>
        </is>
      </c>
      <c r="B818" s="3" t="inlineStr">
        <is>
          <t>005461</t>
        </is>
      </c>
      <c r="C818" s="3" t="inlineStr">
        <is>
          <t>004378</t>
        </is>
      </c>
      <c r="D818" s="4" t="n">
        <v>45484</v>
      </c>
      <c r="E818" s="2" t="inlineStr">
        <is>
          <t>11:07</t>
        </is>
      </c>
      <c r="F818" s="5" t="n">
        <v>791.67</v>
      </c>
      <c r="G818" s="5" t="n"/>
      <c r="H818" s="5" t="n"/>
      <c r="I818" s="5" t="n"/>
      <c r="J818" s="5" t="n">
        <v>158.33</v>
      </c>
      <c r="K818" s="5" t="n"/>
      <c r="L818" s="5" t="n"/>
      <c r="M818" s="5" t="n"/>
      <c r="N818" s="5" t="n"/>
      <c r="O818" s="5" t="n">
        <v>950</v>
      </c>
      <c r="P818" s="5" t="n"/>
      <c r="Q818" s="5" t="n">
        <v>950</v>
      </c>
      <c r="R818" s="5" t="n"/>
    </row>
    <row r="819">
      <c r="A819" s="2" t="inlineStr">
        <is>
          <t>EJ030824.TXT</t>
        </is>
      </c>
      <c r="B819" s="3" t="inlineStr">
        <is>
          <t>005462</t>
        </is>
      </c>
      <c r="C819" s="3" t="inlineStr">
        <is>
          <t>004379</t>
        </is>
      </c>
      <c r="D819" s="4" t="n">
        <v>45484</v>
      </c>
      <c r="E819" s="2" t="inlineStr">
        <is>
          <t>11:08</t>
        </is>
      </c>
      <c r="F819" s="5" t="n">
        <v>791.67</v>
      </c>
      <c r="G819" s="5" t="n"/>
      <c r="H819" s="5" t="n"/>
      <c r="I819" s="5" t="n"/>
      <c r="J819" s="5" t="n">
        <v>158.33</v>
      </c>
      <c r="K819" s="5" t="n"/>
      <c r="L819" s="5" t="n"/>
      <c r="M819" s="5" t="n"/>
      <c r="N819" s="5" t="n"/>
      <c r="O819" s="5" t="n">
        <v>950</v>
      </c>
      <c r="P819" s="5" t="n"/>
      <c r="Q819" s="5" t="n">
        <v>950</v>
      </c>
      <c r="R819" s="5" t="n"/>
    </row>
    <row r="820">
      <c r="A820" s="2" t="inlineStr">
        <is>
          <t>EJ030824.TXT</t>
        </is>
      </c>
      <c r="B820" s="3" t="inlineStr">
        <is>
          <t>005463</t>
        </is>
      </c>
      <c r="C820" s="3" t="inlineStr">
        <is>
          <t>004380</t>
        </is>
      </c>
      <c r="D820" s="4" t="n">
        <v>45484</v>
      </c>
      <c r="E820" s="2" t="inlineStr">
        <is>
          <t>11:08</t>
        </is>
      </c>
      <c r="F820" s="5" t="n">
        <v>791.67</v>
      </c>
      <c r="G820" s="5" t="n"/>
      <c r="H820" s="5" t="n"/>
      <c r="I820" s="5" t="n"/>
      <c r="J820" s="5" t="n">
        <v>158.33</v>
      </c>
      <c r="K820" s="5" t="n"/>
      <c r="L820" s="5" t="n"/>
      <c r="M820" s="5" t="n"/>
      <c r="N820" s="5" t="n"/>
      <c r="O820" s="5" t="n">
        <v>950</v>
      </c>
      <c r="P820" s="5" t="n"/>
      <c r="Q820" s="5" t="n">
        <v>950</v>
      </c>
      <c r="R820" s="5" t="n"/>
    </row>
    <row r="821">
      <c r="A821" s="2" t="inlineStr">
        <is>
          <t>EJ030824.TXT</t>
        </is>
      </c>
      <c r="B821" s="3" t="inlineStr">
        <is>
          <t>005464</t>
        </is>
      </c>
      <c r="C821" s="3" t="inlineStr">
        <is>
          <t>004381</t>
        </is>
      </c>
      <c r="D821" s="4" t="n">
        <v>45485</v>
      </c>
      <c r="E821" s="2" t="inlineStr">
        <is>
          <t>11:48</t>
        </is>
      </c>
      <c r="F821" s="5" t="n">
        <v>2173.33</v>
      </c>
      <c r="G821" s="5" t="n"/>
      <c r="H821" s="5" t="n"/>
      <c r="I821" s="5" t="n"/>
      <c r="J821" s="5" t="n">
        <v>434.67</v>
      </c>
      <c r="K821" s="5" t="n"/>
      <c r="L821" s="5" t="n"/>
      <c r="M821" s="5" t="n"/>
      <c r="N821" s="5" t="n"/>
      <c r="O821" s="5" t="n">
        <v>2608</v>
      </c>
      <c r="P821" s="5" t="n">
        <v>2608</v>
      </c>
      <c r="Q821" s="5" t="n"/>
      <c r="R821" s="5" t="n"/>
    </row>
    <row r="822">
      <c r="A822" s="2" t="inlineStr">
        <is>
          <t>EJ030824.TXT</t>
        </is>
      </c>
      <c r="B822" s="3" t="inlineStr">
        <is>
          <t>005465</t>
        </is>
      </c>
      <c r="C822" s="3" t="inlineStr">
        <is>
          <t>004382</t>
        </is>
      </c>
      <c r="D822" s="4" t="n">
        <v>45486</v>
      </c>
      <c r="E822" s="2" t="inlineStr">
        <is>
          <t>15:20</t>
        </is>
      </c>
      <c r="F822" s="5" t="n">
        <v>548.33</v>
      </c>
      <c r="G822" s="5" t="n"/>
      <c r="H822" s="5" t="n"/>
      <c r="I822" s="5" t="n"/>
      <c r="J822" s="5" t="n">
        <v>109.67</v>
      </c>
      <c r="K822" s="5" t="n"/>
      <c r="L822" s="5" t="n"/>
      <c r="M822" s="5" t="n"/>
      <c r="N822" s="5" t="n"/>
      <c r="O822" s="5" t="n">
        <v>658</v>
      </c>
      <c r="P822" s="5" t="n"/>
      <c r="Q822" s="5" t="n">
        <v>658</v>
      </c>
      <c r="R822" s="5" t="n"/>
    </row>
    <row r="823">
      <c r="A823" s="2" t="inlineStr">
        <is>
          <t>EJ030824.TXT</t>
        </is>
      </c>
      <c r="B823" s="3" t="inlineStr">
        <is>
          <t>005466</t>
        </is>
      </c>
      <c r="C823" s="3" t="inlineStr">
        <is>
          <t>004383</t>
        </is>
      </c>
      <c r="D823" s="4" t="n">
        <v>45486</v>
      </c>
      <c r="E823" s="2" t="inlineStr">
        <is>
          <t>15:20</t>
        </is>
      </c>
      <c r="F823" s="5" t="n">
        <v>548.33</v>
      </c>
      <c r="G823" s="5" t="n"/>
      <c r="H823" s="5" t="n"/>
      <c r="I823" s="5" t="n"/>
      <c r="J823" s="5" t="n">
        <v>109.67</v>
      </c>
      <c r="K823" s="5" t="n"/>
      <c r="L823" s="5" t="n"/>
      <c r="M823" s="5" t="n"/>
      <c r="N823" s="5" t="n"/>
      <c r="O823" s="5" t="n">
        <v>658</v>
      </c>
      <c r="P823" s="5" t="n"/>
      <c r="Q823" s="5" t="n">
        <v>658</v>
      </c>
      <c r="R823" s="5" t="n"/>
    </row>
    <row r="824">
      <c r="A824" s="2" t="inlineStr">
        <is>
          <t>EJ030824.TXT</t>
        </is>
      </c>
      <c r="B824" s="3" t="inlineStr">
        <is>
          <t>005467</t>
        </is>
      </c>
      <c r="C824" s="3" t="inlineStr">
        <is>
          <t>004384</t>
        </is>
      </c>
      <c r="D824" s="4" t="n">
        <v>45488</v>
      </c>
      <c r="E824" s="2" t="inlineStr">
        <is>
          <t>10:15</t>
        </is>
      </c>
      <c r="F824" s="5" t="n">
        <v>208.33</v>
      </c>
      <c r="G824" s="5" t="n"/>
      <c r="H824" s="5" t="n"/>
      <c r="I824" s="5" t="n"/>
      <c r="J824" s="5" t="n">
        <v>41.67</v>
      </c>
      <c r="K824" s="5" t="n"/>
      <c r="L824" s="5" t="n"/>
      <c r="M824" s="5" t="n"/>
      <c r="N824" s="5" t="n"/>
      <c r="O824" s="5" t="n">
        <v>250</v>
      </c>
      <c r="P824" s="5" t="n"/>
      <c r="Q824" s="5" t="n">
        <v>250</v>
      </c>
      <c r="R824" s="5" t="n"/>
    </row>
    <row r="825">
      <c r="A825" s="2" t="inlineStr">
        <is>
          <t>EJ030824.TXT</t>
        </is>
      </c>
      <c r="B825" s="3" t="inlineStr">
        <is>
          <t>005468</t>
        </is>
      </c>
      <c r="C825" s="3" t="inlineStr">
        <is>
          <t>004385</t>
        </is>
      </c>
      <c r="D825" s="4" t="n">
        <v>45488</v>
      </c>
      <c r="E825" s="2" t="inlineStr">
        <is>
          <t>10:36</t>
        </is>
      </c>
      <c r="F825" s="5" t="n">
        <v>208.33</v>
      </c>
      <c r="G825" s="5" t="n"/>
      <c r="H825" s="5" t="n"/>
      <c r="I825" s="5" t="n"/>
      <c r="J825" s="5" t="n">
        <v>41.67</v>
      </c>
      <c r="K825" s="5" t="n"/>
      <c r="L825" s="5" t="n"/>
      <c r="M825" s="5" t="n"/>
      <c r="N825" s="5" t="n"/>
      <c r="O825" s="5" t="n">
        <v>250</v>
      </c>
      <c r="P825" s="5" t="n"/>
      <c r="Q825" s="5" t="n">
        <v>250</v>
      </c>
      <c r="R825" s="5" t="n"/>
    </row>
    <row r="826">
      <c r="A826" s="2" t="inlineStr">
        <is>
          <t>EJ030824.TXT</t>
        </is>
      </c>
      <c r="B826" s="3" t="inlineStr">
        <is>
          <t>005469</t>
        </is>
      </c>
      <c r="C826" s="3" t="inlineStr">
        <is>
          <t>004386</t>
        </is>
      </c>
      <c r="D826" s="4" t="n">
        <v>45492</v>
      </c>
      <c r="E826" s="2" t="inlineStr">
        <is>
          <t>15:06</t>
        </is>
      </c>
      <c r="F826" s="5" t="n">
        <v>208.33</v>
      </c>
      <c r="G826" s="5" t="n"/>
      <c r="H826" s="5" t="n"/>
      <c r="I826" s="5" t="n"/>
      <c r="J826" s="5" t="n">
        <v>41.67</v>
      </c>
      <c r="K826" s="5" t="n"/>
      <c r="L826" s="5" t="n"/>
      <c r="M826" s="5" t="n"/>
      <c r="N826" s="5" t="n"/>
      <c r="O826" s="5" t="n">
        <v>250</v>
      </c>
      <c r="P826" s="5" t="n"/>
      <c r="Q826" s="5" t="n">
        <v>250</v>
      </c>
      <c r="R826" s="5" t="n"/>
    </row>
    <row r="827">
      <c r="A827" s="2" t="inlineStr">
        <is>
          <t>EJ030824.TXT</t>
        </is>
      </c>
      <c r="B827" s="3" t="inlineStr">
        <is>
          <t>005470</t>
        </is>
      </c>
      <c r="C827" s="3" t="inlineStr">
        <is>
          <t>004387</t>
        </is>
      </c>
      <c r="D827" s="4" t="n">
        <v>45495</v>
      </c>
      <c r="E827" s="2" t="inlineStr">
        <is>
          <t>16:15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/>
      <c r="Q827" s="5" t="n">
        <v>658</v>
      </c>
      <c r="R827" s="5" t="n"/>
    </row>
    <row r="828">
      <c r="A828" s="2" t="inlineStr">
        <is>
          <t>EJ030824.TXT</t>
        </is>
      </c>
      <c r="B828" s="3" t="inlineStr">
        <is>
          <t>005471</t>
        </is>
      </c>
      <c r="C828" s="3" t="inlineStr">
        <is>
          <t>004388</t>
        </is>
      </c>
      <c r="D828" s="4" t="n">
        <v>45496</v>
      </c>
      <c r="E828" s="2" t="inlineStr">
        <is>
          <t>10:43</t>
        </is>
      </c>
      <c r="F828" s="5" t="n">
        <v>1096.67</v>
      </c>
      <c r="G828" s="5" t="n"/>
      <c r="H828" s="5" t="n"/>
      <c r="I828" s="5" t="n"/>
      <c r="J828" s="5" t="n">
        <v>219.33</v>
      </c>
      <c r="K828" s="5" t="n"/>
      <c r="L828" s="5" t="n"/>
      <c r="M828" s="5" t="n"/>
      <c r="N828" s="5" t="n"/>
      <c r="O828" s="5" t="n">
        <v>1316</v>
      </c>
      <c r="P828" s="5" t="n">
        <v>1316</v>
      </c>
      <c r="Q828" s="5" t="n"/>
      <c r="R828" s="5" t="n"/>
    </row>
    <row r="829">
      <c r="A829" s="2" t="inlineStr">
        <is>
          <t>EJ030824.TXT</t>
        </is>
      </c>
      <c r="B829" s="3" t="inlineStr">
        <is>
          <t>005472</t>
        </is>
      </c>
      <c r="C829" s="3" t="inlineStr">
        <is>
          <t>004389</t>
        </is>
      </c>
      <c r="D829" s="4" t="n">
        <v>45497</v>
      </c>
      <c r="E829" s="2" t="inlineStr">
        <is>
          <t>09:59</t>
        </is>
      </c>
      <c r="F829" s="5" t="n">
        <v>797.5</v>
      </c>
      <c r="G829" s="5" t="n"/>
      <c r="H829" s="5" t="n"/>
      <c r="I829" s="5" t="n"/>
      <c r="J829" s="5" t="n">
        <v>159.5</v>
      </c>
      <c r="K829" s="5" t="n"/>
      <c r="L829" s="5" t="n"/>
      <c r="M829" s="5" t="n"/>
      <c r="N829" s="5" t="n"/>
      <c r="O829" s="5" t="n">
        <v>957</v>
      </c>
      <c r="P829" s="5" t="n"/>
      <c r="Q829" s="5" t="n">
        <v>957</v>
      </c>
      <c r="R829" s="5" t="n"/>
    </row>
    <row r="830">
      <c r="A830" s="2" t="inlineStr">
        <is>
          <t>EJ030824.TXT</t>
        </is>
      </c>
      <c r="B830" s="3" t="inlineStr">
        <is>
          <t>005473</t>
        </is>
      </c>
      <c r="C830" s="3" t="inlineStr">
        <is>
          <t>004390</t>
        </is>
      </c>
      <c r="D830" s="4" t="n">
        <v>45497</v>
      </c>
      <c r="E830" s="2" t="inlineStr">
        <is>
          <t>09:59</t>
        </is>
      </c>
      <c r="F830" s="5" t="n">
        <v>2392.5</v>
      </c>
      <c r="G830" s="5" t="n"/>
      <c r="H830" s="5" t="n"/>
      <c r="I830" s="5" t="n"/>
      <c r="J830" s="5" t="n">
        <v>478.5</v>
      </c>
      <c r="K830" s="5" t="n"/>
      <c r="L830" s="5" t="n"/>
      <c r="M830" s="5" t="n"/>
      <c r="N830" s="5" t="n"/>
      <c r="O830" s="5" t="n">
        <v>2871</v>
      </c>
      <c r="P830" s="5" t="n">
        <v>2871</v>
      </c>
      <c r="Q830" s="5" t="n"/>
      <c r="R830" s="5" t="n"/>
    </row>
    <row r="831">
      <c r="A831" s="2" t="inlineStr">
        <is>
          <t>EJ030824.TXT</t>
        </is>
      </c>
      <c r="B831" s="3" t="inlineStr">
        <is>
          <t>005474</t>
        </is>
      </c>
      <c r="C831" s="3" t="inlineStr">
        <is>
          <t>004391</t>
        </is>
      </c>
      <c r="D831" s="4" t="n">
        <v>45497</v>
      </c>
      <c r="E831" s="2" t="inlineStr">
        <is>
          <t>10:01</t>
        </is>
      </c>
      <c r="F831" s="5" t="n">
        <v>531.67</v>
      </c>
      <c r="G831" s="5" t="n"/>
      <c r="H831" s="5" t="n"/>
      <c r="I831" s="5" t="n"/>
      <c r="J831" s="5" t="n">
        <v>106.33</v>
      </c>
      <c r="K831" s="5" t="n"/>
      <c r="L831" s="5" t="n"/>
      <c r="M831" s="5" t="n"/>
      <c r="N831" s="5" t="n"/>
      <c r="O831" s="5" t="n">
        <v>638</v>
      </c>
      <c r="P831" s="5" t="n"/>
      <c r="Q831" s="5" t="n">
        <v>638</v>
      </c>
      <c r="R831" s="5" t="n"/>
    </row>
    <row r="832">
      <c r="A832" s="2" t="inlineStr">
        <is>
          <t>EJ030824.TXT</t>
        </is>
      </c>
      <c r="B832" s="3" t="inlineStr">
        <is>
          <t>005475</t>
        </is>
      </c>
      <c r="C832" s="3" t="inlineStr">
        <is>
          <t>004392</t>
        </is>
      </c>
      <c r="D832" s="4" t="n">
        <v>45498</v>
      </c>
      <c r="E832" s="2" t="inlineStr">
        <is>
          <t>17:44</t>
        </is>
      </c>
      <c r="F832" s="5" t="n">
        <v>548.33</v>
      </c>
      <c r="G832" s="5" t="n"/>
      <c r="H832" s="5" t="n"/>
      <c r="I832" s="5" t="n"/>
      <c r="J832" s="5" t="n">
        <v>109.67</v>
      </c>
      <c r="K832" s="5" t="n"/>
      <c r="L832" s="5" t="n"/>
      <c r="M832" s="5" t="n"/>
      <c r="N832" s="5" t="n"/>
      <c r="O832" s="5" t="n">
        <v>658</v>
      </c>
      <c r="P832" s="5" t="n"/>
      <c r="Q832" s="5" t="n">
        <v>658</v>
      </c>
      <c r="R832" s="5" t="n"/>
    </row>
    <row r="833">
      <c r="A833" s="2" t="inlineStr">
        <is>
          <t>EJ030824.TXT</t>
        </is>
      </c>
      <c r="B833" s="3" t="inlineStr">
        <is>
          <t>005476</t>
        </is>
      </c>
      <c r="C833" s="3" t="inlineStr">
        <is>
          <t>004393</t>
        </is>
      </c>
      <c r="D833" s="4" t="n">
        <v>45499</v>
      </c>
      <c r="E833" s="2" t="inlineStr">
        <is>
          <t>10:46</t>
        </is>
      </c>
      <c r="F833" s="5" t="n">
        <v>156.67</v>
      </c>
      <c r="G833" s="5" t="n"/>
      <c r="H833" s="5" t="n"/>
      <c r="I833" s="5" t="n"/>
      <c r="J833" s="5" t="n">
        <v>31.33</v>
      </c>
      <c r="K833" s="5" t="n"/>
      <c r="L833" s="5" t="n"/>
      <c r="M833" s="5" t="n"/>
      <c r="N833" s="5" t="n"/>
      <c r="O833" s="5" t="n">
        <v>188</v>
      </c>
      <c r="P833" s="5" t="n"/>
      <c r="Q833" s="5" t="n">
        <v>188</v>
      </c>
      <c r="R833" s="5" t="n"/>
    </row>
    <row r="834">
      <c r="A834" s="2" t="inlineStr">
        <is>
          <t>EJ030824.TXT</t>
        </is>
      </c>
      <c r="B834" s="3" t="inlineStr">
        <is>
          <t>005477</t>
        </is>
      </c>
      <c r="C834" s="3" t="inlineStr">
        <is>
          <t>004394</t>
        </is>
      </c>
      <c r="D834" s="4" t="n">
        <v>45500</v>
      </c>
      <c r="E834" s="2" t="inlineStr">
        <is>
          <t>15:42</t>
        </is>
      </c>
      <c r="F834" s="5" t="n">
        <v>36.67</v>
      </c>
      <c r="G834" s="5" t="n"/>
      <c r="H834" s="5" t="n"/>
      <c r="I834" s="5" t="n"/>
      <c r="J834" s="5" t="n">
        <v>7.33</v>
      </c>
      <c r="K834" s="5" t="n"/>
      <c r="L834" s="5" t="n"/>
      <c r="M834" s="5" t="n"/>
      <c r="N834" s="5" t="n"/>
      <c r="O834" s="5" t="n">
        <v>44</v>
      </c>
      <c r="P834" s="5" t="n"/>
      <c r="Q834" s="5" t="n">
        <v>44</v>
      </c>
      <c r="R834" s="5" t="n"/>
    </row>
    <row r="835">
      <c r="A835" s="2" t="inlineStr">
        <is>
          <t>EJ030824.TXT</t>
        </is>
      </c>
      <c r="B835" s="3" t="inlineStr">
        <is>
          <t>005478</t>
        </is>
      </c>
      <c r="C835" s="3" t="inlineStr">
        <is>
          <t>004395</t>
        </is>
      </c>
      <c r="D835" s="4" t="n">
        <v>45502</v>
      </c>
      <c r="E835" s="2" t="inlineStr">
        <is>
          <t>11:30</t>
        </is>
      </c>
      <c r="F835" s="5" t="n">
        <v>208.33</v>
      </c>
      <c r="G835" s="5" t="n"/>
      <c r="H835" s="5" t="n"/>
      <c r="I835" s="5" t="n"/>
      <c r="J835" s="5" t="n">
        <v>41.67</v>
      </c>
      <c r="K835" s="5" t="n"/>
      <c r="L835" s="5" t="n"/>
      <c r="M835" s="5" t="n"/>
      <c r="N835" s="5" t="n"/>
      <c r="O835" s="5" t="n">
        <v>250</v>
      </c>
      <c r="P835" s="5" t="n"/>
      <c r="Q835" s="5" t="n">
        <v>250</v>
      </c>
      <c r="R835" s="5" t="n"/>
    </row>
    <row r="836">
      <c r="A836" s="2" t="inlineStr">
        <is>
          <t>EJ030824.TXT</t>
        </is>
      </c>
      <c r="B836" s="3" t="inlineStr">
        <is>
          <t>005479</t>
        </is>
      </c>
      <c r="C836" s="3" t="inlineStr">
        <is>
          <t>004396</t>
        </is>
      </c>
      <c r="D836" s="4" t="n">
        <v>45502</v>
      </c>
      <c r="E836" s="2" t="inlineStr">
        <is>
          <t>12:07</t>
        </is>
      </c>
      <c r="F836" s="5" t="n">
        <v>582.5</v>
      </c>
      <c r="G836" s="5" t="n"/>
      <c r="H836" s="5" t="n"/>
      <c r="I836" s="5" t="n"/>
      <c r="J836" s="5" t="n">
        <v>116.5</v>
      </c>
      <c r="K836" s="5" t="n"/>
      <c r="L836" s="5" t="n"/>
      <c r="M836" s="5" t="n"/>
      <c r="N836" s="5" t="n"/>
      <c r="O836" s="5" t="n">
        <v>699</v>
      </c>
      <c r="P836" s="5" t="n">
        <v>699</v>
      </c>
      <c r="Q836" s="5" t="n"/>
      <c r="R836" s="5" t="n"/>
    </row>
    <row r="837">
      <c r="A837" s="2" t="inlineStr">
        <is>
          <t>EJ030824.TXT</t>
        </is>
      </c>
      <c r="B837" s="3" t="inlineStr">
        <is>
          <t>005480</t>
        </is>
      </c>
      <c r="C837" s="3" t="inlineStr">
        <is>
          <t>004397</t>
        </is>
      </c>
      <c r="D837" s="4" t="n">
        <v>45503</v>
      </c>
      <c r="E837" s="2" t="inlineStr">
        <is>
          <t>09:01</t>
        </is>
      </c>
      <c r="F837" s="5" t="n">
        <v>199.17</v>
      </c>
      <c r="G837" s="5" t="n"/>
      <c r="H837" s="5" t="n"/>
      <c r="I837" s="5" t="n"/>
      <c r="J837" s="5" t="n">
        <v>39.83</v>
      </c>
      <c r="K837" s="5" t="n"/>
      <c r="L837" s="5" t="n"/>
      <c r="M837" s="5" t="n"/>
      <c r="N837" s="5" t="n"/>
      <c r="O837" s="5" t="n">
        <v>239</v>
      </c>
      <c r="P837" s="5" t="n"/>
      <c r="Q837" s="5" t="n">
        <v>239</v>
      </c>
      <c r="R837" s="5" t="n"/>
    </row>
    <row r="838">
      <c r="A838" s="2" t="inlineStr">
        <is>
          <t>EJ030824.TXT</t>
        </is>
      </c>
      <c r="B838" s="3" t="inlineStr">
        <is>
          <t>005481</t>
        </is>
      </c>
      <c r="C838" s="3" t="inlineStr">
        <is>
          <t>004398</t>
        </is>
      </c>
      <c r="D838" s="4" t="n">
        <v>45505</v>
      </c>
      <c r="E838" s="2" t="inlineStr">
        <is>
          <t>11:03</t>
        </is>
      </c>
      <c r="F838" s="5" t="n">
        <v>274.17</v>
      </c>
      <c r="G838" s="5" t="n"/>
      <c r="H838" s="5" t="n"/>
      <c r="I838" s="5" t="n"/>
      <c r="J838" s="5" t="n">
        <v>54.83</v>
      </c>
      <c r="K838" s="5" t="n"/>
      <c r="L838" s="5" t="n"/>
      <c r="M838" s="5" t="n"/>
      <c r="N838" s="5" t="n"/>
      <c r="O838" s="5" t="n">
        <v>329</v>
      </c>
      <c r="P838" s="5" t="n"/>
      <c r="Q838" s="5" t="n">
        <v>329</v>
      </c>
      <c r="R838" s="5" t="n"/>
    </row>
    <row r="839">
      <c r="A839" s="2" t="inlineStr">
        <is>
          <t>EJ030824.TXT</t>
        </is>
      </c>
      <c r="B839" s="3" t="inlineStr">
        <is>
          <t>005482</t>
        </is>
      </c>
      <c r="C839" s="3" t="inlineStr">
        <is>
          <t>004399</t>
        </is>
      </c>
      <c r="D839" s="4" t="n">
        <v>45506</v>
      </c>
      <c r="E839" s="2" t="inlineStr">
        <is>
          <t>14:03</t>
        </is>
      </c>
      <c r="F839" s="5" t="n">
        <v>548.33</v>
      </c>
      <c r="G839" s="5" t="n"/>
      <c r="H839" s="5" t="n"/>
      <c r="I839" s="5" t="n"/>
      <c r="J839" s="5" t="n">
        <v>109.67</v>
      </c>
      <c r="K839" s="5" t="n"/>
      <c r="L839" s="5" t="n"/>
      <c r="M839" s="5" t="n"/>
      <c r="N839" s="5" t="n"/>
      <c r="O839" s="5" t="n">
        <v>658</v>
      </c>
      <c r="P839" s="5" t="n"/>
      <c r="Q839" s="5" t="n">
        <v>658</v>
      </c>
      <c r="R839" s="5" t="n"/>
    </row>
    <row r="840">
      <c r="A840" s="2" t="inlineStr">
        <is>
          <t>EJ030824.TXT</t>
        </is>
      </c>
      <c r="B840" s="3" t="inlineStr">
        <is>
          <t>005483</t>
        </is>
      </c>
      <c r="C840" s="3" t="inlineStr">
        <is>
          <t>004400</t>
        </is>
      </c>
      <c r="D840" s="4" t="n">
        <v>45506</v>
      </c>
      <c r="E840" s="2" t="inlineStr">
        <is>
          <t>14:05</t>
        </is>
      </c>
      <c r="F840" s="5" t="n">
        <v>548.33</v>
      </c>
      <c r="G840" s="5" t="n"/>
      <c r="H840" s="5" t="n"/>
      <c r="I840" s="5" t="n"/>
      <c r="J840" s="5" t="n">
        <v>109.67</v>
      </c>
      <c r="K840" s="5" t="n"/>
      <c r="L840" s="5" t="n"/>
      <c r="M840" s="5" t="n"/>
      <c r="N840" s="5" t="n"/>
      <c r="O840" s="5" t="n">
        <v>658</v>
      </c>
      <c r="P840" s="5" t="n">
        <v>658</v>
      </c>
      <c r="Q840" s="5" t="n"/>
      <c r="R840" s="5" t="n"/>
    </row>
    <row r="841">
      <c r="A841" s="2" t="inlineStr">
        <is>
          <t>EJ030824.TXT</t>
        </is>
      </c>
      <c r="B841" s="3" t="inlineStr">
        <is>
          <t>005484</t>
        </is>
      </c>
      <c r="C841" s="3" t="inlineStr">
        <is>
          <t>004401</t>
        </is>
      </c>
      <c r="D841" s="4" t="n">
        <v>45506</v>
      </c>
      <c r="E841" s="2" t="inlineStr">
        <is>
          <t>15:20</t>
        </is>
      </c>
      <c r="F841" s="5" t="n">
        <v>208.33</v>
      </c>
      <c r="G841" s="5" t="n"/>
      <c r="H841" s="5" t="n"/>
      <c r="I841" s="5" t="n"/>
      <c r="J841" s="5" t="n">
        <v>41.67</v>
      </c>
      <c r="K841" s="5" t="n"/>
      <c r="L841" s="5" t="n"/>
      <c r="M841" s="5" t="n"/>
      <c r="N841" s="5" t="n"/>
      <c r="O841" s="5" t="n">
        <v>250</v>
      </c>
      <c r="P841" s="5" t="n"/>
      <c r="Q841" s="5" t="n">
        <v>250</v>
      </c>
      <c r="R841" s="5" t="n"/>
    </row>
    <row r="842">
      <c r="A842" s="2" t="inlineStr">
        <is>
          <t>EJ030824.TXT</t>
        </is>
      </c>
      <c r="B842" s="3" t="inlineStr">
        <is>
          <t>005485</t>
        </is>
      </c>
      <c r="C842" s="3" t="inlineStr">
        <is>
          <t>004402</t>
        </is>
      </c>
      <c r="D842" s="4" t="n">
        <v>45507</v>
      </c>
      <c r="E842" s="2" t="inlineStr">
        <is>
          <t>16:03</t>
        </is>
      </c>
      <c r="F842" s="5" t="n">
        <v>797.5</v>
      </c>
      <c r="G842" s="5" t="n"/>
      <c r="H842" s="5" t="n"/>
      <c r="I842" s="5" t="n"/>
      <c r="J842" s="5" t="n">
        <v>159.5</v>
      </c>
      <c r="K842" s="5" t="n"/>
      <c r="L842" s="5" t="n"/>
      <c r="M842" s="5" t="n"/>
      <c r="N842" s="5" t="n"/>
      <c r="O842" s="5" t="n">
        <v>957</v>
      </c>
      <c r="P842" s="5" t="n"/>
      <c r="Q842" s="5" t="n">
        <v>957</v>
      </c>
      <c r="R842" s="5" t="n"/>
    </row>
    <row r="843">
      <c r="A843" s="2" t="inlineStr">
        <is>
          <t>EJ030824.TXT</t>
        </is>
      </c>
      <c r="B843" s="3" t="inlineStr">
        <is>
          <t>005486</t>
        </is>
      </c>
      <c r="C843" s="3" t="inlineStr">
        <is>
          <t>004403</t>
        </is>
      </c>
      <c r="D843" s="4" t="n">
        <v>45507</v>
      </c>
      <c r="E843" s="2" t="inlineStr">
        <is>
          <t>16:03</t>
        </is>
      </c>
      <c r="F843" s="5" t="n">
        <v>566.67</v>
      </c>
      <c r="G843" s="5" t="n"/>
      <c r="H843" s="5" t="n"/>
      <c r="I843" s="5" t="n"/>
      <c r="J843" s="5" t="n">
        <v>113.33</v>
      </c>
      <c r="K843" s="5" t="n"/>
      <c r="L843" s="5" t="n"/>
      <c r="M843" s="5" t="n"/>
      <c r="N843" s="5" t="n"/>
      <c r="O843" s="5" t="n">
        <v>680</v>
      </c>
      <c r="P843" s="5" t="n"/>
      <c r="Q843" s="5" t="n">
        <v>680</v>
      </c>
      <c r="R843" s="5" t="n"/>
    </row>
    <row r="844">
      <c r="A844" s="2" t="inlineStr">
        <is>
          <t>EJ030824.TXT</t>
        </is>
      </c>
      <c r="B844" s="3" t="inlineStr">
        <is>
          <t>005487</t>
        </is>
      </c>
      <c r="C844" s="3" t="inlineStr">
        <is>
          <t>004404</t>
        </is>
      </c>
      <c r="D844" s="4" t="n">
        <v>45507</v>
      </c>
      <c r="E844" s="2" t="inlineStr">
        <is>
          <t>16:04</t>
        </is>
      </c>
      <c r="F844" s="5" t="n">
        <v>531.67</v>
      </c>
      <c r="G844" s="5" t="n"/>
      <c r="H844" s="5" t="n"/>
      <c r="I844" s="5" t="n"/>
      <c r="J844" s="5" t="n">
        <v>106.33</v>
      </c>
      <c r="K844" s="5" t="n"/>
      <c r="L844" s="5" t="n"/>
      <c r="M844" s="5" t="n"/>
      <c r="N844" s="5" t="n"/>
      <c r="O844" s="5" t="n">
        <v>638</v>
      </c>
      <c r="P844" s="5" t="n"/>
      <c r="Q844" s="5" t="n">
        <v>638</v>
      </c>
      <c r="R844" s="5" t="n"/>
    </row>
    <row r="845">
      <c r="A845" s="2" t="inlineStr">
        <is>
          <t>EJ030824.TXT</t>
        </is>
      </c>
      <c r="B845" s="3" t="inlineStr">
        <is>
          <t>005488</t>
        </is>
      </c>
      <c r="C845" s="3" t="inlineStr">
        <is>
          <t>004405</t>
        </is>
      </c>
      <c r="D845" s="4" t="n">
        <v>45507</v>
      </c>
      <c r="E845" s="2" t="inlineStr">
        <is>
          <t>16:04</t>
        </is>
      </c>
      <c r="F845" s="5" t="n">
        <v>531.67</v>
      </c>
      <c r="G845" s="5" t="n"/>
      <c r="H845" s="5" t="n"/>
      <c r="I845" s="5" t="n"/>
      <c r="J845" s="5" t="n">
        <v>106.33</v>
      </c>
      <c r="K845" s="5" t="n"/>
      <c r="L845" s="5" t="n"/>
      <c r="M845" s="5" t="n"/>
      <c r="N845" s="5" t="n"/>
      <c r="O845" s="5" t="n">
        <v>638</v>
      </c>
      <c r="P845" s="5" t="n"/>
      <c r="Q845" s="5" t="n">
        <v>638</v>
      </c>
      <c r="R845" s="5" t="n"/>
    </row>
    <row r="846">
      <c r="A846" s="2" t="inlineStr">
        <is>
          <t>EJ030824.TXT</t>
        </is>
      </c>
      <c r="B846" s="3" t="inlineStr">
        <is>
          <t>005489</t>
        </is>
      </c>
      <c r="C846" s="3" t="inlineStr">
        <is>
          <t>004406</t>
        </is>
      </c>
      <c r="D846" s="4" t="n">
        <v>45507</v>
      </c>
      <c r="E846" s="2" t="inlineStr">
        <is>
          <t>16:04</t>
        </is>
      </c>
      <c r="F846" s="5" t="n">
        <v>797.5</v>
      </c>
      <c r="G846" s="5" t="n"/>
      <c r="H846" s="5" t="n"/>
      <c r="I846" s="5" t="n"/>
      <c r="J846" s="5" t="n">
        <v>159.5</v>
      </c>
      <c r="K846" s="5" t="n"/>
      <c r="L846" s="5" t="n"/>
      <c r="M846" s="5" t="n"/>
      <c r="N846" s="5" t="n"/>
      <c r="O846" s="5" t="n">
        <v>957</v>
      </c>
      <c r="P846" s="5" t="n"/>
      <c r="Q846" s="5" t="n">
        <v>957</v>
      </c>
      <c r="R846" s="5" t="n"/>
    </row>
    <row r="847">
      <c r="A847" s="2" t="inlineStr">
        <is>
          <t>EJ030824.TXT</t>
        </is>
      </c>
      <c r="B847" s="3" t="inlineStr">
        <is>
          <t>005490</t>
        </is>
      </c>
      <c r="C847" s="3" t="inlineStr">
        <is>
          <t>004407</t>
        </is>
      </c>
      <c r="D847" s="4" t="n">
        <v>45507</v>
      </c>
      <c r="E847" s="2" t="inlineStr">
        <is>
          <t>16:05</t>
        </is>
      </c>
      <c r="F847" s="5" t="n">
        <v>797.5</v>
      </c>
      <c r="G847" s="5" t="n"/>
      <c r="H847" s="5" t="n"/>
      <c r="I847" s="5" t="n"/>
      <c r="J847" s="5" t="n">
        <v>159.5</v>
      </c>
      <c r="K847" s="5" t="n"/>
      <c r="L847" s="5" t="n"/>
      <c r="M847" s="5" t="n"/>
      <c r="N847" s="5" t="n"/>
      <c r="O847" s="5" t="n">
        <v>957</v>
      </c>
      <c r="P847" s="5" t="n"/>
      <c r="Q847" s="5" t="n">
        <v>957</v>
      </c>
      <c r="R847" s="5" t="n"/>
    </row>
    <row r="848">
      <c r="A848" s="2" t="inlineStr">
        <is>
          <t>EJ020924.TXT</t>
        </is>
      </c>
      <c r="B848" s="3" t="inlineStr">
        <is>
          <t>005499</t>
        </is>
      </c>
      <c r="C848" s="3" t="inlineStr">
        <is>
          <t>004408</t>
        </is>
      </c>
      <c r="D848" s="4" t="n">
        <v>45509</v>
      </c>
      <c r="E848" s="2" t="inlineStr">
        <is>
          <t>14:53</t>
        </is>
      </c>
      <c r="F848" s="5" t="n">
        <v>208.33</v>
      </c>
      <c r="G848" s="5" t="n"/>
      <c r="H848" s="5" t="n"/>
      <c r="I848" s="5" t="n"/>
      <c r="J848" s="5" t="n">
        <v>41.67</v>
      </c>
      <c r="K848" s="5" t="n"/>
      <c r="L848" s="5" t="n"/>
      <c r="M848" s="5" t="n"/>
      <c r="N848" s="5" t="n"/>
      <c r="O848" s="5" t="n">
        <v>250</v>
      </c>
      <c r="P848" s="5" t="n"/>
      <c r="Q848" s="5" t="n">
        <v>250</v>
      </c>
      <c r="R848" s="5" t="n"/>
    </row>
    <row r="849">
      <c r="A849" s="2" t="inlineStr">
        <is>
          <t>EJ020924.TXT</t>
        </is>
      </c>
      <c r="B849" s="3" t="inlineStr">
        <is>
          <t>005500</t>
        </is>
      </c>
      <c r="C849" s="3" t="inlineStr">
        <is>
          <t>004409</t>
        </is>
      </c>
      <c r="D849" s="4" t="n">
        <v>45510</v>
      </c>
      <c r="E849" s="2" t="inlineStr">
        <is>
          <t>11:41</t>
        </is>
      </c>
      <c r="F849" s="5" t="n">
        <v>208.33</v>
      </c>
      <c r="G849" s="5" t="n"/>
      <c r="H849" s="5" t="n"/>
      <c r="I849" s="5" t="n"/>
      <c r="J849" s="5" t="n">
        <v>41.67</v>
      </c>
      <c r="K849" s="5" t="n"/>
      <c r="L849" s="5" t="n"/>
      <c r="M849" s="5" t="n"/>
      <c r="N849" s="5" t="n"/>
      <c r="O849" s="5" t="n">
        <v>250</v>
      </c>
      <c r="P849" s="5" t="n"/>
      <c r="Q849" s="5" t="n">
        <v>250</v>
      </c>
      <c r="R849" s="5" t="n"/>
    </row>
    <row r="850">
      <c r="A850" s="2" t="inlineStr">
        <is>
          <t>EJ020924.TXT</t>
        </is>
      </c>
      <c r="B850" s="3" t="inlineStr">
        <is>
          <t>005501</t>
        </is>
      </c>
      <c r="C850" s="3" t="inlineStr">
        <is>
          <t>004410</t>
        </is>
      </c>
      <c r="D850" s="4" t="n">
        <v>45510</v>
      </c>
      <c r="E850" s="2" t="inlineStr">
        <is>
          <t>14:21</t>
        </is>
      </c>
      <c r="F850" s="5" t="n">
        <v>82.5</v>
      </c>
      <c r="G850" s="5" t="n"/>
      <c r="H850" s="5" t="n"/>
      <c r="I850" s="5" t="n"/>
      <c r="J850" s="5" t="n">
        <v>16.5</v>
      </c>
      <c r="K850" s="5" t="n"/>
      <c r="L850" s="5" t="n"/>
      <c r="M850" s="5" t="n"/>
      <c r="N850" s="5" t="n"/>
      <c r="O850" s="5" t="n">
        <v>99</v>
      </c>
      <c r="P850" s="5" t="n"/>
      <c r="Q850" s="5" t="n">
        <v>99</v>
      </c>
      <c r="R850" s="5" t="n"/>
    </row>
    <row r="851">
      <c r="A851" s="2" t="inlineStr">
        <is>
          <t>EJ020924.TXT</t>
        </is>
      </c>
      <c r="B851" s="3" t="inlineStr">
        <is>
          <t>005502</t>
        </is>
      </c>
      <c r="C851" s="3" t="inlineStr">
        <is>
          <t>004411</t>
        </is>
      </c>
      <c r="D851" s="4" t="n">
        <v>45510</v>
      </c>
      <c r="E851" s="2" t="inlineStr">
        <is>
          <t>14:36</t>
        </is>
      </c>
      <c r="F851" s="5" t="n">
        <v>274.17</v>
      </c>
      <c r="G851" s="5" t="n"/>
      <c r="H851" s="5" t="n"/>
      <c r="I851" s="5" t="n"/>
      <c r="J851" s="5" t="n">
        <v>54.83</v>
      </c>
      <c r="K851" s="5" t="n"/>
      <c r="L851" s="5" t="n"/>
      <c r="M851" s="5" t="n"/>
      <c r="N851" s="5" t="n"/>
      <c r="O851" s="5" t="n">
        <v>329</v>
      </c>
      <c r="P851" s="5" t="n"/>
      <c r="Q851" s="5" t="n">
        <v>329</v>
      </c>
      <c r="R851" s="5" t="n"/>
    </row>
    <row r="852">
      <c r="A852" s="2" t="inlineStr">
        <is>
          <t>EJ020924.TXT</t>
        </is>
      </c>
      <c r="B852" s="3" t="inlineStr">
        <is>
          <t>005503</t>
        </is>
      </c>
      <c r="C852" s="3" t="inlineStr">
        <is>
          <t>004412</t>
        </is>
      </c>
      <c r="D852" s="4" t="n">
        <v>45512</v>
      </c>
      <c r="E852" s="2" t="inlineStr">
        <is>
          <t>16:14</t>
        </is>
      </c>
      <c r="F852" s="5" t="n">
        <v>548.33</v>
      </c>
      <c r="G852" s="5" t="n"/>
      <c r="H852" s="5" t="n"/>
      <c r="I852" s="5" t="n"/>
      <c r="J852" s="5" t="n">
        <v>109.67</v>
      </c>
      <c r="K852" s="5" t="n"/>
      <c r="L852" s="5" t="n"/>
      <c r="M852" s="5" t="n"/>
      <c r="N852" s="5" t="n"/>
      <c r="O852" s="5" t="n">
        <v>658</v>
      </c>
      <c r="P852" s="5" t="n"/>
      <c r="Q852" s="5" t="n">
        <v>658</v>
      </c>
      <c r="R852" s="5" t="n"/>
    </row>
    <row r="853">
      <c r="A853" s="2" t="inlineStr">
        <is>
          <t>EJ020924.TXT</t>
        </is>
      </c>
      <c r="B853" s="3" t="inlineStr">
        <is>
          <t>005504</t>
        </is>
      </c>
      <c r="C853" s="3" t="inlineStr">
        <is>
          <t>004413</t>
        </is>
      </c>
      <c r="D853" s="4" t="n">
        <v>45513</v>
      </c>
      <c r="E853" s="2" t="inlineStr">
        <is>
          <t>16:20</t>
        </is>
      </c>
      <c r="F853" s="5" t="n">
        <v>208.33</v>
      </c>
      <c r="G853" s="5" t="n"/>
      <c r="H853" s="5" t="n"/>
      <c r="I853" s="5" t="n"/>
      <c r="J853" s="5" t="n">
        <v>41.67</v>
      </c>
      <c r="K853" s="5" t="n"/>
      <c r="L853" s="5" t="n"/>
      <c r="M853" s="5" t="n"/>
      <c r="N853" s="5" t="n"/>
      <c r="O853" s="5" t="n">
        <v>250</v>
      </c>
      <c r="P853" s="5" t="n"/>
      <c r="Q853" s="5" t="n">
        <v>250</v>
      </c>
      <c r="R853" s="5" t="n"/>
    </row>
    <row r="854">
      <c r="A854" s="2" t="inlineStr">
        <is>
          <t>EJ020924.TXT</t>
        </is>
      </c>
      <c r="B854" s="3" t="inlineStr">
        <is>
          <t>005505</t>
        </is>
      </c>
      <c r="C854" s="3" t="inlineStr">
        <is>
          <t>004414</t>
        </is>
      </c>
      <c r="D854" s="4" t="n">
        <v>45513</v>
      </c>
      <c r="E854" s="2" t="inlineStr">
        <is>
          <t>16:54</t>
        </is>
      </c>
      <c r="F854" s="5" t="n">
        <v>208.33</v>
      </c>
      <c r="G854" s="5" t="n"/>
      <c r="H854" s="5" t="n"/>
      <c r="I854" s="5" t="n"/>
      <c r="J854" s="5" t="n">
        <v>41.67</v>
      </c>
      <c r="K854" s="5" t="n"/>
      <c r="L854" s="5" t="n"/>
      <c r="M854" s="5" t="n"/>
      <c r="N854" s="5" t="n"/>
      <c r="O854" s="5" t="n">
        <v>250</v>
      </c>
      <c r="P854" s="5" t="n"/>
      <c r="Q854" s="5" t="n">
        <v>250</v>
      </c>
      <c r="R854" s="5" t="n"/>
    </row>
    <row r="855">
      <c r="A855" s="2" t="inlineStr">
        <is>
          <t>EJ020924.TXT</t>
        </is>
      </c>
      <c r="B855" s="3" t="inlineStr">
        <is>
          <t>005506</t>
        </is>
      </c>
      <c r="C855" s="3" t="inlineStr">
        <is>
          <t>004415</t>
        </is>
      </c>
      <c r="D855" s="4" t="n">
        <v>45514</v>
      </c>
      <c r="E855" s="2" t="inlineStr">
        <is>
          <t>13:58</t>
        </is>
      </c>
      <c r="F855" s="5" t="n">
        <v>689.17</v>
      </c>
      <c r="G855" s="5" t="n"/>
      <c r="H855" s="5" t="n"/>
      <c r="I855" s="5" t="n"/>
      <c r="J855" s="5" t="n">
        <v>137.83</v>
      </c>
      <c r="K855" s="5" t="n"/>
      <c r="L855" s="5" t="n"/>
      <c r="M855" s="5" t="n"/>
      <c r="N855" s="5" t="n"/>
      <c r="O855" s="5" t="n">
        <v>827</v>
      </c>
      <c r="P855" s="5" t="n"/>
      <c r="Q855" s="5" t="n">
        <v>827</v>
      </c>
      <c r="R855" s="5" t="n"/>
    </row>
    <row r="856">
      <c r="A856" s="2" t="inlineStr">
        <is>
          <t>EJ020924.TXT</t>
        </is>
      </c>
      <c r="B856" s="3" t="inlineStr">
        <is>
          <t>005507</t>
        </is>
      </c>
      <c r="C856" s="3" t="inlineStr">
        <is>
          <t>004416</t>
        </is>
      </c>
      <c r="D856" s="4" t="n">
        <v>45514</v>
      </c>
      <c r="E856" s="2" t="inlineStr">
        <is>
          <t>14:08</t>
        </is>
      </c>
      <c r="F856" s="5" t="n">
        <v>830</v>
      </c>
      <c r="G856" s="5" t="n"/>
      <c r="H856" s="5" t="n"/>
      <c r="I856" s="5" t="n"/>
      <c r="J856" s="5" t="n">
        <v>166</v>
      </c>
      <c r="K856" s="5" t="n"/>
      <c r="L856" s="5" t="n"/>
      <c r="M856" s="5" t="n"/>
      <c r="N856" s="5" t="n"/>
      <c r="O856" s="5" t="n">
        <v>996</v>
      </c>
      <c r="P856" s="5" t="n"/>
      <c r="Q856" s="5" t="n">
        <v>996</v>
      </c>
      <c r="R856" s="5" t="n"/>
    </row>
    <row r="857">
      <c r="A857" s="2" t="inlineStr">
        <is>
          <t>EJ020924.TXT</t>
        </is>
      </c>
      <c r="B857" s="3" t="inlineStr">
        <is>
          <t>005508</t>
        </is>
      </c>
      <c r="C857" s="3" t="inlineStr">
        <is>
          <t>004417</t>
        </is>
      </c>
      <c r="D857" s="4" t="n">
        <v>45514</v>
      </c>
      <c r="E857" s="2" t="inlineStr">
        <is>
          <t>14:08</t>
        </is>
      </c>
      <c r="F857" s="5" t="n">
        <v>614.17</v>
      </c>
      <c r="G857" s="5" t="n"/>
      <c r="H857" s="5" t="n"/>
      <c r="I857" s="5" t="n"/>
      <c r="J857" s="5" t="n">
        <v>122.83</v>
      </c>
      <c r="K857" s="5" t="n"/>
      <c r="L857" s="5" t="n"/>
      <c r="M857" s="5" t="n"/>
      <c r="N857" s="5" t="n"/>
      <c r="O857" s="5" t="n">
        <v>737</v>
      </c>
      <c r="P857" s="5" t="n"/>
      <c r="Q857" s="5" t="n">
        <v>737</v>
      </c>
      <c r="R857" s="5" t="n"/>
    </row>
    <row r="858">
      <c r="A858" s="2" t="inlineStr">
        <is>
          <t>EJ020924.TXT</t>
        </is>
      </c>
      <c r="B858" s="3" t="inlineStr">
        <is>
          <t>005509</t>
        </is>
      </c>
      <c r="C858" s="3" t="inlineStr">
        <is>
          <t>004418</t>
        </is>
      </c>
      <c r="D858" s="4" t="n">
        <v>45514</v>
      </c>
      <c r="E858" s="2" t="inlineStr">
        <is>
          <t>14:09</t>
        </is>
      </c>
      <c r="F858" s="5" t="n">
        <v>398.33</v>
      </c>
      <c r="G858" s="5" t="n"/>
      <c r="H858" s="5" t="n"/>
      <c r="I858" s="5" t="n"/>
      <c r="J858" s="5" t="n">
        <v>79.67</v>
      </c>
      <c r="K858" s="5" t="n"/>
      <c r="L858" s="5" t="n"/>
      <c r="M858" s="5" t="n"/>
      <c r="N858" s="5" t="n"/>
      <c r="O858" s="5" t="n">
        <v>478</v>
      </c>
      <c r="P858" s="5" t="n"/>
      <c r="Q858" s="5" t="n">
        <v>478</v>
      </c>
      <c r="R858" s="5" t="n"/>
    </row>
    <row r="859">
      <c r="A859" s="2" t="inlineStr">
        <is>
          <t>EJ020924.TXT</t>
        </is>
      </c>
      <c r="B859" s="3" t="inlineStr">
        <is>
          <t>005510</t>
        </is>
      </c>
      <c r="C859" s="3" t="inlineStr">
        <is>
          <t>004419</t>
        </is>
      </c>
      <c r="D859" s="4" t="n">
        <v>45514</v>
      </c>
      <c r="E859" s="2" t="inlineStr">
        <is>
          <t>14:12</t>
        </is>
      </c>
      <c r="F859" s="5" t="n">
        <v>173.33</v>
      </c>
      <c r="G859" s="5" t="n"/>
      <c r="H859" s="5" t="n"/>
      <c r="I859" s="5" t="n"/>
      <c r="J859" s="5" t="n">
        <v>34.67</v>
      </c>
      <c r="K859" s="5" t="n"/>
      <c r="L859" s="5" t="n"/>
      <c r="M859" s="5" t="n"/>
      <c r="N859" s="5" t="n"/>
      <c r="O859" s="5" t="n">
        <v>208</v>
      </c>
      <c r="P859" s="5" t="n"/>
      <c r="Q859" s="5" t="n">
        <v>208</v>
      </c>
      <c r="R859" s="5" t="n"/>
    </row>
    <row r="860">
      <c r="A860" s="2" t="inlineStr">
        <is>
          <t>EJ020924.TXT</t>
        </is>
      </c>
      <c r="B860" s="3" t="inlineStr">
        <is>
          <t>005511</t>
        </is>
      </c>
      <c r="C860" s="3" t="inlineStr">
        <is>
          <t>004420</t>
        </is>
      </c>
      <c r="D860" s="4" t="n">
        <v>45514</v>
      </c>
      <c r="E860" s="2" t="inlineStr">
        <is>
          <t>14:57</t>
        </is>
      </c>
      <c r="F860" s="5" t="n">
        <v>830</v>
      </c>
      <c r="G860" s="5" t="n"/>
      <c r="H860" s="5" t="n"/>
      <c r="I860" s="5" t="n"/>
      <c r="J860" s="5" t="n">
        <v>166</v>
      </c>
      <c r="K860" s="5" t="n"/>
      <c r="L860" s="5" t="n"/>
      <c r="M860" s="5" t="n"/>
      <c r="N860" s="5" t="n"/>
      <c r="O860" s="5" t="n">
        <v>996</v>
      </c>
      <c r="P860" s="5" t="n">
        <v>996</v>
      </c>
      <c r="Q860" s="5" t="n"/>
      <c r="R860" s="5" t="n"/>
    </row>
    <row r="861">
      <c r="A861" s="2" t="inlineStr">
        <is>
          <t>EJ020924.TXT</t>
        </is>
      </c>
      <c r="B861" s="3" t="inlineStr">
        <is>
          <t>005512</t>
        </is>
      </c>
      <c r="C861" s="3" t="inlineStr">
        <is>
          <t>004421</t>
        </is>
      </c>
      <c r="D861" s="4" t="n">
        <v>45516</v>
      </c>
      <c r="E861" s="2" t="inlineStr">
        <is>
          <t>15:07</t>
        </is>
      </c>
      <c r="F861" s="5" t="n">
        <v>548.33</v>
      </c>
      <c r="G861" s="5" t="n"/>
      <c r="H861" s="5" t="n"/>
      <c r="I861" s="5" t="n"/>
      <c r="J861" s="5" t="n">
        <v>109.67</v>
      </c>
      <c r="K861" s="5" t="n"/>
      <c r="L861" s="5" t="n"/>
      <c r="M861" s="5" t="n"/>
      <c r="N861" s="5" t="n"/>
      <c r="O861" s="5" t="n">
        <v>658</v>
      </c>
      <c r="P861" s="5" t="n"/>
      <c r="Q861" s="5" t="n">
        <v>658</v>
      </c>
      <c r="R861" s="5" t="n"/>
    </row>
    <row r="862">
      <c r="A862" s="2" t="inlineStr">
        <is>
          <t>EJ020924.TXT</t>
        </is>
      </c>
      <c r="B862" s="3" t="inlineStr">
        <is>
          <t>005513</t>
        </is>
      </c>
      <c r="C862" s="3" t="inlineStr">
        <is>
          <t>004422</t>
        </is>
      </c>
      <c r="D862" s="4" t="n">
        <v>45516</v>
      </c>
      <c r="E862" s="2" t="inlineStr">
        <is>
          <t>15:08</t>
        </is>
      </c>
      <c r="F862" s="5" t="n">
        <v>825</v>
      </c>
      <c r="G862" s="5" t="n"/>
      <c r="H862" s="5" t="n"/>
      <c r="I862" s="5" t="n"/>
      <c r="J862" s="5" t="n">
        <v>165</v>
      </c>
      <c r="K862" s="5" t="n"/>
      <c r="L862" s="5" t="n"/>
      <c r="M862" s="5" t="n"/>
      <c r="N862" s="5" t="n"/>
      <c r="O862" s="5" t="n">
        <v>990</v>
      </c>
      <c r="P862" s="5" t="n"/>
      <c r="Q862" s="5" t="n">
        <v>990</v>
      </c>
      <c r="R862" s="5" t="n"/>
    </row>
    <row r="863">
      <c r="A863" s="2" t="inlineStr">
        <is>
          <t>EJ020924.TXT</t>
        </is>
      </c>
      <c r="B863" s="3" t="inlineStr">
        <is>
          <t>005514</t>
        </is>
      </c>
      <c r="C863" s="3" t="inlineStr">
        <is>
          <t>004423</t>
        </is>
      </c>
      <c r="D863" s="4" t="n">
        <v>45516</v>
      </c>
      <c r="E863" s="2" t="inlineStr">
        <is>
          <t>15:32</t>
        </is>
      </c>
      <c r="F863" s="5" t="n">
        <v>875</v>
      </c>
      <c r="G863" s="5" t="n"/>
      <c r="H863" s="5" t="n"/>
      <c r="I863" s="5" t="n"/>
      <c r="J863" s="5" t="n">
        <v>175</v>
      </c>
      <c r="K863" s="5" t="n"/>
      <c r="L863" s="5" t="n"/>
      <c r="M863" s="5" t="n"/>
      <c r="N863" s="5" t="n"/>
      <c r="O863" s="5" t="n">
        <v>1050</v>
      </c>
      <c r="P863" s="5" t="n"/>
      <c r="Q863" s="5" t="n">
        <v>1050</v>
      </c>
      <c r="R863" s="5" t="n"/>
    </row>
    <row r="864">
      <c r="A864" s="2" t="inlineStr">
        <is>
          <t>EJ020924.TXT</t>
        </is>
      </c>
      <c r="B864" s="3" t="inlineStr">
        <is>
          <t>005515</t>
        </is>
      </c>
      <c r="C864" s="3" t="inlineStr">
        <is>
          <t>004424</t>
        </is>
      </c>
      <c r="D864" s="4" t="n">
        <v>45516</v>
      </c>
      <c r="E864" s="2" t="inlineStr">
        <is>
          <t>16:02</t>
        </is>
      </c>
      <c r="F864" s="5" t="n">
        <v>274.17</v>
      </c>
      <c r="G864" s="5" t="n"/>
      <c r="H864" s="5" t="n"/>
      <c r="I864" s="5" t="n"/>
      <c r="J864" s="5" t="n">
        <v>54.83</v>
      </c>
      <c r="K864" s="5" t="n"/>
      <c r="L864" s="5" t="n"/>
      <c r="M864" s="5" t="n"/>
      <c r="N864" s="5" t="n"/>
      <c r="O864" s="5" t="n">
        <v>329</v>
      </c>
      <c r="P864" s="5" t="n">
        <v>329</v>
      </c>
      <c r="Q864" s="5" t="n"/>
      <c r="R864" s="5" t="n"/>
    </row>
    <row r="865">
      <c r="A865" s="2" t="inlineStr">
        <is>
          <t>EJ020924.TXT</t>
        </is>
      </c>
      <c r="B865" s="3" t="inlineStr">
        <is>
          <t>005516</t>
        </is>
      </c>
      <c r="C865" s="3" t="inlineStr">
        <is>
          <t>004425</t>
        </is>
      </c>
      <c r="D865" s="4" t="n">
        <v>45517</v>
      </c>
      <c r="E865" s="2" t="inlineStr">
        <is>
          <t>14:16</t>
        </is>
      </c>
      <c r="F865" s="5" t="n">
        <v>583.33</v>
      </c>
      <c r="G865" s="5" t="n"/>
      <c r="H865" s="5" t="n"/>
      <c r="I865" s="5" t="n"/>
      <c r="J865" s="5" t="n">
        <v>116.67</v>
      </c>
      <c r="K865" s="5" t="n"/>
      <c r="L865" s="5" t="n"/>
      <c r="M865" s="5" t="n"/>
      <c r="N865" s="5" t="n"/>
      <c r="O865" s="5" t="n">
        <v>700</v>
      </c>
      <c r="P865" s="5" t="n"/>
      <c r="Q865" s="5" t="n">
        <v>700</v>
      </c>
      <c r="R865" s="5" t="n"/>
    </row>
    <row r="866">
      <c r="A866" s="2" t="inlineStr">
        <is>
          <t>EJ020924.TXT</t>
        </is>
      </c>
      <c r="B866" s="3" t="inlineStr">
        <is>
          <t>005517</t>
        </is>
      </c>
      <c r="C866" s="3" t="inlineStr">
        <is>
          <t>004426</t>
        </is>
      </c>
      <c r="D866" s="4" t="n">
        <v>45517</v>
      </c>
      <c r="E866" s="2" t="inlineStr">
        <is>
          <t>14:17</t>
        </is>
      </c>
      <c r="F866" s="5" t="n">
        <v>833.33</v>
      </c>
      <c r="G866" s="5" t="n"/>
      <c r="H866" s="5" t="n"/>
      <c r="I866" s="5" t="n"/>
      <c r="J866" s="5" t="n">
        <v>166.67</v>
      </c>
      <c r="K866" s="5" t="n"/>
      <c r="L866" s="5" t="n"/>
      <c r="M866" s="5" t="n"/>
      <c r="N866" s="5" t="n"/>
      <c r="O866" s="5" t="n">
        <v>1000</v>
      </c>
      <c r="P866" s="5" t="n"/>
      <c r="Q866" s="5" t="n">
        <v>1000</v>
      </c>
      <c r="R866" s="5" t="n"/>
    </row>
    <row r="867">
      <c r="A867" s="2" t="inlineStr">
        <is>
          <t>EJ020924.TXT</t>
        </is>
      </c>
      <c r="B867" s="3" t="inlineStr">
        <is>
          <t>005518</t>
        </is>
      </c>
      <c r="C867" s="3" t="inlineStr">
        <is>
          <t>004427</t>
        </is>
      </c>
      <c r="D867" s="4" t="n">
        <v>45517</v>
      </c>
      <c r="E867" s="2" t="inlineStr">
        <is>
          <t>14:17</t>
        </is>
      </c>
      <c r="F867" s="5" t="n">
        <v>625</v>
      </c>
      <c r="G867" s="5" t="n"/>
      <c r="H867" s="5" t="n"/>
      <c r="I867" s="5" t="n"/>
      <c r="J867" s="5" t="n">
        <v>125</v>
      </c>
      <c r="K867" s="5" t="n"/>
      <c r="L867" s="5" t="n"/>
      <c r="M867" s="5" t="n"/>
      <c r="N867" s="5" t="n"/>
      <c r="O867" s="5" t="n">
        <v>750</v>
      </c>
      <c r="P867" s="5" t="n"/>
      <c r="Q867" s="5" t="n">
        <v>750</v>
      </c>
      <c r="R867" s="5" t="n"/>
    </row>
    <row r="868">
      <c r="A868" s="2" t="inlineStr">
        <is>
          <t>EJ020924.TXT</t>
        </is>
      </c>
      <c r="B868" s="3" t="inlineStr">
        <is>
          <t>005519</t>
        </is>
      </c>
      <c r="C868" s="3" t="inlineStr">
        <is>
          <t>004428</t>
        </is>
      </c>
      <c r="D868" s="4" t="n">
        <v>45517</v>
      </c>
      <c r="E868" s="2" t="inlineStr">
        <is>
          <t>14:18</t>
        </is>
      </c>
      <c r="F868" s="5" t="n">
        <v>583.33</v>
      </c>
      <c r="G868" s="5" t="n"/>
      <c r="H868" s="5" t="n"/>
      <c r="I868" s="5" t="n"/>
      <c r="J868" s="5" t="n">
        <v>116.67</v>
      </c>
      <c r="K868" s="5" t="n"/>
      <c r="L868" s="5" t="n"/>
      <c r="M868" s="5" t="n"/>
      <c r="N868" s="5" t="n"/>
      <c r="O868" s="5" t="n">
        <v>700</v>
      </c>
      <c r="P868" s="5" t="n"/>
      <c r="Q868" s="5" t="n">
        <v>700</v>
      </c>
      <c r="R868" s="5" t="n"/>
    </row>
    <row r="869">
      <c r="A869" s="2" t="inlineStr">
        <is>
          <t>EJ020924.TXT</t>
        </is>
      </c>
      <c r="B869" s="3" t="inlineStr">
        <is>
          <t>005520</t>
        </is>
      </c>
      <c r="C869" s="3" t="inlineStr">
        <is>
          <t>004429</t>
        </is>
      </c>
      <c r="D869" s="4" t="n">
        <v>45517</v>
      </c>
      <c r="E869" s="2" t="inlineStr">
        <is>
          <t>14:19</t>
        </is>
      </c>
      <c r="F869" s="5" t="n">
        <v>291.67</v>
      </c>
      <c r="G869" s="5" t="n"/>
      <c r="H869" s="5" t="n"/>
      <c r="I869" s="5" t="n"/>
      <c r="J869" s="5" t="n">
        <v>58.33</v>
      </c>
      <c r="K869" s="5" t="n"/>
      <c r="L869" s="5" t="n"/>
      <c r="M869" s="5" t="n"/>
      <c r="N869" s="5" t="n"/>
      <c r="O869" s="5" t="n">
        <v>350</v>
      </c>
      <c r="P869" s="5" t="n"/>
      <c r="Q869" s="5" t="n">
        <v>350</v>
      </c>
      <c r="R869" s="5" t="n"/>
    </row>
    <row r="870">
      <c r="A870" s="2" t="inlineStr">
        <is>
          <t>EJ020924.TXT</t>
        </is>
      </c>
      <c r="B870" s="3" t="inlineStr">
        <is>
          <t>005521</t>
        </is>
      </c>
      <c r="C870" s="3" t="inlineStr">
        <is>
          <t>004430</t>
        </is>
      </c>
      <c r="D870" s="4" t="n">
        <v>45517</v>
      </c>
      <c r="E870" s="2" t="inlineStr">
        <is>
          <t>14:20</t>
        </is>
      </c>
      <c r="F870" s="5" t="n">
        <v>625</v>
      </c>
      <c r="G870" s="5" t="n"/>
      <c r="H870" s="5" t="n"/>
      <c r="I870" s="5" t="n"/>
      <c r="J870" s="5" t="n">
        <v>125</v>
      </c>
      <c r="K870" s="5" t="n"/>
      <c r="L870" s="5" t="n"/>
      <c r="M870" s="5" t="n"/>
      <c r="N870" s="5" t="n"/>
      <c r="O870" s="5" t="n">
        <v>750</v>
      </c>
      <c r="P870" s="5" t="n"/>
      <c r="Q870" s="5" t="n">
        <v>750</v>
      </c>
      <c r="R870" s="5" t="n"/>
    </row>
    <row r="871">
      <c r="A871" s="2" t="inlineStr">
        <is>
          <t>EJ020924.TXT</t>
        </is>
      </c>
      <c r="B871" s="3" t="inlineStr">
        <is>
          <t>005522</t>
        </is>
      </c>
      <c r="C871" s="3" t="inlineStr">
        <is>
          <t>004431</t>
        </is>
      </c>
      <c r="D871" s="4" t="n">
        <v>45517</v>
      </c>
      <c r="E871" s="2" t="inlineStr">
        <is>
          <t>14:33</t>
        </is>
      </c>
      <c r="F871" s="5" t="n">
        <v>780</v>
      </c>
      <c r="G871" s="5" t="n"/>
      <c r="H871" s="5" t="n"/>
      <c r="I871" s="5" t="n"/>
      <c r="J871" s="5" t="n">
        <v>156</v>
      </c>
      <c r="K871" s="5" t="n"/>
      <c r="L871" s="5" t="n"/>
      <c r="M871" s="5" t="n"/>
      <c r="N871" s="5" t="n"/>
      <c r="O871" s="5" t="n">
        <v>936</v>
      </c>
      <c r="P871" s="5" t="n"/>
      <c r="Q871" s="5" t="n">
        <v>936</v>
      </c>
      <c r="R871" s="5" t="n"/>
    </row>
    <row r="872">
      <c r="A872" s="2" t="inlineStr">
        <is>
          <t>EJ020924.TXT</t>
        </is>
      </c>
      <c r="B872" s="3" t="inlineStr">
        <is>
          <t>005523</t>
        </is>
      </c>
      <c r="C872" s="3" t="inlineStr">
        <is>
          <t>004432</t>
        </is>
      </c>
      <c r="D872" s="4" t="n">
        <v>45517</v>
      </c>
      <c r="E872" s="2" t="inlineStr">
        <is>
          <t>14:34</t>
        </is>
      </c>
      <c r="F872" s="5" t="n">
        <v>780</v>
      </c>
      <c r="G872" s="5" t="n"/>
      <c r="H872" s="5" t="n"/>
      <c r="I872" s="5" t="n"/>
      <c r="J872" s="5" t="n">
        <v>156</v>
      </c>
      <c r="K872" s="5" t="n"/>
      <c r="L872" s="5" t="n"/>
      <c r="M872" s="5" t="n"/>
      <c r="N872" s="5" t="n"/>
      <c r="O872" s="5" t="n">
        <v>936</v>
      </c>
      <c r="P872" s="5" t="n"/>
      <c r="Q872" s="5" t="n">
        <v>936</v>
      </c>
      <c r="R872" s="5" t="n"/>
    </row>
    <row r="873">
      <c r="A873" s="2" t="inlineStr">
        <is>
          <t>EJ020924.TXT</t>
        </is>
      </c>
      <c r="B873" s="3" t="inlineStr">
        <is>
          <t>005524</t>
        </is>
      </c>
      <c r="C873" s="3" t="inlineStr">
        <is>
          <t>004433</t>
        </is>
      </c>
      <c r="D873" s="4" t="n">
        <v>45517</v>
      </c>
      <c r="E873" s="2" t="inlineStr">
        <is>
          <t>14:34</t>
        </is>
      </c>
      <c r="F873" s="5" t="n">
        <v>745.83</v>
      </c>
      <c r="G873" s="5" t="n"/>
      <c r="H873" s="5" t="n"/>
      <c r="I873" s="5" t="n"/>
      <c r="J873" s="5" t="n">
        <v>149.17</v>
      </c>
      <c r="K873" s="5" t="n"/>
      <c r="L873" s="5" t="n"/>
      <c r="M873" s="5" t="n"/>
      <c r="N873" s="5" t="n"/>
      <c r="O873" s="5" t="n">
        <v>895</v>
      </c>
      <c r="P873" s="5" t="n"/>
      <c r="Q873" s="5" t="n">
        <v>895</v>
      </c>
      <c r="R873" s="5" t="n"/>
    </row>
    <row r="874">
      <c r="A874" s="2" t="inlineStr">
        <is>
          <t>EJ020924.TXT</t>
        </is>
      </c>
      <c r="B874" s="3" t="inlineStr">
        <is>
          <t>005525</t>
        </is>
      </c>
      <c r="C874" s="3" t="inlineStr">
        <is>
          <t>004434</t>
        </is>
      </c>
      <c r="D874" s="4" t="n">
        <v>45517</v>
      </c>
      <c r="E874" s="2" t="inlineStr">
        <is>
          <t>14:34</t>
        </is>
      </c>
      <c r="F874" s="5" t="n">
        <v>745</v>
      </c>
      <c r="G874" s="5" t="n"/>
      <c r="H874" s="5" t="n"/>
      <c r="I874" s="5" t="n"/>
      <c r="J874" s="5" t="n">
        <v>149</v>
      </c>
      <c r="K874" s="5" t="n"/>
      <c r="L874" s="5" t="n"/>
      <c r="M874" s="5" t="n"/>
      <c r="N874" s="5" t="n"/>
      <c r="O874" s="5" t="n">
        <v>894</v>
      </c>
      <c r="P874" s="5" t="n"/>
      <c r="Q874" s="5" t="n">
        <v>894</v>
      </c>
      <c r="R874" s="5" t="n"/>
    </row>
    <row r="875">
      <c r="A875" s="2" t="inlineStr">
        <is>
          <t>EJ020924.TXT</t>
        </is>
      </c>
      <c r="B875" s="3" t="inlineStr">
        <is>
          <t>005526</t>
        </is>
      </c>
      <c r="C875" s="3" t="inlineStr">
        <is>
          <t>004435</t>
        </is>
      </c>
      <c r="D875" s="4" t="n">
        <v>45517</v>
      </c>
      <c r="E875" s="2" t="inlineStr">
        <is>
          <t>14:34</t>
        </is>
      </c>
      <c r="F875" s="5" t="n">
        <v>822.5</v>
      </c>
      <c r="G875" s="5" t="n"/>
      <c r="H875" s="5" t="n"/>
      <c r="I875" s="5" t="n"/>
      <c r="J875" s="5" t="n">
        <v>164.5</v>
      </c>
      <c r="K875" s="5" t="n"/>
      <c r="L875" s="5" t="n"/>
      <c r="M875" s="5" t="n"/>
      <c r="N875" s="5" t="n"/>
      <c r="O875" s="5" t="n">
        <v>987</v>
      </c>
      <c r="P875" s="5" t="n"/>
      <c r="Q875" s="5" t="n">
        <v>987</v>
      </c>
      <c r="R875" s="5" t="n"/>
    </row>
    <row r="876">
      <c r="A876" s="2" t="inlineStr">
        <is>
          <t>EJ020924.TXT</t>
        </is>
      </c>
      <c r="B876" s="3" t="inlineStr">
        <is>
          <t>005527</t>
        </is>
      </c>
      <c r="C876" s="3" t="inlineStr">
        <is>
          <t>004436</t>
        </is>
      </c>
      <c r="D876" s="4" t="n">
        <v>45517</v>
      </c>
      <c r="E876" s="2" t="inlineStr">
        <is>
          <t>14:35</t>
        </is>
      </c>
      <c r="F876" s="5" t="n">
        <v>822.5</v>
      </c>
      <c r="G876" s="5" t="n"/>
      <c r="H876" s="5" t="n"/>
      <c r="I876" s="5" t="n"/>
      <c r="J876" s="5" t="n">
        <v>164.5</v>
      </c>
      <c r="K876" s="5" t="n"/>
      <c r="L876" s="5" t="n"/>
      <c r="M876" s="5" t="n"/>
      <c r="N876" s="5" t="n"/>
      <c r="O876" s="5" t="n">
        <v>987</v>
      </c>
      <c r="P876" s="5" t="n"/>
      <c r="Q876" s="5" t="n">
        <v>987</v>
      </c>
      <c r="R876" s="5" t="n"/>
    </row>
    <row r="877">
      <c r="A877" s="2" t="inlineStr">
        <is>
          <t>EJ020924.TXT</t>
        </is>
      </c>
      <c r="B877" s="3" t="inlineStr">
        <is>
          <t>005528</t>
        </is>
      </c>
      <c r="C877" s="3" t="inlineStr">
        <is>
          <t>004437</t>
        </is>
      </c>
      <c r="D877" s="4" t="n">
        <v>45517</v>
      </c>
      <c r="E877" s="2" t="inlineStr">
        <is>
          <t>14:35</t>
        </is>
      </c>
      <c r="F877" s="5" t="n">
        <v>822.5</v>
      </c>
      <c r="G877" s="5" t="n"/>
      <c r="H877" s="5" t="n"/>
      <c r="I877" s="5" t="n"/>
      <c r="J877" s="5" t="n">
        <v>164.5</v>
      </c>
      <c r="K877" s="5" t="n"/>
      <c r="L877" s="5" t="n"/>
      <c r="M877" s="5" t="n"/>
      <c r="N877" s="5" t="n"/>
      <c r="O877" s="5" t="n">
        <v>987</v>
      </c>
      <c r="P877" s="5" t="n"/>
      <c r="Q877" s="5" t="n">
        <v>987</v>
      </c>
      <c r="R877" s="5" t="n"/>
    </row>
    <row r="878">
      <c r="A878" s="2" t="inlineStr">
        <is>
          <t>EJ020924.TXT</t>
        </is>
      </c>
      <c r="B878" s="3" t="inlineStr">
        <is>
          <t>005529</t>
        </is>
      </c>
      <c r="C878" s="3" t="inlineStr">
        <is>
          <t>004438</t>
        </is>
      </c>
      <c r="D878" s="4" t="n">
        <v>45517</v>
      </c>
      <c r="E878" s="2" t="inlineStr">
        <is>
          <t>14:35</t>
        </is>
      </c>
      <c r="F878" s="5" t="n">
        <v>822.5</v>
      </c>
      <c r="G878" s="5" t="n"/>
      <c r="H878" s="5" t="n"/>
      <c r="I878" s="5" t="n"/>
      <c r="J878" s="5" t="n">
        <v>164.5</v>
      </c>
      <c r="K878" s="5" t="n"/>
      <c r="L878" s="5" t="n"/>
      <c r="M878" s="5" t="n"/>
      <c r="N878" s="5" t="n"/>
      <c r="O878" s="5" t="n">
        <v>987</v>
      </c>
      <c r="P878" s="5" t="n"/>
      <c r="Q878" s="5" t="n">
        <v>987</v>
      </c>
      <c r="R878" s="5" t="n"/>
    </row>
    <row r="879">
      <c r="A879" s="2" t="inlineStr">
        <is>
          <t>EJ020924.TXT</t>
        </is>
      </c>
      <c r="B879" s="3" t="inlineStr">
        <is>
          <t>005530</t>
        </is>
      </c>
      <c r="C879" s="3" t="inlineStr">
        <is>
          <t>004439</t>
        </is>
      </c>
      <c r="D879" s="4" t="n">
        <v>45517</v>
      </c>
      <c r="E879" s="2" t="inlineStr">
        <is>
          <t>14:36</t>
        </is>
      </c>
      <c r="F879" s="5" t="n">
        <v>815</v>
      </c>
      <c r="G879" s="5" t="n"/>
      <c r="H879" s="5" t="n"/>
      <c r="I879" s="5" t="n"/>
      <c r="J879" s="5" t="n">
        <v>163</v>
      </c>
      <c r="K879" s="5" t="n"/>
      <c r="L879" s="5" t="n"/>
      <c r="M879" s="5" t="n"/>
      <c r="N879" s="5" t="n"/>
      <c r="O879" s="5" t="n">
        <v>978</v>
      </c>
      <c r="P879" s="5" t="n"/>
      <c r="Q879" s="5" t="n">
        <v>978</v>
      </c>
      <c r="R879" s="5" t="n"/>
    </row>
    <row r="880">
      <c r="A880" s="2" t="inlineStr">
        <is>
          <t>EJ020924.TXT</t>
        </is>
      </c>
      <c r="B880" s="3" t="inlineStr">
        <is>
          <t>005531</t>
        </is>
      </c>
      <c r="C880" s="3" t="inlineStr">
        <is>
          <t>004440</t>
        </is>
      </c>
      <c r="D880" s="4" t="n">
        <v>45517</v>
      </c>
      <c r="E880" s="2" t="inlineStr">
        <is>
          <t>14:51</t>
        </is>
      </c>
      <c r="F880" s="5" t="n">
        <v>633.33</v>
      </c>
      <c r="G880" s="5" t="n"/>
      <c r="H880" s="5" t="n"/>
      <c r="I880" s="5" t="n"/>
      <c r="J880" s="5" t="n">
        <v>126.67</v>
      </c>
      <c r="K880" s="5" t="n"/>
      <c r="L880" s="5" t="n"/>
      <c r="M880" s="5" t="n"/>
      <c r="N880" s="5" t="n"/>
      <c r="O880" s="5" t="n">
        <v>760</v>
      </c>
      <c r="P880" s="5" t="n"/>
      <c r="Q880" s="5" t="n">
        <v>760</v>
      </c>
      <c r="R880" s="5" t="n"/>
    </row>
    <row r="881">
      <c r="A881" s="2" t="inlineStr">
        <is>
          <t>EJ020924.TXT</t>
        </is>
      </c>
      <c r="B881" s="3" t="inlineStr">
        <is>
          <t>005532</t>
        </is>
      </c>
      <c r="C881" s="3" t="inlineStr">
        <is>
          <t>004441</t>
        </is>
      </c>
      <c r="D881" s="4" t="n">
        <v>45517</v>
      </c>
      <c r="E881" s="2" t="inlineStr">
        <is>
          <t>15:33</t>
        </is>
      </c>
      <c r="F881" s="5" t="n">
        <v>208.33</v>
      </c>
      <c r="G881" s="5" t="n"/>
      <c r="H881" s="5" t="n"/>
      <c r="I881" s="5" t="n"/>
      <c r="J881" s="5" t="n">
        <v>41.67</v>
      </c>
      <c r="K881" s="5" t="n"/>
      <c r="L881" s="5" t="n"/>
      <c r="M881" s="5" t="n"/>
      <c r="N881" s="5" t="n"/>
      <c r="O881" s="5" t="n">
        <v>250</v>
      </c>
      <c r="P881" s="5" t="n"/>
      <c r="Q881" s="5" t="n">
        <v>250</v>
      </c>
      <c r="R881" s="5" t="n"/>
    </row>
    <row r="882">
      <c r="A882" s="2" t="inlineStr">
        <is>
          <t>EJ020924.TXT</t>
        </is>
      </c>
      <c r="B882" s="3" t="inlineStr">
        <is>
          <t>005533</t>
        </is>
      </c>
      <c r="C882" s="3" t="inlineStr">
        <is>
          <t>004442</t>
        </is>
      </c>
      <c r="D882" s="4" t="n">
        <v>45518</v>
      </c>
      <c r="E882" s="2" t="inlineStr">
        <is>
          <t>15:41</t>
        </is>
      </c>
      <c r="F882" s="5" t="n">
        <v>208.33</v>
      </c>
      <c r="G882" s="5" t="n"/>
      <c r="H882" s="5" t="n"/>
      <c r="I882" s="5" t="n"/>
      <c r="J882" s="5" t="n">
        <v>41.67</v>
      </c>
      <c r="K882" s="5" t="n"/>
      <c r="L882" s="5" t="n"/>
      <c r="M882" s="5" t="n"/>
      <c r="N882" s="5" t="n"/>
      <c r="O882" s="5" t="n">
        <v>250</v>
      </c>
      <c r="P882" s="5" t="n"/>
      <c r="Q882" s="5" t="n">
        <v>250</v>
      </c>
      <c r="R882" s="5" t="n"/>
    </row>
    <row r="883">
      <c r="A883" s="2" t="inlineStr">
        <is>
          <t>EJ020924.TXT</t>
        </is>
      </c>
      <c r="B883" s="3" t="inlineStr">
        <is>
          <t>005534</t>
        </is>
      </c>
      <c r="C883" s="3" t="inlineStr">
        <is>
          <t>004443</t>
        </is>
      </c>
      <c r="D883" s="4" t="n">
        <v>45520</v>
      </c>
      <c r="E883" s="2" t="inlineStr">
        <is>
          <t>15:32</t>
        </is>
      </c>
      <c r="F883" s="5" t="n">
        <v>190.83</v>
      </c>
      <c r="G883" s="5" t="n"/>
      <c r="H883" s="5" t="n"/>
      <c r="I883" s="5" t="n"/>
      <c r="J883" s="5" t="n">
        <v>38.17</v>
      </c>
      <c r="K883" s="5" t="n"/>
      <c r="L883" s="5" t="n"/>
      <c r="M883" s="5" t="n"/>
      <c r="N883" s="5" t="n"/>
      <c r="O883" s="5" t="n">
        <v>229</v>
      </c>
      <c r="P883" s="5" t="n"/>
      <c r="Q883" s="5" t="n">
        <v>229</v>
      </c>
      <c r="R883" s="5" t="n"/>
    </row>
    <row r="884">
      <c r="A884" s="2" t="inlineStr">
        <is>
          <t>EJ020924.TXT</t>
        </is>
      </c>
      <c r="B884" s="3" t="inlineStr">
        <is>
          <t>005535</t>
        </is>
      </c>
      <c r="C884" s="3" t="inlineStr">
        <is>
          <t>004444</t>
        </is>
      </c>
      <c r="D884" s="4" t="n">
        <v>45524</v>
      </c>
      <c r="E884" s="2" t="inlineStr">
        <is>
          <t>14:03</t>
        </is>
      </c>
      <c r="F884" s="5" t="n">
        <v>107.5</v>
      </c>
      <c r="G884" s="5" t="n"/>
      <c r="H884" s="5" t="n"/>
      <c r="I884" s="5" t="n"/>
      <c r="J884" s="5" t="n">
        <v>21.5</v>
      </c>
      <c r="K884" s="5" t="n"/>
      <c r="L884" s="5" t="n"/>
      <c r="M884" s="5" t="n"/>
      <c r="N884" s="5" t="n"/>
      <c r="O884" s="5" t="n">
        <v>129</v>
      </c>
      <c r="P884" s="5" t="n">
        <v>129</v>
      </c>
      <c r="Q884" s="5" t="n"/>
      <c r="R884" s="5" t="n"/>
    </row>
    <row r="885">
      <c r="A885" s="2" t="inlineStr">
        <is>
          <t>EJ020924.TXT</t>
        </is>
      </c>
      <c r="B885" s="3" t="inlineStr">
        <is>
          <t>005536</t>
        </is>
      </c>
      <c r="C885" s="3" t="inlineStr">
        <is>
          <t>004445</t>
        </is>
      </c>
      <c r="D885" s="4" t="n">
        <v>45524</v>
      </c>
      <c r="E885" s="2" t="inlineStr">
        <is>
          <t>14:03</t>
        </is>
      </c>
      <c r="F885" s="5" t="n">
        <v>166.67</v>
      </c>
      <c r="G885" s="5" t="n"/>
      <c r="H885" s="5" t="n"/>
      <c r="I885" s="5" t="n"/>
      <c r="J885" s="5" t="n">
        <v>33.33</v>
      </c>
      <c r="K885" s="5" t="n"/>
      <c r="L885" s="5" t="n"/>
      <c r="M885" s="5" t="n"/>
      <c r="N885" s="5" t="n"/>
      <c r="O885" s="5" t="n">
        <v>200</v>
      </c>
      <c r="P885" s="5" t="n"/>
      <c r="Q885" s="5" t="n">
        <v>200</v>
      </c>
      <c r="R885" s="5" t="n"/>
    </row>
    <row r="886">
      <c r="A886" s="2" t="inlineStr">
        <is>
          <t>EJ020924.TXT</t>
        </is>
      </c>
      <c r="B886" s="3" t="inlineStr">
        <is>
          <t>005537</t>
        </is>
      </c>
      <c r="C886" s="3" t="inlineStr">
        <is>
          <t>004446</t>
        </is>
      </c>
      <c r="D886" s="4" t="n">
        <v>45524</v>
      </c>
      <c r="E886" s="2" t="inlineStr">
        <is>
          <t>15:09</t>
        </is>
      </c>
      <c r="F886" s="5" t="n">
        <v>99.83</v>
      </c>
      <c r="G886" s="5" t="n"/>
      <c r="H886" s="5" t="n"/>
      <c r="I886" s="5" t="n"/>
      <c r="J886" s="5" t="n">
        <v>19.97</v>
      </c>
      <c r="K886" s="5" t="n"/>
      <c r="L886" s="5" t="n"/>
      <c r="M886" s="5" t="n"/>
      <c r="N886" s="5" t="n"/>
      <c r="O886" s="5" t="n">
        <v>119.8</v>
      </c>
      <c r="P886" s="5" t="n"/>
      <c r="Q886" s="5" t="n">
        <v>119.8</v>
      </c>
      <c r="R886" s="5" t="n"/>
    </row>
    <row r="887">
      <c r="A887" s="2" t="inlineStr">
        <is>
          <t>EJ020924.TXT</t>
        </is>
      </c>
      <c r="B887" s="3" t="inlineStr">
        <is>
          <t>005538</t>
        </is>
      </c>
      <c r="C887" s="3" t="inlineStr">
        <is>
          <t>004447</t>
        </is>
      </c>
      <c r="D887" s="4" t="n">
        <v>45524</v>
      </c>
      <c r="E887" s="2" t="inlineStr">
        <is>
          <t>15:43</t>
        </is>
      </c>
      <c r="F887" s="5" t="n">
        <v>208.33</v>
      </c>
      <c r="G887" s="5" t="n"/>
      <c r="H887" s="5" t="n"/>
      <c r="I887" s="5" t="n"/>
      <c r="J887" s="5" t="n">
        <v>41.67</v>
      </c>
      <c r="K887" s="5" t="n"/>
      <c r="L887" s="5" t="n"/>
      <c r="M887" s="5" t="n"/>
      <c r="N887" s="5" t="n"/>
      <c r="O887" s="5" t="n">
        <v>250</v>
      </c>
      <c r="P887" s="5" t="n"/>
      <c r="Q887" s="5" t="n">
        <v>250</v>
      </c>
      <c r="R887" s="5" t="n"/>
    </row>
    <row r="888">
      <c r="A888" s="2" t="inlineStr">
        <is>
          <t>EJ020924.TXT</t>
        </is>
      </c>
      <c r="B888" s="3" t="inlineStr">
        <is>
          <t>005539</t>
        </is>
      </c>
      <c r="C888" s="3" t="inlineStr">
        <is>
          <t>004448</t>
        </is>
      </c>
      <c r="D888" s="4" t="n">
        <v>45525</v>
      </c>
      <c r="E888" s="2" t="inlineStr">
        <is>
          <t>14:47</t>
        </is>
      </c>
      <c r="F888" s="5" t="n">
        <v>3610.33</v>
      </c>
      <c r="G888" s="5" t="n"/>
      <c r="H888" s="5" t="n"/>
      <c r="I888" s="5" t="n"/>
      <c r="J888" s="5" t="n">
        <v>722.0700000000001</v>
      </c>
      <c r="K888" s="5" t="n"/>
      <c r="L888" s="5" t="n"/>
      <c r="M888" s="5" t="n"/>
      <c r="N888" s="5" t="n"/>
      <c r="O888" s="5" t="n">
        <v>4332.4</v>
      </c>
      <c r="P888" s="5" t="n">
        <v>4332.4</v>
      </c>
      <c r="Q888" s="5" t="n"/>
      <c r="R888" s="5" t="n"/>
    </row>
    <row r="889">
      <c r="A889" s="2" t="inlineStr">
        <is>
          <t>EJ020924.TXT</t>
        </is>
      </c>
      <c r="B889" s="3" t="inlineStr">
        <is>
          <t>005540</t>
        </is>
      </c>
      <c r="C889" s="3" t="inlineStr">
        <is>
          <t>004449</t>
        </is>
      </c>
      <c r="D889" s="4" t="n">
        <v>45527</v>
      </c>
      <c r="E889" s="2" t="inlineStr">
        <is>
          <t>15:29</t>
        </is>
      </c>
      <c r="F889" s="5" t="n">
        <v>531.67</v>
      </c>
      <c r="G889" s="5" t="n"/>
      <c r="H889" s="5" t="n"/>
      <c r="I889" s="5" t="n"/>
      <c r="J889" s="5" t="n">
        <v>106.33</v>
      </c>
      <c r="K889" s="5" t="n"/>
      <c r="L889" s="5" t="n"/>
      <c r="M889" s="5" t="n"/>
      <c r="N889" s="5" t="n"/>
      <c r="O889" s="5" t="n">
        <v>638</v>
      </c>
      <c r="P889" s="5" t="n"/>
      <c r="Q889" s="5" t="n">
        <v>638</v>
      </c>
      <c r="R889" s="5" t="n"/>
    </row>
    <row r="890">
      <c r="A890" s="2" t="inlineStr">
        <is>
          <t>EJ020924.TXT</t>
        </is>
      </c>
      <c r="B890" s="3" t="inlineStr">
        <is>
          <t>005541</t>
        </is>
      </c>
      <c r="C890" s="3" t="inlineStr">
        <is>
          <t>004450</t>
        </is>
      </c>
      <c r="D890" s="4" t="n">
        <v>45528</v>
      </c>
      <c r="E890" s="2" t="inlineStr">
        <is>
          <t>16:10</t>
        </is>
      </c>
      <c r="F890" s="5" t="n">
        <v>531.67</v>
      </c>
      <c r="G890" s="5" t="n"/>
      <c r="H890" s="5" t="n"/>
      <c r="I890" s="5" t="n"/>
      <c r="J890" s="5" t="n">
        <v>106.33</v>
      </c>
      <c r="K890" s="5" t="n"/>
      <c r="L890" s="5" t="n"/>
      <c r="M890" s="5" t="n"/>
      <c r="N890" s="5" t="n"/>
      <c r="O890" s="5" t="n">
        <v>638</v>
      </c>
      <c r="P890" s="5" t="n"/>
      <c r="Q890" s="5" t="n">
        <v>638</v>
      </c>
      <c r="R890" s="5" t="n"/>
    </row>
    <row r="891">
      <c r="A891" s="2" t="inlineStr">
        <is>
          <t>EJ020924.TXT</t>
        </is>
      </c>
      <c r="B891" s="3" t="inlineStr">
        <is>
          <t>005542</t>
        </is>
      </c>
      <c r="C891" s="3" t="inlineStr">
        <is>
          <t>004451</t>
        </is>
      </c>
      <c r="D891" s="4" t="n">
        <v>45530</v>
      </c>
      <c r="E891" s="2" t="inlineStr">
        <is>
          <t>15:02</t>
        </is>
      </c>
      <c r="F891" s="5" t="n">
        <v>208.33</v>
      </c>
      <c r="G891" s="5" t="n"/>
      <c r="H891" s="5" t="n"/>
      <c r="I891" s="5" t="n"/>
      <c r="J891" s="5" t="n">
        <v>41.67</v>
      </c>
      <c r="K891" s="5" t="n"/>
      <c r="L891" s="5" t="n"/>
      <c r="M891" s="5" t="n"/>
      <c r="N891" s="5" t="n"/>
      <c r="O891" s="5" t="n">
        <v>250</v>
      </c>
      <c r="P891" s="5" t="n"/>
      <c r="Q891" s="5" t="n">
        <v>250</v>
      </c>
      <c r="R891" s="5" t="n"/>
    </row>
    <row r="892">
      <c r="A892" s="2" t="inlineStr">
        <is>
          <t>EJ020924.TXT</t>
        </is>
      </c>
      <c r="B892" s="3" t="inlineStr">
        <is>
          <t>005543</t>
        </is>
      </c>
      <c r="C892" s="3" t="inlineStr">
        <is>
          <t>004452</t>
        </is>
      </c>
      <c r="D892" s="4" t="n">
        <v>45530</v>
      </c>
      <c r="E892" s="2" t="inlineStr">
        <is>
          <t>15:13</t>
        </is>
      </c>
      <c r="F892" s="5" t="n">
        <v>274.17</v>
      </c>
      <c r="G892" s="5" t="n"/>
      <c r="H892" s="5" t="n"/>
      <c r="I892" s="5" t="n"/>
      <c r="J892" s="5" t="n">
        <v>54.83</v>
      </c>
      <c r="K892" s="5" t="n"/>
      <c r="L892" s="5" t="n"/>
      <c r="M892" s="5" t="n"/>
      <c r="N892" s="5" t="n"/>
      <c r="O892" s="5" t="n">
        <v>329</v>
      </c>
      <c r="P892" s="5" t="n">
        <v>329</v>
      </c>
      <c r="Q892" s="5" t="n"/>
      <c r="R892" s="5" t="n"/>
    </row>
    <row r="893">
      <c r="A893" s="2" t="inlineStr">
        <is>
          <t>EJ020924.TXT</t>
        </is>
      </c>
      <c r="B893" s="3" t="inlineStr">
        <is>
          <t>005544</t>
        </is>
      </c>
      <c r="C893" s="3" t="inlineStr">
        <is>
          <t>004453</t>
        </is>
      </c>
      <c r="D893" s="4" t="n">
        <v>45531</v>
      </c>
      <c r="E893" s="2" t="inlineStr">
        <is>
          <t>09:24</t>
        </is>
      </c>
      <c r="F893" s="5" t="n">
        <v>548.33</v>
      </c>
      <c r="G893" s="5" t="n"/>
      <c r="H893" s="5" t="n"/>
      <c r="I893" s="5" t="n"/>
      <c r="J893" s="5" t="n">
        <v>109.67</v>
      </c>
      <c r="K893" s="5" t="n"/>
      <c r="L893" s="5" t="n"/>
      <c r="M893" s="5" t="n"/>
      <c r="N893" s="5" t="n"/>
      <c r="O893" s="5" t="n">
        <v>658</v>
      </c>
      <c r="P893" s="5" t="n">
        <v>658</v>
      </c>
      <c r="Q893" s="5" t="n"/>
      <c r="R893" s="5" t="n"/>
    </row>
    <row r="894">
      <c r="A894" s="2" t="inlineStr">
        <is>
          <t>EJ020924.TXT</t>
        </is>
      </c>
      <c r="B894" s="3" t="inlineStr">
        <is>
          <t>005545</t>
        </is>
      </c>
      <c r="C894" s="3" t="inlineStr">
        <is>
          <t>004454</t>
        </is>
      </c>
      <c r="D894" s="4" t="n">
        <v>45533</v>
      </c>
      <c r="E894" s="2" t="inlineStr">
        <is>
          <t>09:36</t>
        </is>
      </c>
      <c r="F894" s="5" t="n">
        <v>3240</v>
      </c>
      <c r="G894" s="5" t="n"/>
      <c r="H894" s="5" t="n"/>
      <c r="I894" s="5" t="n"/>
      <c r="J894" s="5" t="n">
        <v>648</v>
      </c>
      <c r="K894" s="5" t="n"/>
      <c r="L894" s="5" t="n"/>
      <c r="M894" s="5" t="n"/>
      <c r="N894" s="5" t="n"/>
      <c r="O894" s="5" t="n">
        <v>3888</v>
      </c>
      <c r="P894" s="5" t="n">
        <v>3888</v>
      </c>
      <c r="Q894" s="5" t="n"/>
      <c r="R894" s="5" t="n"/>
    </row>
    <row r="895">
      <c r="A895" s="2" t="inlineStr">
        <is>
          <t>EJ020924.TXT</t>
        </is>
      </c>
      <c r="B895" s="3" t="inlineStr">
        <is>
          <t>005546</t>
        </is>
      </c>
      <c r="C895" s="3" t="inlineStr">
        <is>
          <t>004455</t>
        </is>
      </c>
      <c r="D895" s="4" t="n">
        <v>45533</v>
      </c>
      <c r="E895" s="2" t="inlineStr">
        <is>
          <t>14:49</t>
        </is>
      </c>
      <c r="F895" s="5" t="n">
        <v>946.67</v>
      </c>
      <c r="G895" s="5" t="n"/>
      <c r="H895" s="5" t="n"/>
      <c r="I895" s="5" t="n"/>
      <c r="J895" s="5" t="n">
        <v>189.33</v>
      </c>
      <c r="K895" s="5" t="n"/>
      <c r="L895" s="5" t="n"/>
      <c r="M895" s="5" t="n"/>
      <c r="N895" s="5" t="n"/>
      <c r="O895" s="5" t="n">
        <v>1136</v>
      </c>
      <c r="P895" s="5" t="n">
        <v>1136</v>
      </c>
      <c r="Q895" s="5" t="n"/>
      <c r="R895" s="5" t="n"/>
    </row>
    <row r="896">
      <c r="A896" s="2" t="inlineStr">
        <is>
          <t>EJ020924.TXT</t>
        </is>
      </c>
      <c r="B896" s="3" t="inlineStr">
        <is>
          <t>005547</t>
        </is>
      </c>
      <c r="C896" s="3" t="inlineStr">
        <is>
          <t>004456</t>
        </is>
      </c>
      <c r="D896" s="4" t="n">
        <v>45534</v>
      </c>
      <c r="E896" s="2" t="inlineStr">
        <is>
          <t>16:30</t>
        </is>
      </c>
      <c r="F896" s="5" t="n">
        <v>208.33</v>
      </c>
      <c r="G896" s="5" t="n"/>
      <c r="H896" s="5" t="n"/>
      <c r="I896" s="5" t="n"/>
      <c r="J896" s="5" t="n">
        <v>41.67</v>
      </c>
      <c r="K896" s="5" t="n"/>
      <c r="L896" s="5" t="n"/>
      <c r="M896" s="5" t="n"/>
      <c r="N896" s="5" t="n"/>
      <c r="O896" s="5" t="n">
        <v>250</v>
      </c>
      <c r="P896" s="5" t="n"/>
      <c r="Q896" s="5" t="n">
        <v>250</v>
      </c>
      <c r="R896" s="5" t="n"/>
    </row>
    <row r="897">
      <c r="A897" s="2" t="inlineStr">
        <is>
          <t>EJ011024.TXT</t>
        </is>
      </c>
      <c r="B897" s="3" t="inlineStr">
        <is>
          <t>005555</t>
        </is>
      </c>
      <c r="C897" s="3" t="inlineStr">
        <is>
          <t>004457</t>
        </is>
      </c>
      <c r="D897" s="4" t="n">
        <v>45537</v>
      </c>
      <c r="E897" s="2" t="inlineStr">
        <is>
          <t>15:08</t>
        </is>
      </c>
      <c r="F897" s="5" t="n">
        <v>208.33</v>
      </c>
      <c r="G897" s="5" t="n"/>
      <c r="H897" s="5" t="n"/>
      <c r="I897" s="5" t="n"/>
      <c r="J897" s="5" t="n">
        <v>41.67</v>
      </c>
      <c r="K897" s="5" t="n"/>
      <c r="L897" s="5" t="n"/>
      <c r="M897" s="5" t="n"/>
      <c r="N897" s="5" t="n"/>
      <c r="O897" s="5" t="n">
        <v>250</v>
      </c>
      <c r="P897" s="5" t="n"/>
      <c r="Q897" s="5" t="n">
        <v>250</v>
      </c>
      <c r="R897" s="5" t="n"/>
    </row>
    <row r="898">
      <c r="A898" s="2" t="inlineStr">
        <is>
          <t>EJ011024.TXT</t>
        </is>
      </c>
      <c r="B898" s="3" t="inlineStr">
        <is>
          <t>005556</t>
        </is>
      </c>
      <c r="C898" s="3" t="inlineStr">
        <is>
          <t>004458</t>
        </is>
      </c>
      <c r="D898" s="4" t="n">
        <v>45539</v>
      </c>
      <c r="E898" s="2" t="inlineStr">
        <is>
          <t>16:54</t>
        </is>
      </c>
      <c r="F898" s="5" t="n">
        <v>548.33</v>
      </c>
      <c r="G898" s="5" t="n"/>
      <c r="H898" s="5" t="n"/>
      <c r="I898" s="5" t="n"/>
      <c r="J898" s="5" t="n">
        <v>109.67</v>
      </c>
      <c r="K898" s="5" t="n"/>
      <c r="L898" s="5" t="n"/>
      <c r="M898" s="5" t="n"/>
      <c r="N898" s="5" t="n"/>
      <c r="O898" s="5" t="n">
        <v>658</v>
      </c>
      <c r="P898" s="5" t="n"/>
      <c r="Q898" s="5" t="n">
        <v>658</v>
      </c>
      <c r="R898" s="5" t="n"/>
    </row>
    <row r="899">
      <c r="A899" s="2" t="inlineStr">
        <is>
          <t>EJ011024.TXT</t>
        </is>
      </c>
      <c r="B899" s="3" t="inlineStr">
        <is>
          <t>005557</t>
        </is>
      </c>
      <c r="C899" s="3" t="inlineStr">
        <is>
          <t>004459</t>
        </is>
      </c>
      <c r="D899" s="4" t="n">
        <v>45541</v>
      </c>
      <c r="E899" s="2" t="inlineStr">
        <is>
          <t>15:42</t>
        </is>
      </c>
      <c r="F899" s="5" t="n">
        <v>208.33</v>
      </c>
      <c r="G899" s="5" t="n"/>
      <c r="H899" s="5" t="n"/>
      <c r="I899" s="5" t="n"/>
      <c r="J899" s="5" t="n">
        <v>41.67</v>
      </c>
      <c r="K899" s="5" t="n"/>
      <c r="L899" s="5" t="n"/>
      <c r="M899" s="5" t="n"/>
      <c r="N899" s="5" t="n"/>
      <c r="O899" s="5" t="n">
        <v>250</v>
      </c>
      <c r="P899" s="5" t="n"/>
      <c r="Q899" s="5" t="n">
        <v>250</v>
      </c>
      <c r="R899" s="5" t="n"/>
    </row>
    <row r="900">
      <c r="A900" s="2" t="inlineStr">
        <is>
          <t>EJ011024.TXT</t>
        </is>
      </c>
      <c r="B900" s="3" t="inlineStr">
        <is>
          <t>005558</t>
        </is>
      </c>
      <c r="C900" s="3" t="inlineStr">
        <is>
          <t>004460</t>
        </is>
      </c>
      <c r="D900" s="4" t="n">
        <v>45544</v>
      </c>
      <c r="E900" s="2" t="inlineStr">
        <is>
          <t>10:27</t>
        </is>
      </c>
      <c r="F900" s="5" t="n">
        <v>500</v>
      </c>
      <c r="G900" s="5" t="n"/>
      <c r="H900" s="5" t="n"/>
      <c r="I900" s="5" t="n"/>
      <c r="J900" s="5" t="n">
        <v>100</v>
      </c>
      <c r="K900" s="5" t="n"/>
      <c r="L900" s="5" t="n"/>
      <c r="M900" s="5" t="n"/>
      <c r="N900" s="5" t="n"/>
      <c r="O900" s="5" t="n">
        <v>600</v>
      </c>
      <c r="P900" s="5" t="n"/>
      <c r="Q900" s="5" t="n">
        <v>600</v>
      </c>
      <c r="R900" s="5" t="n"/>
    </row>
    <row r="901">
      <c r="A901" s="2" t="inlineStr">
        <is>
          <t>EJ011024.TXT</t>
        </is>
      </c>
      <c r="B901" s="3" t="inlineStr">
        <is>
          <t>005559</t>
        </is>
      </c>
      <c r="C901" s="3" t="inlineStr">
        <is>
          <t>004461</t>
        </is>
      </c>
      <c r="D901" s="4" t="n">
        <v>45544</v>
      </c>
      <c r="E901" s="2" t="inlineStr">
        <is>
          <t>10:27</t>
        </is>
      </c>
      <c r="F901" s="5" t="n">
        <v>48.33</v>
      </c>
      <c r="G901" s="5" t="n"/>
      <c r="H901" s="5" t="n"/>
      <c r="I901" s="5" t="n"/>
      <c r="J901" s="5" t="n">
        <v>9.67</v>
      </c>
      <c r="K901" s="5" t="n"/>
      <c r="L901" s="5" t="n"/>
      <c r="M901" s="5" t="n"/>
      <c r="N901" s="5" t="n"/>
      <c r="O901" s="5" t="n">
        <v>58</v>
      </c>
      <c r="P901" s="5" t="n">
        <v>58</v>
      </c>
      <c r="Q901" s="5" t="n"/>
      <c r="R901" s="5" t="n"/>
    </row>
    <row r="902">
      <c r="A902" s="2" t="inlineStr">
        <is>
          <t>EJ011024.TXT</t>
        </is>
      </c>
      <c r="B902" s="3" t="inlineStr">
        <is>
          <t>005560</t>
        </is>
      </c>
      <c r="C902" s="3" t="inlineStr">
        <is>
          <t>004462</t>
        </is>
      </c>
      <c r="D902" s="4" t="n">
        <v>45545</v>
      </c>
      <c r="E902" s="2" t="inlineStr">
        <is>
          <t>17:05</t>
        </is>
      </c>
      <c r="F902" s="5" t="n">
        <v>465.83</v>
      </c>
      <c r="G902" s="5" t="n"/>
      <c r="H902" s="5" t="n"/>
      <c r="I902" s="5" t="n"/>
      <c r="J902" s="5" t="n">
        <v>93.17</v>
      </c>
      <c r="K902" s="5" t="n"/>
      <c r="L902" s="5" t="n"/>
      <c r="M902" s="5" t="n"/>
      <c r="N902" s="5" t="n"/>
      <c r="O902" s="5" t="n">
        <v>559</v>
      </c>
      <c r="P902" s="5" t="n"/>
      <c r="Q902" s="5" t="n">
        <v>559</v>
      </c>
      <c r="R902" s="5" t="n"/>
    </row>
    <row r="903">
      <c r="A903" s="2" t="inlineStr">
        <is>
          <t>EJ011024.TXT</t>
        </is>
      </c>
      <c r="B903" s="3" t="inlineStr">
        <is>
          <t>005561</t>
        </is>
      </c>
      <c r="C903" s="3" t="inlineStr">
        <is>
          <t>004463</t>
        </is>
      </c>
      <c r="D903" s="4" t="n">
        <v>45546</v>
      </c>
      <c r="E903" s="2" t="inlineStr">
        <is>
          <t>10:22</t>
        </is>
      </c>
      <c r="F903" s="5" t="n">
        <v>733.33</v>
      </c>
      <c r="G903" s="5" t="n"/>
      <c r="H903" s="5" t="n"/>
      <c r="I903" s="5" t="n"/>
      <c r="J903" s="5" t="n">
        <v>146.67</v>
      </c>
      <c r="K903" s="5" t="n"/>
      <c r="L903" s="5" t="n"/>
      <c r="M903" s="5" t="n"/>
      <c r="N903" s="5" t="n"/>
      <c r="O903" s="5" t="n">
        <v>880</v>
      </c>
      <c r="P903" s="5" t="n"/>
      <c r="Q903" s="5" t="n">
        <v>880</v>
      </c>
      <c r="R903" s="5" t="n"/>
    </row>
    <row r="904">
      <c r="A904" s="2" t="inlineStr">
        <is>
          <t>EJ011024.TXT</t>
        </is>
      </c>
      <c r="B904" s="3" t="inlineStr">
        <is>
          <t>005562</t>
        </is>
      </c>
      <c r="C904" s="3" t="inlineStr">
        <is>
          <t>004464</t>
        </is>
      </c>
      <c r="D904" s="4" t="n">
        <v>45546</v>
      </c>
      <c r="E904" s="2" t="inlineStr">
        <is>
          <t>11:48</t>
        </is>
      </c>
      <c r="F904" s="5" t="n">
        <v>274.17</v>
      </c>
      <c r="G904" s="5" t="n"/>
      <c r="H904" s="5" t="n"/>
      <c r="I904" s="5" t="n"/>
      <c r="J904" s="5" t="n">
        <v>54.83</v>
      </c>
      <c r="K904" s="5" t="n"/>
      <c r="L904" s="5" t="n"/>
      <c r="M904" s="5" t="n"/>
      <c r="N904" s="5" t="n"/>
      <c r="O904" s="5" t="n">
        <v>329</v>
      </c>
      <c r="P904" s="5" t="n"/>
      <c r="Q904" s="5" t="n">
        <v>329</v>
      </c>
      <c r="R904" s="5" t="n"/>
    </row>
    <row r="905">
      <c r="A905" s="2" t="inlineStr">
        <is>
          <t>EJ011024.TXT</t>
        </is>
      </c>
      <c r="B905" s="3" t="inlineStr">
        <is>
          <t>005563</t>
        </is>
      </c>
      <c r="C905" s="3" t="inlineStr">
        <is>
          <t>004465</t>
        </is>
      </c>
      <c r="D905" s="4" t="n">
        <v>45546</v>
      </c>
      <c r="E905" s="2" t="inlineStr">
        <is>
          <t>11:50</t>
        </is>
      </c>
      <c r="F905" s="5" t="n">
        <v>208.33</v>
      </c>
      <c r="G905" s="5" t="n"/>
      <c r="H905" s="5" t="n"/>
      <c r="I905" s="5" t="n"/>
      <c r="J905" s="5" t="n">
        <v>41.67</v>
      </c>
      <c r="K905" s="5" t="n"/>
      <c r="L905" s="5" t="n"/>
      <c r="M905" s="5" t="n"/>
      <c r="N905" s="5" t="n"/>
      <c r="O905" s="5" t="n">
        <v>250</v>
      </c>
      <c r="P905" s="5" t="n"/>
      <c r="Q905" s="5" t="n">
        <v>250</v>
      </c>
      <c r="R905" s="5" t="n"/>
    </row>
    <row r="906">
      <c r="A906" s="2" t="inlineStr">
        <is>
          <t>EJ011024.TXT</t>
        </is>
      </c>
      <c r="B906" s="3" t="inlineStr">
        <is>
          <t>005564</t>
        </is>
      </c>
      <c r="C906" s="3" t="inlineStr">
        <is>
          <t>004466</t>
        </is>
      </c>
      <c r="D906" s="4" t="n">
        <v>45546</v>
      </c>
      <c r="E906" s="2" t="inlineStr">
        <is>
          <t>11:53</t>
        </is>
      </c>
      <c r="F906" s="5" t="n">
        <v>208.33</v>
      </c>
      <c r="G906" s="5" t="n"/>
      <c r="H906" s="5" t="n"/>
      <c r="I906" s="5" t="n"/>
      <c r="J906" s="5" t="n">
        <v>41.67</v>
      </c>
      <c r="K906" s="5" t="n"/>
      <c r="L906" s="5" t="n"/>
      <c r="M906" s="5" t="n"/>
      <c r="N906" s="5" t="n"/>
      <c r="O906" s="5" t="n">
        <v>250</v>
      </c>
      <c r="P906" s="5" t="n"/>
      <c r="Q906" s="5" t="n">
        <v>250</v>
      </c>
      <c r="R906" s="5" t="n"/>
    </row>
    <row r="907">
      <c r="A907" s="2" t="inlineStr">
        <is>
          <t>EJ011024.TXT</t>
        </is>
      </c>
      <c r="B907" s="3" t="inlineStr">
        <is>
          <t>005565</t>
        </is>
      </c>
      <c r="C907" s="3" t="inlineStr">
        <is>
          <t>004467</t>
        </is>
      </c>
      <c r="D907" s="4" t="n">
        <v>45546</v>
      </c>
      <c r="E907" s="2" t="inlineStr">
        <is>
          <t>12:00</t>
        </is>
      </c>
      <c r="F907" s="5" t="n">
        <v>208.33</v>
      </c>
      <c r="G907" s="5" t="n"/>
      <c r="H907" s="5" t="n"/>
      <c r="I907" s="5" t="n"/>
      <c r="J907" s="5" t="n">
        <v>41.67</v>
      </c>
      <c r="K907" s="5" t="n"/>
      <c r="L907" s="5" t="n"/>
      <c r="M907" s="5" t="n"/>
      <c r="N907" s="5" t="n"/>
      <c r="O907" s="5" t="n">
        <v>250</v>
      </c>
      <c r="P907" s="5" t="n"/>
      <c r="Q907" s="5" t="n">
        <v>250</v>
      </c>
      <c r="R907" s="5" t="n"/>
    </row>
    <row r="908">
      <c r="A908" s="2" t="inlineStr">
        <is>
          <t>EJ011024.TXT</t>
        </is>
      </c>
      <c r="B908" s="3" t="inlineStr">
        <is>
          <t>005566</t>
        </is>
      </c>
      <c r="C908" s="3" t="inlineStr">
        <is>
          <t>004468</t>
        </is>
      </c>
      <c r="D908" s="4" t="n">
        <v>45547</v>
      </c>
      <c r="E908" s="2" t="inlineStr">
        <is>
          <t>14:50</t>
        </is>
      </c>
      <c r="F908" s="5" t="n">
        <v>832.5</v>
      </c>
      <c r="G908" s="5" t="n"/>
      <c r="H908" s="5" t="n"/>
      <c r="I908" s="5" t="n"/>
      <c r="J908" s="5" t="n">
        <v>166.5</v>
      </c>
      <c r="K908" s="5" t="n"/>
      <c r="L908" s="5" t="n"/>
      <c r="M908" s="5" t="n"/>
      <c r="N908" s="5" t="n"/>
      <c r="O908" s="5" t="n">
        <v>999</v>
      </c>
      <c r="P908" s="5" t="n"/>
      <c r="Q908" s="5" t="n">
        <v>999</v>
      </c>
      <c r="R908" s="5" t="n"/>
    </row>
    <row r="909">
      <c r="A909" s="2" t="inlineStr">
        <is>
          <t>EJ011024.TXT</t>
        </is>
      </c>
      <c r="B909" s="3" t="inlineStr">
        <is>
          <t>005567</t>
        </is>
      </c>
      <c r="C909" s="3" t="inlineStr">
        <is>
          <t>004469</t>
        </is>
      </c>
      <c r="D909" s="4" t="n">
        <v>45547</v>
      </c>
      <c r="E909" s="2" t="inlineStr">
        <is>
          <t>14:54</t>
        </is>
      </c>
      <c r="F909" s="5" t="n">
        <v>40.75</v>
      </c>
      <c r="G909" s="5" t="n"/>
      <c r="H909" s="5" t="n"/>
      <c r="I909" s="5" t="n"/>
      <c r="J909" s="5" t="n">
        <v>8.15</v>
      </c>
      <c r="K909" s="5" t="n"/>
      <c r="L909" s="5" t="n"/>
      <c r="M909" s="5" t="n"/>
      <c r="N909" s="5" t="n"/>
      <c r="O909" s="5" t="n">
        <v>48.9</v>
      </c>
      <c r="P909" s="5" t="n"/>
      <c r="Q909" s="5" t="n">
        <v>48.9</v>
      </c>
      <c r="R909" s="5" t="n"/>
    </row>
    <row r="910">
      <c r="A910" s="2" t="inlineStr">
        <is>
          <t>EJ011024.TXT</t>
        </is>
      </c>
      <c r="B910" s="3" t="inlineStr">
        <is>
          <t>005568</t>
        </is>
      </c>
      <c r="C910" s="3" t="inlineStr">
        <is>
          <t>004470</t>
        </is>
      </c>
      <c r="D910" s="4" t="n">
        <v>45547</v>
      </c>
      <c r="E910" s="2" t="inlineStr">
        <is>
          <t>15:03</t>
        </is>
      </c>
      <c r="F910" s="5" t="n">
        <v>733.33</v>
      </c>
      <c r="G910" s="5" t="n"/>
      <c r="H910" s="5" t="n"/>
      <c r="I910" s="5" t="n"/>
      <c r="J910" s="5" t="n">
        <v>146.67</v>
      </c>
      <c r="K910" s="5" t="n"/>
      <c r="L910" s="5" t="n"/>
      <c r="M910" s="5" t="n"/>
      <c r="N910" s="5" t="n"/>
      <c r="O910" s="5" t="n">
        <v>880</v>
      </c>
      <c r="P910" s="5" t="n"/>
      <c r="Q910" s="5" t="n">
        <v>880</v>
      </c>
      <c r="R910" s="5" t="n"/>
    </row>
    <row r="911">
      <c r="A911" s="2" t="inlineStr">
        <is>
          <t>EJ011024.TXT</t>
        </is>
      </c>
      <c r="B911" s="3" t="inlineStr">
        <is>
          <t>005569</t>
        </is>
      </c>
      <c r="C911" s="3" t="inlineStr">
        <is>
          <t>004471</t>
        </is>
      </c>
      <c r="D911" s="4" t="n">
        <v>45548</v>
      </c>
      <c r="E911" s="2" t="inlineStr">
        <is>
          <t>14:59</t>
        </is>
      </c>
      <c r="F911" s="5" t="n">
        <v>274.17</v>
      </c>
      <c r="G911" s="5" t="n"/>
      <c r="H911" s="5" t="n"/>
      <c r="I911" s="5" t="n"/>
      <c r="J911" s="5" t="n">
        <v>54.83</v>
      </c>
      <c r="K911" s="5" t="n"/>
      <c r="L911" s="5" t="n"/>
      <c r="M911" s="5" t="n"/>
      <c r="N911" s="5" t="n"/>
      <c r="O911" s="5" t="n">
        <v>329</v>
      </c>
      <c r="P911" s="5" t="n"/>
      <c r="Q911" s="5" t="n">
        <v>329</v>
      </c>
      <c r="R911" s="5" t="n"/>
    </row>
    <row r="912">
      <c r="A912" s="2" t="inlineStr">
        <is>
          <t>EJ011024.TXT</t>
        </is>
      </c>
      <c r="B912" s="3" t="inlineStr">
        <is>
          <t>005570</t>
        </is>
      </c>
      <c r="C912" s="3" t="inlineStr">
        <is>
          <t>004472</t>
        </is>
      </c>
      <c r="D912" s="4" t="n">
        <v>45552</v>
      </c>
      <c r="E912" s="2" t="inlineStr">
        <is>
          <t>10:29</t>
        </is>
      </c>
      <c r="F912" s="5" t="n">
        <v>548.33</v>
      </c>
      <c r="G912" s="5" t="n"/>
      <c r="H912" s="5" t="n"/>
      <c r="I912" s="5" t="n"/>
      <c r="J912" s="5" t="n">
        <v>109.67</v>
      </c>
      <c r="K912" s="5" t="n"/>
      <c r="L912" s="5" t="n"/>
      <c r="M912" s="5" t="n"/>
      <c r="N912" s="5" t="n"/>
      <c r="O912" s="5" t="n">
        <v>658</v>
      </c>
      <c r="P912" s="5" t="n">
        <v>658</v>
      </c>
      <c r="Q912" s="5" t="n"/>
      <c r="R912" s="5" t="n"/>
    </row>
    <row r="913">
      <c r="A913" s="2" t="inlineStr">
        <is>
          <t>EJ011024.TXT</t>
        </is>
      </c>
      <c r="B913" s="3" t="inlineStr">
        <is>
          <t>005571</t>
        </is>
      </c>
      <c r="C913" s="3" t="inlineStr">
        <is>
          <t>004473</t>
        </is>
      </c>
      <c r="D913" s="4" t="n">
        <v>45552</v>
      </c>
      <c r="E913" s="2" t="inlineStr">
        <is>
          <t>14:34</t>
        </is>
      </c>
      <c r="F913" s="5" t="n">
        <v>313.33</v>
      </c>
      <c r="G913" s="5" t="n"/>
      <c r="H913" s="5" t="n"/>
      <c r="I913" s="5" t="n"/>
      <c r="J913" s="5" t="n">
        <v>62.67</v>
      </c>
      <c r="K913" s="5" t="n"/>
      <c r="L913" s="5" t="n"/>
      <c r="M913" s="5" t="n"/>
      <c r="N913" s="5" t="n"/>
      <c r="O913" s="5" t="n">
        <v>376</v>
      </c>
      <c r="P913" s="5" t="n"/>
      <c r="Q913" s="5" t="n">
        <v>376</v>
      </c>
      <c r="R913" s="5" t="n"/>
    </row>
    <row r="914">
      <c r="A914" s="2" t="inlineStr">
        <is>
          <t>EJ011024.TXT</t>
        </is>
      </c>
      <c r="B914" s="3" t="inlineStr">
        <is>
          <t>005572</t>
        </is>
      </c>
      <c r="C914" s="3" t="inlineStr">
        <is>
          <t>004474</t>
        </is>
      </c>
      <c r="D914" s="4" t="n">
        <v>45552</v>
      </c>
      <c r="E914" s="2" t="inlineStr">
        <is>
          <t>14:44</t>
        </is>
      </c>
      <c r="F914" s="5" t="n">
        <v>816.67</v>
      </c>
      <c r="G914" s="5" t="n"/>
      <c r="H914" s="5" t="n"/>
      <c r="I914" s="5" t="n"/>
      <c r="J914" s="5" t="n">
        <v>163.33</v>
      </c>
      <c r="K914" s="5" t="n"/>
      <c r="L914" s="5" t="n"/>
      <c r="M914" s="5" t="n"/>
      <c r="N914" s="5" t="n"/>
      <c r="O914" s="5" t="n">
        <v>980</v>
      </c>
      <c r="P914" s="5" t="n"/>
      <c r="Q914" s="5" t="n">
        <v>980</v>
      </c>
      <c r="R914" s="5" t="n"/>
    </row>
    <row r="915">
      <c r="A915" s="2" t="inlineStr">
        <is>
          <t>EJ011024.TXT</t>
        </is>
      </c>
      <c r="B915" s="3" t="inlineStr">
        <is>
          <t>005573</t>
        </is>
      </c>
      <c r="C915" s="3" t="inlineStr">
        <is>
          <t>004475</t>
        </is>
      </c>
      <c r="D915" s="4" t="n">
        <v>45553</v>
      </c>
      <c r="E915" s="2" t="inlineStr">
        <is>
          <t>10:41</t>
        </is>
      </c>
      <c r="F915" s="5" t="n">
        <v>548.33</v>
      </c>
      <c r="G915" s="5" t="n"/>
      <c r="H915" s="5" t="n"/>
      <c r="I915" s="5" t="n"/>
      <c r="J915" s="5" t="n">
        <v>109.67</v>
      </c>
      <c r="K915" s="5" t="n"/>
      <c r="L915" s="5" t="n"/>
      <c r="M915" s="5" t="n"/>
      <c r="N915" s="5" t="n"/>
      <c r="O915" s="5" t="n">
        <v>658</v>
      </c>
      <c r="P915" s="5" t="n"/>
      <c r="Q915" s="5" t="n">
        <v>658</v>
      </c>
      <c r="R915" s="5" t="n"/>
    </row>
    <row r="916">
      <c r="A916" s="2" t="inlineStr">
        <is>
          <t>EJ011024.TXT</t>
        </is>
      </c>
      <c r="B916" s="3" t="inlineStr">
        <is>
          <t>005574</t>
        </is>
      </c>
      <c r="C916" s="3" t="inlineStr">
        <is>
          <t>004476</t>
        </is>
      </c>
      <c r="D916" s="4" t="n">
        <v>45559</v>
      </c>
      <c r="E916" s="2" t="inlineStr">
        <is>
          <t>16:00</t>
        </is>
      </c>
      <c r="F916" s="5" t="n">
        <v>415</v>
      </c>
      <c r="G916" s="5" t="n"/>
      <c r="H916" s="5" t="n"/>
      <c r="I916" s="5" t="n"/>
      <c r="J916" s="5" t="n">
        <v>83</v>
      </c>
      <c r="K916" s="5" t="n"/>
      <c r="L916" s="5" t="n"/>
      <c r="M916" s="5" t="n"/>
      <c r="N916" s="5" t="n"/>
      <c r="O916" s="5" t="n">
        <v>498</v>
      </c>
      <c r="P916" s="5" t="n">
        <v>498</v>
      </c>
      <c r="Q916" s="5" t="n"/>
      <c r="R916" s="5" t="n"/>
    </row>
    <row r="917">
      <c r="A917" s="2" t="inlineStr">
        <is>
          <t>EJ011024.TXT</t>
        </is>
      </c>
      <c r="B917" s="3" t="inlineStr">
        <is>
          <t>005575</t>
        </is>
      </c>
      <c r="C917" s="3" t="inlineStr">
        <is>
          <t>004477</t>
        </is>
      </c>
      <c r="D917" s="4" t="n">
        <v>45559</v>
      </c>
      <c r="E917" s="2" t="inlineStr">
        <is>
          <t>16:08</t>
        </is>
      </c>
      <c r="F917" s="5" t="n">
        <v>816.67</v>
      </c>
      <c r="G917" s="5" t="n"/>
      <c r="H917" s="5" t="n"/>
      <c r="I917" s="5" t="n"/>
      <c r="J917" s="5" t="n">
        <v>163.33</v>
      </c>
      <c r="K917" s="5" t="n"/>
      <c r="L917" s="5" t="n"/>
      <c r="M917" s="5" t="n"/>
      <c r="N917" s="5" t="n"/>
      <c r="O917" s="5" t="n">
        <v>980</v>
      </c>
      <c r="P917" s="5" t="n"/>
      <c r="Q917" s="5" t="n">
        <v>980</v>
      </c>
      <c r="R917" s="5" t="n"/>
    </row>
    <row r="918">
      <c r="A918" s="2" t="inlineStr">
        <is>
          <t>EJ011024.TXT</t>
        </is>
      </c>
      <c r="B918" s="3" t="inlineStr">
        <is>
          <t>005576</t>
        </is>
      </c>
      <c r="C918" s="3" t="inlineStr">
        <is>
          <t>004478</t>
        </is>
      </c>
      <c r="D918" s="4" t="n">
        <v>45562</v>
      </c>
      <c r="E918" s="2" t="inlineStr">
        <is>
          <t>15:32</t>
        </is>
      </c>
      <c r="F918" s="5" t="n">
        <v>816.67</v>
      </c>
      <c r="G918" s="5" t="n"/>
      <c r="H918" s="5" t="n"/>
      <c r="I918" s="5" t="n"/>
      <c r="J918" s="5" t="n">
        <v>163.33</v>
      </c>
      <c r="K918" s="5" t="n"/>
      <c r="L918" s="5" t="n"/>
      <c r="M918" s="5" t="n"/>
      <c r="N918" s="5" t="n"/>
      <c r="O918" s="5" t="n">
        <v>980</v>
      </c>
      <c r="P918" s="5" t="n"/>
      <c r="Q918" s="5" t="n">
        <v>980</v>
      </c>
      <c r="R918" s="5" t="n"/>
    </row>
    <row r="919">
      <c r="A919" s="2" t="inlineStr">
        <is>
          <t>EJ011024.TXT</t>
        </is>
      </c>
      <c r="B919" s="3" t="inlineStr">
        <is>
          <t>005577</t>
        </is>
      </c>
      <c r="C919" s="3" t="inlineStr">
        <is>
          <t>004479</t>
        </is>
      </c>
      <c r="D919" s="4" t="n">
        <v>45565</v>
      </c>
      <c r="E919" s="2" t="inlineStr">
        <is>
          <t>09:13</t>
        </is>
      </c>
      <c r="F919" s="5" t="n">
        <v>816.67</v>
      </c>
      <c r="G919" s="5" t="n"/>
      <c r="H919" s="5" t="n"/>
      <c r="I919" s="5" t="n"/>
      <c r="J919" s="5" t="n">
        <v>163.33</v>
      </c>
      <c r="K919" s="5" t="n"/>
      <c r="L919" s="5" t="n"/>
      <c r="M919" s="5" t="n"/>
      <c r="N919" s="5" t="n"/>
      <c r="O919" s="5" t="n">
        <v>980</v>
      </c>
      <c r="P919" s="5" t="n"/>
      <c r="Q919" s="5" t="n">
        <v>980</v>
      </c>
      <c r="R919" s="5" t="n"/>
    </row>
    <row r="920">
      <c r="A920" s="2" t="inlineStr">
        <is>
          <t>EJ011024.TXT</t>
        </is>
      </c>
      <c r="B920" s="3" t="inlineStr">
        <is>
          <t>005578</t>
        </is>
      </c>
      <c r="C920" s="3" t="inlineStr">
        <is>
          <t>004480</t>
        </is>
      </c>
      <c r="D920" s="4" t="n">
        <v>45565</v>
      </c>
      <c r="E920" s="2" t="inlineStr">
        <is>
          <t>13:36</t>
        </is>
      </c>
      <c r="F920" s="5" t="n">
        <v>208.33</v>
      </c>
      <c r="G920" s="5" t="n"/>
      <c r="H920" s="5" t="n"/>
      <c r="I920" s="5" t="n"/>
      <c r="J920" s="5" t="n">
        <v>41.67</v>
      </c>
      <c r="K920" s="5" t="n"/>
      <c r="L920" s="5" t="n"/>
      <c r="M920" s="5" t="n"/>
      <c r="N920" s="5" t="n"/>
      <c r="O920" s="5" t="n">
        <v>250</v>
      </c>
      <c r="P920" s="5" t="n"/>
      <c r="Q920" s="5" t="n">
        <v>250</v>
      </c>
      <c r="R920" s="5" t="n"/>
    </row>
    <row r="921">
      <c r="A921" s="2" t="inlineStr">
        <is>
          <t>EJ011024.TXT</t>
        </is>
      </c>
      <c r="B921" s="3" t="inlineStr">
        <is>
          <t>005579</t>
        </is>
      </c>
      <c r="C921" s="3" t="inlineStr">
        <is>
          <t>004481</t>
        </is>
      </c>
      <c r="D921" s="4" t="n">
        <v>45565</v>
      </c>
      <c r="E921" s="2" t="inlineStr">
        <is>
          <t>16:24</t>
        </is>
      </c>
      <c r="F921" s="5" t="n">
        <v>415.83</v>
      </c>
      <c r="G921" s="5" t="n"/>
      <c r="H921" s="5" t="n"/>
      <c r="I921" s="5" t="n"/>
      <c r="J921" s="5" t="n">
        <v>83.17</v>
      </c>
      <c r="K921" s="5" t="n"/>
      <c r="L921" s="5" t="n"/>
      <c r="M921" s="5" t="n"/>
      <c r="N921" s="5" t="n"/>
      <c r="O921" s="5" t="n">
        <v>499</v>
      </c>
      <c r="P921" s="5" t="n"/>
      <c r="Q921" s="5" t="n">
        <v>499</v>
      </c>
      <c r="R921" s="5" t="n"/>
    </row>
    <row r="922">
      <c r="A922" s="2" t="inlineStr">
        <is>
          <t>EJ051124.TXT</t>
        </is>
      </c>
      <c r="B922" s="3" t="inlineStr">
        <is>
          <t>005587</t>
        </is>
      </c>
      <c r="C922" s="3" t="inlineStr">
        <is>
          <t>004482</t>
        </is>
      </c>
      <c r="D922" s="4" t="n">
        <v>45566</v>
      </c>
      <c r="E922" s="2" t="inlineStr">
        <is>
          <t>16:37</t>
        </is>
      </c>
      <c r="F922" s="5" t="n">
        <v>807.5</v>
      </c>
      <c r="G922" s="5" t="n"/>
      <c r="H922" s="5" t="n"/>
      <c r="I922" s="5" t="n"/>
      <c r="J922" s="5" t="n">
        <v>161.5</v>
      </c>
      <c r="K922" s="5" t="n"/>
      <c r="L922" s="5" t="n"/>
      <c r="M922" s="5" t="n"/>
      <c r="N922" s="5" t="n"/>
      <c r="O922" s="5" t="n">
        <v>969</v>
      </c>
      <c r="P922" s="5" t="n"/>
      <c r="Q922" s="5" t="n">
        <v>969</v>
      </c>
      <c r="R922" s="5" t="n"/>
    </row>
    <row r="923">
      <c r="A923" s="2" t="inlineStr">
        <is>
          <t>EJ051124.TXT</t>
        </is>
      </c>
      <c r="B923" s="3" t="inlineStr">
        <is>
          <t>005588</t>
        </is>
      </c>
      <c r="C923" s="3" t="inlineStr">
        <is>
          <t>004483</t>
        </is>
      </c>
      <c r="D923" s="4" t="n">
        <v>45566</v>
      </c>
      <c r="E923" s="2" t="inlineStr">
        <is>
          <t>16:37</t>
        </is>
      </c>
      <c r="F923" s="5" t="n">
        <v>807.5</v>
      </c>
      <c r="G923" s="5" t="n"/>
      <c r="H923" s="5" t="n"/>
      <c r="I923" s="5" t="n"/>
      <c r="J923" s="5" t="n">
        <v>161.5</v>
      </c>
      <c r="K923" s="5" t="n"/>
      <c r="L923" s="5" t="n"/>
      <c r="M923" s="5" t="n"/>
      <c r="N923" s="5" t="n"/>
      <c r="O923" s="5" t="n">
        <v>969</v>
      </c>
      <c r="P923" s="5" t="n"/>
      <c r="Q923" s="5" t="n">
        <v>969</v>
      </c>
      <c r="R923" s="5" t="n"/>
    </row>
    <row r="924">
      <c r="A924" s="2" t="inlineStr">
        <is>
          <t>EJ051124.TXT</t>
        </is>
      </c>
      <c r="B924" s="3" t="inlineStr">
        <is>
          <t>005589</t>
        </is>
      </c>
      <c r="C924" s="3" t="inlineStr">
        <is>
          <t>004484</t>
        </is>
      </c>
      <c r="D924" s="4" t="n">
        <v>45566</v>
      </c>
      <c r="E924" s="2" t="inlineStr">
        <is>
          <t>16:47</t>
        </is>
      </c>
      <c r="F924" s="5" t="n">
        <v>208.33</v>
      </c>
      <c r="G924" s="5" t="n"/>
      <c r="H924" s="5" t="n"/>
      <c r="I924" s="5" t="n"/>
      <c r="J924" s="5" t="n">
        <v>41.67</v>
      </c>
      <c r="K924" s="5" t="n"/>
      <c r="L924" s="5" t="n"/>
      <c r="M924" s="5" t="n"/>
      <c r="N924" s="5" t="n"/>
      <c r="O924" s="5" t="n">
        <v>250</v>
      </c>
      <c r="P924" s="5" t="n"/>
      <c r="Q924" s="5" t="n">
        <v>250</v>
      </c>
      <c r="R924" s="5" t="n"/>
    </row>
    <row r="925">
      <c r="A925" s="2" t="inlineStr">
        <is>
          <t>EJ051124.TXT</t>
        </is>
      </c>
      <c r="B925" s="3" t="inlineStr">
        <is>
          <t>005590</t>
        </is>
      </c>
      <c r="C925" s="3" t="inlineStr">
        <is>
          <t>004485</t>
        </is>
      </c>
      <c r="D925" s="4" t="n">
        <v>45568</v>
      </c>
      <c r="E925" s="2" t="inlineStr">
        <is>
          <t>14:51</t>
        </is>
      </c>
      <c r="F925" s="5" t="n">
        <v>208.33</v>
      </c>
      <c r="G925" s="5" t="n"/>
      <c r="H925" s="5" t="n"/>
      <c r="I925" s="5" t="n"/>
      <c r="J925" s="5" t="n">
        <v>41.67</v>
      </c>
      <c r="K925" s="5" t="n"/>
      <c r="L925" s="5" t="n"/>
      <c r="M925" s="5" t="n"/>
      <c r="N925" s="5" t="n"/>
      <c r="O925" s="5" t="n">
        <v>250</v>
      </c>
      <c r="P925" s="5" t="n"/>
      <c r="Q925" s="5" t="n">
        <v>250</v>
      </c>
      <c r="R925" s="5" t="n"/>
    </row>
    <row r="926">
      <c r="A926" s="2" t="inlineStr">
        <is>
          <t>EJ051124.TXT</t>
        </is>
      </c>
      <c r="B926" s="3" t="inlineStr">
        <is>
          <t>005591</t>
        </is>
      </c>
      <c r="C926" s="3" t="inlineStr">
        <is>
          <t>004486</t>
        </is>
      </c>
      <c r="D926" s="4" t="n">
        <v>45572</v>
      </c>
      <c r="E926" s="2" t="inlineStr">
        <is>
          <t>11:56</t>
        </is>
      </c>
      <c r="F926" s="5" t="n">
        <v>208.33</v>
      </c>
      <c r="G926" s="5" t="n"/>
      <c r="H926" s="5" t="n"/>
      <c r="I926" s="5" t="n"/>
      <c r="J926" s="5" t="n">
        <v>41.67</v>
      </c>
      <c r="K926" s="5" t="n"/>
      <c r="L926" s="5" t="n"/>
      <c r="M926" s="5" t="n"/>
      <c r="N926" s="5" t="n"/>
      <c r="O926" s="5" t="n">
        <v>250</v>
      </c>
      <c r="P926" s="5" t="n"/>
      <c r="Q926" s="5" t="n">
        <v>250</v>
      </c>
      <c r="R926" s="5" t="n"/>
    </row>
    <row r="927">
      <c r="A927" s="2" t="inlineStr">
        <is>
          <t>EJ051124.TXT</t>
        </is>
      </c>
      <c r="B927" s="3" t="inlineStr">
        <is>
          <t>005592</t>
        </is>
      </c>
      <c r="C927" s="3" t="inlineStr">
        <is>
          <t>004487</t>
        </is>
      </c>
      <c r="D927" s="4" t="n">
        <v>45576</v>
      </c>
      <c r="E927" s="2" t="inlineStr">
        <is>
          <t>15:56</t>
        </is>
      </c>
      <c r="F927" s="5" t="n">
        <v>208.33</v>
      </c>
      <c r="G927" s="5" t="n"/>
      <c r="H927" s="5" t="n"/>
      <c r="I927" s="5" t="n"/>
      <c r="J927" s="5" t="n">
        <v>41.67</v>
      </c>
      <c r="K927" s="5" t="n"/>
      <c r="L927" s="5" t="n"/>
      <c r="M927" s="5" t="n"/>
      <c r="N927" s="5" t="n"/>
      <c r="O927" s="5" t="n">
        <v>250</v>
      </c>
      <c r="P927" s="5" t="n"/>
      <c r="Q927" s="5" t="n">
        <v>250</v>
      </c>
      <c r="R927" s="5" t="n"/>
    </row>
    <row r="928">
      <c r="A928" s="2" t="inlineStr">
        <is>
          <t>EJ051124.TXT</t>
        </is>
      </c>
      <c r="B928" s="3" t="inlineStr">
        <is>
          <t>005593</t>
        </is>
      </c>
      <c r="C928" s="3" t="inlineStr">
        <is>
          <t>004488</t>
        </is>
      </c>
      <c r="D928" s="4" t="n">
        <v>45577</v>
      </c>
      <c r="E928" s="2" t="inlineStr">
        <is>
          <t>15:56</t>
        </is>
      </c>
      <c r="F928" s="5" t="n">
        <v>548.33</v>
      </c>
      <c r="G928" s="5" t="n"/>
      <c r="H928" s="5" t="n"/>
      <c r="I928" s="5" t="n"/>
      <c r="J928" s="5" t="n">
        <v>109.67</v>
      </c>
      <c r="K928" s="5" t="n"/>
      <c r="L928" s="5" t="n"/>
      <c r="M928" s="5" t="n"/>
      <c r="N928" s="5" t="n"/>
      <c r="O928" s="5" t="n">
        <v>658</v>
      </c>
      <c r="P928" s="5" t="n">
        <v>658</v>
      </c>
      <c r="Q928" s="5" t="n"/>
      <c r="R928" s="5" t="n"/>
    </row>
    <row r="929">
      <c r="A929" s="2" t="inlineStr">
        <is>
          <t>EJ051124.TXT</t>
        </is>
      </c>
      <c r="B929" s="3" t="inlineStr">
        <is>
          <t>005594</t>
        </is>
      </c>
      <c r="C929" s="3" t="inlineStr">
        <is>
          <t>004489</t>
        </is>
      </c>
      <c r="D929" s="4" t="n">
        <v>45577</v>
      </c>
      <c r="E929" s="2" t="inlineStr">
        <is>
          <t>18:23</t>
        </is>
      </c>
      <c r="F929" s="5" t="n">
        <v>800</v>
      </c>
      <c r="G929" s="5" t="n"/>
      <c r="H929" s="5" t="n"/>
      <c r="I929" s="5" t="n"/>
      <c r="J929" s="5" t="n">
        <v>160</v>
      </c>
      <c r="K929" s="5" t="n"/>
      <c r="L929" s="5" t="n"/>
      <c r="M929" s="5" t="n"/>
      <c r="N929" s="5" t="n"/>
      <c r="O929" s="5" t="n">
        <v>960</v>
      </c>
      <c r="P929" s="5" t="n"/>
      <c r="Q929" s="5" t="n">
        <v>960</v>
      </c>
      <c r="R929" s="5" t="n"/>
    </row>
    <row r="930">
      <c r="A930" s="2" t="inlineStr">
        <is>
          <t>EJ051124.TXT</t>
        </is>
      </c>
      <c r="B930" s="3" t="inlineStr">
        <is>
          <t>005595</t>
        </is>
      </c>
      <c r="C930" s="3" t="inlineStr">
        <is>
          <t>004490</t>
        </is>
      </c>
      <c r="D930" s="4" t="n">
        <v>45577</v>
      </c>
      <c r="E930" s="2" t="inlineStr">
        <is>
          <t>18:34</t>
        </is>
      </c>
      <c r="F930" s="5" t="n">
        <v>458.33</v>
      </c>
      <c r="G930" s="5" t="n"/>
      <c r="H930" s="5" t="n"/>
      <c r="I930" s="5" t="n"/>
      <c r="J930" s="5" t="n">
        <v>91.67</v>
      </c>
      <c r="K930" s="5" t="n"/>
      <c r="L930" s="5" t="n"/>
      <c r="M930" s="5" t="n"/>
      <c r="N930" s="5" t="n"/>
      <c r="O930" s="5" t="n">
        <v>550</v>
      </c>
      <c r="P930" s="5" t="n"/>
      <c r="Q930" s="5" t="n">
        <v>550</v>
      </c>
      <c r="R930" s="5" t="n"/>
    </row>
    <row r="931">
      <c r="A931" s="2" t="inlineStr">
        <is>
          <t>EJ051124.TXT</t>
        </is>
      </c>
      <c r="B931" s="3" t="inlineStr">
        <is>
          <t>005596</t>
        </is>
      </c>
      <c r="C931" s="3" t="inlineStr">
        <is>
          <t>004491</t>
        </is>
      </c>
      <c r="D931" s="4" t="n">
        <v>45579</v>
      </c>
      <c r="E931" s="2" t="inlineStr">
        <is>
          <t>09:58</t>
        </is>
      </c>
      <c r="F931" s="5" t="n">
        <v>208.33</v>
      </c>
      <c r="G931" s="5" t="n"/>
      <c r="H931" s="5" t="n"/>
      <c r="I931" s="5" t="n"/>
      <c r="J931" s="5" t="n">
        <v>41.67</v>
      </c>
      <c r="K931" s="5" t="n"/>
      <c r="L931" s="5" t="n"/>
      <c r="M931" s="5" t="n"/>
      <c r="N931" s="5" t="n"/>
      <c r="O931" s="5" t="n">
        <v>250</v>
      </c>
      <c r="P931" s="5" t="n"/>
      <c r="Q931" s="5" t="n">
        <v>250</v>
      </c>
      <c r="R931" s="5" t="n"/>
    </row>
    <row r="932">
      <c r="A932" s="2" t="inlineStr">
        <is>
          <t>EJ051124.TXT</t>
        </is>
      </c>
      <c r="B932" s="3" t="inlineStr">
        <is>
          <t>005597</t>
        </is>
      </c>
      <c r="C932" s="3" t="inlineStr">
        <is>
          <t>004492</t>
        </is>
      </c>
      <c r="D932" s="4" t="n">
        <v>45579</v>
      </c>
      <c r="E932" s="2" t="inlineStr">
        <is>
          <t>11:41</t>
        </is>
      </c>
      <c r="F932" s="5" t="n">
        <v>458.33</v>
      </c>
      <c r="G932" s="5" t="n"/>
      <c r="H932" s="5" t="n"/>
      <c r="I932" s="5" t="n"/>
      <c r="J932" s="5" t="n">
        <v>91.67</v>
      </c>
      <c r="K932" s="5" t="n"/>
      <c r="L932" s="5" t="n"/>
      <c r="M932" s="5" t="n"/>
      <c r="N932" s="5" t="n"/>
      <c r="O932" s="5" t="n">
        <v>550</v>
      </c>
      <c r="P932" s="5" t="n"/>
      <c r="Q932" s="5" t="n">
        <v>550</v>
      </c>
      <c r="R932" s="5" t="n"/>
    </row>
    <row r="933">
      <c r="A933" s="2" t="inlineStr">
        <is>
          <t>EJ051124.TXT</t>
        </is>
      </c>
      <c r="B933" s="3" t="inlineStr">
        <is>
          <t>005598</t>
        </is>
      </c>
      <c r="C933" s="3" t="inlineStr">
        <is>
          <t>004493</t>
        </is>
      </c>
      <c r="D933" s="4" t="n">
        <v>45579</v>
      </c>
      <c r="E933" s="2" t="inlineStr">
        <is>
          <t>11:43</t>
        </is>
      </c>
      <c r="F933" s="5" t="n">
        <v>400</v>
      </c>
      <c r="G933" s="5" t="n"/>
      <c r="H933" s="5" t="n"/>
      <c r="I933" s="5" t="n"/>
      <c r="J933" s="5" t="n">
        <v>80</v>
      </c>
      <c r="K933" s="5" t="n"/>
      <c r="L933" s="5" t="n"/>
      <c r="M933" s="5" t="n"/>
      <c r="N933" s="5" t="n"/>
      <c r="O933" s="5" t="n">
        <v>480</v>
      </c>
      <c r="P933" s="5" t="n"/>
      <c r="Q933" s="5" t="n">
        <v>480</v>
      </c>
      <c r="R933" s="5" t="n"/>
    </row>
    <row r="934">
      <c r="A934" s="2" t="inlineStr">
        <is>
          <t>EJ051124.TXT</t>
        </is>
      </c>
      <c r="B934" s="3" t="inlineStr">
        <is>
          <t>005599</t>
        </is>
      </c>
      <c r="C934" s="3" t="inlineStr">
        <is>
          <t>004494</t>
        </is>
      </c>
      <c r="D934" s="4" t="n">
        <v>45579</v>
      </c>
      <c r="E934" s="2" t="inlineStr">
        <is>
          <t>11:44</t>
        </is>
      </c>
      <c r="F934" s="5" t="n">
        <v>208.33</v>
      </c>
      <c r="G934" s="5" t="n"/>
      <c r="H934" s="5" t="n"/>
      <c r="I934" s="5" t="n"/>
      <c r="J934" s="5" t="n">
        <v>41.67</v>
      </c>
      <c r="K934" s="5" t="n"/>
      <c r="L934" s="5" t="n"/>
      <c r="M934" s="5" t="n"/>
      <c r="N934" s="5" t="n"/>
      <c r="O934" s="5" t="n">
        <v>250</v>
      </c>
      <c r="P934" s="5" t="n"/>
      <c r="Q934" s="5" t="n">
        <v>250</v>
      </c>
      <c r="R934" s="5" t="n"/>
    </row>
    <row r="935">
      <c r="A935" s="2" t="inlineStr">
        <is>
          <t>EJ051124.TXT</t>
        </is>
      </c>
      <c r="B935" s="3" t="inlineStr">
        <is>
          <t>005600</t>
        </is>
      </c>
      <c r="C935" s="3" t="inlineStr">
        <is>
          <t>004495</t>
        </is>
      </c>
      <c r="D935" s="4" t="n">
        <v>45580</v>
      </c>
      <c r="E935" s="2" t="inlineStr">
        <is>
          <t>13:36</t>
        </is>
      </c>
      <c r="F935" s="5" t="n">
        <v>274.17</v>
      </c>
      <c r="G935" s="5" t="n"/>
      <c r="H935" s="5" t="n"/>
      <c r="I935" s="5" t="n"/>
      <c r="J935" s="5" t="n">
        <v>54.83</v>
      </c>
      <c r="K935" s="5" t="n"/>
      <c r="L935" s="5" t="n"/>
      <c r="M935" s="5" t="n"/>
      <c r="N935" s="5" t="n"/>
      <c r="O935" s="5" t="n">
        <v>329</v>
      </c>
      <c r="P935" s="5" t="n"/>
      <c r="Q935" s="5" t="n">
        <v>329</v>
      </c>
      <c r="R935" s="5" t="n"/>
    </row>
    <row r="936">
      <c r="A936" s="2" t="inlineStr">
        <is>
          <t>EJ051124.TXT</t>
        </is>
      </c>
      <c r="B936" s="3" t="inlineStr">
        <is>
          <t>005601</t>
        </is>
      </c>
      <c r="C936" s="3" t="inlineStr">
        <is>
          <t>004496</t>
        </is>
      </c>
      <c r="D936" s="4" t="n">
        <v>45580</v>
      </c>
      <c r="E936" s="2" t="inlineStr">
        <is>
          <t>13:40</t>
        </is>
      </c>
      <c r="F936" s="5" t="n">
        <v>208.33</v>
      </c>
      <c r="G936" s="5" t="n"/>
      <c r="H936" s="5" t="n"/>
      <c r="I936" s="5" t="n"/>
      <c r="J936" s="5" t="n">
        <v>41.67</v>
      </c>
      <c r="K936" s="5" t="n"/>
      <c r="L936" s="5" t="n"/>
      <c r="M936" s="5" t="n"/>
      <c r="N936" s="5" t="n"/>
      <c r="O936" s="5" t="n">
        <v>250</v>
      </c>
      <c r="P936" s="5" t="n"/>
      <c r="Q936" s="5" t="n">
        <v>250</v>
      </c>
      <c r="R936" s="5" t="n"/>
    </row>
    <row r="937">
      <c r="A937" s="2" t="inlineStr">
        <is>
          <t>EJ051124.TXT</t>
        </is>
      </c>
      <c r="B937" s="3" t="inlineStr">
        <is>
          <t>005602</t>
        </is>
      </c>
      <c r="C937" s="3" t="inlineStr">
        <is>
          <t>004497</t>
        </is>
      </c>
      <c r="D937" s="4" t="n">
        <v>45580</v>
      </c>
      <c r="E937" s="2" t="inlineStr">
        <is>
          <t>15:19</t>
        </is>
      </c>
      <c r="F937" s="5" t="n">
        <v>495</v>
      </c>
      <c r="G937" s="5" t="n"/>
      <c r="H937" s="5" t="n"/>
      <c r="I937" s="5" t="n"/>
      <c r="J937" s="5" t="n">
        <v>99</v>
      </c>
      <c r="K937" s="5" t="n"/>
      <c r="L937" s="5" t="n"/>
      <c r="M937" s="5" t="n"/>
      <c r="N937" s="5" t="n"/>
      <c r="O937" s="5" t="n">
        <v>594</v>
      </c>
      <c r="P937" s="5" t="n"/>
      <c r="Q937" s="5" t="n">
        <v>594</v>
      </c>
      <c r="R937" s="5" t="n"/>
    </row>
    <row r="938">
      <c r="A938" s="2" t="inlineStr">
        <is>
          <t>EJ051124.TXT</t>
        </is>
      </c>
      <c r="B938" s="3" t="inlineStr">
        <is>
          <t>005603</t>
        </is>
      </c>
      <c r="C938" s="3" t="inlineStr">
        <is>
          <t>004498</t>
        </is>
      </c>
      <c r="D938" s="4" t="n">
        <v>45580</v>
      </c>
      <c r="E938" s="2" t="inlineStr">
        <is>
          <t>16:57</t>
        </is>
      </c>
      <c r="F938" s="5" t="n">
        <v>208.33</v>
      </c>
      <c r="G938" s="5" t="n"/>
      <c r="H938" s="5" t="n"/>
      <c r="I938" s="5" t="n"/>
      <c r="J938" s="5" t="n">
        <v>41.67</v>
      </c>
      <c r="K938" s="5" t="n"/>
      <c r="L938" s="5" t="n"/>
      <c r="M938" s="5" t="n"/>
      <c r="N938" s="5" t="n"/>
      <c r="O938" s="5" t="n">
        <v>250</v>
      </c>
      <c r="P938" s="5" t="n"/>
      <c r="Q938" s="5" t="n">
        <v>250</v>
      </c>
      <c r="R938" s="5" t="n"/>
    </row>
    <row r="939">
      <c r="A939" s="2" t="inlineStr">
        <is>
          <t>EJ051124.TXT</t>
        </is>
      </c>
      <c r="B939" s="3" t="inlineStr">
        <is>
          <t>005604</t>
        </is>
      </c>
      <c r="C939" s="3" t="inlineStr">
        <is>
          <t>004499</t>
        </is>
      </c>
      <c r="D939" s="4" t="n">
        <v>45581</v>
      </c>
      <c r="E939" s="2" t="inlineStr">
        <is>
          <t>14:06</t>
        </is>
      </c>
      <c r="F939" s="5" t="n">
        <v>274.17</v>
      </c>
      <c r="G939" s="5" t="n"/>
      <c r="H939" s="5" t="n"/>
      <c r="I939" s="5" t="n"/>
      <c r="J939" s="5" t="n">
        <v>54.83</v>
      </c>
      <c r="K939" s="5" t="n"/>
      <c r="L939" s="5" t="n"/>
      <c r="M939" s="5" t="n"/>
      <c r="N939" s="5" t="n"/>
      <c r="O939" s="5" t="n">
        <v>329</v>
      </c>
      <c r="P939" s="5" t="n"/>
      <c r="Q939" s="5" t="n">
        <v>329</v>
      </c>
      <c r="R939" s="5" t="n"/>
    </row>
    <row r="940">
      <c r="A940" s="2" t="inlineStr">
        <is>
          <t>EJ051124.TXT</t>
        </is>
      </c>
      <c r="B940" s="3" t="inlineStr">
        <is>
          <t>005605</t>
        </is>
      </c>
      <c r="C940" s="3" t="inlineStr">
        <is>
          <t>004500</t>
        </is>
      </c>
      <c r="D940" s="4" t="n">
        <v>45589</v>
      </c>
      <c r="E940" s="2" t="inlineStr">
        <is>
          <t>11:39</t>
        </is>
      </c>
      <c r="F940" s="5" t="n">
        <v>574.17</v>
      </c>
      <c r="G940" s="5" t="n"/>
      <c r="H940" s="5" t="n"/>
      <c r="I940" s="5" t="n"/>
      <c r="J940" s="5" t="n">
        <v>114.83</v>
      </c>
      <c r="K940" s="5" t="n"/>
      <c r="L940" s="5" t="n"/>
      <c r="M940" s="5" t="n"/>
      <c r="N940" s="5" t="n"/>
      <c r="O940" s="5" t="n">
        <v>689</v>
      </c>
      <c r="P940" s="5" t="n"/>
      <c r="Q940" s="5" t="n">
        <v>689</v>
      </c>
      <c r="R940" s="5" t="n"/>
    </row>
    <row r="941">
      <c r="A941" s="2" t="inlineStr">
        <is>
          <t>EJ051124.TXT</t>
        </is>
      </c>
      <c r="B941" s="3" t="inlineStr">
        <is>
          <t>005606</t>
        </is>
      </c>
      <c r="C941" s="3" t="inlineStr">
        <is>
          <t>004501</t>
        </is>
      </c>
      <c r="D941" s="4" t="n">
        <v>45589</v>
      </c>
      <c r="E941" s="2" t="inlineStr">
        <is>
          <t>11:43</t>
        </is>
      </c>
      <c r="F941" s="5" t="n">
        <v>832.5</v>
      </c>
      <c r="G941" s="5" t="n"/>
      <c r="H941" s="5" t="n"/>
      <c r="I941" s="5" t="n"/>
      <c r="J941" s="5" t="n">
        <v>166.5</v>
      </c>
      <c r="K941" s="5" t="n"/>
      <c r="L941" s="5" t="n"/>
      <c r="M941" s="5" t="n"/>
      <c r="N941" s="5" t="n"/>
      <c r="O941" s="5" t="n">
        <v>999</v>
      </c>
      <c r="P941" s="5" t="n"/>
      <c r="Q941" s="5" t="n">
        <v>999</v>
      </c>
      <c r="R941" s="5" t="n"/>
    </row>
    <row r="942">
      <c r="A942" s="2" t="inlineStr">
        <is>
          <t>EJ051124.TXT</t>
        </is>
      </c>
      <c r="B942" s="3" t="inlineStr">
        <is>
          <t>005607</t>
        </is>
      </c>
      <c r="C942" s="3" t="inlineStr">
        <is>
          <t>004502</t>
        </is>
      </c>
      <c r="D942" s="4" t="n">
        <v>45589</v>
      </c>
      <c r="E942" s="2" t="inlineStr">
        <is>
          <t>12:14</t>
        </is>
      </c>
      <c r="F942" s="5" t="n">
        <v>832.5</v>
      </c>
      <c r="G942" s="5" t="n"/>
      <c r="H942" s="5" t="n"/>
      <c r="I942" s="5" t="n"/>
      <c r="J942" s="5" t="n">
        <v>166.5</v>
      </c>
      <c r="K942" s="5" t="n"/>
      <c r="L942" s="5" t="n"/>
      <c r="M942" s="5" t="n"/>
      <c r="N942" s="5" t="n"/>
      <c r="O942" s="5" t="n">
        <v>999</v>
      </c>
      <c r="P942" s="5" t="n"/>
      <c r="Q942" s="5" t="n">
        <v>999</v>
      </c>
      <c r="R942" s="5" t="n"/>
    </row>
    <row r="943">
      <c r="A943" s="2" t="inlineStr">
        <is>
          <t>EJ051124.TXT</t>
        </is>
      </c>
      <c r="B943" s="3" t="inlineStr">
        <is>
          <t>005608</t>
        </is>
      </c>
      <c r="C943" s="3" t="inlineStr">
        <is>
          <t>004503</t>
        </is>
      </c>
      <c r="D943" s="4" t="n">
        <v>45589</v>
      </c>
      <c r="E943" s="2" t="inlineStr">
        <is>
          <t>12:31</t>
        </is>
      </c>
      <c r="F943" s="5" t="n">
        <v>99.83</v>
      </c>
      <c r="G943" s="5" t="n"/>
      <c r="H943" s="5" t="n"/>
      <c r="I943" s="5" t="n"/>
      <c r="J943" s="5" t="n">
        <v>19.97</v>
      </c>
      <c r="K943" s="5" t="n"/>
      <c r="L943" s="5" t="n"/>
      <c r="M943" s="5" t="n"/>
      <c r="N943" s="5" t="n"/>
      <c r="O943" s="5" t="n">
        <v>119.8</v>
      </c>
      <c r="P943" s="5" t="n"/>
      <c r="Q943" s="5" t="n">
        <v>119.8</v>
      </c>
      <c r="R943" s="5" t="n"/>
    </row>
    <row r="944">
      <c r="A944" s="2" t="inlineStr">
        <is>
          <t>EJ051124.TXT</t>
        </is>
      </c>
      <c r="B944" s="3" t="inlineStr">
        <is>
          <t>005609</t>
        </is>
      </c>
      <c r="C944" s="3" t="inlineStr">
        <is>
          <t>004504</t>
        </is>
      </c>
      <c r="D944" s="4" t="n">
        <v>45590</v>
      </c>
      <c r="E944" s="2" t="inlineStr">
        <is>
          <t>09:16</t>
        </is>
      </c>
      <c r="F944" s="5" t="n">
        <v>524.17</v>
      </c>
      <c r="G944" s="5" t="n"/>
      <c r="H944" s="5" t="n"/>
      <c r="I944" s="5" t="n"/>
      <c r="J944" s="5" t="n">
        <v>104.83</v>
      </c>
      <c r="K944" s="5" t="n"/>
      <c r="L944" s="5" t="n"/>
      <c r="M944" s="5" t="n"/>
      <c r="N944" s="5" t="n"/>
      <c r="O944" s="5" t="n">
        <v>629</v>
      </c>
      <c r="P944" s="5" t="n"/>
      <c r="Q944" s="5" t="n">
        <v>629</v>
      </c>
      <c r="R944" s="5" t="n"/>
    </row>
    <row r="945">
      <c r="A945" s="2" t="inlineStr">
        <is>
          <t>EJ051124.TXT</t>
        </is>
      </c>
      <c r="B945" s="3" t="inlineStr">
        <is>
          <t>005610</t>
        </is>
      </c>
      <c r="C945" s="3" t="inlineStr">
        <is>
          <t>004505</t>
        </is>
      </c>
      <c r="D945" s="4" t="n">
        <v>45590</v>
      </c>
      <c r="E945" s="2" t="inlineStr">
        <is>
          <t>16:14</t>
        </is>
      </c>
      <c r="F945" s="5" t="n">
        <v>440.83</v>
      </c>
      <c r="G945" s="5" t="n"/>
      <c r="H945" s="5" t="n"/>
      <c r="I945" s="5" t="n"/>
      <c r="J945" s="5" t="n">
        <v>88.17</v>
      </c>
      <c r="K945" s="5" t="n"/>
      <c r="L945" s="5" t="n"/>
      <c r="M945" s="5" t="n"/>
      <c r="N945" s="5" t="n"/>
      <c r="O945" s="5" t="n">
        <v>529</v>
      </c>
      <c r="P945" s="5" t="n"/>
      <c r="Q945" s="5" t="n">
        <v>529</v>
      </c>
      <c r="R945" s="5" t="n"/>
    </row>
    <row r="946">
      <c r="A946" s="2" t="inlineStr">
        <is>
          <t>EJ051124.TXT</t>
        </is>
      </c>
      <c r="B946" s="3" t="inlineStr">
        <is>
          <t>005611</t>
        </is>
      </c>
      <c r="C946" s="3" t="inlineStr">
        <is>
          <t>004506</t>
        </is>
      </c>
      <c r="D946" s="4" t="n">
        <v>45590</v>
      </c>
      <c r="E946" s="2" t="inlineStr">
        <is>
          <t>16:34</t>
        </is>
      </c>
      <c r="F946" s="5" t="n">
        <v>440.83</v>
      </c>
      <c r="G946" s="5" t="n"/>
      <c r="H946" s="5" t="n"/>
      <c r="I946" s="5" t="n"/>
      <c r="J946" s="5" t="n">
        <v>88.17</v>
      </c>
      <c r="K946" s="5" t="n"/>
      <c r="L946" s="5" t="n"/>
      <c r="M946" s="5" t="n"/>
      <c r="N946" s="5" t="n"/>
      <c r="O946" s="5" t="n">
        <v>529</v>
      </c>
      <c r="P946" s="5" t="n"/>
      <c r="Q946" s="5" t="n">
        <v>529</v>
      </c>
      <c r="R946" s="5" t="n"/>
    </row>
    <row r="947">
      <c r="A947" s="2" t="inlineStr">
        <is>
          <t>EJ051124.TXT</t>
        </is>
      </c>
      <c r="B947" s="3" t="inlineStr">
        <is>
          <t>005612</t>
        </is>
      </c>
      <c r="C947" s="3" t="inlineStr">
        <is>
          <t>004507</t>
        </is>
      </c>
      <c r="D947" s="4" t="n">
        <v>45590</v>
      </c>
      <c r="E947" s="2" t="inlineStr">
        <is>
          <t>16:54</t>
        </is>
      </c>
      <c r="F947" s="5" t="n">
        <v>440.83</v>
      </c>
      <c r="G947" s="5" t="n"/>
      <c r="H947" s="5" t="n"/>
      <c r="I947" s="5" t="n"/>
      <c r="J947" s="5" t="n">
        <v>88.17</v>
      </c>
      <c r="K947" s="5" t="n"/>
      <c r="L947" s="5" t="n"/>
      <c r="M947" s="5" t="n"/>
      <c r="N947" s="5" t="n"/>
      <c r="O947" s="5" t="n">
        <v>529</v>
      </c>
      <c r="P947" s="5" t="n"/>
      <c r="Q947" s="5" t="n">
        <v>529</v>
      </c>
      <c r="R947" s="5" t="n"/>
    </row>
    <row r="948">
      <c r="A948" s="2" t="inlineStr">
        <is>
          <t>EJ051124.TXT</t>
        </is>
      </c>
      <c r="B948" s="3" t="inlineStr">
        <is>
          <t>005613</t>
        </is>
      </c>
      <c r="C948" s="3" t="inlineStr">
        <is>
          <t>004508</t>
        </is>
      </c>
      <c r="D948" s="4" t="n">
        <v>45593</v>
      </c>
      <c r="E948" s="2" t="inlineStr">
        <is>
          <t>16:35</t>
        </is>
      </c>
      <c r="F948" s="5" t="n">
        <v>440.83</v>
      </c>
      <c r="G948" s="5" t="n"/>
      <c r="H948" s="5" t="n"/>
      <c r="I948" s="5" t="n"/>
      <c r="J948" s="5" t="n">
        <v>88.17</v>
      </c>
      <c r="K948" s="5" t="n"/>
      <c r="L948" s="5" t="n"/>
      <c r="M948" s="5" t="n"/>
      <c r="N948" s="5" t="n"/>
      <c r="O948" s="5" t="n">
        <v>529</v>
      </c>
      <c r="P948" s="5" t="n"/>
      <c r="Q948" s="5" t="n">
        <v>529</v>
      </c>
      <c r="R948" s="5" t="n"/>
    </row>
    <row r="949">
      <c r="A949" s="2" t="inlineStr">
        <is>
          <t>EJ051124.TXT</t>
        </is>
      </c>
      <c r="B949" s="3" t="inlineStr">
        <is>
          <t>005614</t>
        </is>
      </c>
      <c r="C949" s="3" t="inlineStr">
        <is>
          <t>004509</t>
        </is>
      </c>
      <c r="D949" s="4" t="n">
        <v>45593</v>
      </c>
      <c r="E949" s="2" t="inlineStr">
        <is>
          <t>16:36</t>
        </is>
      </c>
      <c r="F949" s="5" t="n">
        <v>708.33</v>
      </c>
      <c r="G949" s="5" t="n"/>
      <c r="H949" s="5" t="n"/>
      <c r="I949" s="5" t="n"/>
      <c r="J949" s="5" t="n">
        <v>141.67</v>
      </c>
      <c r="K949" s="5" t="n"/>
      <c r="L949" s="5" t="n"/>
      <c r="M949" s="5" t="n"/>
      <c r="N949" s="5" t="n"/>
      <c r="O949" s="5" t="n">
        <v>850</v>
      </c>
      <c r="P949" s="5" t="n"/>
      <c r="Q949" s="5" t="n">
        <v>850</v>
      </c>
      <c r="R949" s="5" t="n"/>
    </row>
    <row r="950">
      <c r="A950" s="2" t="inlineStr">
        <is>
          <t>EJ051124.TXT</t>
        </is>
      </c>
      <c r="B950" s="3" t="inlineStr">
        <is>
          <t>005615</t>
        </is>
      </c>
      <c r="C950" s="3" t="inlineStr">
        <is>
          <t>004510</t>
        </is>
      </c>
      <c r="D950" s="4" t="n">
        <v>45593</v>
      </c>
      <c r="E950" s="2" t="inlineStr">
        <is>
          <t>16:57</t>
        </is>
      </c>
      <c r="F950" s="5" t="n">
        <v>440.83</v>
      </c>
      <c r="G950" s="5" t="n"/>
      <c r="H950" s="5" t="n"/>
      <c r="I950" s="5" t="n"/>
      <c r="J950" s="5" t="n">
        <v>88.17</v>
      </c>
      <c r="K950" s="5" t="n"/>
      <c r="L950" s="5" t="n"/>
      <c r="M950" s="5" t="n"/>
      <c r="N950" s="5" t="n"/>
      <c r="O950" s="5" t="n">
        <v>529</v>
      </c>
      <c r="P950" s="5" t="n"/>
      <c r="Q950" s="5" t="n">
        <v>529</v>
      </c>
      <c r="R950" s="5" t="n"/>
    </row>
    <row r="951">
      <c r="A951" s="2" t="inlineStr">
        <is>
          <t>EJ051124.TXT</t>
        </is>
      </c>
      <c r="B951" s="3" t="inlineStr">
        <is>
          <t>005616</t>
        </is>
      </c>
      <c r="C951" s="3" t="inlineStr">
        <is>
          <t>004511</t>
        </is>
      </c>
      <c r="D951" s="4" t="n">
        <v>45594</v>
      </c>
      <c r="E951" s="2" t="inlineStr">
        <is>
          <t>16:24</t>
        </is>
      </c>
      <c r="F951" s="5" t="n">
        <v>708.33</v>
      </c>
      <c r="G951" s="5" t="n"/>
      <c r="H951" s="5" t="n"/>
      <c r="I951" s="5" t="n"/>
      <c r="J951" s="5" t="n">
        <v>141.67</v>
      </c>
      <c r="K951" s="5" t="n"/>
      <c r="L951" s="5" t="n"/>
      <c r="M951" s="5" t="n"/>
      <c r="N951" s="5" t="n"/>
      <c r="O951" s="5" t="n">
        <v>850</v>
      </c>
      <c r="P951" s="5" t="n"/>
      <c r="Q951" s="5" t="n">
        <v>850</v>
      </c>
      <c r="R951" s="5" t="n"/>
    </row>
    <row r="952">
      <c r="A952" s="2" t="inlineStr">
        <is>
          <t>EJ051124.TXT</t>
        </is>
      </c>
      <c r="B952" s="3" t="inlineStr">
        <is>
          <t>005617</t>
        </is>
      </c>
      <c r="C952" s="3" t="inlineStr">
        <is>
          <t>004512</t>
        </is>
      </c>
      <c r="D952" s="4" t="n">
        <v>45594</v>
      </c>
      <c r="E952" s="2" t="inlineStr">
        <is>
          <t>16:39</t>
        </is>
      </c>
      <c r="F952" s="5" t="n">
        <v>791.67</v>
      </c>
      <c r="G952" s="5" t="n"/>
      <c r="H952" s="5" t="n"/>
      <c r="I952" s="5" t="n"/>
      <c r="J952" s="5" t="n">
        <v>158.33</v>
      </c>
      <c r="K952" s="5" t="n"/>
      <c r="L952" s="5" t="n"/>
      <c r="M952" s="5" t="n"/>
      <c r="N952" s="5" t="n"/>
      <c r="O952" s="5" t="n">
        <v>950</v>
      </c>
      <c r="P952" s="5" t="n"/>
      <c r="Q952" s="5" t="n">
        <v>950</v>
      </c>
      <c r="R952" s="5" t="n"/>
    </row>
    <row r="953">
      <c r="A953" s="2" t="inlineStr">
        <is>
          <t>EJ051124.TXT</t>
        </is>
      </c>
      <c r="B953" s="3" t="inlineStr">
        <is>
          <t>005618</t>
        </is>
      </c>
      <c r="C953" s="3" t="inlineStr">
        <is>
          <t>004513</t>
        </is>
      </c>
      <c r="D953" s="4" t="n">
        <v>45594</v>
      </c>
      <c r="E953" s="2" t="inlineStr">
        <is>
          <t>16:42</t>
        </is>
      </c>
      <c r="F953" s="5" t="n">
        <v>791.67</v>
      </c>
      <c r="G953" s="5" t="n"/>
      <c r="H953" s="5" t="n"/>
      <c r="I953" s="5" t="n"/>
      <c r="J953" s="5" t="n">
        <v>158.33</v>
      </c>
      <c r="K953" s="5" t="n"/>
      <c r="L953" s="5" t="n"/>
      <c r="M953" s="5" t="n"/>
      <c r="N953" s="5" t="n"/>
      <c r="O953" s="5" t="n">
        <v>950</v>
      </c>
      <c r="P953" s="5" t="n"/>
      <c r="Q953" s="5" t="n">
        <v>950</v>
      </c>
      <c r="R953" s="5" t="n"/>
    </row>
    <row r="954">
      <c r="A954" s="2" t="inlineStr">
        <is>
          <t>EJ051124.TXT</t>
        </is>
      </c>
      <c r="B954" s="3" t="inlineStr">
        <is>
          <t>005619</t>
        </is>
      </c>
      <c r="C954" s="3" t="inlineStr">
        <is>
          <t>004514</t>
        </is>
      </c>
      <c r="D954" s="4" t="n">
        <v>45594</v>
      </c>
      <c r="E954" s="2" t="inlineStr">
        <is>
          <t>17:18</t>
        </is>
      </c>
      <c r="F954" s="5" t="n">
        <v>274.17</v>
      </c>
      <c r="G954" s="5" t="n"/>
      <c r="H954" s="5" t="n"/>
      <c r="I954" s="5" t="n"/>
      <c r="J954" s="5" t="n">
        <v>54.83</v>
      </c>
      <c r="K954" s="5" t="n"/>
      <c r="L954" s="5" t="n"/>
      <c r="M954" s="5" t="n"/>
      <c r="N954" s="5" t="n"/>
      <c r="O954" s="5" t="n">
        <v>329</v>
      </c>
      <c r="P954" s="5" t="n"/>
      <c r="Q954" s="5" t="n">
        <v>329</v>
      </c>
      <c r="R954" s="5" t="n"/>
    </row>
    <row r="955">
      <c r="A955" s="2" t="inlineStr">
        <is>
          <t>EJ051124.TXT</t>
        </is>
      </c>
      <c r="B955" s="3" t="inlineStr">
        <is>
          <t>005620</t>
        </is>
      </c>
      <c r="C955" s="3" t="inlineStr">
        <is>
          <t>004515</t>
        </is>
      </c>
      <c r="D955" s="4" t="n">
        <v>45595</v>
      </c>
      <c r="E955" s="2" t="inlineStr">
        <is>
          <t>12:40</t>
        </is>
      </c>
      <c r="F955" s="5" t="n">
        <v>533.33</v>
      </c>
      <c r="G955" s="5" t="n"/>
      <c r="H955" s="5" t="n"/>
      <c r="I955" s="5" t="n"/>
      <c r="J955" s="5" t="n">
        <v>106.67</v>
      </c>
      <c r="K955" s="5" t="n"/>
      <c r="L955" s="5" t="n"/>
      <c r="M955" s="5" t="n"/>
      <c r="N955" s="5" t="n"/>
      <c r="O955" s="5" t="n">
        <v>640</v>
      </c>
      <c r="P955" s="5" t="n"/>
      <c r="Q955" s="5" t="n">
        <v>640</v>
      </c>
      <c r="R955" s="5" t="n"/>
    </row>
    <row r="956">
      <c r="A956" s="2" t="inlineStr">
        <is>
          <t>EJ051124.TXT</t>
        </is>
      </c>
      <c r="B956" s="3" t="inlineStr">
        <is>
          <t>005621</t>
        </is>
      </c>
      <c r="C956" s="3" t="inlineStr">
        <is>
          <t>004516</t>
        </is>
      </c>
      <c r="D956" s="4" t="n">
        <v>45600</v>
      </c>
      <c r="E956" s="2" t="inlineStr">
        <is>
          <t>12:42</t>
        </is>
      </c>
      <c r="F956" s="5" t="n">
        <v>825</v>
      </c>
      <c r="G956" s="5" t="n"/>
      <c r="H956" s="5" t="n"/>
      <c r="I956" s="5" t="n"/>
      <c r="J956" s="5" t="n">
        <v>165</v>
      </c>
      <c r="K956" s="5" t="n"/>
      <c r="L956" s="5" t="n"/>
      <c r="M956" s="5" t="n"/>
      <c r="N956" s="5" t="n"/>
      <c r="O956" s="5" t="n">
        <v>990</v>
      </c>
      <c r="P956" s="5" t="n"/>
      <c r="Q956" s="5" t="n">
        <v>990</v>
      </c>
      <c r="R956" s="5" t="n"/>
    </row>
    <row r="957">
      <c r="A957" s="2" t="inlineStr">
        <is>
          <t>EJ051124.TXT</t>
        </is>
      </c>
      <c r="B957" s="3" t="inlineStr">
        <is>
          <t>005622</t>
        </is>
      </c>
      <c r="C957" s="3" t="inlineStr">
        <is>
          <t>004517</t>
        </is>
      </c>
      <c r="D957" s="4" t="n">
        <v>45600</v>
      </c>
      <c r="E957" s="2" t="inlineStr">
        <is>
          <t>12:43</t>
        </is>
      </c>
      <c r="F957" s="5" t="n">
        <v>825</v>
      </c>
      <c r="G957" s="5" t="n"/>
      <c r="H957" s="5" t="n"/>
      <c r="I957" s="5" t="n"/>
      <c r="J957" s="5" t="n">
        <v>165</v>
      </c>
      <c r="K957" s="5" t="n"/>
      <c r="L957" s="5" t="n"/>
      <c r="M957" s="5" t="n"/>
      <c r="N957" s="5" t="n"/>
      <c r="O957" s="5" t="n">
        <v>990</v>
      </c>
      <c r="P957" s="5" t="n"/>
      <c r="Q957" s="5" t="n">
        <v>990</v>
      </c>
      <c r="R957" s="5" t="n"/>
    </row>
    <row r="958">
      <c r="A958" s="2" t="inlineStr">
        <is>
          <t>EJ051124.TXT</t>
        </is>
      </c>
      <c r="B958" s="3" t="inlineStr">
        <is>
          <t>005623</t>
        </is>
      </c>
      <c r="C958" s="3" t="inlineStr">
        <is>
          <t>004518</t>
        </is>
      </c>
      <c r="D958" s="4" t="n">
        <v>45600</v>
      </c>
      <c r="E958" s="2" t="inlineStr">
        <is>
          <t>12:43</t>
        </is>
      </c>
      <c r="F958" s="5" t="n">
        <v>825</v>
      </c>
      <c r="G958" s="5" t="n"/>
      <c r="H958" s="5" t="n"/>
      <c r="I958" s="5" t="n"/>
      <c r="J958" s="5" t="n">
        <v>165</v>
      </c>
      <c r="K958" s="5" t="n"/>
      <c r="L958" s="5" t="n"/>
      <c r="M958" s="5" t="n"/>
      <c r="N958" s="5" t="n"/>
      <c r="O958" s="5" t="n">
        <v>990</v>
      </c>
      <c r="P958" s="5" t="n"/>
      <c r="Q958" s="5" t="n">
        <v>990</v>
      </c>
      <c r="R958" s="5" t="n"/>
    </row>
    <row r="959">
      <c r="A959" s="2" t="inlineStr">
        <is>
          <t>EJ051124.TXT</t>
        </is>
      </c>
      <c r="B959" s="3" t="inlineStr">
        <is>
          <t>005624</t>
        </is>
      </c>
      <c r="C959" s="3" t="inlineStr">
        <is>
          <t>004519</t>
        </is>
      </c>
      <c r="D959" s="4" t="n">
        <v>45600</v>
      </c>
      <c r="E959" s="2" t="inlineStr">
        <is>
          <t>12:43</t>
        </is>
      </c>
      <c r="F959" s="5" t="n">
        <v>577.5</v>
      </c>
      <c r="G959" s="5" t="n"/>
      <c r="H959" s="5" t="n"/>
      <c r="I959" s="5" t="n"/>
      <c r="J959" s="5" t="n">
        <v>115.5</v>
      </c>
      <c r="K959" s="5" t="n"/>
      <c r="L959" s="5" t="n"/>
      <c r="M959" s="5" t="n"/>
      <c r="N959" s="5" t="n"/>
      <c r="O959" s="5" t="n">
        <v>693</v>
      </c>
      <c r="P959" s="5" t="n"/>
      <c r="Q959" s="5" t="n">
        <v>693</v>
      </c>
      <c r="R959" s="5" t="n"/>
    </row>
    <row r="960">
      <c r="A960" s="2" t="inlineStr">
        <is>
          <t>EJ051124.TXT</t>
        </is>
      </c>
      <c r="B960" s="3" t="inlineStr">
        <is>
          <t>005625</t>
        </is>
      </c>
      <c r="C960" s="3" t="inlineStr">
        <is>
          <t>004520</t>
        </is>
      </c>
      <c r="D960" s="4" t="n">
        <v>45600</v>
      </c>
      <c r="E960" s="2" t="inlineStr">
        <is>
          <t>15:24</t>
        </is>
      </c>
      <c r="F960" s="5" t="n">
        <v>208.33</v>
      </c>
      <c r="G960" s="5" t="n"/>
      <c r="H960" s="5" t="n"/>
      <c r="I960" s="5" t="n"/>
      <c r="J960" s="5" t="n">
        <v>41.67</v>
      </c>
      <c r="K960" s="5" t="n"/>
      <c r="L960" s="5" t="n"/>
      <c r="M960" s="5" t="n"/>
      <c r="N960" s="5" t="n"/>
      <c r="O960" s="5" t="n">
        <v>250</v>
      </c>
      <c r="P960" s="5" t="n"/>
      <c r="Q960" s="5" t="n">
        <v>250</v>
      </c>
      <c r="R960" s="5" t="n"/>
    </row>
    <row r="961">
      <c r="A961" s="2" t="inlineStr">
        <is>
          <t>EJ051124.TXT</t>
        </is>
      </c>
      <c r="B961" s="3" t="inlineStr">
        <is>
          <t>005626</t>
        </is>
      </c>
      <c r="C961" s="3" t="inlineStr">
        <is>
          <t>004521</t>
        </is>
      </c>
      <c r="D961" s="4" t="n">
        <v>45601</v>
      </c>
      <c r="E961" s="2" t="inlineStr">
        <is>
          <t>12:46</t>
        </is>
      </c>
      <c r="F961" s="5" t="n">
        <v>132.42</v>
      </c>
      <c r="G961" s="5" t="n"/>
      <c r="H961" s="5" t="n"/>
      <c r="I961" s="5" t="n"/>
      <c r="J961" s="5" t="n">
        <v>26.48</v>
      </c>
      <c r="K961" s="5" t="n"/>
      <c r="L961" s="5" t="n"/>
      <c r="M961" s="5" t="n"/>
      <c r="N961" s="5" t="n"/>
      <c r="O961" s="5" t="n">
        <v>158.9</v>
      </c>
      <c r="P961" s="5" t="n"/>
      <c r="Q961" s="5" t="n">
        <v>158.9</v>
      </c>
      <c r="R961" s="5" t="n"/>
    </row>
    <row r="962">
      <c r="A962" s="2" t="inlineStr">
        <is>
          <t>EJ051124.TXT</t>
        </is>
      </c>
      <c r="B962" s="3" t="inlineStr">
        <is>
          <t>005627</t>
        </is>
      </c>
      <c r="C962" s="3" t="inlineStr">
        <is>
          <t>004522</t>
        </is>
      </c>
      <c r="D962" s="4" t="n">
        <v>45601</v>
      </c>
      <c r="E962" s="2" t="inlineStr">
        <is>
          <t>17:19</t>
        </is>
      </c>
      <c r="F962" s="5" t="n">
        <v>166.67</v>
      </c>
      <c r="G962" s="5" t="n"/>
      <c r="H962" s="5" t="n"/>
      <c r="I962" s="5" t="n"/>
      <c r="J962" s="5" t="n">
        <v>33.33</v>
      </c>
      <c r="K962" s="5" t="n"/>
      <c r="L962" s="5" t="n"/>
      <c r="M962" s="5" t="n"/>
      <c r="N962" s="5" t="n"/>
      <c r="O962" s="5" t="n">
        <v>200</v>
      </c>
      <c r="P962" s="5" t="n"/>
      <c r="Q962" s="5" t="n">
        <v>200</v>
      </c>
      <c r="R962" s="5" t="n"/>
    </row>
    <row r="963">
      <c r="A963" s="2" t="inlineStr">
        <is>
          <t>EJ051124.TXT</t>
        </is>
      </c>
      <c r="B963" s="3" t="inlineStr">
        <is>
          <t>005628</t>
        </is>
      </c>
      <c r="C963" s="3" t="inlineStr">
        <is>
          <t>004523</t>
        </is>
      </c>
      <c r="D963" s="4" t="n">
        <v>45601</v>
      </c>
      <c r="E963" s="2" t="inlineStr">
        <is>
          <t>17:19</t>
        </is>
      </c>
      <c r="F963" s="5" t="n">
        <v>24.17</v>
      </c>
      <c r="G963" s="5" t="n"/>
      <c r="H963" s="5" t="n"/>
      <c r="I963" s="5" t="n"/>
      <c r="J963" s="5" t="n">
        <v>4.83</v>
      </c>
      <c r="K963" s="5" t="n"/>
      <c r="L963" s="5" t="n"/>
      <c r="M963" s="5" t="n"/>
      <c r="N963" s="5" t="n"/>
      <c r="O963" s="5" t="n">
        <v>29</v>
      </c>
      <c r="P963" s="5" t="n">
        <v>29</v>
      </c>
      <c r="Q963" s="5" t="n"/>
      <c r="R963" s="5" t="n"/>
    </row>
    <row r="964">
      <c r="A964" s="2" t="inlineStr">
        <is>
          <t>EJ051124.TXT</t>
        </is>
      </c>
      <c r="B964" s="3" t="inlineStr">
        <is>
          <t>005629</t>
        </is>
      </c>
      <c r="C964" s="3" t="inlineStr">
        <is>
          <t>004524</t>
        </is>
      </c>
      <c r="D964" s="4" t="n">
        <v>45601</v>
      </c>
      <c r="E964" s="2" t="inlineStr">
        <is>
          <t>17:22</t>
        </is>
      </c>
      <c r="F964" s="5" t="n">
        <v>208.33</v>
      </c>
      <c r="G964" s="5" t="n"/>
      <c r="H964" s="5" t="n"/>
      <c r="I964" s="5" t="n"/>
      <c r="J964" s="5" t="n">
        <v>41.67</v>
      </c>
      <c r="K964" s="5" t="n"/>
      <c r="L964" s="5" t="n"/>
      <c r="M964" s="5" t="n"/>
      <c r="N964" s="5" t="n"/>
      <c r="O964" s="5" t="n">
        <v>250</v>
      </c>
      <c r="P964" s="5" t="n"/>
      <c r="Q964" s="5" t="n">
        <v>250</v>
      </c>
      <c r="R964" s="5" t="n"/>
    </row>
    <row r="965">
      <c r="A965" s="2" t="inlineStr">
        <is>
          <t>EJ301124.TXT</t>
        </is>
      </c>
      <c r="B965" s="3" t="inlineStr">
        <is>
          <t>005637</t>
        </is>
      </c>
      <c r="C965" s="3" t="inlineStr">
        <is>
          <t>004525</t>
        </is>
      </c>
      <c r="D965" s="4" t="n">
        <v>45602</v>
      </c>
      <c r="E965" s="2" t="inlineStr">
        <is>
          <t>09:48</t>
        </is>
      </c>
      <c r="F965" s="5" t="n">
        <v>208.33</v>
      </c>
      <c r="G965" s="5" t="n"/>
      <c r="H965" s="5" t="n"/>
      <c r="I965" s="5" t="n"/>
      <c r="J965" s="5" t="n">
        <v>41.67</v>
      </c>
      <c r="K965" s="5" t="n"/>
      <c r="L965" s="5" t="n"/>
      <c r="M965" s="5" t="n"/>
      <c r="N965" s="5" t="n"/>
      <c r="O965" s="5" t="n">
        <v>250</v>
      </c>
      <c r="P965" s="5" t="n"/>
      <c r="Q965" s="5" t="n">
        <v>250</v>
      </c>
      <c r="R965" s="5" t="n"/>
    </row>
    <row r="966">
      <c r="A966" s="2" t="inlineStr">
        <is>
          <t>EJ301124.TXT</t>
        </is>
      </c>
      <c r="B966" s="3" t="inlineStr">
        <is>
          <t>005638</t>
        </is>
      </c>
      <c r="C966" s="3" t="inlineStr">
        <is>
          <t>004526</t>
        </is>
      </c>
      <c r="D966" s="4" t="n">
        <v>45604</v>
      </c>
      <c r="E966" s="2" t="inlineStr">
        <is>
          <t>18:23</t>
        </is>
      </c>
      <c r="F966" s="5" t="n">
        <v>324.17</v>
      </c>
      <c r="G966" s="5" t="n"/>
      <c r="H966" s="5" t="n"/>
      <c r="I966" s="5" t="n"/>
      <c r="J966" s="5" t="n">
        <v>64.83</v>
      </c>
      <c r="K966" s="5" t="n"/>
      <c r="L966" s="5" t="n"/>
      <c r="M966" s="5" t="n"/>
      <c r="N966" s="5" t="n"/>
      <c r="O966" s="5" t="n">
        <v>389</v>
      </c>
      <c r="P966" s="5" t="n">
        <v>389</v>
      </c>
      <c r="Q966" s="5" t="n"/>
      <c r="R966" s="5" t="n"/>
    </row>
    <row r="967">
      <c r="A967" s="2" t="inlineStr">
        <is>
          <t>EJ301124.TXT</t>
        </is>
      </c>
      <c r="B967" s="3" t="inlineStr">
        <is>
          <t>005639</t>
        </is>
      </c>
      <c r="C967" s="3" t="inlineStr">
        <is>
          <t>004527</t>
        </is>
      </c>
      <c r="D967" s="4" t="n">
        <v>45604</v>
      </c>
      <c r="E967" s="2" t="inlineStr">
        <is>
          <t>18:40</t>
        </is>
      </c>
      <c r="F967" s="5" t="n">
        <v>33.25</v>
      </c>
      <c r="G967" s="5" t="n"/>
      <c r="H967" s="5" t="n"/>
      <c r="I967" s="5" t="n"/>
      <c r="J967" s="5" t="n">
        <v>6.65</v>
      </c>
      <c r="K967" s="5" t="n"/>
      <c r="L967" s="5" t="n"/>
      <c r="M967" s="5" t="n"/>
      <c r="N967" s="5" t="n"/>
      <c r="O967" s="5" t="n">
        <v>39.9</v>
      </c>
      <c r="P967" s="5" t="n">
        <v>39.9</v>
      </c>
      <c r="Q967" s="5" t="n"/>
      <c r="R967" s="5" t="n"/>
    </row>
    <row r="968">
      <c r="A968" s="2" t="inlineStr">
        <is>
          <t>EJ301124.TXT</t>
        </is>
      </c>
      <c r="B968" s="3" t="inlineStr">
        <is>
          <t>005640</t>
        </is>
      </c>
      <c r="C968" s="3" t="inlineStr">
        <is>
          <t>004528</t>
        </is>
      </c>
      <c r="D968" s="4" t="n">
        <v>45605</v>
      </c>
      <c r="E968" s="2" t="inlineStr">
        <is>
          <t>16:17</t>
        </is>
      </c>
      <c r="F968" s="5" t="n">
        <v>93.15000000000001</v>
      </c>
      <c r="G968" s="5" t="n"/>
      <c r="H968" s="5" t="n"/>
      <c r="I968" s="5" t="n"/>
      <c r="J968" s="5" t="n">
        <v>18.63</v>
      </c>
      <c r="K968" s="5" t="n"/>
      <c r="L968" s="5" t="n"/>
      <c r="M968" s="5" t="n"/>
      <c r="N968" s="5" t="n"/>
      <c r="O968" s="5" t="n">
        <v>111.78</v>
      </c>
      <c r="P968" s="5" t="n">
        <v>111.78</v>
      </c>
      <c r="Q968" s="5" t="n"/>
      <c r="R968" s="5" t="n"/>
    </row>
    <row r="969">
      <c r="A969" s="2" t="inlineStr">
        <is>
          <t>EJ301124.TXT</t>
        </is>
      </c>
      <c r="B969" s="3" t="inlineStr">
        <is>
          <t>005641</t>
        </is>
      </c>
      <c r="C969" s="3" t="inlineStr">
        <is>
          <t>004529</t>
        </is>
      </c>
      <c r="D969" s="4" t="n">
        <v>45605</v>
      </c>
      <c r="E969" s="2" t="inlineStr">
        <is>
          <t>16:18</t>
        </is>
      </c>
      <c r="F969" s="5" t="n">
        <v>163.35</v>
      </c>
      <c r="G969" s="5" t="n"/>
      <c r="H969" s="5" t="n"/>
      <c r="I969" s="5" t="n"/>
      <c r="J969" s="5" t="n">
        <v>32.67</v>
      </c>
      <c r="K969" s="5" t="n"/>
      <c r="L969" s="5" t="n"/>
      <c r="M969" s="5" t="n"/>
      <c r="N969" s="5" t="n"/>
      <c r="O969" s="5" t="n">
        <v>196.02</v>
      </c>
      <c r="P969" s="5" t="n">
        <v>196.02</v>
      </c>
      <c r="Q969" s="5" t="n"/>
      <c r="R969" s="5" t="n"/>
    </row>
    <row r="970">
      <c r="A970" s="2" t="inlineStr">
        <is>
          <t>EJ301124.TXT</t>
        </is>
      </c>
      <c r="B970" s="3" t="inlineStr">
        <is>
          <t>005642</t>
        </is>
      </c>
      <c r="C970" s="3" t="inlineStr">
        <is>
          <t>004530</t>
        </is>
      </c>
      <c r="D970" s="4" t="n">
        <v>45614</v>
      </c>
      <c r="E970" s="2" t="inlineStr">
        <is>
          <t>15:40</t>
        </is>
      </c>
      <c r="F970" s="5" t="n">
        <v>830</v>
      </c>
      <c r="G970" s="5" t="n"/>
      <c r="H970" s="5" t="n"/>
      <c r="I970" s="5" t="n"/>
      <c r="J970" s="5" t="n">
        <v>166</v>
      </c>
      <c r="K970" s="5" t="n"/>
      <c r="L970" s="5" t="n"/>
      <c r="M970" s="5" t="n"/>
      <c r="N970" s="5" t="n"/>
      <c r="O970" s="5" t="n">
        <v>996</v>
      </c>
      <c r="P970" s="5" t="n"/>
      <c r="Q970" s="5" t="n">
        <v>996</v>
      </c>
      <c r="R970" s="5" t="n"/>
    </row>
    <row r="971">
      <c r="A971" s="2" t="inlineStr">
        <is>
          <t>EJ301124.TXT</t>
        </is>
      </c>
      <c r="B971" s="3" t="inlineStr">
        <is>
          <t>005643</t>
        </is>
      </c>
      <c r="C971" s="3" t="inlineStr">
        <is>
          <t>004531</t>
        </is>
      </c>
      <c r="D971" s="4" t="n">
        <v>45614</v>
      </c>
      <c r="E971" s="2" t="inlineStr">
        <is>
          <t>16:36</t>
        </is>
      </c>
      <c r="F971" s="5" t="n">
        <v>208.33</v>
      </c>
      <c r="G971" s="5" t="n"/>
      <c r="H971" s="5" t="n"/>
      <c r="I971" s="5" t="n"/>
      <c r="J971" s="5" t="n">
        <v>41.67</v>
      </c>
      <c r="K971" s="5" t="n"/>
      <c r="L971" s="5" t="n"/>
      <c r="M971" s="5" t="n"/>
      <c r="N971" s="5" t="n"/>
      <c r="O971" s="5" t="n">
        <v>250</v>
      </c>
      <c r="P971" s="5" t="n"/>
      <c r="Q971" s="5" t="n">
        <v>250</v>
      </c>
      <c r="R971" s="5" t="n"/>
    </row>
    <row r="972">
      <c r="A972" s="2" t="inlineStr">
        <is>
          <t>EJ301124.TXT</t>
        </is>
      </c>
      <c r="B972" s="3" t="inlineStr">
        <is>
          <t>005644</t>
        </is>
      </c>
      <c r="C972" s="3" t="inlineStr">
        <is>
          <t>004532</t>
        </is>
      </c>
      <c r="D972" s="4" t="n">
        <v>45615</v>
      </c>
      <c r="E972" s="2" t="inlineStr">
        <is>
          <t>11:56</t>
        </is>
      </c>
      <c r="F972" s="5" t="n">
        <v>190.83</v>
      </c>
      <c r="G972" s="5" t="n"/>
      <c r="H972" s="5" t="n"/>
      <c r="I972" s="5" t="n"/>
      <c r="J972" s="5" t="n">
        <v>38.17</v>
      </c>
      <c r="K972" s="5" t="n"/>
      <c r="L972" s="5" t="n"/>
      <c r="M972" s="5" t="n"/>
      <c r="N972" s="5" t="n"/>
      <c r="O972" s="5" t="n">
        <v>229</v>
      </c>
      <c r="P972" s="5" t="n">
        <v>229</v>
      </c>
      <c r="Q972" s="5" t="n"/>
      <c r="R972" s="5" t="n"/>
    </row>
    <row r="973">
      <c r="A973" s="2" t="inlineStr">
        <is>
          <t>EJ301124.TXT</t>
        </is>
      </c>
      <c r="B973" s="3" t="inlineStr">
        <is>
          <t>005645</t>
        </is>
      </c>
      <c r="C973" s="3" t="inlineStr">
        <is>
          <t>004533</t>
        </is>
      </c>
      <c r="D973" s="4" t="n">
        <v>45621</v>
      </c>
      <c r="E973" s="2" t="inlineStr">
        <is>
          <t>11:36</t>
        </is>
      </c>
      <c r="F973" s="5" t="n">
        <v>199.17</v>
      </c>
      <c r="G973" s="5" t="n"/>
      <c r="H973" s="5" t="n"/>
      <c r="I973" s="5" t="n"/>
      <c r="J973" s="5" t="n">
        <v>39.83</v>
      </c>
      <c r="K973" s="5" t="n"/>
      <c r="L973" s="5" t="n"/>
      <c r="M973" s="5" t="n"/>
      <c r="N973" s="5" t="n"/>
      <c r="O973" s="5" t="n">
        <v>239</v>
      </c>
      <c r="P973" s="5" t="n">
        <v>239</v>
      </c>
      <c r="Q973" s="5" t="n"/>
      <c r="R973" s="5" t="n"/>
    </row>
    <row r="974">
      <c r="A974" s="2" t="inlineStr">
        <is>
          <t>EJ301124.TXT</t>
        </is>
      </c>
      <c r="B974" s="3" t="inlineStr">
        <is>
          <t>005646</t>
        </is>
      </c>
      <c r="C974" s="3" t="inlineStr">
        <is>
          <t>004534</t>
        </is>
      </c>
      <c r="D974" s="4" t="n">
        <v>45625</v>
      </c>
      <c r="E974" s="2" t="inlineStr">
        <is>
          <t>17:20</t>
        </is>
      </c>
      <c r="F974" s="5" t="n">
        <v>208.33</v>
      </c>
      <c r="G974" s="5" t="n"/>
      <c r="H974" s="5" t="n"/>
      <c r="I974" s="5" t="n"/>
      <c r="J974" s="5" t="n">
        <v>41.67</v>
      </c>
      <c r="K974" s="5" t="n"/>
      <c r="L974" s="5" t="n"/>
      <c r="M974" s="5" t="n"/>
      <c r="N974" s="5" t="n"/>
      <c r="O974" s="5" t="n">
        <v>250</v>
      </c>
      <c r="P974" s="5" t="n"/>
      <c r="Q974" s="5" t="n">
        <v>250</v>
      </c>
      <c r="R974" s="5" t="n"/>
    </row>
    <row r="975">
      <c r="A975" s="2" t="inlineStr">
        <is>
          <t>EJ301124.TXT</t>
        </is>
      </c>
      <c r="B975" s="3" t="inlineStr">
        <is>
          <t>005647</t>
        </is>
      </c>
      <c r="C975" s="3" t="inlineStr">
        <is>
          <t>004535</t>
        </is>
      </c>
      <c r="D975" s="4" t="n">
        <v>45626</v>
      </c>
      <c r="E975" s="2" t="inlineStr">
        <is>
          <t>15:32</t>
        </is>
      </c>
      <c r="F975" s="5" t="n">
        <v>1210.75</v>
      </c>
      <c r="G975" s="5" t="n"/>
      <c r="H975" s="5" t="n"/>
      <c r="I975" s="5" t="n"/>
      <c r="J975" s="5" t="n">
        <v>242.15</v>
      </c>
      <c r="K975" s="5" t="n"/>
      <c r="L975" s="5" t="n"/>
      <c r="M975" s="5" t="n"/>
      <c r="N975" s="5" t="n"/>
      <c r="O975" s="5" t="n">
        <v>1452.9</v>
      </c>
      <c r="P975" s="5" t="n">
        <v>1452.9</v>
      </c>
      <c r="Q975" s="5" t="n"/>
      <c r="R975" s="5" t="n"/>
    </row>
    <row r="976">
      <c r="A976" s="2" t="inlineStr">
        <is>
          <t>EJ301124.TXT</t>
        </is>
      </c>
      <c r="B976" s="3" t="inlineStr">
        <is>
          <t>005648</t>
        </is>
      </c>
      <c r="C976" s="3" t="inlineStr">
        <is>
          <t>004536</t>
        </is>
      </c>
      <c r="D976" s="4" t="n">
        <v>45626</v>
      </c>
      <c r="E976" s="2" t="inlineStr">
        <is>
          <t>16:29</t>
        </is>
      </c>
      <c r="F976" s="5" t="n">
        <v>274.17</v>
      </c>
      <c r="G976" s="5" t="n"/>
      <c r="H976" s="5" t="n"/>
      <c r="I976" s="5" t="n"/>
      <c r="J976" s="5" t="n">
        <v>54.83</v>
      </c>
      <c r="K976" s="5" t="n"/>
      <c r="L976" s="5" t="n"/>
      <c r="M976" s="5" t="n"/>
      <c r="N976" s="5" t="n"/>
      <c r="O976" s="5" t="n">
        <v>329</v>
      </c>
      <c r="P976" s="5" t="n">
        <v>329</v>
      </c>
      <c r="Q976" s="5" t="n"/>
      <c r="R976" s="5" t="n"/>
    </row>
    <row r="977">
      <c r="A977" s="2" t="inlineStr">
        <is>
          <t>EJ020125.TXT</t>
        </is>
      </c>
      <c r="B977" s="3" t="inlineStr">
        <is>
          <t>005656</t>
        </is>
      </c>
      <c r="C977" s="3" t="inlineStr">
        <is>
          <t>004537</t>
        </is>
      </c>
      <c r="D977" s="4" t="n">
        <v>45629</v>
      </c>
      <c r="E977" s="2" t="inlineStr">
        <is>
          <t>16:04</t>
        </is>
      </c>
      <c r="F977" s="5" t="n">
        <v>124.17</v>
      </c>
      <c r="G977" s="5" t="n"/>
      <c r="H977" s="5" t="n"/>
      <c r="I977" s="5" t="n"/>
      <c r="J977" s="5" t="n">
        <v>24.83</v>
      </c>
      <c r="K977" s="5" t="n"/>
      <c r="L977" s="5" t="n"/>
      <c r="M977" s="5" t="n"/>
      <c r="N977" s="5" t="n"/>
      <c r="O977" s="5" t="n">
        <v>149</v>
      </c>
      <c r="P977" s="5" t="n">
        <v>149</v>
      </c>
      <c r="Q977" s="5" t="n"/>
      <c r="R977" s="5" t="n"/>
    </row>
    <row r="978">
      <c r="A978" s="2" t="inlineStr">
        <is>
          <t>EJ020125.TXT</t>
        </is>
      </c>
      <c r="B978" s="3" t="inlineStr">
        <is>
          <t>005657</t>
        </is>
      </c>
      <c r="C978" s="3" t="inlineStr">
        <is>
          <t>004538</t>
        </is>
      </c>
      <c r="D978" s="4" t="n">
        <v>45629</v>
      </c>
      <c r="E978" s="2" t="inlineStr">
        <is>
          <t>17:35</t>
        </is>
      </c>
      <c r="F978" s="5" t="n">
        <v>208.33</v>
      </c>
      <c r="G978" s="5" t="n"/>
      <c r="H978" s="5" t="n"/>
      <c r="I978" s="5" t="n"/>
      <c r="J978" s="5" t="n">
        <v>41.67</v>
      </c>
      <c r="K978" s="5" t="n"/>
      <c r="L978" s="5" t="n"/>
      <c r="M978" s="5" t="n"/>
      <c r="N978" s="5" t="n"/>
      <c r="O978" s="5" t="n">
        <v>250</v>
      </c>
      <c r="P978" s="5" t="n"/>
      <c r="Q978" s="5" t="n">
        <v>250</v>
      </c>
      <c r="R978" s="5" t="n"/>
    </row>
    <row r="979">
      <c r="A979" s="2" t="inlineStr">
        <is>
          <t>EJ020125.TXT</t>
        </is>
      </c>
      <c r="B979" s="3" t="inlineStr">
        <is>
          <t>005658</t>
        </is>
      </c>
      <c r="C979" s="3" t="inlineStr">
        <is>
          <t>004539</t>
        </is>
      </c>
      <c r="D979" s="4" t="n">
        <v>45632</v>
      </c>
      <c r="E979" s="2" t="inlineStr">
        <is>
          <t>11:59</t>
        </is>
      </c>
      <c r="F979" s="5" t="n">
        <v>548.33</v>
      </c>
      <c r="G979" s="5" t="n"/>
      <c r="H979" s="5" t="n"/>
      <c r="I979" s="5" t="n"/>
      <c r="J979" s="5" t="n">
        <v>109.67</v>
      </c>
      <c r="K979" s="5" t="n"/>
      <c r="L979" s="5" t="n"/>
      <c r="M979" s="5" t="n"/>
      <c r="N979" s="5" t="n"/>
      <c r="O979" s="5" t="n">
        <v>658</v>
      </c>
      <c r="P979" s="5" t="n"/>
      <c r="Q979" s="5" t="n">
        <v>658</v>
      </c>
      <c r="R979" s="5" t="n"/>
    </row>
    <row r="980">
      <c r="A980" s="2" t="inlineStr">
        <is>
          <t>EJ020125.TXT</t>
        </is>
      </c>
      <c r="B980" s="3" t="inlineStr">
        <is>
          <t>005659</t>
        </is>
      </c>
      <c r="C980" s="3" t="inlineStr">
        <is>
          <t>004540</t>
        </is>
      </c>
      <c r="D980" s="4" t="n">
        <v>45632</v>
      </c>
      <c r="E980" s="2" t="inlineStr">
        <is>
          <t>11:59</t>
        </is>
      </c>
      <c r="F980" s="5" t="n">
        <v>548.33</v>
      </c>
      <c r="G980" s="5" t="n"/>
      <c r="H980" s="5" t="n"/>
      <c r="I980" s="5" t="n"/>
      <c r="J980" s="5" t="n">
        <v>109.67</v>
      </c>
      <c r="K980" s="5" t="n"/>
      <c r="L980" s="5" t="n"/>
      <c r="M980" s="5" t="n"/>
      <c r="N980" s="5" t="n"/>
      <c r="O980" s="5" t="n">
        <v>658</v>
      </c>
      <c r="P980" s="5" t="n"/>
      <c r="Q980" s="5" t="n">
        <v>658</v>
      </c>
      <c r="R980" s="5" t="n"/>
    </row>
    <row r="981">
      <c r="A981" s="2" t="inlineStr">
        <is>
          <t>EJ020125.TXT</t>
        </is>
      </c>
      <c r="B981" s="3" t="inlineStr">
        <is>
          <t>005660</t>
        </is>
      </c>
      <c r="C981" s="3" t="inlineStr">
        <is>
          <t>004541</t>
        </is>
      </c>
      <c r="D981" s="4" t="n">
        <v>45632</v>
      </c>
      <c r="E981" s="2" t="inlineStr">
        <is>
          <t>18:13</t>
        </is>
      </c>
      <c r="F981" s="5" t="n">
        <v>166.33</v>
      </c>
      <c r="G981" s="5" t="n"/>
      <c r="H981" s="5" t="n"/>
      <c r="I981" s="5" t="n"/>
      <c r="J981" s="5" t="n">
        <v>33.27</v>
      </c>
      <c r="K981" s="5" t="n"/>
      <c r="L981" s="5" t="n"/>
      <c r="M981" s="5" t="n"/>
      <c r="N981" s="5" t="n"/>
      <c r="O981" s="5" t="n">
        <v>199.6</v>
      </c>
      <c r="P981" s="5" t="n"/>
      <c r="Q981" s="5" t="n">
        <v>199.6</v>
      </c>
      <c r="R981" s="5" t="n"/>
    </row>
    <row r="982">
      <c r="A982" s="2" t="inlineStr">
        <is>
          <t>EJ020125.TXT</t>
        </is>
      </c>
      <c r="B982" s="3" t="inlineStr">
        <is>
          <t>005661</t>
        </is>
      </c>
      <c r="C982" s="3" t="inlineStr">
        <is>
          <t>004542</t>
        </is>
      </c>
      <c r="D982" s="4" t="n">
        <v>45635</v>
      </c>
      <c r="E982" s="2" t="inlineStr">
        <is>
          <t>14:35</t>
        </is>
      </c>
      <c r="F982" s="5" t="n">
        <v>648.17</v>
      </c>
      <c r="G982" s="5" t="n"/>
      <c r="H982" s="5" t="n"/>
      <c r="I982" s="5" t="n"/>
      <c r="J982" s="5" t="n">
        <v>129.63</v>
      </c>
      <c r="K982" s="5" t="n"/>
      <c r="L982" s="5" t="n"/>
      <c r="M982" s="5" t="n"/>
      <c r="N982" s="5" t="n"/>
      <c r="O982" s="5" t="n">
        <v>777.8</v>
      </c>
      <c r="P982" s="5" t="n"/>
      <c r="Q982" s="5" t="n">
        <v>777.8</v>
      </c>
      <c r="R982" s="5" t="n"/>
    </row>
    <row r="983">
      <c r="A983" s="2" t="inlineStr">
        <is>
          <t>EJ020125.TXT</t>
        </is>
      </c>
      <c r="B983" s="3" t="inlineStr">
        <is>
          <t>005662</t>
        </is>
      </c>
      <c r="C983" s="3" t="inlineStr">
        <is>
          <t>004543</t>
        </is>
      </c>
      <c r="D983" s="4" t="n">
        <v>45637</v>
      </c>
      <c r="E983" s="2" t="inlineStr">
        <is>
          <t>11:36</t>
        </is>
      </c>
      <c r="F983" s="5" t="n">
        <v>1096.67</v>
      </c>
      <c r="G983" s="5" t="n"/>
      <c r="H983" s="5" t="n"/>
      <c r="I983" s="5" t="n"/>
      <c r="J983" s="5" t="n">
        <v>219.33</v>
      </c>
      <c r="K983" s="5" t="n"/>
      <c r="L983" s="5" t="n"/>
      <c r="M983" s="5" t="n"/>
      <c r="N983" s="5" t="n"/>
      <c r="O983" s="5" t="n">
        <v>1316</v>
      </c>
      <c r="P983" s="5" t="n">
        <v>1316</v>
      </c>
      <c r="Q983" s="5" t="n"/>
      <c r="R983" s="5" t="n"/>
    </row>
    <row r="984">
      <c r="A984" s="2" t="inlineStr">
        <is>
          <t>EJ020125.TXT</t>
        </is>
      </c>
      <c r="B984" s="3" t="inlineStr">
        <is>
          <t>005663</t>
        </is>
      </c>
      <c r="C984" s="3" t="inlineStr">
        <is>
          <t>004544</t>
        </is>
      </c>
      <c r="D984" s="4" t="n">
        <v>45638</v>
      </c>
      <c r="E984" s="2" t="inlineStr">
        <is>
          <t>12:56</t>
        </is>
      </c>
      <c r="F984" s="5" t="n">
        <v>548.33</v>
      </c>
      <c r="G984" s="5" t="n"/>
      <c r="H984" s="5" t="n"/>
      <c r="I984" s="5" t="n"/>
      <c r="J984" s="5" t="n">
        <v>109.67</v>
      </c>
      <c r="K984" s="5" t="n"/>
      <c r="L984" s="5" t="n"/>
      <c r="M984" s="5" t="n"/>
      <c r="N984" s="5" t="n"/>
      <c r="O984" s="5" t="n">
        <v>658</v>
      </c>
      <c r="P984" s="5" t="n"/>
      <c r="Q984" s="5" t="n">
        <v>658</v>
      </c>
      <c r="R984" s="5" t="n"/>
    </row>
    <row r="985">
      <c r="A985" s="2" t="inlineStr">
        <is>
          <t>EJ020125.TXT</t>
        </is>
      </c>
      <c r="B985" s="3" t="inlineStr">
        <is>
          <t>005664</t>
        </is>
      </c>
      <c r="C985" s="3" t="inlineStr">
        <is>
          <t>004545</t>
        </is>
      </c>
      <c r="D985" s="4" t="n">
        <v>45643</v>
      </c>
      <c r="E985" s="2" t="inlineStr">
        <is>
          <t>14:57</t>
        </is>
      </c>
      <c r="F985" s="5" t="n">
        <v>548.33</v>
      </c>
      <c r="G985" s="5" t="n"/>
      <c r="H985" s="5" t="n"/>
      <c r="I985" s="5" t="n"/>
      <c r="J985" s="5" t="n">
        <v>109.67</v>
      </c>
      <c r="K985" s="5" t="n"/>
      <c r="L985" s="5" t="n"/>
      <c r="M985" s="5" t="n"/>
      <c r="N985" s="5" t="n"/>
      <c r="O985" s="5" t="n">
        <v>658</v>
      </c>
      <c r="P985" s="5" t="n"/>
      <c r="Q985" s="5" t="n">
        <v>658</v>
      </c>
      <c r="R985" s="5" t="n"/>
    </row>
    <row r="986">
      <c r="A986" s="2" t="inlineStr">
        <is>
          <t>EJ020125.TXT</t>
        </is>
      </c>
      <c r="B986" s="3" t="inlineStr">
        <is>
          <t>005665</t>
        </is>
      </c>
      <c r="C986" s="3" t="inlineStr">
        <is>
          <t>004546</t>
        </is>
      </c>
      <c r="D986" s="4" t="n">
        <v>45644</v>
      </c>
      <c r="E986" s="2" t="inlineStr">
        <is>
          <t>11:36</t>
        </is>
      </c>
      <c r="F986" s="5" t="n">
        <v>749.58</v>
      </c>
      <c r="G986" s="5" t="n"/>
      <c r="H986" s="5" t="n"/>
      <c r="I986" s="5" t="n"/>
      <c r="J986" s="5" t="n">
        <v>149.92</v>
      </c>
      <c r="K986" s="5" t="n"/>
      <c r="L986" s="5" t="n"/>
      <c r="M986" s="5" t="n"/>
      <c r="N986" s="5" t="n"/>
      <c r="O986" s="5" t="n">
        <v>899.5</v>
      </c>
      <c r="P986" s="5" t="n"/>
      <c r="Q986" s="5" t="n">
        <v>899.5</v>
      </c>
      <c r="R986" s="5" t="n"/>
    </row>
    <row r="987">
      <c r="A987" s="2" t="inlineStr">
        <is>
          <t>EJ020125.TXT</t>
        </is>
      </c>
      <c r="B987" s="3" t="inlineStr">
        <is>
          <t>005666</t>
        </is>
      </c>
      <c r="C987" s="3" t="inlineStr">
        <is>
          <t>004547</t>
        </is>
      </c>
      <c r="D987" s="4" t="n">
        <v>45644</v>
      </c>
      <c r="E987" s="2" t="inlineStr">
        <is>
          <t>11:36</t>
        </is>
      </c>
      <c r="F987" s="5" t="n">
        <v>749.58</v>
      </c>
      <c r="G987" s="5" t="n"/>
      <c r="H987" s="5" t="n"/>
      <c r="I987" s="5" t="n"/>
      <c r="J987" s="5" t="n">
        <v>149.92</v>
      </c>
      <c r="K987" s="5" t="n"/>
      <c r="L987" s="5" t="n"/>
      <c r="M987" s="5" t="n"/>
      <c r="N987" s="5" t="n"/>
      <c r="O987" s="5" t="n">
        <v>899.5</v>
      </c>
      <c r="P987" s="5" t="n"/>
      <c r="Q987" s="5" t="n">
        <v>899.5</v>
      </c>
      <c r="R987" s="5" t="n"/>
    </row>
    <row r="988">
      <c r="A988" s="2" t="inlineStr">
        <is>
          <t>EJ020125.TXT</t>
        </is>
      </c>
      <c r="B988" s="3" t="inlineStr">
        <is>
          <t>005667</t>
        </is>
      </c>
      <c r="C988" s="3" t="inlineStr">
        <is>
          <t>004548</t>
        </is>
      </c>
      <c r="D988" s="4" t="n">
        <v>45644</v>
      </c>
      <c r="E988" s="2" t="inlineStr">
        <is>
          <t>11:36</t>
        </is>
      </c>
      <c r="F988" s="5" t="n">
        <v>299.83</v>
      </c>
      <c r="G988" s="5" t="n"/>
      <c r="H988" s="5" t="n"/>
      <c r="I988" s="5" t="n"/>
      <c r="J988" s="5" t="n">
        <v>59.97</v>
      </c>
      <c r="K988" s="5" t="n"/>
      <c r="L988" s="5" t="n"/>
      <c r="M988" s="5" t="n"/>
      <c r="N988" s="5" t="n"/>
      <c r="O988" s="5" t="n">
        <v>359.8</v>
      </c>
      <c r="P988" s="5" t="n"/>
      <c r="Q988" s="5" t="n">
        <v>359.8</v>
      </c>
      <c r="R988" s="5" t="n"/>
    </row>
    <row r="989">
      <c r="A989" s="2" t="inlineStr">
        <is>
          <t>EJ020125.TXT</t>
        </is>
      </c>
      <c r="B989" s="3" t="inlineStr">
        <is>
          <t>005668</t>
        </is>
      </c>
      <c r="C989" s="3" t="inlineStr">
        <is>
          <t>004549</t>
        </is>
      </c>
      <c r="D989" s="4" t="n">
        <v>45644</v>
      </c>
      <c r="E989" s="2" t="inlineStr">
        <is>
          <t>14:52</t>
        </is>
      </c>
      <c r="F989" s="5" t="n">
        <v>548.33</v>
      </c>
      <c r="G989" s="5" t="n"/>
      <c r="H989" s="5" t="n"/>
      <c r="I989" s="5" t="n"/>
      <c r="J989" s="5" t="n">
        <v>109.67</v>
      </c>
      <c r="K989" s="5" t="n"/>
      <c r="L989" s="5" t="n"/>
      <c r="M989" s="5" t="n"/>
      <c r="N989" s="5" t="n"/>
      <c r="O989" s="5" t="n">
        <v>658</v>
      </c>
      <c r="P989" s="5" t="n"/>
      <c r="Q989" s="5" t="n">
        <v>658</v>
      </c>
      <c r="R989" s="5" t="n"/>
    </row>
    <row r="990">
      <c r="A990" s="2" t="inlineStr">
        <is>
          <t>EJ020125.TXT</t>
        </is>
      </c>
      <c r="B990" s="3" t="inlineStr">
        <is>
          <t>005669</t>
        </is>
      </c>
      <c r="C990" s="3" t="inlineStr">
        <is>
          <t>004550</t>
        </is>
      </c>
      <c r="D990" s="4" t="n">
        <v>45644</v>
      </c>
      <c r="E990" s="2" t="inlineStr">
        <is>
          <t>14:56</t>
        </is>
      </c>
      <c r="F990" s="5" t="n">
        <v>73.33</v>
      </c>
      <c r="G990" s="5" t="n"/>
      <c r="H990" s="5" t="n"/>
      <c r="I990" s="5" t="n"/>
      <c r="J990" s="5" t="n">
        <v>14.67</v>
      </c>
      <c r="K990" s="5" t="n"/>
      <c r="L990" s="5" t="n"/>
      <c r="M990" s="5" t="n"/>
      <c r="N990" s="5" t="n"/>
      <c r="O990" s="5" t="n">
        <v>88</v>
      </c>
      <c r="P990" s="5" t="n">
        <v>88</v>
      </c>
      <c r="Q990" s="5" t="n"/>
      <c r="R990" s="5" t="n"/>
    </row>
    <row r="991">
      <c r="A991" s="2" t="inlineStr">
        <is>
          <t>EJ020125.TXT</t>
        </is>
      </c>
      <c r="B991" s="3" t="inlineStr">
        <is>
          <t>005670</t>
        </is>
      </c>
      <c r="C991" s="3" t="inlineStr">
        <is>
          <t>004551</t>
        </is>
      </c>
      <c r="D991" s="4" t="n">
        <v>45644</v>
      </c>
      <c r="E991" s="2" t="inlineStr">
        <is>
          <t>15:42</t>
        </is>
      </c>
      <c r="F991" s="5" t="n">
        <v>424.08</v>
      </c>
      <c r="G991" s="5" t="n"/>
      <c r="H991" s="5" t="n"/>
      <c r="I991" s="5" t="n"/>
      <c r="J991" s="5" t="n">
        <v>84.81999999999999</v>
      </c>
      <c r="K991" s="5" t="n"/>
      <c r="L991" s="5" t="n"/>
      <c r="M991" s="5" t="n"/>
      <c r="N991" s="5" t="n"/>
      <c r="O991" s="5" t="n">
        <v>508.9</v>
      </c>
      <c r="P991" s="5" t="n"/>
      <c r="Q991" s="5" t="n">
        <v>508.9</v>
      </c>
      <c r="R991" s="5" t="n"/>
    </row>
    <row r="992">
      <c r="A992" s="2" t="inlineStr">
        <is>
          <t>EJ020125.TXT</t>
        </is>
      </c>
      <c r="B992" s="3" t="inlineStr">
        <is>
          <t>005671</t>
        </is>
      </c>
      <c r="C992" s="3" t="inlineStr">
        <is>
          <t>004552</t>
        </is>
      </c>
      <c r="D992" s="4" t="n">
        <v>45645</v>
      </c>
      <c r="E992" s="2" t="inlineStr">
        <is>
          <t>16:37</t>
        </is>
      </c>
      <c r="F992" s="5" t="n">
        <v>83</v>
      </c>
      <c r="G992" s="5" t="n"/>
      <c r="H992" s="5" t="n"/>
      <c r="I992" s="5" t="n"/>
      <c r="J992" s="5" t="n">
        <v>16.6</v>
      </c>
      <c r="K992" s="5" t="n"/>
      <c r="L992" s="5" t="n"/>
      <c r="M992" s="5" t="n"/>
      <c r="N992" s="5" t="n"/>
      <c r="O992" s="5" t="n">
        <v>99.59999999999999</v>
      </c>
      <c r="P992" s="5" t="n"/>
      <c r="Q992" s="5" t="n">
        <v>99.59999999999999</v>
      </c>
      <c r="R992" s="5" t="n"/>
    </row>
    <row r="993">
      <c r="A993" s="2" t="inlineStr">
        <is>
          <t>EJ020125.TXT</t>
        </is>
      </c>
      <c r="B993" s="3" t="inlineStr">
        <is>
          <t>005672</t>
        </is>
      </c>
      <c r="C993" s="3" t="inlineStr">
        <is>
          <t>004553</t>
        </is>
      </c>
      <c r="D993" s="4" t="n">
        <v>45645</v>
      </c>
      <c r="E993" s="2" t="inlineStr">
        <is>
          <t>17:31</t>
        </is>
      </c>
      <c r="F993" s="5" t="n">
        <v>329.17</v>
      </c>
      <c r="G993" s="5" t="n"/>
      <c r="H993" s="5" t="n"/>
      <c r="I993" s="5" t="n"/>
      <c r="J993" s="5" t="n">
        <v>65.83</v>
      </c>
      <c r="K993" s="5" t="n"/>
      <c r="L993" s="5" t="n"/>
      <c r="M993" s="5" t="n"/>
      <c r="N993" s="5" t="n"/>
      <c r="O993" s="5" t="n">
        <v>395</v>
      </c>
      <c r="P993" s="5" t="n"/>
      <c r="Q993" s="5" t="n">
        <v>395</v>
      </c>
      <c r="R993" s="5" t="n"/>
    </row>
    <row r="994">
      <c r="A994" s="2" t="inlineStr">
        <is>
          <t>EJ020125.TXT</t>
        </is>
      </c>
      <c r="B994" s="3" t="inlineStr">
        <is>
          <t>005673</t>
        </is>
      </c>
      <c r="C994" s="3" t="inlineStr">
        <is>
          <t>004554</t>
        </is>
      </c>
      <c r="D994" s="4" t="n">
        <v>45645</v>
      </c>
      <c r="E994" s="2" t="inlineStr">
        <is>
          <t>18:17</t>
        </is>
      </c>
      <c r="F994" s="5" t="n">
        <v>548.33</v>
      </c>
      <c r="G994" s="5" t="n"/>
      <c r="H994" s="5" t="n"/>
      <c r="I994" s="5" t="n"/>
      <c r="J994" s="5" t="n">
        <v>109.67</v>
      </c>
      <c r="K994" s="5" t="n"/>
      <c r="L994" s="5" t="n"/>
      <c r="M994" s="5" t="n"/>
      <c r="N994" s="5" t="n"/>
      <c r="O994" s="5" t="n">
        <v>658</v>
      </c>
      <c r="P994" s="5" t="n"/>
      <c r="Q994" s="5" t="n">
        <v>658</v>
      </c>
      <c r="R994" s="5" t="n"/>
    </row>
    <row r="995">
      <c r="A995" s="2" t="inlineStr">
        <is>
          <t>EJ020125.TXT</t>
        </is>
      </c>
      <c r="B995" s="3" t="inlineStr">
        <is>
          <t>005674</t>
        </is>
      </c>
      <c r="C995" s="3" t="inlineStr">
        <is>
          <t>004555</t>
        </is>
      </c>
      <c r="D995" s="4" t="n">
        <v>45645</v>
      </c>
      <c r="E995" s="2" t="inlineStr">
        <is>
          <t>18:17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/>
      <c r="Q995" s="5" t="n">
        <v>658</v>
      </c>
      <c r="R995" s="5" t="n"/>
    </row>
    <row r="996">
      <c r="A996" s="2" t="inlineStr">
        <is>
          <t>EJ020125.TXT</t>
        </is>
      </c>
      <c r="B996" s="3" t="inlineStr">
        <is>
          <t>005675</t>
        </is>
      </c>
      <c r="C996" s="3" t="inlineStr">
        <is>
          <t>004556</t>
        </is>
      </c>
      <c r="D996" s="4" t="n">
        <v>45646</v>
      </c>
      <c r="E996" s="2" t="inlineStr">
        <is>
          <t>10:07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/>
      <c r="Q996" s="5" t="n">
        <v>658</v>
      </c>
      <c r="R996" s="5" t="n"/>
    </row>
    <row r="997">
      <c r="A997" s="2" t="inlineStr">
        <is>
          <t>EJ020125.TXT</t>
        </is>
      </c>
      <c r="B997" s="3" t="inlineStr">
        <is>
          <t>005676</t>
        </is>
      </c>
      <c r="C997" s="3" t="inlineStr">
        <is>
          <t>004557</t>
        </is>
      </c>
      <c r="D997" s="4" t="n">
        <v>45646</v>
      </c>
      <c r="E997" s="2" t="inlineStr">
        <is>
          <t>10:07</t>
        </is>
      </c>
      <c r="F997" s="5" t="n">
        <v>548.33</v>
      </c>
      <c r="G997" s="5" t="n"/>
      <c r="H997" s="5" t="n"/>
      <c r="I997" s="5" t="n"/>
      <c r="J997" s="5" t="n">
        <v>109.67</v>
      </c>
      <c r="K997" s="5" t="n"/>
      <c r="L997" s="5" t="n"/>
      <c r="M997" s="5" t="n"/>
      <c r="N997" s="5" t="n"/>
      <c r="O997" s="5" t="n">
        <v>658</v>
      </c>
      <c r="P997" s="5" t="n"/>
      <c r="Q997" s="5" t="n">
        <v>658</v>
      </c>
      <c r="R997" s="5" t="n"/>
    </row>
    <row r="998">
      <c r="A998" s="2" t="inlineStr">
        <is>
          <t>EJ020125.TXT</t>
        </is>
      </c>
      <c r="B998" s="3" t="inlineStr">
        <is>
          <t>005677</t>
        </is>
      </c>
      <c r="C998" s="3" t="inlineStr">
        <is>
          <t>004558</t>
        </is>
      </c>
      <c r="D998" s="4" t="n">
        <v>45646</v>
      </c>
      <c r="E998" s="2" t="inlineStr">
        <is>
          <t>10:16</t>
        </is>
      </c>
      <c r="F998" s="5" t="n">
        <v>208.33</v>
      </c>
      <c r="G998" s="5" t="n"/>
      <c r="H998" s="5" t="n"/>
      <c r="I998" s="5" t="n"/>
      <c r="J998" s="5" t="n">
        <v>41.67</v>
      </c>
      <c r="K998" s="5" t="n"/>
      <c r="L998" s="5" t="n"/>
      <c r="M998" s="5" t="n"/>
      <c r="N998" s="5" t="n"/>
      <c r="O998" s="5" t="n">
        <v>250</v>
      </c>
      <c r="P998" s="5" t="n"/>
      <c r="Q998" s="5" t="n">
        <v>250</v>
      </c>
      <c r="R998" s="5" t="n"/>
    </row>
    <row r="999">
      <c r="A999" s="2" t="inlineStr">
        <is>
          <t>EJ020125.TXT</t>
        </is>
      </c>
      <c r="B999" s="3" t="inlineStr">
        <is>
          <t>005678</t>
        </is>
      </c>
      <c r="C999" s="3" t="inlineStr">
        <is>
          <t>004559</t>
        </is>
      </c>
      <c r="D999" s="4" t="n">
        <v>45649</v>
      </c>
      <c r="E999" s="2" t="inlineStr">
        <is>
          <t>14:50</t>
        </is>
      </c>
      <c r="F999" s="5" t="n">
        <v>208.33</v>
      </c>
      <c r="G999" s="5" t="n"/>
      <c r="H999" s="5" t="n"/>
      <c r="I999" s="5" t="n"/>
      <c r="J999" s="5" t="n">
        <v>41.67</v>
      </c>
      <c r="K999" s="5" t="n"/>
      <c r="L999" s="5" t="n"/>
      <c r="M999" s="5" t="n"/>
      <c r="N999" s="5" t="n"/>
      <c r="O999" s="5" t="n">
        <v>250</v>
      </c>
      <c r="P999" s="5" t="n"/>
      <c r="Q999" s="5" t="n">
        <v>250</v>
      </c>
      <c r="R999" s="5" t="n"/>
    </row>
    <row r="1000">
      <c r="A1000" s="2" t="inlineStr">
        <is>
          <t>EJ020125.TXT</t>
        </is>
      </c>
      <c r="B1000" s="3" t="inlineStr">
        <is>
          <t>005679</t>
        </is>
      </c>
      <c r="C1000" s="3" t="inlineStr">
        <is>
          <t>004560</t>
        </is>
      </c>
      <c r="D1000" s="4" t="n">
        <v>45653</v>
      </c>
      <c r="E1000" s="2" t="inlineStr">
        <is>
          <t>11:13</t>
        </is>
      </c>
      <c r="F1000" s="5" t="n">
        <v>41.58</v>
      </c>
      <c r="G1000" s="5" t="n"/>
      <c r="H1000" s="5" t="n"/>
      <c r="I1000" s="5" t="n"/>
      <c r="J1000" s="5" t="n">
        <v>8.32</v>
      </c>
      <c r="K1000" s="5" t="n"/>
      <c r="L1000" s="5" t="n"/>
      <c r="M1000" s="5" t="n"/>
      <c r="N1000" s="5" t="n"/>
      <c r="O1000" s="5" t="n">
        <v>49.9</v>
      </c>
      <c r="P1000" s="5" t="n"/>
      <c r="Q1000" s="5" t="n">
        <v>49.9</v>
      </c>
      <c r="R1000" s="5" t="n"/>
    </row>
    <row r="1001">
      <c r="A1001" s="2" t="inlineStr">
        <is>
          <t>EJ020125.TXT</t>
        </is>
      </c>
      <c r="B1001" s="3" t="inlineStr">
        <is>
          <t>005680</t>
        </is>
      </c>
      <c r="C1001" s="3" t="inlineStr">
        <is>
          <t>004561</t>
        </is>
      </c>
      <c r="D1001" s="4" t="n">
        <v>45653</v>
      </c>
      <c r="E1001" s="2" t="inlineStr">
        <is>
          <t>11:18</t>
        </is>
      </c>
      <c r="F1001" s="5" t="n">
        <v>208.33</v>
      </c>
      <c r="G1001" s="5" t="n"/>
      <c r="H1001" s="5" t="n"/>
      <c r="I1001" s="5" t="n"/>
      <c r="J1001" s="5" t="n">
        <v>41.67</v>
      </c>
      <c r="K1001" s="5" t="n"/>
      <c r="L1001" s="5" t="n"/>
      <c r="M1001" s="5" t="n"/>
      <c r="N1001" s="5" t="n"/>
      <c r="O1001" s="5" t="n">
        <v>250</v>
      </c>
      <c r="P1001" s="5" t="n"/>
      <c r="Q1001" s="5" t="n">
        <v>250</v>
      </c>
      <c r="R1001" s="5" t="n"/>
    </row>
    <row r="1002">
      <c r="A1002" s="2" t="inlineStr">
        <is>
          <t>EJ020125.TXT</t>
        </is>
      </c>
      <c r="B1002" s="3" t="inlineStr">
        <is>
          <t>005681</t>
        </is>
      </c>
      <c r="C1002" s="3" t="inlineStr">
        <is>
          <t>004562</t>
        </is>
      </c>
      <c r="D1002" s="4" t="n">
        <v>45656</v>
      </c>
      <c r="E1002" s="2" t="inlineStr">
        <is>
          <t>17:51</t>
        </is>
      </c>
      <c r="F1002" s="5" t="n">
        <v>274.17</v>
      </c>
      <c r="G1002" s="5" t="n"/>
      <c r="H1002" s="5" t="n"/>
      <c r="I1002" s="5" t="n"/>
      <c r="J1002" s="5" t="n">
        <v>54.83</v>
      </c>
      <c r="K1002" s="5" t="n"/>
      <c r="L1002" s="5" t="n"/>
      <c r="M1002" s="5" t="n"/>
      <c r="N1002" s="5" t="n"/>
      <c r="O1002" s="5" t="n">
        <v>329</v>
      </c>
      <c r="P1002" s="5" t="n">
        <v>329</v>
      </c>
      <c r="Q1002" s="5" t="n"/>
      <c r="R1002" s="5" t="n"/>
    </row>
    <row r="1003">
      <c r="A1003" s="2" t="inlineStr">
        <is>
          <t>EJ030225.TXT</t>
        </is>
      </c>
      <c r="B1003" s="3" t="inlineStr">
        <is>
          <t>005689</t>
        </is>
      </c>
      <c r="C1003" s="3" t="inlineStr">
        <is>
          <t>004563</t>
        </is>
      </c>
      <c r="D1003" s="4" t="n">
        <v>45663</v>
      </c>
      <c r="E1003" s="2" t="inlineStr">
        <is>
          <t>14:36</t>
        </is>
      </c>
      <c r="F1003" s="5" t="n">
        <v>822.5</v>
      </c>
      <c r="G1003" s="5" t="n"/>
      <c r="H1003" s="5" t="n"/>
      <c r="I1003" s="5" t="n"/>
      <c r="J1003" s="5" t="n">
        <v>164.5</v>
      </c>
      <c r="K1003" s="5" t="n"/>
      <c r="L1003" s="5" t="n"/>
      <c r="M1003" s="5" t="n"/>
      <c r="N1003" s="5" t="n"/>
      <c r="O1003" s="5" t="n">
        <v>987</v>
      </c>
      <c r="P1003" s="5" t="n"/>
      <c r="Q1003" s="5" t="n">
        <v>987</v>
      </c>
      <c r="R1003" s="5" t="n"/>
    </row>
    <row r="1004">
      <c r="A1004" s="2" t="inlineStr">
        <is>
          <t>EJ030225.TXT</t>
        </is>
      </c>
      <c r="B1004" s="3" t="inlineStr">
        <is>
          <t>005690</t>
        </is>
      </c>
      <c r="C1004" s="3" t="inlineStr">
        <is>
          <t>004564</t>
        </is>
      </c>
      <c r="D1004" s="4" t="n">
        <v>45665</v>
      </c>
      <c r="E1004" s="2" t="inlineStr">
        <is>
          <t>16:16</t>
        </is>
      </c>
      <c r="F1004" s="5" t="n">
        <v>149.92</v>
      </c>
      <c r="G1004" s="5" t="n"/>
      <c r="H1004" s="5" t="n"/>
      <c r="I1004" s="5" t="n"/>
      <c r="J1004" s="5" t="n">
        <v>29.98</v>
      </c>
      <c r="K1004" s="5" t="n"/>
      <c r="L1004" s="5" t="n"/>
      <c r="M1004" s="5" t="n"/>
      <c r="N1004" s="5" t="n"/>
      <c r="O1004" s="5" t="n">
        <v>179.9</v>
      </c>
      <c r="P1004" s="5" t="n"/>
      <c r="Q1004" s="5" t="n">
        <v>179.9</v>
      </c>
      <c r="R1004" s="5" t="n"/>
    </row>
    <row r="1005">
      <c r="A1005" s="2" t="inlineStr">
        <is>
          <t>EJ030225.TXT</t>
        </is>
      </c>
      <c r="B1005" s="3" t="inlineStr">
        <is>
          <t>005691</t>
        </is>
      </c>
      <c r="C1005" s="3" t="inlineStr">
        <is>
          <t>004565</t>
        </is>
      </c>
      <c r="D1005" s="4" t="n">
        <v>45667</v>
      </c>
      <c r="E1005" s="2" t="inlineStr">
        <is>
          <t>16:53</t>
        </is>
      </c>
      <c r="F1005" s="5" t="n">
        <v>208.33</v>
      </c>
      <c r="G1005" s="5" t="n"/>
      <c r="H1005" s="5" t="n"/>
      <c r="I1005" s="5" t="n"/>
      <c r="J1005" s="5" t="n">
        <v>41.67</v>
      </c>
      <c r="K1005" s="5" t="n"/>
      <c r="L1005" s="5" t="n"/>
      <c r="M1005" s="5" t="n"/>
      <c r="N1005" s="5" t="n"/>
      <c r="O1005" s="5" t="n">
        <v>250</v>
      </c>
      <c r="P1005" s="5" t="n"/>
      <c r="Q1005" s="5" t="n">
        <v>250</v>
      </c>
      <c r="R1005" s="5" t="n"/>
    </row>
    <row r="1006">
      <c r="A1006" s="2" t="inlineStr">
        <is>
          <t>EJ030225.TXT</t>
        </is>
      </c>
      <c r="B1006" s="3" t="inlineStr">
        <is>
          <t>005692</t>
        </is>
      </c>
      <c r="C1006" s="3" t="inlineStr">
        <is>
          <t>004566</t>
        </is>
      </c>
      <c r="D1006" s="4" t="n">
        <v>45667</v>
      </c>
      <c r="E1006" s="2" t="inlineStr">
        <is>
          <t>18:05</t>
        </is>
      </c>
      <c r="F1006" s="5" t="n">
        <v>57.5</v>
      </c>
      <c r="G1006" s="5" t="n"/>
      <c r="H1006" s="5" t="n"/>
      <c r="I1006" s="5" t="n"/>
      <c r="J1006" s="5" t="n">
        <v>11.5</v>
      </c>
      <c r="K1006" s="5" t="n"/>
      <c r="L1006" s="5" t="n"/>
      <c r="M1006" s="5" t="n"/>
      <c r="N1006" s="5" t="n"/>
      <c r="O1006" s="5" t="n">
        <v>69</v>
      </c>
      <c r="P1006" s="5" t="n"/>
      <c r="Q1006" s="5" t="n">
        <v>69</v>
      </c>
      <c r="R1006" s="5" t="n"/>
    </row>
    <row r="1007">
      <c r="A1007" s="2" t="inlineStr">
        <is>
          <t>EJ030225.TXT</t>
        </is>
      </c>
      <c r="B1007" s="3" t="inlineStr">
        <is>
          <t>005693</t>
        </is>
      </c>
      <c r="C1007" s="3" t="inlineStr">
        <is>
          <t>004567</t>
        </is>
      </c>
      <c r="D1007" s="4" t="n">
        <v>45670</v>
      </c>
      <c r="E1007" s="2" t="inlineStr">
        <is>
          <t>12:22</t>
        </is>
      </c>
      <c r="F1007" s="5" t="n">
        <v>149.92</v>
      </c>
      <c r="G1007" s="5" t="n"/>
      <c r="H1007" s="5" t="n"/>
      <c r="I1007" s="5" t="n"/>
      <c r="J1007" s="5" t="n">
        <v>29.98</v>
      </c>
      <c r="K1007" s="5" t="n"/>
      <c r="L1007" s="5" t="n"/>
      <c r="M1007" s="5" t="n"/>
      <c r="N1007" s="5" t="n"/>
      <c r="O1007" s="5" t="n">
        <v>179.9</v>
      </c>
      <c r="P1007" s="5" t="n">
        <v>179.9</v>
      </c>
      <c r="Q1007" s="5" t="n"/>
      <c r="R1007" s="5" t="n"/>
    </row>
    <row r="1008">
      <c r="A1008" s="2" t="inlineStr">
        <is>
          <t>EJ030225.TXT</t>
        </is>
      </c>
      <c r="B1008" s="3" t="inlineStr">
        <is>
          <t>005694</t>
        </is>
      </c>
      <c r="C1008" s="3" t="inlineStr">
        <is>
          <t>004568</t>
        </is>
      </c>
      <c r="D1008" s="4" t="n">
        <v>45670</v>
      </c>
      <c r="E1008" s="2" t="inlineStr">
        <is>
          <t>12:29</t>
        </is>
      </c>
      <c r="F1008" s="5" t="n">
        <v>248.33</v>
      </c>
      <c r="G1008" s="5" t="n"/>
      <c r="H1008" s="5" t="n"/>
      <c r="I1008" s="5" t="n"/>
      <c r="J1008" s="5" t="n">
        <v>49.67</v>
      </c>
      <c r="K1008" s="5" t="n"/>
      <c r="L1008" s="5" t="n"/>
      <c r="M1008" s="5" t="n"/>
      <c r="N1008" s="5" t="n"/>
      <c r="O1008" s="5" t="n">
        <v>298</v>
      </c>
      <c r="P1008" s="5" t="n">
        <v>298</v>
      </c>
      <c r="Q1008" s="5" t="n"/>
      <c r="R1008" s="5" t="n"/>
    </row>
    <row r="1009">
      <c r="A1009" s="2" t="inlineStr">
        <is>
          <t>EJ030225.TXT</t>
        </is>
      </c>
      <c r="B1009" s="3" t="inlineStr">
        <is>
          <t>005695</t>
        </is>
      </c>
      <c r="C1009" s="3" t="inlineStr">
        <is>
          <t>004569</t>
        </is>
      </c>
      <c r="D1009" s="4" t="n">
        <v>45670</v>
      </c>
      <c r="E1009" s="2" t="inlineStr">
        <is>
          <t>16:37</t>
        </is>
      </c>
      <c r="F1009" s="5" t="n">
        <v>208.33</v>
      </c>
      <c r="G1009" s="5" t="n"/>
      <c r="H1009" s="5" t="n"/>
      <c r="I1009" s="5" t="n"/>
      <c r="J1009" s="5" t="n">
        <v>41.67</v>
      </c>
      <c r="K1009" s="5" t="n"/>
      <c r="L1009" s="5" t="n"/>
      <c r="M1009" s="5" t="n"/>
      <c r="N1009" s="5" t="n"/>
      <c r="O1009" s="5" t="n">
        <v>250</v>
      </c>
      <c r="P1009" s="5" t="n"/>
      <c r="Q1009" s="5" t="n">
        <v>250</v>
      </c>
      <c r="R1009" s="5" t="n"/>
    </row>
    <row r="1010">
      <c r="A1010" s="2" t="inlineStr">
        <is>
          <t>EJ030225.TXT</t>
        </is>
      </c>
      <c r="B1010" s="3" t="inlineStr">
        <is>
          <t>005696</t>
        </is>
      </c>
      <c r="C1010" s="3" t="inlineStr">
        <is>
          <t>004570</t>
        </is>
      </c>
      <c r="D1010" s="4" t="n">
        <v>45671</v>
      </c>
      <c r="E1010" s="2" t="inlineStr">
        <is>
          <t>15:17</t>
        </is>
      </c>
      <c r="F1010" s="5" t="n">
        <v>548.33</v>
      </c>
      <c r="G1010" s="5" t="n"/>
      <c r="H1010" s="5" t="n"/>
      <c r="I1010" s="5" t="n"/>
      <c r="J1010" s="5" t="n">
        <v>109.67</v>
      </c>
      <c r="K1010" s="5" t="n"/>
      <c r="L1010" s="5" t="n"/>
      <c r="M1010" s="5" t="n"/>
      <c r="N1010" s="5" t="n"/>
      <c r="O1010" s="5" t="n">
        <v>658</v>
      </c>
      <c r="P1010" s="5" t="n"/>
      <c r="Q1010" s="5" t="n">
        <v>658</v>
      </c>
      <c r="R1010" s="5" t="n"/>
    </row>
    <row r="1011">
      <c r="A1011" s="2" t="inlineStr">
        <is>
          <t>EJ030225.TXT</t>
        </is>
      </c>
      <c r="B1011" s="3" t="inlineStr">
        <is>
          <t>005697</t>
        </is>
      </c>
      <c r="C1011" s="3" t="inlineStr">
        <is>
          <t>004571</t>
        </is>
      </c>
      <c r="D1011" s="4" t="n">
        <v>45672</v>
      </c>
      <c r="E1011" s="2" t="inlineStr">
        <is>
          <t>10:59</t>
        </is>
      </c>
      <c r="F1011" s="5" t="n">
        <v>190.83</v>
      </c>
      <c r="G1011" s="5" t="n"/>
      <c r="H1011" s="5" t="n"/>
      <c r="I1011" s="5" t="n"/>
      <c r="J1011" s="5" t="n">
        <v>38.17</v>
      </c>
      <c r="K1011" s="5" t="n"/>
      <c r="L1011" s="5" t="n"/>
      <c r="M1011" s="5" t="n"/>
      <c r="N1011" s="5" t="n"/>
      <c r="O1011" s="5" t="n">
        <v>229</v>
      </c>
      <c r="P1011" s="5" t="n"/>
      <c r="Q1011" s="5" t="n">
        <v>229</v>
      </c>
      <c r="R1011" s="5" t="n"/>
    </row>
    <row r="1012">
      <c r="A1012" s="2" t="inlineStr">
        <is>
          <t>EJ030225.TXT</t>
        </is>
      </c>
      <c r="B1012" s="3" t="inlineStr">
        <is>
          <t>005698</t>
        </is>
      </c>
      <c r="C1012" s="3" t="inlineStr">
        <is>
          <t>004572</t>
        </is>
      </c>
      <c r="D1012" s="4" t="n">
        <v>45672</v>
      </c>
      <c r="E1012" s="2" t="inlineStr">
        <is>
          <t>14:50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/>
      <c r="Q1012" s="5" t="n">
        <v>658</v>
      </c>
      <c r="R1012" s="5" t="n"/>
    </row>
    <row r="1013">
      <c r="A1013" s="2" t="inlineStr">
        <is>
          <t>EJ030225.TXT</t>
        </is>
      </c>
      <c r="B1013" s="3" t="inlineStr">
        <is>
          <t>005699</t>
        </is>
      </c>
      <c r="C1013" s="3" t="inlineStr">
        <is>
          <t>004573</t>
        </is>
      </c>
      <c r="D1013" s="4" t="n">
        <v>45673</v>
      </c>
      <c r="E1013" s="2" t="inlineStr">
        <is>
          <t>15:41</t>
        </is>
      </c>
      <c r="F1013" s="5" t="n">
        <v>208.33</v>
      </c>
      <c r="G1013" s="5" t="n"/>
      <c r="H1013" s="5" t="n"/>
      <c r="I1013" s="5" t="n"/>
      <c r="J1013" s="5" t="n">
        <v>41.67</v>
      </c>
      <c r="K1013" s="5" t="n"/>
      <c r="L1013" s="5" t="n"/>
      <c r="M1013" s="5" t="n"/>
      <c r="N1013" s="5" t="n"/>
      <c r="O1013" s="5" t="n">
        <v>250</v>
      </c>
      <c r="P1013" s="5" t="n"/>
      <c r="Q1013" s="5" t="n">
        <v>250</v>
      </c>
      <c r="R1013" s="5" t="n"/>
    </row>
    <row r="1014">
      <c r="A1014" s="2" t="inlineStr">
        <is>
          <t>EJ030225.TXT</t>
        </is>
      </c>
      <c r="B1014" s="3" t="inlineStr">
        <is>
          <t>005700</t>
        </is>
      </c>
      <c r="C1014" s="3" t="inlineStr">
        <is>
          <t>004574</t>
        </is>
      </c>
      <c r="D1014" s="4" t="n">
        <v>45673</v>
      </c>
      <c r="E1014" s="2" t="inlineStr">
        <is>
          <t>16:00</t>
        </is>
      </c>
      <c r="F1014" s="5" t="n">
        <v>274.17</v>
      </c>
      <c r="G1014" s="5" t="n"/>
      <c r="H1014" s="5" t="n"/>
      <c r="I1014" s="5" t="n"/>
      <c r="J1014" s="5" t="n">
        <v>54.83</v>
      </c>
      <c r="K1014" s="5" t="n"/>
      <c r="L1014" s="5" t="n"/>
      <c r="M1014" s="5" t="n"/>
      <c r="N1014" s="5" t="n"/>
      <c r="O1014" s="5" t="n">
        <v>329</v>
      </c>
      <c r="P1014" s="5" t="n"/>
      <c r="Q1014" s="5" t="n">
        <v>329</v>
      </c>
      <c r="R1014" s="5" t="n"/>
    </row>
    <row r="1015">
      <c r="A1015" s="2" t="inlineStr">
        <is>
          <t>EJ030225.TXT</t>
        </is>
      </c>
      <c r="B1015" s="3" t="inlineStr">
        <is>
          <t>005701</t>
        </is>
      </c>
      <c r="C1015" s="3" t="inlineStr">
        <is>
          <t>004575</t>
        </is>
      </c>
      <c r="D1015" s="4" t="n">
        <v>45673</v>
      </c>
      <c r="E1015" s="2" t="inlineStr">
        <is>
          <t>18:13</t>
        </is>
      </c>
      <c r="F1015" s="5" t="n">
        <v>274.17</v>
      </c>
      <c r="G1015" s="5" t="n"/>
      <c r="H1015" s="5" t="n"/>
      <c r="I1015" s="5" t="n"/>
      <c r="J1015" s="5" t="n">
        <v>54.83</v>
      </c>
      <c r="K1015" s="5" t="n"/>
      <c r="L1015" s="5" t="n"/>
      <c r="M1015" s="5" t="n"/>
      <c r="N1015" s="5" t="n"/>
      <c r="O1015" s="5" t="n">
        <v>329</v>
      </c>
      <c r="P1015" s="5" t="n">
        <v>329</v>
      </c>
      <c r="Q1015" s="5" t="n"/>
      <c r="R1015" s="5" t="n"/>
    </row>
    <row r="1016">
      <c r="A1016" s="2" t="inlineStr">
        <is>
          <t>EJ030225.TXT</t>
        </is>
      </c>
      <c r="B1016" s="3" t="inlineStr">
        <is>
          <t>005702</t>
        </is>
      </c>
      <c r="C1016" s="3" t="inlineStr">
        <is>
          <t>004576</t>
        </is>
      </c>
      <c r="D1016" s="4" t="n">
        <v>45674</v>
      </c>
      <c r="E1016" s="2" t="inlineStr">
        <is>
          <t>17:34</t>
        </is>
      </c>
      <c r="F1016" s="5" t="n">
        <v>208.33</v>
      </c>
      <c r="G1016" s="5" t="n"/>
      <c r="H1016" s="5" t="n"/>
      <c r="I1016" s="5" t="n"/>
      <c r="J1016" s="5" t="n">
        <v>41.67</v>
      </c>
      <c r="K1016" s="5" t="n"/>
      <c r="L1016" s="5" t="n"/>
      <c r="M1016" s="5" t="n"/>
      <c r="N1016" s="5" t="n"/>
      <c r="O1016" s="5" t="n">
        <v>250</v>
      </c>
      <c r="P1016" s="5" t="n"/>
      <c r="Q1016" s="5" t="n">
        <v>250</v>
      </c>
      <c r="R1016" s="5" t="n"/>
    </row>
    <row r="1017">
      <c r="A1017" s="2" t="inlineStr">
        <is>
          <t>EJ030225.TXT</t>
        </is>
      </c>
      <c r="B1017" s="3" t="inlineStr">
        <is>
          <t>005703</t>
        </is>
      </c>
      <c r="C1017" s="3" t="inlineStr">
        <is>
          <t>004577</t>
        </is>
      </c>
      <c r="D1017" s="4" t="n">
        <v>45675</v>
      </c>
      <c r="E1017" s="2" t="inlineStr">
        <is>
          <t>15:09</t>
        </is>
      </c>
      <c r="F1017" s="5" t="n">
        <v>33.25</v>
      </c>
      <c r="G1017" s="5" t="n"/>
      <c r="H1017" s="5" t="n"/>
      <c r="I1017" s="5" t="n"/>
      <c r="J1017" s="5" t="n">
        <v>6.65</v>
      </c>
      <c r="K1017" s="5" t="n"/>
      <c r="L1017" s="5" t="n"/>
      <c r="M1017" s="5" t="n"/>
      <c r="N1017" s="5" t="n"/>
      <c r="O1017" s="5" t="n">
        <v>39.9</v>
      </c>
      <c r="P1017" s="5" t="n">
        <v>39.9</v>
      </c>
      <c r="Q1017" s="5" t="n"/>
      <c r="R1017" s="5" t="n"/>
    </row>
    <row r="1018">
      <c r="A1018" s="2" t="inlineStr">
        <is>
          <t>EJ030225.TXT</t>
        </is>
      </c>
      <c r="B1018" s="3" t="inlineStr">
        <is>
          <t>005704</t>
        </is>
      </c>
      <c r="C1018" s="3" t="inlineStr">
        <is>
          <t>004578</t>
        </is>
      </c>
      <c r="D1018" s="4" t="n">
        <v>45678</v>
      </c>
      <c r="E1018" s="2" t="inlineStr">
        <is>
          <t>16:53</t>
        </is>
      </c>
      <c r="F1018" s="5" t="n">
        <v>274.17</v>
      </c>
      <c r="G1018" s="5" t="n"/>
      <c r="H1018" s="5" t="n"/>
      <c r="I1018" s="5" t="n"/>
      <c r="J1018" s="5" t="n">
        <v>54.83</v>
      </c>
      <c r="K1018" s="5" t="n"/>
      <c r="L1018" s="5" t="n"/>
      <c r="M1018" s="5" t="n"/>
      <c r="N1018" s="5" t="n"/>
      <c r="O1018" s="5" t="n">
        <v>329</v>
      </c>
      <c r="P1018" s="5" t="n">
        <v>329</v>
      </c>
      <c r="Q1018" s="5" t="n"/>
      <c r="R1018" s="5" t="n"/>
    </row>
    <row r="1019">
      <c r="A1019" s="2" t="inlineStr">
        <is>
          <t>EJ030225.TXT</t>
        </is>
      </c>
      <c r="B1019" s="3" t="inlineStr">
        <is>
          <t>005705</t>
        </is>
      </c>
      <c r="C1019" s="3" t="inlineStr">
        <is>
          <t>004579</t>
        </is>
      </c>
      <c r="D1019" s="4" t="n">
        <v>45684</v>
      </c>
      <c r="E1019" s="2" t="inlineStr">
        <is>
          <t>12:13</t>
        </is>
      </c>
      <c r="F1019" s="5" t="n">
        <v>33.25</v>
      </c>
      <c r="G1019" s="5" t="n"/>
      <c r="H1019" s="5" t="n"/>
      <c r="I1019" s="5" t="n"/>
      <c r="J1019" s="5" t="n">
        <v>6.65</v>
      </c>
      <c r="K1019" s="5" t="n"/>
      <c r="L1019" s="5" t="n"/>
      <c r="M1019" s="5" t="n"/>
      <c r="N1019" s="5" t="n"/>
      <c r="O1019" s="5" t="n">
        <v>39.9</v>
      </c>
      <c r="P1019" s="5" t="n">
        <v>39.9</v>
      </c>
      <c r="Q1019" s="5" t="n"/>
      <c r="R1019" s="5" t="n"/>
    </row>
    <row r="1020">
      <c r="A1020" s="2" t="inlineStr">
        <is>
          <t>EJ030225.TXT</t>
        </is>
      </c>
      <c r="B1020" s="3" t="inlineStr">
        <is>
          <t>005706</t>
        </is>
      </c>
      <c r="C1020" s="3" t="inlineStr">
        <is>
          <t>004580</t>
        </is>
      </c>
      <c r="D1020" s="4" t="n">
        <v>45685</v>
      </c>
      <c r="E1020" s="2" t="inlineStr">
        <is>
          <t>10:10</t>
        </is>
      </c>
      <c r="F1020" s="5" t="n">
        <v>274.17</v>
      </c>
      <c r="G1020" s="5" t="n"/>
      <c r="H1020" s="5" t="n"/>
      <c r="I1020" s="5" t="n"/>
      <c r="J1020" s="5" t="n">
        <v>54.83</v>
      </c>
      <c r="K1020" s="5" t="n"/>
      <c r="L1020" s="5" t="n"/>
      <c r="M1020" s="5" t="n"/>
      <c r="N1020" s="5" t="n"/>
      <c r="O1020" s="5" t="n">
        <v>329</v>
      </c>
      <c r="P1020" s="5" t="n">
        <v>329</v>
      </c>
      <c r="Q1020" s="5" t="n"/>
      <c r="R1020" s="5" t="n"/>
    </row>
    <row r="1021">
      <c r="A1021" s="2" t="inlineStr">
        <is>
          <t>EJ030225.TXT</t>
        </is>
      </c>
      <c r="B1021" s="3" t="inlineStr">
        <is>
          <t>005707</t>
        </is>
      </c>
      <c r="C1021" s="3" t="inlineStr">
        <is>
          <t>004581</t>
        </is>
      </c>
      <c r="D1021" s="4" t="n">
        <v>45685</v>
      </c>
      <c r="E1021" s="2" t="inlineStr">
        <is>
          <t>12:39</t>
        </is>
      </c>
      <c r="F1021" s="5" t="n">
        <v>465</v>
      </c>
      <c r="G1021" s="5" t="n"/>
      <c r="H1021" s="5" t="n"/>
      <c r="I1021" s="5" t="n"/>
      <c r="J1021" s="5" t="n">
        <v>93</v>
      </c>
      <c r="K1021" s="5" t="n"/>
      <c r="L1021" s="5" t="n"/>
      <c r="M1021" s="5" t="n"/>
      <c r="N1021" s="5" t="n"/>
      <c r="O1021" s="5" t="n">
        <v>558</v>
      </c>
      <c r="P1021" s="5" t="n">
        <v>558</v>
      </c>
      <c r="Q1021" s="5" t="n"/>
      <c r="R1021" s="5" t="n"/>
    </row>
    <row r="1022">
      <c r="A1022" s="2" t="inlineStr">
        <is>
          <t>EJ030225.TXT</t>
        </is>
      </c>
      <c r="B1022" s="3" t="inlineStr">
        <is>
          <t>005708</t>
        </is>
      </c>
      <c r="C1022" s="3" t="inlineStr">
        <is>
          <t>004582</t>
        </is>
      </c>
      <c r="D1022" s="4" t="n">
        <v>45685</v>
      </c>
      <c r="E1022" s="2" t="inlineStr">
        <is>
          <t>14:45</t>
        </is>
      </c>
      <c r="F1022" s="5" t="n">
        <v>274.17</v>
      </c>
      <c r="G1022" s="5" t="n"/>
      <c r="H1022" s="5" t="n"/>
      <c r="I1022" s="5" t="n"/>
      <c r="J1022" s="5" t="n">
        <v>54.83</v>
      </c>
      <c r="K1022" s="5" t="n"/>
      <c r="L1022" s="5" t="n"/>
      <c r="M1022" s="5" t="n"/>
      <c r="N1022" s="5" t="n"/>
      <c r="O1022" s="5" t="n">
        <v>329</v>
      </c>
      <c r="P1022" s="5" t="n"/>
      <c r="Q1022" s="5" t="n">
        <v>329</v>
      </c>
      <c r="R1022" s="5" t="n"/>
    </row>
    <row r="1023">
      <c r="A1023" s="2" t="inlineStr">
        <is>
          <t>EJ030225.TXT</t>
        </is>
      </c>
      <c r="B1023" s="3" t="inlineStr">
        <is>
          <t>005709</t>
        </is>
      </c>
      <c r="C1023" s="3" t="inlineStr">
        <is>
          <t>004583</t>
        </is>
      </c>
      <c r="D1023" s="4" t="n">
        <v>45686</v>
      </c>
      <c r="E1023" s="2" t="inlineStr">
        <is>
          <t>12:12</t>
        </is>
      </c>
      <c r="F1023" s="5" t="n">
        <v>33.25</v>
      </c>
      <c r="G1023" s="5" t="n"/>
      <c r="H1023" s="5" t="n"/>
      <c r="I1023" s="5" t="n"/>
      <c r="J1023" s="5" t="n">
        <v>6.65</v>
      </c>
      <c r="K1023" s="5" t="n"/>
      <c r="L1023" s="5" t="n"/>
      <c r="M1023" s="5" t="n"/>
      <c r="N1023" s="5" t="n"/>
      <c r="O1023" s="5" t="n">
        <v>39.9</v>
      </c>
      <c r="P1023" s="5" t="n">
        <v>39.9</v>
      </c>
      <c r="Q1023" s="5" t="n"/>
      <c r="R1023" s="5" t="n"/>
    </row>
    <row r="1024">
      <c r="A1024" s="2" t="inlineStr">
        <is>
          <t>EJ030225.TXT</t>
        </is>
      </c>
      <c r="B1024" s="3" t="inlineStr">
        <is>
          <t>005710</t>
        </is>
      </c>
      <c r="C1024" s="3" t="inlineStr">
        <is>
          <t>004584</t>
        </is>
      </c>
      <c r="D1024" s="4" t="n">
        <v>45686</v>
      </c>
      <c r="E1024" s="2" t="inlineStr">
        <is>
          <t>15:04</t>
        </is>
      </c>
      <c r="F1024" s="5" t="n">
        <v>66.5</v>
      </c>
      <c r="G1024" s="5" t="n"/>
      <c r="H1024" s="5" t="n"/>
      <c r="I1024" s="5" t="n"/>
      <c r="J1024" s="5" t="n">
        <v>13.3</v>
      </c>
      <c r="K1024" s="5" t="n"/>
      <c r="L1024" s="5" t="n"/>
      <c r="M1024" s="5" t="n"/>
      <c r="N1024" s="5" t="n"/>
      <c r="O1024" s="5" t="n">
        <v>79.8</v>
      </c>
      <c r="P1024" s="5" t="n"/>
      <c r="Q1024" s="5" t="n">
        <v>79.8</v>
      </c>
      <c r="R1024" s="5" t="n"/>
    </row>
    <row r="1025">
      <c r="A1025" s="2" t="inlineStr">
        <is>
          <t>EJ030225.TXT</t>
        </is>
      </c>
      <c r="B1025" s="3" t="inlineStr">
        <is>
          <t>005711</t>
        </is>
      </c>
      <c r="C1025" s="3" t="inlineStr">
        <is>
          <t>004585</t>
        </is>
      </c>
      <c r="D1025" s="4" t="n">
        <v>45686</v>
      </c>
      <c r="E1025" s="2" t="inlineStr">
        <is>
          <t>16:27</t>
        </is>
      </c>
      <c r="F1025" s="5" t="n">
        <v>240.75</v>
      </c>
      <c r="G1025" s="5" t="n"/>
      <c r="H1025" s="5" t="n"/>
      <c r="I1025" s="5" t="n"/>
      <c r="J1025" s="5" t="n">
        <v>48.15</v>
      </c>
      <c r="K1025" s="5" t="n"/>
      <c r="L1025" s="5" t="n"/>
      <c r="M1025" s="5" t="n"/>
      <c r="N1025" s="5" t="n"/>
      <c r="O1025" s="5" t="n">
        <v>288.9</v>
      </c>
      <c r="P1025" s="5" t="n">
        <v>288.9</v>
      </c>
      <c r="Q1025" s="5" t="n"/>
      <c r="R1025" s="5" t="n"/>
    </row>
    <row r="1026">
      <c r="A1026" s="2" t="inlineStr">
        <is>
          <t>EJ030225.TXT</t>
        </is>
      </c>
      <c r="B1026" s="3" t="inlineStr">
        <is>
          <t>005712</t>
        </is>
      </c>
      <c r="C1026" s="3" t="inlineStr">
        <is>
          <t>004586</t>
        </is>
      </c>
      <c r="D1026" s="4" t="n">
        <v>45686</v>
      </c>
      <c r="E1026" s="2" t="inlineStr">
        <is>
          <t>16:43</t>
        </is>
      </c>
      <c r="F1026" s="5" t="n">
        <v>208.33</v>
      </c>
      <c r="G1026" s="5" t="n"/>
      <c r="H1026" s="5" t="n"/>
      <c r="I1026" s="5" t="n"/>
      <c r="J1026" s="5" t="n">
        <v>41.67</v>
      </c>
      <c r="K1026" s="5" t="n"/>
      <c r="L1026" s="5" t="n"/>
      <c r="M1026" s="5" t="n"/>
      <c r="N1026" s="5" t="n"/>
      <c r="O1026" s="5" t="n">
        <v>250</v>
      </c>
      <c r="P1026" s="5" t="n"/>
      <c r="Q1026" s="5" t="n">
        <v>250</v>
      </c>
      <c r="R1026" s="5" t="n"/>
    </row>
    <row r="1027">
      <c r="A1027" s="2" t="inlineStr">
        <is>
          <t>EJ030225.TXT</t>
        </is>
      </c>
      <c r="B1027" s="3" t="inlineStr">
        <is>
          <t>005713</t>
        </is>
      </c>
      <c r="C1027" s="3" t="inlineStr">
        <is>
          <t>004587</t>
        </is>
      </c>
      <c r="D1027" s="4" t="n">
        <v>45688</v>
      </c>
      <c r="E1027" s="2" t="inlineStr">
        <is>
          <t>16:06</t>
        </is>
      </c>
      <c r="F1027" s="5" t="n">
        <v>548.33</v>
      </c>
      <c r="G1027" s="5" t="n"/>
      <c r="H1027" s="5" t="n"/>
      <c r="I1027" s="5" t="n"/>
      <c r="J1027" s="5" t="n">
        <v>109.67</v>
      </c>
      <c r="K1027" s="5" t="n"/>
      <c r="L1027" s="5" t="n"/>
      <c r="M1027" s="5" t="n"/>
      <c r="N1027" s="5" t="n"/>
      <c r="O1027" s="5" t="n">
        <v>658</v>
      </c>
      <c r="P1027" s="5" t="n">
        <v>658</v>
      </c>
      <c r="Q1027" s="5" t="n"/>
      <c r="R1027" s="5" t="n"/>
    </row>
    <row r="1028">
      <c r="A1028" s="2" t="inlineStr">
        <is>
          <t>EJ030225.TXT</t>
        </is>
      </c>
      <c r="B1028" s="3" t="inlineStr">
        <is>
          <t>005714</t>
        </is>
      </c>
      <c r="C1028" s="3" t="inlineStr">
        <is>
          <t>004588</t>
        </is>
      </c>
      <c r="D1028" s="4" t="n">
        <v>45688</v>
      </c>
      <c r="E1028" s="2" t="inlineStr">
        <is>
          <t>17:19</t>
        </is>
      </c>
      <c r="F1028" s="5" t="n">
        <v>548.33</v>
      </c>
      <c r="G1028" s="5" t="n"/>
      <c r="H1028" s="5" t="n"/>
      <c r="I1028" s="5" t="n"/>
      <c r="J1028" s="5" t="n">
        <v>109.67</v>
      </c>
      <c r="K1028" s="5" t="n"/>
      <c r="L1028" s="5" t="n"/>
      <c r="M1028" s="5" t="n"/>
      <c r="N1028" s="5" t="n"/>
      <c r="O1028" s="5" t="n">
        <v>658</v>
      </c>
      <c r="P1028" s="5" t="n"/>
      <c r="Q1028" s="5" t="n">
        <v>658</v>
      </c>
      <c r="R1028" s="5" t="n"/>
    </row>
    <row r="1029">
      <c r="A1029" s="2" t="inlineStr">
        <is>
          <t>EJ030225.TXT</t>
        </is>
      </c>
      <c r="B1029" s="3" t="inlineStr">
        <is>
          <t>005715</t>
        </is>
      </c>
      <c r="C1029" s="3" t="inlineStr">
        <is>
          <t>004589</t>
        </is>
      </c>
      <c r="D1029" s="4" t="n">
        <v>45688</v>
      </c>
      <c r="E1029" s="2" t="inlineStr">
        <is>
          <t>17:39</t>
        </is>
      </c>
      <c r="F1029" s="5" t="n">
        <v>208.33</v>
      </c>
      <c r="G1029" s="5" t="n"/>
      <c r="H1029" s="5" t="n"/>
      <c r="I1029" s="5" t="n"/>
      <c r="J1029" s="5" t="n">
        <v>41.67</v>
      </c>
      <c r="K1029" s="5" t="n"/>
      <c r="L1029" s="5" t="n"/>
      <c r="M1029" s="5" t="n"/>
      <c r="N1029" s="5" t="n"/>
      <c r="O1029" s="5" t="n">
        <v>250</v>
      </c>
      <c r="P1029" s="5" t="n"/>
      <c r="Q1029" s="5" t="n">
        <v>250</v>
      </c>
      <c r="R1029" s="5" t="n"/>
    </row>
    <row r="1030">
      <c r="A1030" s="2" t="inlineStr">
        <is>
          <t>EJ030225.TXT</t>
        </is>
      </c>
      <c r="B1030" s="3" t="inlineStr">
        <is>
          <t>005716</t>
        </is>
      </c>
      <c r="C1030" s="3" t="inlineStr">
        <is>
          <t>004590</t>
        </is>
      </c>
      <c r="D1030" s="4" t="n">
        <v>45691</v>
      </c>
      <c r="E1030" s="2" t="inlineStr">
        <is>
          <t>10:41</t>
        </is>
      </c>
      <c r="F1030" s="5" t="n">
        <v>274.17</v>
      </c>
      <c r="G1030" s="5" t="n"/>
      <c r="H1030" s="5" t="n"/>
      <c r="I1030" s="5" t="n"/>
      <c r="J1030" s="5" t="n">
        <v>54.83</v>
      </c>
      <c r="K1030" s="5" t="n"/>
      <c r="L1030" s="5" t="n"/>
      <c r="M1030" s="5" t="n"/>
      <c r="N1030" s="5" t="n"/>
      <c r="O1030" s="5" t="n">
        <v>329</v>
      </c>
      <c r="P1030" s="5" t="n"/>
      <c r="Q1030" s="5" t="n">
        <v>329</v>
      </c>
      <c r="R1030" s="5" t="n"/>
    </row>
    <row r="1031">
      <c r="A1031" s="2" t="inlineStr">
        <is>
          <t>EJ030225.TXT</t>
        </is>
      </c>
      <c r="B1031" s="3" t="inlineStr">
        <is>
          <t>005717</t>
        </is>
      </c>
      <c r="C1031" s="3" t="inlineStr">
        <is>
          <t>004591</t>
        </is>
      </c>
      <c r="D1031" s="4" t="n">
        <v>45691</v>
      </c>
      <c r="E1031" s="2" t="inlineStr">
        <is>
          <t>10:41</t>
        </is>
      </c>
      <c r="F1031" s="5" t="n">
        <v>274.17</v>
      </c>
      <c r="G1031" s="5" t="n"/>
      <c r="H1031" s="5" t="n"/>
      <c r="I1031" s="5" t="n"/>
      <c r="J1031" s="5" t="n">
        <v>54.83</v>
      </c>
      <c r="K1031" s="5" t="n"/>
      <c r="L1031" s="5" t="n"/>
      <c r="M1031" s="5" t="n"/>
      <c r="N1031" s="5" t="n"/>
      <c r="O1031" s="5" t="n">
        <v>329</v>
      </c>
      <c r="P1031" s="5" t="n"/>
      <c r="Q1031" s="5" t="n">
        <v>329</v>
      </c>
      <c r="R1031" s="5" t="n"/>
    </row>
    <row r="1032">
      <c r="A1032" s="2" t="inlineStr">
        <is>
          <t>EJ010325.TXT</t>
        </is>
      </c>
      <c r="B1032" s="3" t="inlineStr">
        <is>
          <t>005725</t>
        </is>
      </c>
      <c r="C1032" s="3" t="inlineStr">
        <is>
          <t>004592</t>
        </is>
      </c>
      <c r="D1032" s="4" t="n">
        <v>45691</v>
      </c>
      <c r="E1032" s="2" t="inlineStr">
        <is>
          <t>14:34</t>
        </is>
      </c>
      <c r="F1032" s="5" t="n">
        <v>1370.83</v>
      </c>
      <c r="G1032" s="5" t="n"/>
      <c r="H1032" s="5" t="n"/>
      <c r="I1032" s="5" t="n"/>
      <c r="J1032" s="5" t="n">
        <v>274.17</v>
      </c>
      <c r="K1032" s="5" t="n"/>
      <c r="L1032" s="5" t="n"/>
      <c r="M1032" s="5" t="n"/>
      <c r="N1032" s="5" t="n"/>
      <c r="O1032" s="5" t="n">
        <v>1645</v>
      </c>
      <c r="P1032" s="5" t="n">
        <v>1645</v>
      </c>
      <c r="Q1032" s="5" t="n"/>
      <c r="R1032" s="5" t="n"/>
    </row>
    <row r="1033">
      <c r="A1033" s="2" t="inlineStr">
        <is>
          <t>EJ010325.TXT</t>
        </is>
      </c>
      <c r="B1033" s="3" t="inlineStr">
        <is>
          <t>005726</t>
        </is>
      </c>
      <c r="C1033" s="3" t="inlineStr">
        <is>
          <t>004593</t>
        </is>
      </c>
      <c r="D1033" s="4" t="n">
        <v>45691</v>
      </c>
      <c r="E1033" s="2" t="inlineStr">
        <is>
          <t>14:35</t>
        </is>
      </c>
      <c r="F1033" s="5" t="n">
        <v>1595</v>
      </c>
      <c r="G1033" s="5" t="n"/>
      <c r="H1033" s="5" t="n"/>
      <c r="I1033" s="5" t="n"/>
      <c r="J1033" s="5" t="n">
        <v>319</v>
      </c>
      <c r="K1033" s="5" t="n"/>
      <c r="L1033" s="5" t="n"/>
      <c r="M1033" s="5" t="n"/>
      <c r="N1033" s="5" t="n"/>
      <c r="O1033" s="5" t="n">
        <v>1914</v>
      </c>
      <c r="P1033" s="5" t="n">
        <v>1914</v>
      </c>
      <c r="Q1033" s="5" t="n"/>
      <c r="R1033" s="5" t="n"/>
    </row>
    <row r="1034">
      <c r="A1034" s="2" t="inlineStr">
        <is>
          <t>EJ010325.TXT</t>
        </is>
      </c>
      <c r="B1034" s="3" t="inlineStr">
        <is>
          <t>005727</t>
        </is>
      </c>
      <c r="C1034" s="3" t="inlineStr">
        <is>
          <t>004594</t>
        </is>
      </c>
      <c r="D1034" s="4" t="n">
        <v>45691</v>
      </c>
      <c r="E1034" s="2" t="inlineStr">
        <is>
          <t>14:35</t>
        </is>
      </c>
      <c r="F1034" s="5" t="n">
        <v>1595</v>
      </c>
      <c r="G1034" s="5" t="n"/>
      <c r="H1034" s="5" t="n"/>
      <c r="I1034" s="5" t="n"/>
      <c r="J1034" s="5" t="n">
        <v>319</v>
      </c>
      <c r="K1034" s="5" t="n"/>
      <c r="L1034" s="5" t="n"/>
      <c r="M1034" s="5" t="n"/>
      <c r="N1034" s="5" t="n"/>
      <c r="O1034" s="5" t="n">
        <v>1914</v>
      </c>
      <c r="P1034" s="5" t="n">
        <v>1914</v>
      </c>
      <c r="Q1034" s="5" t="n"/>
      <c r="R1034" s="5" t="n"/>
    </row>
    <row r="1035">
      <c r="A1035" s="2" t="inlineStr">
        <is>
          <t>EJ010325.TXT</t>
        </is>
      </c>
      <c r="B1035" s="3" t="inlineStr">
        <is>
          <t>005728</t>
        </is>
      </c>
      <c r="C1035" s="3" t="inlineStr">
        <is>
          <t>004595</t>
        </is>
      </c>
      <c r="D1035" s="4" t="n">
        <v>45694</v>
      </c>
      <c r="E1035" s="2" t="inlineStr">
        <is>
          <t>12:47</t>
        </is>
      </c>
      <c r="F1035" s="5" t="n">
        <v>830</v>
      </c>
      <c r="G1035" s="5" t="n"/>
      <c r="H1035" s="5" t="n"/>
      <c r="I1035" s="5" t="n"/>
      <c r="J1035" s="5" t="n">
        <v>166</v>
      </c>
      <c r="K1035" s="5" t="n"/>
      <c r="L1035" s="5" t="n"/>
      <c r="M1035" s="5" t="n"/>
      <c r="N1035" s="5" t="n"/>
      <c r="O1035" s="5" t="n">
        <v>996</v>
      </c>
      <c r="P1035" s="5" t="n"/>
      <c r="Q1035" s="5" t="n">
        <v>996</v>
      </c>
      <c r="R1035" s="5" t="n"/>
    </row>
    <row r="1036">
      <c r="A1036" s="2" t="inlineStr">
        <is>
          <t>EJ010325.TXT</t>
        </is>
      </c>
      <c r="B1036" s="3" t="inlineStr">
        <is>
          <t>005729</t>
        </is>
      </c>
      <c r="C1036" s="3" t="inlineStr">
        <is>
          <t>004596</t>
        </is>
      </c>
      <c r="D1036" s="4" t="n">
        <v>45694</v>
      </c>
      <c r="E1036" s="2" t="inlineStr">
        <is>
          <t>17:45</t>
        </is>
      </c>
      <c r="F1036" s="5" t="n">
        <v>548.33</v>
      </c>
      <c r="G1036" s="5" t="n"/>
      <c r="H1036" s="5" t="n"/>
      <c r="I1036" s="5" t="n"/>
      <c r="J1036" s="5" t="n">
        <v>109.67</v>
      </c>
      <c r="K1036" s="5" t="n"/>
      <c r="L1036" s="5" t="n"/>
      <c r="M1036" s="5" t="n"/>
      <c r="N1036" s="5" t="n"/>
      <c r="O1036" s="5" t="n">
        <v>658</v>
      </c>
      <c r="P1036" s="5" t="n"/>
      <c r="Q1036" s="5" t="n">
        <v>658</v>
      </c>
      <c r="R1036" s="5" t="n"/>
    </row>
    <row r="1037">
      <c r="A1037" s="2" t="inlineStr">
        <is>
          <t>EJ010325.TXT</t>
        </is>
      </c>
      <c r="B1037" s="3" t="inlineStr">
        <is>
          <t>005730</t>
        </is>
      </c>
      <c r="C1037" s="3" t="inlineStr">
        <is>
          <t>004597</t>
        </is>
      </c>
      <c r="D1037" s="4" t="n">
        <v>45695</v>
      </c>
      <c r="E1037" s="2" t="inlineStr">
        <is>
          <t>16:53</t>
        </is>
      </c>
      <c r="F1037" s="5" t="n">
        <v>208.33</v>
      </c>
      <c r="G1037" s="5" t="n"/>
      <c r="H1037" s="5" t="n"/>
      <c r="I1037" s="5" t="n"/>
      <c r="J1037" s="5" t="n">
        <v>41.67</v>
      </c>
      <c r="K1037" s="5" t="n"/>
      <c r="L1037" s="5" t="n"/>
      <c r="M1037" s="5" t="n"/>
      <c r="N1037" s="5" t="n"/>
      <c r="O1037" s="5" t="n">
        <v>250</v>
      </c>
      <c r="P1037" s="5" t="n"/>
      <c r="Q1037" s="5" t="n">
        <v>250</v>
      </c>
      <c r="R1037" s="5" t="n"/>
    </row>
    <row r="1038">
      <c r="A1038" s="2" t="inlineStr">
        <is>
          <t>EJ010325.TXT</t>
        </is>
      </c>
      <c r="B1038" s="3" t="inlineStr">
        <is>
          <t>005731</t>
        </is>
      </c>
      <c r="C1038" s="3" t="inlineStr">
        <is>
          <t>004598</t>
        </is>
      </c>
      <c r="D1038" s="4" t="n">
        <v>45698</v>
      </c>
      <c r="E1038" s="2" t="inlineStr">
        <is>
          <t>15:37</t>
        </is>
      </c>
      <c r="F1038" s="5" t="n">
        <v>124.17</v>
      </c>
      <c r="G1038" s="5" t="n"/>
      <c r="H1038" s="5" t="n"/>
      <c r="I1038" s="5" t="n"/>
      <c r="J1038" s="5" t="n">
        <v>24.83</v>
      </c>
      <c r="K1038" s="5" t="n"/>
      <c r="L1038" s="5" t="n"/>
      <c r="M1038" s="5" t="n"/>
      <c r="N1038" s="5" t="n"/>
      <c r="O1038" s="5" t="n">
        <v>149</v>
      </c>
      <c r="P1038" s="5" t="n">
        <v>149</v>
      </c>
      <c r="Q1038" s="5" t="n"/>
      <c r="R1038" s="5" t="n"/>
    </row>
    <row r="1039">
      <c r="A1039" s="2" t="inlineStr">
        <is>
          <t>EJ010325.TXT</t>
        </is>
      </c>
      <c r="B1039" s="3" t="inlineStr">
        <is>
          <t>005732</t>
        </is>
      </c>
      <c r="C1039" s="3" t="inlineStr">
        <is>
          <t>004599</t>
        </is>
      </c>
      <c r="D1039" s="4" t="n">
        <v>45699</v>
      </c>
      <c r="E1039" s="2" t="inlineStr">
        <is>
          <t>11:31</t>
        </is>
      </c>
      <c r="F1039" s="5" t="n">
        <v>465.83</v>
      </c>
      <c r="G1039" s="5" t="n"/>
      <c r="H1039" s="5" t="n"/>
      <c r="I1039" s="5" t="n"/>
      <c r="J1039" s="5" t="n">
        <v>93.17</v>
      </c>
      <c r="K1039" s="5" t="n"/>
      <c r="L1039" s="5" t="n"/>
      <c r="M1039" s="5" t="n"/>
      <c r="N1039" s="5" t="n"/>
      <c r="O1039" s="5" t="n">
        <v>559</v>
      </c>
      <c r="P1039" s="5" t="n">
        <v>559</v>
      </c>
      <c r="Q1039" s="5" t="n"/>
      <c r="R1039" s="5" t="n"/>
    </row>
    <row r="1040">
      <c r="A1040" s="2" t="inlineStr">
        <is>
          <t>EJ010325.TXT</t>
        </is>
      </c>
      <c r="B1040" s="3" t="inlineStr">
        <is>
          <t>005733</t>
        </is>
      </c>
      <c r="C1040" s="3" t="inlineStr">
        <is>
          <t>004600</t>
        </is>
      </c>
      <c r="D1040" s="4" t="n">
        <v>45701</v>
      </c>
      <c r="E1040" s="2" t="inlineStr">
        <is>
          <t>15:40</t>
        </is>
      </c>
      <c r="F1040" s="5" t="n">
        <v>531.67</v>
      </c>
      <c r="G1040" s="5" t="n"/>
      <c r="H1040" s="5" t="n"/>
      <c r="I1040" s="5" t="n"/>
      <c r="J1040" s="5" t="n">
        <v>106.33</v>
      </c>
      <c r="K1040" s="5" t="n"/>
      <c r="L1040" s="5" t="n"/>
      <c r="M1040" s="5" t="n"/>
      <c r="N1040" s="5" t="n"/>
      <c r="O1040" s="5" t="n">
        <v>638</v>
      </c>
      <c r="P1040" s="5" t="n"/>
      <c r="Q1040" s="5" t="n">
        <v>638</v>
      </c>
      <c r="R1040" s="5" t="n"/>
    </row>
    <row r="1041">
      <c r="A1041" s="2" t="inlineStr">
        <is>
          <t>EJ010325.TXT</t>
        </is>
      </c>
      <c r="B1041" s="3" t="inlineStr">
        <is>
          <t>005734</t>
        </is>
      </c>
      <c r="C1041" s="3" t="inlineStr">
        <is>
          <t>004601</t>
        </is>
      </c>
      <c r="D1041" s="4" t="n">
        <v>45703</v>
      </c>
      <c r="E1041" s="2" t="inlineStr">
        <is>
          <t>17:39</t>
        </is>
      </c>
      <c r="F1041" s="5" t="n">
        <v>548.33</v>
      </c>
      <c r="G1041" s="5" t="n"/>
      <c r="H1041" s="5" t="n"/>
      <c r="I1041" s="5" t="n"/>
      <c r="J1041" s="5" t="n">
        <v>109.67</v>
      </c>
      <c r="K1041" s="5" t="n"/>
      <c r="L1041" s="5" t="n"/>
      <c r="M1041" s="5" t="n"/>
      <c r="N1041" s="5" t="n"/>
      <c r="O1041" s="5" t="n">
        <v>658</v>
      </c>
      <c r="P1041" s="5" t="n">
        <v>658</v>
      </c>
      <c r="Q1041" s="5" t="n"/>
      <c r="R1041" s="5" t="n"/>
    </row>
    <row r="1042">
      <c r="A1042" s="2" t="inlineStr">
        <is>
          <t>EJ010325.TXT</t>
        </is>
      </c>
      <c r="B1042" s="3" t="inlineStr">
        <is>
          <t>005735</t>
        </is>
      </c>
      <c r="C1042" s="3" t="inlineStr">
        <is>
          <t>004602</t>
        </is>
      </c>
      <c r="D1042" s="4" t="n">
        <v>45705</v>
      </c>
      <c r="E1042" s="2" t="inlineStr">
        <is>
          <t>16:57</t>
        </is>
      </c>
      <c r="F1042" s="5" t="n">
        <v>208.33</v>
      </c>
      <c r="G1042" s="5" t="n"/>
      <c r="H1042" s="5" t="n"/>
      <c r="I1042" s="5" t="n"/>
      <c r="J1042" s="5" t="n">
        <v>41.67</v>
      </c>
      <c r="K1042" s="5" t="n"/>
      <c r="L1042" s="5" t="n"/>
      <c r="M1042" s="5" t="n"/>
      <c r="N1042" s="5" t="n"/>
      <c r="O1042" s="5" t="n">
        <v>250</v>
      </c>
      <c r="P1042" s="5" t="n"/>
      <c r="Q1042" s="5" t="n">
        <v>250</v>
      </c>
      <c r="R1042" s="5" t="n"/>
    </row>
    <row r="1043">
      <c r="A1043" s="2" t="inlineStr">
        <is>
          <t>EJ010325.TXT</t>
        </is>
      </c>
      <c r="B1043" s="3" t="inlineStr">
        <is>
          <t>005736</t>
        </is>
      </c>
      <c r="C1043" s="3" t="inlineStr">
        <is>
          <t>004603</t>
        </is>
      </c>
      <c r="D1043" s="4" t="n">
        <v>45707</v>
      </c>
      <c r="E1043" s="2" t="inlineStr">
        <is>
          <t>14:17</t>
        </is>
      </c>
      <c r="F1043" s="5" t="n">
        <v>816.67</v>
      </c>
      <c r="G1043" s="5" t="n"/>
      <c r="H1043" s="5" t="n"/>
      <c r="I1043" s="5" t="n"/>
      <c r="J1043" s="5" t="n">
        <v>163.33</v>
      </c>
      <c r="K1043" s="5" t="n"/>
      <c r="L1043" s="5" t="n"/>
      <c r="M1043" s="5" t="n"/>
      <c r="N1043" s="5" t="n"/>
      <c r="O1043" s="5" t="n">
        <v>980</v>
      </c>
      <c r="P1043" s="5" t="n"/>
      <c r="Q1043" s="5" t="n">
        <v>980</v>
      </c>
      <c r="R1043" s="5" t="n"/>
    </row>
    <row r="1044">
      <c r="A1044" s="2" t="inlineStr">
        <is>
          <t>EJ010325.TXT</t>
        </is>
      </c>
      <c r="B1044" s="3" t="inlineStr">
        <is>
          <t>005737</t>
        </is>
      </c>
      <c r="C1044" s="3" t="inlineStr">
        <is>
          <t>004604</t>
        </is>
      </c>
      <c r="D1044" s="4" t="n">
        <v>45707</v>
      </c>
      <c r="E1044" s="2" t="inlineStr">
        <is>
          <t>14:17</t>
        </is>
      </c>
      <c r="F1044" s="5" t="n">
        <v>733.33</v>
      </c>
      <c r="G1044" s="5" t="n"/>
      <c r="H1044" s="5" t="n"/>
      <c r="I1044" s="5" t="n"/>
      <c r="J1044" s="5" t="n">
        <v>146.67</v>
      </c>
      <c r="K1044" s="5" t="n"/>
      <c r="L1044" s="5" t="n"/>
      <c r="M1044" s="5" t="n"/>
      <c r="N1044" s="5" t="n"/>
      <c r="O1044" s="5" t="n">
        <v>880</v>
      </c>
      <c r="P1044" s="5" t="n"/>
      <c r="Q1044" s="5" t="n">
        <v>880</v>
      </c>
      <c r="R1044" s="5" t="n"/>
    </row>
    <row r="1045">
      <c r="A1045" s="2" t="inlineStr">
        <is>
          <t>EJ010325.TXT</t>
        </is>
      </c>
      <c r="B1045" s="3" t="inlineStr">
        <is>
          <t>005738</t>
        </is>
      </c>
      <c r="C1045" s="3" t="inlineStr">
        <is>
          <t>004605</t>
        </is>
      </c>
      <c r="D1045" s="4" t="n">
        <v>45708</v>
      </c>
      <c r="E1045" s="2" t="inlineStr">
        <is>
          <t>15:41</t>
        </is>
      </c>
      <c r="F1045" s="5" t="n">
        <v>548.33</v>
      </c>
      <c r="G1045" s="5" t="n"/>
      <c r="H1045" s="5" t="n"/>
      <c r="I1045" s="5" t="n"/>
      <c r="J1045" s="5" t="n">
        <v>109.67</v>
      </c>
      <c r="K1045" s="5" t="n"/>
      <c r="L1045" s="5" t="n"/>
      <c r="M1045" s="5" t="n"/>
      <c r="N1045" s="5" t="n"/>
      <c r="O1045" s="5" t="n">
        <v>658</v>
      </c>
      <c r="P1045" s="5" t="n"/>
      <c r="Q1045" s="5" t="n">
        <v>658</v>
      </c>
      <c r="R1045" s="5" t="n"/>
    </row>
    <row r="1046">
      <c r="A1046" s="2" t="inlineStr">
        <is>
          <t>EJ010325.TXT</t>
        </is>
      </c>
      <c r="B1046" s="3" t="inlineStr">
        <is>
          <t>005739</t>
        </is>
      </c>
      <c r="C1046" s="3" t="inlineStr">
        <is>
          <t>004606</t>
        </is>
      </c>
      <c r="D1046" s="4" t="n">
        <v>45709</v>
      </c>
      <c r="E1046" s="2" t="inlineStr">
        <is>
          <t>14:52</t>
        </is>
      </c>
      <c r="F1046" s="5" t="n">
        <v>548.33</v>
      </c>
      <c r="G1046" s="5" t="n"/>
      <c r="H1046" s="5" t="n"/>
      <c r="I1046" s="5" t="n"/>
      <c r="J1046" s="5" t="n">
        <v>109.67</v>
      </c>
      <c r="K1046" s="5" t="n"/>
      <c r="L1046" s="5" t="n"/>
      <c r="M1046" s="5" t="n"/>
      <c r="N1046" s="5" t="n"/>
      <c r="O1046" s="5" t="n">
        <v>658</v>
      </c>
      <c r="P1046" s="5" t="n">
        <v>658</v>
      </c>
      <c r="Q1046" s="5" t="n"/>
      <c r="R1046" s="5" t="n"/>
    </row>
    <row r="1047">
      <c r="A1047" s="2" t="inlineStr">
        <is>
          <t>EJ010325.TXT</t>
        </is>
      </c>
      <c r="B1047" s="3" t="inlineStr">
        <is>
          <t>005740</t>
        </is>
      </c>
      <c r="C1047" s="3" t="inlineStr">
        <is>
          <t>004607</t>
        </is>
      </c>
      <c r="D1047" s="4" t="n">
        <v>45709</v>
      </c>
      <c r="E1047" s="2" t="inlineStr">
        <is>
          <t>15:29</t>
        </is>
      </c>
      <c r="F1047" s="5" t="n">
        <v>208.33</v>
      </c>
      <c r="G1047" s="5" t="n"/>
      <c r="H1047" s="5" t="n"/>
      <c r="I1047" s="5" t="n"/>
      <c r="J1047" s="5" t="n">
        <v>41.67</v>
      </c>
      <c r="K1047" s="5" t="n"/>
      <c r="L1047" s="5" t="n"/>
      <c r="M1047" s="5" t="n"/>
      <c r="N1047" s="5" t="n"/>
      <c r="O1047" s="5" t="n">
        <v>250</v>
      </c>
      <c r="P1047" s="5" t="n"/>
      <c r="Q1047" s="5" t="n">
        <v>250</v>
      </c>
      <c r="R1047" s="5" t="n"/>
    </row>
    <row r="1048">
      <c r="A1048" s="2" t="inlineStr">
        <is>
          <t>EJ010325.TXT</t>
        </is>
      </c>
      <c r="B1048" s="3" t="inlineStr">
        <is>
          <t>005741</t>
        </is>
      </c>
      <c r="C1048" s="3" t="inlineStr">
        <is>
          <t>004608</t>
        </is>
      </c>
      <c r="D1048" s="4" t="n">
        <v>45712</v>
      </c>
      <c r="E1048" s="2" t="inlineStr">
        <is>
          <t>16:55</t>
        </is>
      </c>
      <c r="F1048" s="5" t="n">
        <v>99.83</v>
      </c>
      <c r="G1048" s="5" t="n"/>
      <c r="H1048" s="5" t="n"/>
      <c r="I1048" s="5" t="n"/>
      <c r="J1048" s="5" t="n">
        <v>19.97</v>
      </c>
      <c r="K1048" s="5" t="n"/>
      <c r="L1048" s="5" t="n"/>
      <c r="M1048" s="5" t="n"/>
      <c r="N1048" s="5" t="n"/>
      <c r="O1048" s="5" t="n">
        <v>119.8</v>
      </c>
      <c r="P1048" s="5" t="n"/>
      <c r="Q1048" s="5" t="n">
        <v>119.8</v>
      </c>
      <c r="R1048" s="5" t="n"/>
    </row>
    <row r="1049">
      <c r="A1049" s="2" t="inlineStr">
        <is>
          <t>EJ010325.TXT</t>
        </is>
      </c>
      <c r="B1049" s="3" t="inlineStr">
        <is>
          <t>005742</t>
        </is>
      </c>
      <c r="C1049" s="3" t="inlineStr">
        <is>
          <t>004609</t>
        </is>
      </c>
      <c r="D1049" s="4" t="n">
        <v>45713</v>
      </c>
      <c r="E1049" s="2" t="inlineStr">
        <is>
          <t>10:24</t>
        </is>
      </c>
      <c r="F1049" s="5" t="n">
        <v>458.33</v>
      </c>
      <c r="G1049" s="5" t="n"/>
      <c r="H1049" s="5" t="n"/>
      <c r="I1049" s="5" t="n"/>
      <c r="J1049" s="5" t="n">
        <v>91.67</v>
      </c>
      <c r="K1049" s="5" t="n"/>
      <c r="L1049" s="5" t="n"/>
      <c r="M1049" s="5" t="n"/>
      <c r="N1049" s="5" t="n"/>
      <c r="O1049" s="5" t="n">
        <v>550</v>
      </c>
      <c r="P1049" s="5" t="n"/>
      <c r="Q1049" s="5" t="n">
        <v>550</v>
      </c>
      <c r="R1049" s="5" t="n"/>
    </row>
    <row r="1050">
      <c r="A1050" s="2" t="inlineStr">
        <is>
          <t>EJ010325.TXT</t>
        </is>
      </c>
      <c r="B1050" s="3" t="inlineStr">
        <is>
          <t>005743</t>
        </is>
      </c>
      <c r="C1050" s="3" t="inlineStr">
        <is>
          <t>004610</t>
        </is>
      </c>
      <c r="D1050" s="4" t="n">
        <v>45713</v>
      </c>
      <c r="E1050" s="2" t="inlineStr">
        <is>
          <t>10:24</t>
        </is>
      </c>
      <c r="F1050" s="5" t="n">
        <v>416.67</v>
      </c>
      <c r="G1050" s="5" t="n"/>
      <c r="H1050" s="5" t="n"/>
      <c r="I1050" s="5" t="n"/>
      <c r="J1050" s="5" t="n">
        <v>83.33</v>
      </c>
      <c r="K1050" s="5" t="n"/>
      <c r="L1050" s="5" t="n"/>
      <c r="M1050" s="5" t="n"/>
      <c r="N1050" s="5" t="n"/>
      <c r="O1050" s="5" t="n">
        <v>500</v>
      </c>
      <c r="P1050" s="5" t="n"/>
      <c r="Q1050" s="5" t="n">
        <v>500</v>
      </c>
      <c r="R1050" s="5" t="n"/>
    </row>
    <row r="1051">
      <c r="A1051" s="2" t="inlineStr">
        <is>
          <t>EJ010325.TXT</t>
        </is>
      </c>
      <c r="B1051" s="3" t="inlineStr">
        <is>
          <t>005744</t>
        </is>
      </c>
      <c r="C1051" s="3" t="inlineStr">
        <is>
          <t>004611</t>
        </is>
      </c>
      <c r="D1051" s="4" t="n">
        <v>45713</v>
      </c>
      <c r="E1051" s="2" t="inlineStr">
        <is>
          <t>12:05</t>
        </is>
      </c>
      <c r="F1051" s="5" t="n">
        <v>833.33</v>
      </c>
      <c r="G1051" s="5" t="n"/>
      <c r="H1051" s="5" t="n"/>
      <c r="I1051" s="5" t="n"/>
      <c r="J1051" s="5" t="n">
        <v>166.67</v>
      </c>
      <c r="K1051" s="5" t="n"/>
      <c r="L1051" s="5" t="n"/>
      <c r="M1051" s="5" t="n"/>
      <c r="N1051" s="5" t="n"/>
      <c r="O1051" s="5" t="n">
        <v>1000</v>
      </c>
      <c r="P1051" s="5" t="n"/>
      <c r="Q1051" s="5" t="n">
        <v>1000</v>
      </c>
      <c r="R1051" s="5" t="n"/>
    </row>
    <row r="1052">
      <c r="A1052" s="2" t="inlineStr">
        <is>
          <t>EJ010325.TXT</t>
        </is>
      </c>
      <c r="B1052" s="3" t="inlineStr">
        <is>
          <t>005745</t>
        </is>
      </c>
      <c r="C1052" s="3" t="inlineStr">
        <is>
          <t>004612</t>
        </is>
      </c>
      <c r="D1052" s="4" t="n">
        <v>45713</v>
      </c>
      <c r="E1052" s="2" t="inlineStr">
        <is>
          <t>12:06</t>
        </is>
      </c>
      <c r="F1052" s="5" t="n">
        <v>416.67</v>
      </c>
      <c r="G1052" s="5" t="n"/>
      <c r="H1052" s="5" t="n"/>
      <c r="I1052" s="5" t="n"/>
      <c r="J1052" s="5" t="n">
        <v>83.33</v>
      </c>
      <c r="K1052" s="5" t="n"/>
      <c r="L1052" s="5" t="n"/>
      <c r="M1052" s="5" t="n"/>
      <c r="N1052" s="5" t="n"/>
      <c r="O1052" s="5" t="n">
        <v>500</v>
      </c>
      <c r="P1052" s="5" t="n"/>
      <c r="Q1052" s="5" t="n">
        <v>500</v>
      </c>
      <c r="R1052" s="5" t="n"/>
    </row>
    <row r="1053">
      <c r="A1053" s="2" t="inlineStr">
        <is>
          <t>EJ010325.TXT</t>
        </is>
      </c>
      <c r="B1053" s="3" t="inlineStr">
        <is>
          <t>005746</t>
        </is>
      </c>
      <c r="C1053" s="3" t="inlineStr">
        <is>
          <t>004613</t>
        </is>
      </c>
      <c r="D1053" s="4" t="n">
        <v>45713</v>
      </c>
      <c r="E1053" s="2" t="inlineStr">
        <is>
          <t>15:53</t>
        </is>
      </c>
      <c r="F1053" s="5" t="n">
        <v>1063.33</v>
      </c>
      <c r="G1053" s="5" t="n"/>
      <c r="H1053" s="5" t="n"/>
      <c r="I1053" s="5" t="n"/>
      <c r="J1053" s="5" t="n">
        <v>212.67</v>
      </c>
      <c r="K1053" s="5" t="n"/>
      <c r="L1053" s="5" t="n"/>
      <c r="M1053" s="5" t="n"/>
      <c r="N1053" s="5" t="n"/>
      <c r="O1053" s="5" t="n">
        <v>1276</v>
      </c>
      <c r="P1053" s="5" t="n"/>
      <c r="Q1053" s="5" t="n">
        <v>1276</v>
      </c>
      <c r="R1053" s="5" t="n"/>
    </row>
    <row r="1054">
      <c r="A1054" s="2" t="inlineStr">
        <is>
          <t>EJ010325.TXT</t>
        </is>
      </c>
      <c r="B1054" s="3" t="inlineStr">
        <is>
          <t>005747</t>
        </is>
      </c>
      <c r="C1054" s="3" t="inlineStr">
        <is>
          <t>004614</t>
        </is>
      </c>
      <c r="D1054" s="4" t="n">
        <v>45716</v>
      </c>
      <c r="E1054" s="2" t="inlineStr">
        <is>
          <t>18:33</t>
        </is>
      </c>
      <c r="F1054" s="5" t="n">
        <v>689.17</v>
      </c>
      <c r="G1054" s="5" t="n"/>
      <c r="H1054" s="5" t="n"/>
      <c r="I1054" s="5" t="n"/>
      <c r="J1054" s="5" t="n">
        <v>137.83</v>
      </c>
      <c r="K1054" s="5" t="n"/>
      <c r="L1054" s="5" t="n"/>
      <c r="M1054" s="5" t="n"/>
      <c r="N1054" s="5" t="n"/>
      <c r="O1054" s="5" t="n">
        <v>827</v>
      </c>
      <c r="P1054" s="5" t="n"/>
      <c r="Q1054" s="5" t="n">
        <v>827</v>
      </c>
      <c r="R1054" s="5" t="n"/>
    </row>
    <row r="1055">
      <c r="A1055" s="2" t="inlineStr">
        <is>
          <t>EJ290325.TXT</t>
        </is>
      </c>
      <c r="B1055" s="3" t="inlineStr">
        <is>
          <t>005755</t>
        </is>
      </c>
      <c r="C1055" s="3" t="inlineStr">
        <is>
          <t>004615</t>
        </is>
      </c>
      <c r="D1055" s="4" t="n">
        <v>45720</v>
      </c>
      <c r="E1055" s="2" t="inlineStr">
        <is>
          <t>11:04</t>
        </is>
      </c>
      <c r="F1055" s="5" t="n">
        <v>416.67</v>
      </c>
      <c r="G1055" s="5" t="n"/>
      <c r="H1055" s="5" t="n"/>
      <c r="I1055" s="5" t="n"/>
      <c r="J1055" s="5" t="n">
        <v>83.33</v>
      </c>
      <c r="K1055" s="5" t="n"/>
      <c r="L1055" s="5" t="n"/>
      <c r="M1055" s="5" t="n"/>
      <c r="N1055" s="5" t="n"/>
      <c r="O1055" s="5" t="n">
        <v>500</v>
      </c>
      <c r="P1055" s="5" t="n"/>
      <c r="Q1055" s="5" t="n">
        <v>500</v>
      </c>
      <c r="R1055" s="5" t="n"/>
    </row>
    <row r="1056">
      <c r="A1056" s="2" t="inlineStr">
        <is>
          <t>EJ290325.TXT</t>
        </is>
      </c>
      <c r="B1056" s="3" t="inlineStr">
        <is>
          <t>005756</t>
        </is>
      </c>
      <c r="C1056" s="3" t="inlineStr">
        <is>
          <t>004616</t>
        </is>
      </c>
      <c r="D1056" s="4" t="n">
        <v>45720</v>
      </c>
      <c r="E1056" s="2" t="inlineStr">
        <is>
          <t>16:20</t>
        </is>
      </c>
      <c r="F1056" s="5" t="n">
        <v>548.33</v>
      </c>
      <c r="G1056" s="5" t="n"/>
      <c r="H1056" s="5" t="n"/>
      <c r="I1056" s="5" t="n"/>
      <c r="J1056" s="5" t="n">
        <v>109.67</v>
      </c>
      <c r="K1056" s="5" t="n"/>
      <c r="L1056" s="5" t="n"/>
      <c r="M1056" s="5" t="n"/>
      <c r="N1056" s="5" t="n"/>
      <c r="O1056" s="5" t="n">
        <v>658</v>
      </c>
      <c r="P1056" s="5" t="n"/>
      <c r="Q1056" s="5" t="n">
        <v>658</v>
      </c>
      <c r="R1056" s="5" t="n"/>
    </row>
    <row r="1057">
      <c r="A1057" s="2" t="inlineStr">
        <is>
          <t>EJ290325.TXT</t>
        </is>
      </c>
      <c r="B1057" s="3" t="inlineStr">
        <is>
          <t>005757</t>
        </is>
      </c>
      <c r="C1057" s="3" t="inlineStr">
        <is>
          <t>004617</t>
        </is>
      </c>
      <c r="D1057" s="4" t="n">
        <v>45720</v>
      </c>
      <c r="E1057" s="2" t="inlineStr">
        <is>
          <t>17:46</t>
        </is>
      </c>
      <c r="F1057" s="5" t="n">
        <v>247.5</v>
      </c>
      <c r="G1057" s="5" t="n"/>
      <c r="H1057" s="5" t="n"/>
      <c r="I1057" s="5" t="n"/>
      <c r="J1057" s="5" t="n">
        <v>49.5</v>
      </c>
      <c r="K1057" s="5" t="n"/>
      <c r="L1057" s="5" t="n"/>
      <c r="M1057" s="5" t="n"/>
      <c r="N1057" s="5" t="n"/>
      <c r="O1057" s="5" t="n">
        <v>297</v>
      </c>
      <c r="P1057" s="5" t="n">
        <v>297</v>
      </c>
      <c r="Q1057" s="5" t="n"/>
      <c r="R1057" s="5" t="n"/>
    </row>
    <row r="1058">
      <c r="A1058" s="2" t="inlineStr">
        <is>
          <t>EJ290325.TXT</t>
        </is>
      </c>
      <c r="B1058" s="3" t="inlineStr">
        <is>
          <t>005758</t>
        </is>
      </c>
      <c r="C1058" s="3" t="inlineStr">
        <is>
          <t>004618</t>
        </is>
      </c>
      <c r="D1058" s="4" t="n">
        <v>45720</v>
      </c>
      <c r="E1058" s="2" t="inlineStr">
        <is>
          <t>18:21</t>
        </is>
      </c>
      <c r="F1058" s="5" t="n">
        <v>822.5</v>
      </c>
      <c r="G1058" s="5" t="n"/>
      <c r="H1058" s="5" t="n"/>
      <c r="I1058" s="5" t="n"/>
      <c r="J1058" s="5" t="n">
        <v>164.5</v>
      </c>
      <c r="K1058" s="5" t="n"/>
      <c r="L1058" s="5" t="n"/>
      <c r="M1058" s="5" t="n"/>
      <c r="N1058" s="5" t="n"/>
      <c r="O1058" s="5" t="n">
        <v>987</v>
      </c>
      <c r="P1058" s="5" t="n"/>
      <c r="Q1058" s="5" t="n">
        <v>987</v>
      </c>
      <c r="R1058" s="5" t="n"/>
    </row>
    <row r="1059">
      <c r="A1059" s="2" t="inlineStr">
        <is>
          <t>EJ290325.TXT</t>
        </is>
      </c>
      <c r="B1059" s="3" t="inlineStr">
        <is>
          <t>005759</t>
        </is>
      </c>
      <c r="C1059" s="3" t="inlineStr">
        <is>
          <t>004619</t>
        </is>
      </c>
      <c r="D1059" s="4" t="n">
        <v>45720</v>
      </c>
      <c r="E1059" s="2" t="inlineStr">
        <is>
          <t>18:23</t>
        </is>
      </c>
      <c r="F1059" s="5" t="n">
        <v>822.5</v>
      </c>
      <c r="G1059" s="5" t="n"/>
      <c r="H1059" s="5" t="n"/>
      <c r="I1059" s="5" t="n"/>
      <c r="J1059" s="5" t="n">
        <v>164.5</v>
      </c>
      <c r="K1059" s="5" t="n"/>
      <c r="L1059" s="5" t="n"/>
      <c r="M1059" s="5" t="n"/>
      <c r="N1059" s="5" t="n"/>
      <c r="O1059" s="5" t="n">
        <v>987</v>
      </c>
      <c r="P1059" s="5" t="n"/>
      <c r="Q1059" s="5" t="n">
        <v>987</v>
      </c>
      <c r="R1059" s="5" t="n"/>
    </row>
    <row r="1060">
      <c r="A1060" s="2" t="inlineStr">
        <is>
          <t>EJ290325.TXT</t>
        </is>
      </c>
      <c r="B1060" s="3" t="inlineStr">
        <is>
          <t>005760</t>
        </is>
      </c>
      <c r="C1060" s="3" t="inlineStr">
        <is>
          <t>004620</t>
        </is>
      </c>
      <c r="D1060" s="4" t="n">
        <v>45721</v>
      </c>
      <c r="E1060" s="2" t="inlineStr">
        <is>
          <t>10:28</t>
        </is>
      </c>
      <c r="F1060" s="5" t="n">
        <v>416.67</v>
      </c>
      <c r="G1060" s="5" t="n"/>
      <c r="H1060" s="5" t="n"/>
      <c r="I1060" s="5" t="n"/>
      <c r="J1060" s="5" t="n">
        <v>83.33</v>
      </c>
      <c r="K1060" s="5" t="n"/>
      <c r="L1060" s="5" t="n"/>
      <c r="M1060" s="5" t="n"/>
      <c r="N1060" s="5" t="n"/>
      <c r="O1060" s="5" t="n">
        <v>500</v>
      </c>
      <c r="P1060" s="5" t="n"/>
      <c r="Q1060" s="5" t="n">
        <v>500</v>
      </c>
      <c r="R1060" s="5" t="n"/>
    </row>
    <row r="1061">
      <c r="A1061" s="2" t="inlineStr">
        <is>
          <t>EJ290325.TXT</t>
        </is>
      </c>
      <c r="B1061" s="3" t="inlineStr">
        <is>
          <t>005761</t>
        </is>
      </c>
      <c r="C1061" s="3" t="inlineStr">
        <is>
          <t>004621</t>
        </is>
      </c>
      <c r="D1061" s="4" t="n">
        <v>45723</v>
      </c>
      <c r="E1061" s="2" t="inlineStr">
        <is>
          <t>16:01</t>
        </is>
      </c>
      <c r="F1061" s="5" t="n">
        <v>833.33</v>
      </c>
      <c r="G1061" s="5" t="n"/>
      <c r="H1061" s="5" t="n"/>
      <c r="I1061" s="5" t="n"/>
      <c r="J1061" s="5" t="n">
        <v>166.67</v>
      </c>
      <c r="K1061" s="5" t="n"/>
      <c r="L1061" s="5" t="n"/>
      <c r="M1061" s="5" t="n"/>
      <c r="N1061" s="5" t="n"/>
      <c r="O1061" s="5" t="n">
        <v>1000</v>
      </c>
      <c r="P1061" s="5" t="n">
        <v>1000</v>
      </c>
      <c r="Q1061" s="5" t="n"/>
      <c r="R1061" s="5" t="n"/>
    </row>
    <row r="1062">
      <c r="A1062" s="2" t="inlineStr">
        <is>
          <t>EJ290325.TXT</t>
        </is>
      </c>
      <c r="B1062" s="3" t="inlineStr">
        <is>
          <t>005762</t>
        </is>
      </c>
      <c r="C1062" s="3" t="inlineStr">
        <is>
          <t>004622</t>
        </is>
      </c>
      <c r="D1062" s="4" t="n">
        <v>45724</v>
      </c>
      <c r="E1062" s="2" t="inlineStr">
        <is>
          <t>17:39</t>
        </is>
      </c>
      <c r="F1062" s="5" t="n">
        <v>199.17</v>
      </c>
      <c r="G1062" s="5" t="n"/>
      <c r="H1062" s="5" t="n"/>
      <c r="I1062" s="5" t="n"/>
      <c r="J1062" s="5" t="n">
        <v>39.83</v>
      </c>
      <c r="K1062" s="5" t="n"/>
      <c r="L1062" s="5" t="n"/>
      <c r="M1062" s="5" t="n"/>
      <c r="N1062" s="5" t="n"/>
      <c r="O1062" s="5" t="n">
        <v>239</v>
      </c>
      <c r="P1062" s="5" t="n">
        <v>239</v>
      </c>
      <c r="Q1062" s="5" t="n"/>
      <c r="R1062" s="5" t="n"/>
    </row>
    <row r="1063">
      <c r="A1063" s="2" t="inlineStr">
        <is>
          <t>EJ290325.TXT</t>
        </is>
      </c>
      <c r="B1063" s="3" t="inlineStr">
        <is>
          <t>005763</t>
        </is>
      </c>
      <c r="C1063" s="3" t="inlineStr">
        <is>
          <t>004623</t>
        </is>
      </c>
      <c r="D1063" s="4" t="n">
        <v>45724</v>
      </c>
      <c r="E1063" s="2" t="inlineStr">
        <is>
          <t>18:31</t>
        </is>
      </c>
      <c r="F1063" s="5" t="n">
        <v>73.33</v>
      </c>
      <c r="G1063" s="5" t="n"/>
      <c r="H1063" s="5" t="n"/>
      <c r="I1063" s="5" t="n"/>
      <c r="J1063" s="5" t="n">
        <v>14.67</v>
      </c>
      <c r="K1063" s="5" t="n"/>
      <c r="L1063" s="5" t="n"/>
      <c r="M1063" s="5" t="n"/>
      <c r="N1063" s="5" t="n"/>
      <c r="O1063" s="5" t="n">
        <v>88</v>
      </c>
      <c r="P1063" s="5" t="n">
        <v>88</v>
      </c>
      <c r="Q1063" s="5" t="n"/>
      <c r="R1063" s="5" t="n"/>
    </row>
    <row r="1064">
      <c r="A1064" s="2" t="inlineStr">
        <is>
          <t>EJ290325.TXT</t>
        </is>
      </c>
      <c r="B1064" s="3" t="inlineStr">
        <is>
          <t>005764</t>
        </is>
      </c>
      <c r="C1064" s="3" t="inlineStr">
        <is>
          <t>004624</t>
        </is>
      </c>
      <c r="D1064" s="4" t="n">
        <v>45726</v>
      </c>
      <c r="E1064" s="2" t="inlineStr">
        <is>
          <t>11:34</t>
        </is>
      </c>
      <c r="F1064" s="5" t="n">
        <v>49.92</v>
      </c>
      <c r="G1064" s="5" t="n"/>
      <c r="H1064" s="5" t="n"/>
      <c r="I1064" s="5" t="n"/>
      <c r="J1064" s="5" t="n">
        <v>9.98</v>
      </c>
      <c r="K1064" s="5" t="n"/>
      <c r="L1064" s="5" t="n"/>
      <c r="M1064" s="5" t="n"/>
      <c r="N1064" s="5" t="n"/>
      <c r="O1064" s="5" t="n">
        <v>59.9</v>
      </c>
      <c r="P1064" s="5" t="n"/>
      <c r="Q1064" s="5" t="n">
        <v>59.9</v>
      </c>
      <c r="R1064" s="5" t="n"/>
    </row>
    <row r="1065">
      <c r="A1065" s="2" t="inlineStr">
        <is>
          <t>EJ290325.TXT</t>
        </is>
      </c>
      <c r="B1065" s="3" t="inlineStr">
        <is>
          <t>005765</t>
        </is>
      </c>
      <c r="C1065" s="3" t="inlineStr">
        <is>
          <t>004625</t>
        </is>
      </c>
      <c r="D1065" s="4" t="n">
        <v>45728</v>
      </c>
      <c r="E1065" s="2" t="inlineStr">
        <is>
          <t>18:32</t>
        </is>
      </c>
      <c r="F1065" s="5" t="n">
        <v>274.17</v>
      </c>
      <c r="G1065" s="5" t="n"/>
      <c r="H1065" s="5" t="n"/>
      <c r="I1065" s="5" t="n"/>
      <c r="J1065" s="5" t="n">
        <v>54.83</v>
      </c>
      <c r="K1065" s="5" t="n"/>
      <c r="L1065" s="5" t="n"/>
      <c r="M1065" s="5" t="n"/>
      <c r="N1065" s="5" t="n"/>
      <c r="O1065" s="5" t="n">
        <v>329</v>
      </c>
      <c r="P1065" s="5" t="n"/>
      <c r="Q1065" s="5" t="n">
        <v>329</v>
      </c>
      <c r="R1065" s="5" t="n"/>
    </row>
    <row r="1066">
      <c r="A1066" s="2" t="inlineStr">
        <is>
          <t>EJ290325.TXT</t>
        </is>
      </c>
      <c r="B1066" s="3" t="inlineStr">
        <is>
          <t>005766</t>
        </is>
      </c>
      <c r="C1066" s="3" t="inlineStr">
        <is>
          <t>004626</t>
        </is>
      </c>
      <c r="D1066" s="4" t="n">
        <v>45729</v>
      </c>
      <c r="E1066" s="2" t="inlineStr">
        <is>
          <t>15:59</t>
        </is>
      </c>
      <c r="F1066" s="5" t="n">
        <v>324.17</v>
      </c>
      <c r="G1066" s="5" t="n"/>
      <c r="H1066" s="5" t="n"/>
      <c r="I1066" s="5" t="n"/>
      <c r="J1066" s="5" t="n">
        <v>64.83</v>
      </c>
      <c r="K1066" s="5" t="n"/>
      <c r="L1066" s="5" t="n"/>
      <c r="M1066" s="5" t="n"/>
      <c r="N1066" s="5" t="n"/>
      <c r="O1066" s="5" t="n">
        <v>389</v>
      </c>
      <c r="P1066" s="5" t="n">
        <v>389</v>
      </c>
      <c r="Q1066" s="5" t="n"/>
      <c r="R1066" s="5" t="n"/>
    </row>
    <row r="1067">
      <c r="A1067" s="2" t="inlineStr">
        <is>
          <t>EJ290325.TXT</t>
        </is>
      </c>
      <c r="B1067" s="3" t="inlineStr">
        <is>
          <t>005767</t>
        </is>
      </c>
      <c r="C1067" s="3" t="inlineStr">
        <is>
          <t>004627</t>
        </is>
      </c>
      <c r="D1067" s="4" t="n">
        <v>45731</v>
      </c>
      <c r="E1067" s="2" t="inlineStr">
        <is>
          <t>15:39</t>
        </is>
      </c>
      <c r="F1067" s="5" t="n">
        <v>4579.17</v>
      </c>
      <c r="G1067" s="5" t="n"/>
      <c r="H1067" s="5" t="n"/>
      <c r="I1067" s="5" t="n"/>
      <c r="J1067" s="5" t="n">
        <v>915.83</v>
      </c>
      <c r="K1067" s="5" t="n"/>
      <c r="L1067" s="5" t="n"/>
      <c r="M1067" s="5" t="n"/>
      <c r="N1067" s="5" t="n"/>
      <c r="O1067" s="5" t="n">
        <v>5495</v>
      </c>
      <c r="P1067" s="5" t="n">
        <v>5495</v>
      </c>
      <c r="Q1067" s="5" t="n"/>
      <c r="R1067" s="5" t="n"/>
    </row>
    <row r="1068">
      <c r="A1068" s="2" t="inlineStr">
        <is>
          <t>EJ290325.TXT</t>
        </is>
      </c>
      <c r="B1068" s="3" t="inlineStr">
        <is>
          <t>005768</t>
        </is>
      </c>
      <c r="C1068" s="3" t="inlineStr">
        <is>
          <t>004628</t>
        </is>
      </c>
      <c r="D1068" s="4" t="n">
        <v>45737</v>
      </c>
      <c r="E1068" s="2" t="inlineStr">
        <is>
          <t>15:09</t>
        </is>
      </c>
      <c r="F1068" s="5" t="n">
        <v>99.83</v>
      </c>
      <c r="G1068" s="5" t="n"/>
      <c r="H1068" s="5" t="n"/>
      <c r="I1068" s="5" t="n"/>
      <c r="J1068" s="5" t="n">
        <v>19.97</v>
      </c>
      <c r="K1068" s="5" t="n"/>
      <c r="L1068" s="5" t="n"/>
      <c r="M1068" s="5" t="n"/>
      <c r="N1068" s="5" t="n"/>
      <c r="O1068" s="5" t="n">
        <v>119.8</v>
      </c>
      <c r="P1068" s="5" t="n"/>
      <c r="Q1068" s="5" t="n">
        <v>119.8</v>
      </c>
      <c r="R1068" s="5" t="n"/>
    </row>
    <row r="1069">
      <c r="A1069" s="2" t="inlineStr">
        <is>
          <t>EJ290325.TXT</t>
        </is>
      </c>
      <c r="B1069" s="3" t="inlineStr">
        <is>
          <t>005769</t>
        </is>
      </c>
      <c r="C1069" s="3" t="inlineStr">
        <is>
          <t>004629</t>
        </is>
      </c>
      <c r="D1069" s="4" t="n">
        <v>45737</v>
      </c>
      <c r="E1069" s="2" t="inlineStr">
        <is>
          <t>15:32</t>
        </is>
      </c>
      <c r="F1069" s="5" t="n">
        <v>274.17</v>
      </c>
      <c r="G1069" s="5" t="n"/>
      <c r="H1069" s="5" t="n"/>
      <c r="I1069" s="5" t="n"/>
      <c r="J1069" s="5" t="n">
        <v>54.83</v>
      </c>
      <c r="K1069" s="5" t="n"/>
      <c r="L1069" s="5" t="n"/>
      <c r="M1069" s="5" t="n"/>
      <c r="N1069" s="5" t="n"/>
      <c r="O1069" s="5" t="n">
        <v>329</v>
      </c>
      <c r="P1069" s="5" t="n"/>
      <c r="Q1069" s="5" t="n">
        <v>329</v>
      </c>
      <c r="R1069" s="5" t="n"/>
    </row>
    <row r="1070">
      <c r="A1070" s="2" t="inlineStr">
        <is>
          <t>EJ290325.TXT</t>
        </is>
      </c>
      <c r="B1070" s="3" t="inlineStr">
        <is>
          <t>005770</t>
        </is>
      </c>
      <c r="C1070" s="3" t="inlineStr">
        <is>
          <t>004630</t>
        </is>
      </c>
      <c r="D1070" s="4" t="n">
        <v>45738</v>
      </c>
      <c r="E1070" s="2" t="inlineStr">
        <is>
          <t>17:50</t>
        </is>
      </c>
      <c r="F1070" s="5" t="n">
        <v>274.17</v>
      </c>
      <c r="G1070" s="5" t="n"/>
      <c r="H1070" s="5" t="n"/>
      <c r="I1070" s="5" t="n"/>
      <c r="J1070" s="5" t="n">
        <v>54.83</v>
      </c>
      <c r="K1070" s="5" t="n"/>
      <c r="L1070" s="5" t="n"/>
      <c r="M1070" s="5" t="n"/>
      <c r="N1070" s="5" t="n"/>
      <c r="O1070" s="5" t="n">
        <v>329</v>
      </c>
      <c r="P1070" s="5" t="n"/>
      <c r="Q1070" s="5" t="n">
        <v>329</v>
      </c>
      <c r="R1070" s="5" t="n"/>
    </row>
    <row r="1071">
      <c r="A1071" s="2" t="inlineStr">
        <is>
          <t>EJ290325.TXT</t>
        </is>
      </c>
      <c r="B1071" s="3" t="inlineStr">
        <is>
          <t>005771</t>
        </is>
      </c>
      <c r="C1071" s="3" t="inlineStr">
        <is>
          <t>004631</t>
        </is>
      </c>
      <c r="D1071" s="4" t="n">
        <v>45740</v>
      </c>
      <c r="E1071" s="2" t="inlineStr">
        <is>
          <t>11:20</t>
        </is>
      </c>
      <c r="F1071" s="5" t="n">
        <v>190.83</v>
      </c>
      <c r="G1071" s="5" t="n"/>
      <c r="H1071" s="5" t="n"/>
      <c r="I1071" s="5" t="n"/>
      <c r="J1071" s="5" t="n">
        <v>38.17</v>
      </c>
      <c r="K1071" s="5" t="n"/>
      <c r="L1071" s="5" t="n"/>
      <c r="M1071" s="5" t="n"/>
      <c r="N1071" s="5" t="n"/>
      <c r="O1071" s="5" t="n">
        <v>229</v>
      </c>
      <c r="P1071" s="5" t="n">
        <v>229</v>
      </c>
      <c r="Q1071" s="5" t="n"/>
      <c r="R1071" s="5" t="n"/>
    </row>
    <row r="1072">
      <c r="A1072" s="2" t="inlineStr">
        <is>
          <t>EJ290325.TXT</t>
        </is>
      </c>
      <c r="B1072" s="3" t="inlineStr">
        <is>
          <t>005772</t>
        </is>
      </c>
      <c r="C1072" s="3" t="inlineStr">
        <is>
          <t>004632</t>
        </is>
      </c>
      <c r="D1072" s="4" t="n">
        <v>45742</v>
      </c>
      <c r="E1072" s="2" t="inlineStr">
        <is>
          <t>12:39</t>
        </is>
      </c>
      <c r="F1072" s="5" t="n">
        <v>1412.5</v>
      </c>
      <c r="G1072" s="5" t="n"/>
      <c r="H1072" s="5" t="n"/>
      <c r="I1072" s="5" t="n"/>
      <c r="J1072" s="5" t="n">
        <v>282.5</v>
      </c>
      <c r="K1072" s="5" t="n"/>
      <c r="L1072" s="5" t="n"/>
      <c r="M1072" s="5" t="n"/>
      <c r="N1072" s="5" t="n"/>
      <c r="O1072" s="5" t="n">
        <v>1695</v>
      </c>
      <c r="P1072" s="5" t="n">
        <v>1695</v>
      </c>
      <c r="Q1072" s="5" t="n"/>
      <c r="R1072" s="5" t="n"/>
    </row>
    <row r="1073">
      <c r="A1073" s="2" t="inlineStr">
        <is>
          <t>EJ290325.TXT</t>
        </is>
      </c>
      <c r="B1073" s="3" t="inlineStr">
        <is>
          <t>005773</t>
        </is>
      </c>
      <c r="C1073" s="3" t="inlineStr">
        <is>
          <t>004633</t>
        </is>
      </c>
      <c r="D1073" s="4" t="n">
        <v>45742</v>
      </c>
      <c r="E1073" s="2" t="inlineStr">
        <is>
          <t>19:00</t>
        </is>
      </c>
      <c r="F1073" s="5" t="n">
        <v>797.5</v>
      </c>
      <c r="G1073" s="5" t="n"/>
      <c r="H1073" s="5" t="n"/>
      <c r="I1073" s="5" t="n"/>
      <c r="J1073" s="5" t="n">
        <v>159.5</v>
      </c>
      <c r="K1073" s="5" t="n"/>
      <c r="L1073" s="5" t="n"/>
      <c r="M1073" s="5" t="n"/>
      <c r="N1073" s="5" t="n"/>
      <c r="O1073" s="5" t="n">
        <v>957</v>
      </c>
      <c r="P1073" s="5" t="n"/>
      <c r="Q1073" s="5" t="n">
        <v>957</v>
      </c>
      <c r="R1073" s="5" t="n"/>
    </row>
    <row r="1074">
      <c r="A1074" s="2" t="inlineStr">
        <is>
          <t>EJ290325.TXT</t>
        </is>
      </c>
      <c r="B1074" s="3" t="inlineStr">
        <is>
          <t>005774</t>
        </is>
      </c>
      <c r="C1074" s="3" t="inlineStr">
        <is>
          <t>004634</t>
        </is>
      </c>
      <c r="D1074" s="4" t="n">
        <v>45742</v>
      </c>
      <c r="E1074" s="2" t="inlineStr">
        <is>
          <t>19:00</t>
        </is>
      </c>
      <c r="F1074" s="5" t="n">
        <v>531.67</v>
      </c>
      <c r="G1074" s="5" t="n"/>
      <c r="H1074" s="5" t="n"/>
      <c r="I1074" s="5" t="n"/>
      <c r="J1074" s="5" t="n">
        <v>106.33</v>
      </c>
      <c r="K1074" s="5" t="n"/>
      <c r="L1074" s="5" t="n"/>
      <c r="M1074" s="5" t="n"/>
      <c r="N1074" s="5" t="n"/>
      <c r="O1074" s="5" t="n">
        <v>638</v>
      </c>
      <c r="P1074" s="5" t="n"/>
      <c r="Q1074" s="5" t="n">
        <v>638</v>
      </c>
      <c r="R1074" s="5" t="n"/>
    </row>
    <row r="1075">
      <c r="A1075" s="2" t="inlineStr">
        <is>
          <t>EJ290325.TXT</t>
        </is>
      </c>
      <c r="B1075" s="3" t="inlineStr">
        <is>
          <t>005775</t>
        </is>
      </c>
      <c r="C1075" s="3" t="inlineStr">
        <is>
          <t>004635</t>
        </is>
      </c>
      <c r="D1075" s="4" t="n">
        <v>45742</v>
      </c>
      <c r="E1075" s="2" t="inlineStr">
        <is>
          <t>19:03</t>
        </is>
      </c>
      <c r="F1075" s="5" t="n">
        <v>789.17</v>
      </c>
      <c r="G1075" s="5" t="n"/>
      <c r="H1075" s="5" t="n"/>
      <c r="I1075" s="5" t="n"/>
      <c r="J1075" s="5" t="n">
        <v>157.83</v>
      </c>
      <c r="K1075" s="5" t="n"/>
      <c r="L1075" s="5" t="n"/>
      <c r="M1075" s="5" t="n"/>
      <c r="N1075" s="5" t="n"/>
      <c r="O1075" s="5" t="n">
        <v>947</v>
      </c>
      <c r="P1075" s="5" t="n"/>
      <c r="Q1075" s="5" t="n">
        <v>947</v>
      </c>
      <c r="R1075" s="5" t="n"/>
    </row>
    <row r="1076">
      <c r="A1076" s="2" t="inlineStr">
        <is>
          <t>EJ290325.TXT</t>
        </is>
      </c>
      <c r="B1076" s="3" t="inlineStr">
        <is>
          <t>005776</t>
        </is>
      </c>
      <c r="C1076" s="3" t="inlineStr">
        <is>
          <t>004636</t>
        </is>
      </c>
      <c r="D1076" s="4" t="n">
        <v>45742</v>
      </c>
      <c r="E1076" s="2" t="inlineStr">
        <is>
          <t>19:03</t>
        </is>
      </c>
      <c r="F1076" s="5" t="n">
        <v>274.17</v>
      </c>
      <c r="G1076" s="5" t="n"/>
      <c r="H1076" s="5" t="n"/>
      <c r="I1076" s="5" t="n"/>
      <c r="J1076" s="5" t="n">
        <v>54.83</v>
      </c>
      <c r="K1076" s="5" t="n"/>
      <c r="L1076" s="5" t="n"/>
      <c r="M1076" s="5" t="n"/>
      <c r="N1076" s="5" t="n"/>
      <c r="O1076" s="5" t="n">
        <v>329</v>
      </c>
      <c r="P1076" s="5" t="n"/>
      <c r="Q1076" s="5" t="n">
        <v>329</v>
      </c>
      <c r="R1076" s="5" t="n"/>
    </row>
    <row r="1077">
      <c r="A1077" s="2" t="inlineStr">
        <is>
          <t>EJ290325.TXT</t>
        </is>
      </c>
      <c r="B1077" s="3" t="inlineStr">
        <is>
          <t>005777</t>
        </is>
      </c>
      <c r="C1077" s="3" t="inlineStr">
        <is>
          <t>004637</t>
        </is>
      </c>
      <c r="D1077" s="4" t="n">
        <v>45742</v>
      </c>
      <c r="E1077" s="2" t="inlineStr">
        <is>
          <t>19:03</t>
        </is>
      </c>
      <c r="F1077" s="5" t="n">
        <v>265.83</v>
      </c>
      <c r="G1077" s="5" t="n"/>
      <c r="H1077" s="5" t="n"/>
      <c r="I1077" s="5" t="n"/>
      <c r="J1077" s="5" t="n">
        <v>53.17</v>
      </c>
      <c r="K1077" s="5" t="n"/>
      <c r="L1077" s="5" t="n"/>
      <c r="M1077" s="5" t="n"/>
      <c r="N1077" s="5" t="n"/>
      <c r="O1077" s="5" t="n">
        <v>319</v>
      </c>
      <c r="P1077" s="5" t="n"/>
      <c r="Q1077" s="5" t="n">
        <v>319</v>
      </c>
      <c r="R1077" s="5" t="n"/>
    </row>
    <row r="1078">
      <c r="A1078" s="2" t="inlineStr">
        <is>
          <t>EJ290325.TXT</t>
        </is>
      </c>
      <c r="B1078" s="3" t="inlineStr">
        <is>
          <t>005778</t>
        </is>
      </c>
      <c r="C1078" s="3" t="inlineStr">
        <is>
          <t>004638</t>
        </is>
      </c>
      <c r="D1078" s="4" t="n">
        <v>45742</v>
      </c>
      <c r="E1078" s="2" t="inlineStr">
        <is>
          <t>19:04</t>
        </is>
      </c>
      <c r="F1078" s="5" t="n">
        <v>257.5</v>
      </c>
      <c r="G1078" s="5" t="n"/>
      <c r="H1078" s="5" t="n"/>
      <c r="I1078" s="5" t="n"/>
      <c r="J1078" s="5" t="n">
        <v>51.5</v>
      </c>
      <c r="K1078" s="5" t="n"/>
      <c r="L1078" s="5" t="n"/>
      <c r="M1078" s="5" t="n"/>
      <c r="N1078" s="5" t="n"/>
      <c r="O1078" s="5" t="n">
        <v>309</v>
      </c>
      <c r="P1078" s="5" t="n"/>
      <c r="Q1078" s="5" t="n">
        <v>309</v>
      </c>
      <c r="R1078" s="5" t="n"/>
    </row>
    <row r="1079">
      <c r="A1079" s="2" t="inlineStr">
        <is>
          <t>EJ290325.TXT</t>
        </is>
      </c>
      <c r="B1079" s="3" t="inlineStr">
        <is>
          <t>005779</t>
        </is>
      </c>
      <c r="C1079" s="3" t="inlineStr">
        <is>
          <t>004639</t>
        </is>
      </c>
      <c r="D1079" s="4" t="n">
        <v>45742</v>
      </c>
      <c r="E1079" s="2" t="inlineStr">
        <is>
          <t>19:05</t>
        </is>
      </c>
      <c r="F1079" s="5" t="n">
        <v>531.67</v>
      </c>
      <c r="G1079" s="5" t="n"/>
      <c r="H1079" s="5" t="n"/>
      <c r="I1079" s="5" t="n"/>
      <c r="J1079" s="5" t="n">
        <v>106.33</v>
      </c>
      <c r="K1079" s="5" t="n"/>
      <c r="L1079" s="5" t="n"/>
      <c r="M1079" s="5" t="n"/>
      <c r="N1079" s="5" t="n"/>
      <c r="O1079" s="5" t="n">
        <v>638</v>
      </c>
      <c r="P1079" s="5" t="n"/>
      <c r="Q1079" s="5" t="n">
        <v>638</v>
      </c>
      <c r="R1079" s="5" t="n"/>
    </row>
    <row r="1080">
      <c r="A1080" s="2" t="inlineStr">
        <is>
          <t>EJ290325.TXT</t>
        </is>
      </c>
      <c r="B1080" s="3" t="inlineStr">
        <is>
          <t>005780</t>
        </is>
      </c>
      <c r="C1080" s="3" t="inlineStr">
        <is>
          <t>004640</t>
        </is>
      </c>
      <c r="D1080" s="4" t="n">
        <v>45742</v>
      </c>
      <c r="E1080" s="2" t="inlineStr">
        <is>
          <t>19:05</t>
        </is>
      </c>
      <c r="F1080" s="5" t="n">
        <v>531.67</v>
      </c>
      <c r="G1080" s="5" t="n"/>
      <c r="H1080" s="5" t="n"/>
      <c r="I1080" s="5" t="n"/>
      <c r="J1080" s="5" t="n">
        <v>106.33</v>
      </c>
      <c r="K1080" s="5" t="n"/>
      <c r="L1080" s="5" t="n"/>
      <c r="M1080" s="5" t="n"/>
      <c r="N1080" s="5" t="n"/>
      <c r="O1080" s="5" t="n">
        <v>638</v>
      </c>
      <c r="P1080" s="5" t="n"/>
      <c r="Q1080" s="5" t="n">
        <v>638</v>
      </c>
      <c r="R1080" s="5" t="n"/>
    </row>
    <row r="1081">
      <c r="A1081" s="2" t="inlineStr">
        <is>
          <t>EJ290325.TXT</t>
        </is>
      </c>
      <c r="B1081" s="3" t="inlineStr">
        <is>
          <t>005781</t>
        </is>
      </c>
      <c r="C1081" s="3" t="inlineStr">
        <is>
          <t>004641</t>
        </is>
      </c>
      <c r="D1081" s="4" t="n">
        <v>45743</v>
      </c>
      <c r="E1081" s="2" t="inlineStr">
        <is>
          <t>11:07</t>
        </is>
      </c>
      <c r="F1081" s="5" t="n">
        <v>82.5</v>
      </c>
      <c r="G1081" s="5" t="n"/>
      <c r="H1081" s="5" t="n"/>
      <c r="I1081" s="5" t="n"/>
      <c r="J1081" s="5" t="n">
        <v>16.5</v>
      </c>
      <c r="K1081" s="5" t="n"/>
      <c r="L1081" s="5" t="n"/>
      <c r="M1081" s="5" t="n"/>
      <c r="N1081" s="5" t="n"/>
      <c r="O1081" s="5" t="n">
        <v>99</v>
      </c>
      <c r="P1081" s="5" t="n"/>
      <c r="Q1081" s="5" t="n">
        <v>99</v>
      </c>
      <c r="R1081" s="5" t="n"/>
    </row>
    <row r="1082">
      <c r="A1082" s="2" t="inlineStr">
        <is>
          <t>EJ290325.TXT</t>
        </is>
      </c>
      <c r="B1082" s="3" t="inlineStr">
        <is>
          <t>005782</t>
        </is>
      </c>
      <c r="C1082" s="3" t="inlineStr">
        <is>
          <t>004642</t>
        </is>
      </c>
      <c r="D1082" s="4" t="n">
        <v>45743</v>
      </c>
      <c r="E1082" s="2" t="inlineStr">
        <is>
          <t>11:36</t>
        </is>
      </c>
      <c r="F1082" s="5" t="n">
        <v>124.17</v>
      </c>
      <c r="G1082" s="5" t="n"/>
      <c r="H1082" s="5" t="n"/>
      <c r="I1082" s="5" t="n"/>
      <c r="J1082" s="5" t="n">
        <v>24.83</v>
      </c>
      <c r="K1082" s="5" t="n"/>
      <c r="L1082" s="5" t="n"/>
      <c r="M1082" s="5" t="n"/>
      <c r="N1082" s="5" t="n"/>
      <c r="O1082" s="5" t="n">
        <v>149</v>
      </c>
      <c r="P1082" s="5" t="n">
        <v>149</v>
      </c>
      <c r="Q1082" s="5" t="n"/>
      <c r="R1082" s="5" t="n"/>
    </row>
    <row r="1083">
      <c r="A1083" s="2" t="inlineStr">
        <is>
          <t>EJ290325.TXT</t>
        </is>
      </c>
      <c r="B1083" s="3" t="inlineStr">
        <is>
          <t>005783</t>
        </is>
      </c>
      <c r="C1083" s="3" t="inlineStr">
        <is>
          <t>004643</t>
        </is>
      </c>
      <c r="D1083" s="4" t="n">
        <v>45744</v>
      </c>
      <c r="E1083" s="2" t="inlineStr">
        <is>
          <t>12:41</t>
        </is>
      </c>
      <c r="F1083" s="5" t="n">
        <v>833.33</v>
      </c>
      <c r="G1083" s="5" t="n"/>
      <c r="H1083" s="5" t="n"/>
      <c r="I1083" s="5" t="n"/>
      <c r="J1083" s="5" t="n">
        <v>166.67</v>
      </c>
      <c r="K1083" s="5" t="n"/>
      <c r="L1083" s="5" t="n"/>
      <c r="M1083" s="5" t="n"/>
      <c r="N1083" s="5" t="n"/>
      <c r="O1083" s="5" t="n">
        <v>1000</v>
      </c>
      <c r="P1083" s="5" t="n"/>
      <c r="Q1083" s="5" t="n">
        <v>1000</v>
      </c>
      <c r="R1083" s="5" t="n"/>
    </row>
    <row r="1084">
      <c r="A1084" s="2" t="inlineStr">
        <is>
          <t>EJ290325.TXT</t>
        </is>
      </c>
      <c r="B1084" s="3" t="inlineStr">
        <is>
          <t>005784</t>
        </is>
      </c>
      <c r="C1084" s="3" t="inlineStr">
        <is>
          <t>004644</t>
        </is>
      </c>
      <c r="D1084" s="4" t="n">
        <v>45744</v>
      </c>
      <c r="E1084" s="2" t="inlineStr">
        <is>
          <t>12:42</t>
        </is>
      </c>
      <c r="F1084" s="5" t="n">
        <v>315.83</v>
      </c>
      <c r="G1084" s="5" t="n"/>
      <c r="H1084" s="5" t="n"/>
      <c r="I1084" s="5" t="n"/>
      <c r="J1084" s="5" t="n">
        <v>63.17</v>
      </c>
      <c r="K1084" s="5" t="n"/>
      <c r="L1084" s="5" t="n"/>
      <c r="M1084" s="5" t="n"/>
      <c r="N1084" s="5" t="n"/>
      <c r="O1084" s="5" t="n">
        <v>379</v>
      </c>
      <c r="P1084" s="5" t="n"/>
      <c r="Q1084" s="5" t="n">
        <v>379</v>
      </c>
      <c r="R1084" s="5" t="n"/>
    </row>
    <row r="1085">
      <c r="A1085" s="2" t="inlineStr">
        <is>
          <t>EJ010725.TXT</t>
        </is>
      </c>
      <c r="B1085" s="3" t="inlineStr">
        <is>
          <t>005793</t>
        </is>
      </c>
      <c r="C1085" s="3" t="inlineStr">
        <is>
          <t>004645</t>
        </is>
      </c>
      <c r="D1085" s="4" t="n">
        <v>45754</v>
      </c>
      <c r="E1085" s="2" t="inlineStr">
        <is>
          <t>16:10</t>
        </is>
      </c>
      <c r="F1085" s="5" t="n">
        <v>548.33</v>
      </c>
      <c r="G1085" s="5" t="n"/>
      <c r="H1085" s="5" t="n"/>
      <c r="I1085" s="5" t="n"/>
      <c r="J1085" s="5" t="n">
        <v>109.67</v>
      </c>
      <c r="K1085" s="5" t="n"/>
      <c r="L1085" s="5" t="n"/>
      <c r="M1085" s="5" t="n"/>
      <c r="N1085" s="5" t="n"/>
      <c r="O1085" s="5" t="n">
        <v>658</v>
      </c>
      <c r="P1085" s="5" t="n"/>
      <c r="Q1085" s="5" t="n">
        <v>658</v>
      </c>
      <c r="R1085" s="5" t="n"/>
    </row>
    <row r="1086">
      <c r="A1086" s="2" t="inlineStr">
        <is>
          <t>EJ010725.TXT</t>
        </is>
      </c>
      <c r="B1086" s="3" t="inlineStr">
        <is>
          <t>005794</t>
        </is>
      </c>
      <c r="C1086" s="3" t="inlineStr">
        <is>
          <t>004646</t>
        </is>
      </c>
      <c r="D1086" s="4" t="n">
        <v>45754</v>
      </c>
      <c r="E1086" s="2" t="inlineStr">
        <is>
          <t>16:13</t>
        </is>
      </c>
      <c r="F1086" s="5" t="n">
        <v>208.33</v>
      </c>
      <c r="G1086" s="5" t="n"/>
      <c r="H1086" s="5" t="n"/>
      <c r="I1086" s="5" t="n"/>
      <c r="J1086" s="5" t="n">
        <v>41.67</v>
      </c>
      <c r="K1086" s="5" t="n"/>
      <c r="L1086" s="5" t="n"/>
      <c r="M1086" s="5" t="n"/>
      <c r="N1086" s="5" t="n"/>
      <c r="O1086" s="5" t="n">
        <v>250</v>
      </c>
      <c r="P1086" s="5" t="n"/>
      <c r="Q1086" s="5" t="n">
        <v>250</v>
      </c>
      <c r="R1086" s="5" t="n"/>
    </row>
    <row r="1087">
      <c r="A1087" s="2" t="inlineStr">
        <is>
          <t>EJ010725.TXT</t>
        </is>
      </c>
      <c r="B1087" s="3" t="inlineStr">
        <is>
          <t>005795</t>
        </is>
      </c>
      <c r="C1087" s="3" t="inlineStr">
        <is>
          <t>004647</t>
        </is>
      </c>
      <c r="D1087" s="4" t="n">
        <v>45754</v>
      </c>
      <c r="E1087" s="2" t="inlineStr">
        <is>
          <t>16:38</t>
        </is>
      </c>
      <c r="F1087" s="5" t="n">
        <v>82.5</v>
      </c>
      <c r="G1087" s="5" t="n"/>
      <c r="H1087" s="5" t="n"/>
      <c r="I1087" s="5" t="n"/>
      <c r="J1087" s="5" t="n">
        <v>16.5</v>
      </c>
      <c r="K1087" s="5" t="n"/>
      <c r="L1087" s="5" t="n"/>
      <c r="M1087" s="5" t="n"/>
      <c r="N1087" s="5" t="n"/>
      <c r="O1087" s="5" t="n">
        <v>99</v>
      </c>
      <c r="P1087" s="5" t="n">
        <v>99</v>
      </c>
      <c r="Q1087" s="5" t="n"/>
      <c r="R1087" s="5" t="n"/>
    </row>
    <row r="1088">
      <c r="A1088" s="2" t="inlineStr">
        <is>
          <t>EJ010725.TXT</t>
        </is>
      </c>
      <c r="B1088" s="3" t="inlineStr">
        <is>
          <t>005796</t>
        </is>
      </c>
      <c r="C1088" s="3" t="inlineStr">
        <is>
          <t>004648</t>
        </is>
      </c>
      <c r="D1088" s="4" t="n">
        <v>45754</v>
      </c>
      <c r="E1088" s="2" t="inlineStr">
        <is>
          <t>16:54</t>
        </is>
      </c>
      <c r="F1088" s="5" t="n">
        <v>465.83</v>
      </c>
      <c r="G1088" s="5" t="n"/>
      <c r="H1088" s="5" t="n"/>
      <c r="I1088" s="5" t="n"/>
      <c r="J1088" s="5" t="n">
        <v>93.17</v>
      </c>
      <c r="K1088" s="5" t="n"/>
      <c r="L1088" s="5" t="n"/>
      <c r="M1088" s="5" t="n"/>
      <c r="N1088" s="5" t="n"/>
      <c r="O1088" s="5" t="n">
        <v>559</v>
      </c>
      <c r="P1088" s="5" t="n"/>
      <c r="Q1088" s="5" t="n">
        <v>559</v>
      </c>
      <c r="R1088" s="5" t="n"/>
    </row>
    <row r="1089">
      <c r="A1089" s="2" t="inlineStr">
        <is>
          <t>EJ010725.TXT</t>
        </is>
      </c>
      <c r="B1089" s="3" t="inlineStr">
        <is>
          <t>005797</t>
        </is>
      </c>
      <c r="C1089" s="3" t="inlineStr">
        <is>
          <t>004649</t>
        </is>
      </c>
      <c r="D1089" s="4" t="n">
        <v>45754</v>
      </c>
      <c r="E1089" s="2" t="inlineStr">
        <is>
          <t>17:01</t>
        </is>
      </c>
      <c r="F1089" s="5" t="n">
        <v>83.17</v>
      </c>
      <c r="G1089" s="5" t="n"/>
      <c r="H1089" s="5" t="n"/>
      <c r="I1089" s="5" t="n"/>
      <c r="J1089" s="5" t="n">
        <v>16.63</v>
      </c>
      <c r="K1089" s="5" t="n"/>
      <c r="L1089" s="5" t="n"/>
      <c r="M1089" s="5" t="n"/>
      <c r="N1089" s="5" t="n"/>
      <c r="O1089" s="5" t="n">
        <v>99.8</v>
      </c>
      <c r="P1089" s="5" t="n"/>
      <c r="Q1089" s="5" t="n">
        <v>99.8</v>
      </c>
      <c r="R1089" s="5" t="n"/>
    </row>
    <row r="1090">
      <c r="A1090" s="2" t="inlineStr">
        <is>
          <t>EJ010725.TXT</t>
        </is>
      </c>
      <c r="B1090" s="3" t="inlineStr">
        <is>
          <t>005798</t>
        </is>
      </c>
      <c r="C1090" s="3" t="inlineStr">
        <is>
          <t>004650</t>
        </is>
      </c>
      <c r="D1090" s="4" t="n">
        <v>45755</v>
      </c>
      <c r="E1090" s="2" t="inlineStr">
        <is>
          <t>10:33</t>
        </is>
      </c>
      <c r="F1090" s="5" t="n">
        <v>274.17</v>
      </c>
      <c r="G1090" s="5" t="n"/>
      <c r="H1090" s="5" t="n"/>
      <c r="I1090" s="5" t="n"/>
      <c r="J1090" s="5" t="n">
        <v>54.83</v>
      </c>
      <c r="K1090" s="5" t="n"/>
      <c r="L1090" s="5" t="n"/>
      <c r="M1090" s="5" t="n"/>
      <c r="N1090" s="5" t="n"/>
      <c r="O1090" s="5" t="n">
        <v>329</v>
      </c>
      <c r="P1090" s="5" t="n"/>
      <c r="Q1090" s="5" t="n">
        <v>329</v>
      </c>
      <c r="R1090" s="5" t="n"/>
    </row>
    <row r="1091">
      <c r="A1091" s="2" t="inlineStr">
        <is>
          <t>EJ010725.TXT</t>
        </is>
      </c>
      <c r="B1091" s="3" t="inlineStr">
        <is>
          <t>005799</t>
        </is>
      </c>
      <c r="C1091" s="3" t="inlineStr">
        <is>
          <t>004651</t>
        </is>
      </c>
      <c r="D1091" s="4" t="n">
        <v>45755</v>
      </c>
      <c r="E1091" s="2" t="inlineStr">
        <is>
          <t>16:01</t>
        </is>
      </c>
      <c r="F1091" s="5" t="n">
        <v>208.33</v>
      </c>
      <c r="G1091" s="5" t="n"/>
      <c r="H1091" s="5" t="n"/>
      <c r="I1091" s="5" t="n"/>
      <c r="J1091" s="5" t="n">
        <v>41.67</v>
      </c>
      <c r="K1091" s="5" t="n"/>
      <c r="L1091" s="5" t="n"/>
      <c r="M1091" s="5" t="n"/>
      <c r="N1091" s="5" t="n"/>
      <c r="O1091" s="5" t="n">
        <v>250</v>
      </c>
      <c r="P1091" s="5" t="n"/>
      <c r="Q1091" s="5" t="n">
        <v>250</v>
      </c>
      <c r="R1091" s="5" t="n"/>
    </row>
    <row r="1092">
      <c r="A1092" s="2" t="inlineStr">
        <is>
          <t>EJ010725.TXT</t>
        </is>
      </c>
      <c r="B1092" s="3" t="inlineStr">
        <is>
          <t>005800</t>
        </is>
      </c>
      <c r="C1092" s="3" t="inlineStr">
        <is>
          <t>004652</t>
        </is>
      </c>
      <c r="D1092" s="4" t="n">
        <v>45756</v>
      </c>
      <c r="E1092" s="2" t="inlineStr">
        <is>
          <t>14:53</t>
        </is>
      </c>
      <c r="F1092" s="5" t="n">
        <v>41.58</v>
      </c>
      <c r="G1092" s="5" t="n"/>
      <c r="H1092" s="5" t="n"/>
      <c r="I1092" s="5" t="n"/>
      <c r="J1092" s="5" t="n">
        <v>8.32</v>
      </c>
      <c r="K1092" s="5" t="n"/>
      <c r="L1092" s="5" t="n"/>
      <c r="M1092" s="5" t="n"/>
      <c r="N1092" s="5" t="n"/>
      <c r="O1092" s="5" t="n">
        <v>49.9</v>
      </c>
      <c r="P1092" s="5" t="n">
        <v>49.9</v>
      </c>
      <c r="Q1092" s="5" t="n"/>
      <c r="R1092" s="5" t="n"/>
    </row>
    <row r="1093">
      <c r="A1093" s="2" t="inlineStr">
        <is>
          <t>EJ010725.TXT</t>
        </is>
      </c>
      <c r="B1093" s="3" t="inlineStr">
        <is>
          <t>005801</t>
        </is>
      </c>
      <c r="C1093" s="3" t="inlineStr">
        <is>
          <t>004653</t>
        </is>
      </c>
      <c r="D1093" s="4" t="n">
        <v>45757</v>
      </c>
      <c r="E1093" s="2" t="inlineStr">
        <is>
          <t>14:26</t>
        </is>
      </c>
      <c r="F1093" s="5" t="n">
        <v>548.33</v>
      </c>
      <c r="G1093" s="5" t="n"/>
      <c r="H1093" s="5" t="n"/>
      <c r="I1093" s="5" t="n"/>
      <c r="J1093" s="5" t="n">
        <v>109.67</v>
      </c>
      <c r="K1093" s="5" t="n"/>
      <c r="L1093" s="5" t="n"/>
      <c r="M1093" s="5" t="n"/>
      <c r="N1093" s="5" t="n"/>
      <c r="O1093" s="5" t="n">
        <v>658</v>
      </c>
      <c r="P1093" s="5" t="n">
        <v>658</v>
      </c>
      <c r="Q1093" s="5" t="n"/>
      <c r="R1093" s="5" t="n"/>
    </row>
    <row r="1094">
      <c r="A1094" s="2" t="inlineStr">
        <is>
          <t>EJ010725.TXT</t>
        </is>
      </c>
      <c r="B1094" s="3" t="inlineStr">
        <is>
          <t>005802</t>
        </is>
      </c>
      <c r="C1094" s="3" t="inlineStr">
        <is>
          <t>004654</t>
        </is>
      </c>
      <c r="D1094" s="4" t="n">
        <v>45758</v>
      </c>
      <c r="E1094" s="2" t="inlineStr">
        <is>
          <t>10:44</t>
        </is>
      </c>
      <c r="F1094" s="5" t="n">
        <v>626.67</v>
      </c>
      <c r="G1094" s="5" t="n"/>
      <c r="H1094" s="5" t="n"/>
      <c r="I1094" s="5" t="n"/>
      <c r="J1094" s="5" t="n">
        <v>125.33</v>
      </c>
      <c r="K1094" s="5" t="n"/>
      <c r="L1094" s="5" t="n"/>
      <c r="M1094" s="5" t="n"/>
      <c r="N1094" s="5" t="n"/>
      <c r="O1094" s="5" t="n">
        <v>752</v>
      </c>
      <c r="P1094" s="5" t="n">
        <v>752</v>
      </c>
      <c r="Q1094" s="5" t="n"/>
      <c r="R1094" s="5" t="n"/>
    </row>
    <row r="1095">
      <c r="A1095" s="2" t="inlineStr">
        <is>
          <t>EJ010725.TXT</t>
        </is>
      </c>
      <c r="B1095" s="3" t="inlineStr">
        <is>
          <t>005803</t>
        </is>
      </c>
      <c r="C1095" s="3" t="inlineStr">
        <is>
          <t>004655</t>
        </is>
      </c>
      <c r="D1095" s="4" t="n">
        <v>45758</v>
      </c>
      <c r="E1095" s="2" t="inlineStr">
        <is>
          <t>17:22</t>
        </is>
      </c>
      <c r="F1095" s="5" t="n">
        <v>656.67</v>
      </c>
      <c r="G1095" s="5" t="n"/>
      <c r="H1095" s="5" t="n"/>
      <c r="I1095" s="5" t="n"/>
      <c r="J1095" s="5" t="n">
        <v>131.33</v>
      </c>
      <c r="K1095" s="5" t="n"/>
      <c r="L1095" s="5" t="n"/>
      <c r="M1095" s="5" t="n"/>
      <c r="N1095" s="5" t="n"/>
      <c r="O1095" s="5" t="n">
        <v>788</v>
      </c>
      <c r="P1095" s="5" t="n"/>
      <c r="Q1095" s="5" t="n">
        <v>788</v>
      </c>
      <c r="R1095" s="5" t="n"/>
    </row>
    <row r="1096">
      <c r="A1096" s="2" t="inlineStr">
        <is>
          <t>EJ010725.TXT</t>
        </is>
      </c>
      <c r="B1096" s="3" t="inlineStr">
        <is>
          <t>005804</t>
        </is>
      </c>
      <c r="C1096" s="3" t="inlineStr">
        <is>
          <t>004656</t>
        </is>
      </c>
      <c r="D1096" s="4" t="n">
        <v>45762</v>
      </c>
      <c r="E1096" s="2" t="inlineStr">
        <is>
          <t>17:30</t>
        </is>
      </c>
      <c r="F1096" s="5" t="n">
        <v>845</v>
      </c>
      <c r="G1096" s="5" t="n"/>
      <c r="H1096" s="5" t="n"/>
      <c r="I1096" s="5" t="n"/>
      <c r="J1096" s="5" t="n">
        <v>169</v>
      </c>
      <c r="K1096" s="5" t="n"/>
      <c r="L1096" s="5" t="n"/>
      <c r="M1096" s="5" t="n"/>
      <c r="N1096" s="5" t="n"/>
      <c r="O1096" s="5" t="n">
        <v>1014</v>
      </c>
      <c r="P1096" s="5" t="n">
        <v>1014</v>
      </c>
      <c r="Q1096" s="5" t="n"/>
      <c r="R1096" s="5" t="n"/>
    </row>
    <row r="1097">
      <c r="A1097" s="2" t="inlineStr">
        <is>
          <t>EJ010725.TXT</t>
        </is>
      </c>
      <c r="B1097" s="3" t="inlineStr">
        <is>
          <t>005805</t>
        </is>
      </c>
      <c r="C1097" s="3" t="inlineStr">
        <is>
          <t>004657</t>
        </is>
      </c>
      <c r="D1097" s="4" t="n">
        <v>45765</v>
      </c>
      <c r="E1097" s="2" t="inlineStr">
        <is>
          <t>12:41</t>
        </is>
      </c>
      <c r="F1097" s="5" t="n">
        <v>208.33</v>
      </c>
      <c r="G1097" s="5" t="n"/>
      <c r="H1097" s="5" t="n"/>
      <c r="I1097" s="5" t="n"/>
      <c r="J1097" s="5" t="n">
        <v>41.67</v>
      </c>
      <c r="K1097" s="5" t="n"/>
      <c r="L1097" s="5" t="n"/>
      <c r="M1097" s="5" t="n"/>
      <c r="N1097" s="5" t="n"/>
      <c r="O1097" s="5" t="n">
        <v>250</v>
      </c>
      <c r="P1097" s="5" t="n"/>
      <c r="Q1097" s="5" t="n">
        <v>250</v>
      </c>
      <c r="R1097" s="5" t="n"/>
    </row>
    <row r="1098">
      <c r="A1098" s="2" t="inlineStr">
        <is>
          <t>EJ010725.TXT</t>
        </is>
      </c>
      <c r="B1098" s="3" t="inlineStr">
        <is>
          <t>005806</t>
        </is>
      </c>
      <c r="C1098" s="3" t="inlineStr">
        <is>
          <t>004658</t>
        </is>
      </c>
      <c r="D1098" s="4" t="n">
        <v>45766</v>
      </c>
      <c r="E1098" s="2" t="inlineStr">
        <is>
          <t>15:25</t>
        </is>
      </c>
      <c r="F1098" s="5" t="n">
        <v>107.42</v>
      </c>
      <c r="G1098" s="5" t="n"/>
      <c r="H1098" s="5" t="n"/>
      <c r="I1098" s="5" t="n"/>
      <c r="J1098" s="5" t="n">
        <v>21.48</v>
      </c>
      <c r="K1098" s="5" t="n"/>
      <c r="L1098" s="5" t="n"/>
      <c r="M1098" s="5" t="n"/>
      <c r="N1098" s="5" t="n"/>
      <c r="O1098" s="5" t="n">
        <v>128.9</v>
      </c>
      <c r="P1098" s="5" t="n"/>
      <c r="Q1098" s="5" t="n">
        <v>128.9</v>
      </c>
      <c r="R1098" s="5" t="n"/>
    </row>
    <row r="1099">
      <c r="A1099" s="2" t="inlineStr">
        <is>
          <t>EJ010725.TXT</t>
        </is>
      </c>
      <c r="B1099" s="3" t="inlineStr">
        <is>
          <t>005807</t>
        </is>
      </c>
      <c r="C1099" s="3" t="inlineStr">
        <is>
          <t>004659</t>
        </is>
      </c>
      <c r="D1099" s="4" t="n">
        <v>45770</v>
      </c>
      <c r="E1099" s="2" t="inlineStr">
        <is>
          <t>15:56</t>
        </is>
      </c>
      <c r="F1099" s="5" t="n">
        <v>208.33</v>
      </c>
      <c r="G1099" s="5" t="n"/>
      <c r="H1099" s="5" t="n"/>
      <c r="I1099" s="5" t="n"/>
      <c r="J1099" s="5" t="n">
        <v>41.67</v>
      </c>
      <c r="K1099" s="5" t="n"/>
      <c r="L1099" s="5" t="n"/>
      <c r="M1099" s="5" t="n"/>
      <c r="N1099" s="5" t="n"/>
      <c r="O1099" s="5" t="n">
        <v>250</v>
      </c>
      <c r="P1099" s="5" t="n"/>
      <c r="Q1099" s="5" t="n">
        <v>250</v>
      </c>
      <c r="R1099" s="5" t="n"/>
    </row>
    <row r="1100">
      <c r="A1100" s="2" t="inlineStr">
        <is>
          <t>EJ010725.TXT</t>
        </is>
      </c>
      <c r="B1100" s="3" t="inlineStr">
        <is>
          <t>005808</t>
        </is>
      </c>
      <c r="C1100" s="3" t="inlineStr">
        <is>
          <t>004660</t>
        </is>
      </c>
      <c r="D1100" s="4" t="n">
        <v>45770</v>
      </c>
      <c r="E1100" s="2" t="inlineStr">
        <is>
          <t>17:13</t>
        </is>
      </c>
      <c r="F1100" s="5" t="n">
        <v>66.5</v>
      </c>
      <c r="G1100" s="5" t="n"/>
      <c r="H1100" s="5" t="n"/>
      <c r="I1100" s="5" t="n"/>
      <c r="J1100" s="5" t="n">
        <v>13.3</v>
      </c>
      <c r="K1100" s="5" t="n"/>
      <c r="L1100" s="5" t="n"/>
      <c r="M1100" s="5" t="n"/>
      <c r="N1100" s="5" t="n"/>
      <c r="O1100" s="5" t="n">
        <v>79.8</v>
      </c>
      <c r="P1100" s="5" t="n">
        <v>79.8</v>
      </c>
      <c r="Q1100" s="5" t="n"/>
      <c r="R1100" s="5" t="n"/>
    </row>
    <row r="1101">
      <c r="A1101" s="2" t="inlineStr">
        <is>
          <t>EJ010725.TXT</t>
        </is>
      </c>
      <c r="B1101" s="3" t="inlineStr">
        <is>
          <t>005809</t>
        </is>
      </c>
      <c r="C1101" s="3" t="inlineStr">
        <is>
          <t>004661</t>
        </is>
      </c>
      <c r="D1101" s="4" t="n">
        <v>45775</v>
      </c>
      <c r="E1101" s="2" t="inlineStr">
        <is>
          <t>10:23</t>
        </is>
      </c>
      <c r="F1101" s="5" t="n">
        <v>82.5</v>
      </c>
      <c r="G1101" s="5" t="n"/>
      <c r="H1101" s="5" t="n"/>
      <c r="I1101" s="5" t="n"/>
      <c r="J1101" s="5" t="n">
        <v>16.5</v>
      </c>
      <c r="K1101" s="5" t="n"/>
      <c r="L1101" s="5" t="n"/>
      <c r="M1101" s="5" t="n"/>
      <c r="N1101" s="5" t="n"/>
      <c r="O1101" s="5" t="n">
        <v>99</v>
      </c>
      <c r="P1101" s="5" t="n"/>
      <c r="Q1101" s="5" t="n">
        <v>99</v>
      </c>
      <c r="R1101" s="5" t="n"/>
    </row>
    <row r="1102">
      <c r="A1102" s="2" t="inlineStr">
        <is>
          <t>EJ010725.TXT</t>
        </is>
      </c>
      <c r="B1102" s="3" t="inlineStr">
        <is>
          <t>005810</t>
        </is>
      </c>
      <c r="C1102" s="3" t="inlineStr">
        <is>
          <t>004662</t>
        </is>
      </c>
      <c r="D1102" s="4" t="n">
        <v>45777</v>
      </c>
      <c r="E1102" s="2" t="inlineStr">
        <is>
          <t>10:38</t>
        </is>
      </c>
      <c r="F1102" s="5" t="n">
        <v>315.75</v>
      </c>
      <c r="G1102" s="5" t="n"/>
      <c r="H1102" s="5" t="n"/>
      <c r="I1102" s="5" t="n"/>
      <c r="J1102" s="5" t="n">
        <v>63.15</v>
      </c>
      <c r="K1102" s="5" t="n"/>
      <c r="L1102" s="5" t="n"/>
      <c r="M1102" s="5" t="n"/>
      <c r="N1102" s="5" t="n"/>
      <c r="O1102" s="5" t="n">
        <v>378.9</v>
      </c>
      <c r="P1102" s="5" t="n">
        <v>378.9</v>
      </c>
      <c r="Q1102" s="5" t="n"/>
      <c r="R1102" s="5" t="n"/>
    </row>
    <row r="1103">
      <c r="A1103" s="2" t="inlineStr">
        <is>
          <t>EJ010725.TXT</t>
        </is>
      </c>
      <c r="B1103" s="3" t="inlineStr">
        <is>
          <t>005811</t>
        </is>
      </c>
      <c r="C1103" s="3" t="inlineStr">
        <is>
          <t>004663</t>
        </is>
      </c>
      <c r="D1103" s="4" t="n">
        <v>45777</v>
      </c>
      <c r="E1103" s="2" t="inlineStr">
        <is>
          <t>15:23</t>
        </is>
      </c>
      <c r="F1103" s="5" t="n">
        <v>274.17</v>
      </c>
      <c r="G1103" s="5" t="n"/>
      <c r="H1103" s="5" t="n"/>
      <c r="I1103" s="5" t="n"/>
      <c r="J1103" s="5" t="n">
        <v>54.83</v>
      </c>
      <c r="K1103" s="5" t="n"/>
      <c r="L1103" s="5" t="n"/>
      <c r="M1103" s="5" t="n"/>
      <c r="N1103" s="5" t="n"/>
      <c r="O1103" s="5" t="n">
        <v>329</v>
      </c>
      <c r="P1103" s="5" t="n">
        <v>329</v>
      </c>
      <c r="Q1103" s="5" t="n"/>
      <c r="R1103" s="5" t="n"/>
    </row>
    <row r="1104">
      <c r="A1104" s="2" t="inlineStr">
        <is>
          <t>EJ010725.TXT</t>
        </is>
      </c>
      <c r="B1104" s="3" t="inlineStr">
        <is>
          <t>005812</t>
        </is>
      </c>
      <c r="C1104" s="3" t="inlineStr">
        <is>
          <t>004664</t>
        </is>
      </c>
      <c r="D1104" s="4" t="n">
        <v>45782</v>
      </c>
      <c r="E1104" s="2" t="inlineStr">
        <is>
          <t>09:49</t>
        </is>
      </c>
      <c r="F1104" s="5" t="n">
        <v>208.33</v>
      </c>
      <c r="G1104" s="5" t="n"/>
      <c r="H1104" s="5" t="n"/>
      <c r="I1104" s="5" t="n"/>
      <c r="J1104" s="5" t="n">
        <v>41.67</v>
      </c>
      <c r="K1104" s="5" t="n"/>
      <c r="L1104" s="5" t="n"/>
      <c r="M1104" s="5" t="n"/>
      <c r="N1104" s="5" t="n"/>
      <c r="O1104" s="5" t="n">
        <v>250</v>
      </c>
      <c r="P1104" s="5" t="n"/>
      <c r="Q1104" s="5" t="n">
        <v>250</v>
      </c>
      <c r="R1104" s="5" t="n"/>
    </row>
    <row r="1105">
      <c r="A1105" s="2" t="inlineStr">
        <is>
          <t>EJ010725.TXT</t>
        </is>
      </c>
      <c r="B1105" s="3" t="inlineStr">
        <is>
          <t>005813</t>
        </is>
      </c>
      <c r="C1105" s="3" t="inlineStr">
        <is>
          <t>004665</t>
        </is>
      </c>
      <c r="D1105" s="4" t="n">
        <v>45782</v>
      </c>
      <c r="E1105" s="2" t="inlineStr">
        <is>
          <t>14:49</t>
        </is>
      </c>
      <c r="F1105" s="5" t="n">
        <v>548.33</v>
      </c>
      <c r="G1105" s="5" t="n"/>
      <c r="H1105" s="5" t="n"/>
      <c r="I1105" s="5" t="n"/>
      <c r="J1105" s="5" t="n">
        <v>109.67</v>
      </c>
      <c r="K1105" s="5" t="n"/>
      <c r="L1105" s="5" t="n"/>
      <c r="M1105" s="5" t="n"/>
      <c r="N1105" s="5" t="n"/>
      <c r="O1105" s="5" t="n">
        <v>658</v>
      </c>
      <c r="P1105" s="5" t="n">
        <v>658</v>
      </c>
      <c r="Q1105" s="5" t="n"/>
      <c r="R1105" s="5" t="n"/>
    </row>
    <row r="1106">
      <c r="A1106" s="2" t="inlineStr">
        <is>
          <t>EJ010725.TXT</t>
        </is>
      </c>
      <c r="B1106" s="3" t="inlineStr">
        <is>
          <t>005814</t>
        </is>
      </c>
      <c r="C1106" s="3" t="inlineStr">
        <is>
          <t>004666</t>
        </is>
      </c>
      <c r="D1106" s="4" t="n">
        <v>45783</v>
      </c>
      <c r="E1106" s="2" t="inlineStr">
        <is>
          <t>13:59</t>
        </is>
      </c>
      <c r="F1106" s="5" t="n">
        <v>274.17</v>
      </c>
      <c r="G1106" s="5" t="n"/>
      <c r="H1106" s="5" t="n"/>
      <c r="I1106" s="5" t="n"/>
      <c r="J1106" s="5" t="n">
        <v>54.83</v>
      </c>
      <c r="K1106" s="5" t="n"/>
      <c r="L1106" s="5" t="n"/>
      <c r="M1106" s="5" t="n"/>
      <c r="N1106" s="5" t="n"/>
      <c r="O1106" s="5" t="n">
        <v>329</v>
      </c>
      <c r="P1106" s="5" t="n"/>
      <c r="Q1106" s="5" t="n">
        <v>329</v>
      </c>
      <c r="R1106" s="5" t="n"/>
    </row>
    <row r="1107">
      <c r="A1107" s="2" t="inlineStr">
        <is>
          <t>EJ010725.TXT</t>
        </is>
      </c>
      <c r="B1107" s="3" t="inlineStr">
        <is>
          <t>005815</t>
        </is>
      </c>
      <c r="C1107" s="3" t="inlineStr">
        <is>
          <t>004667</t>
        </is>
      </c>
      <c r="D1107" s="4" t="n">
        <v>45786</v>
      </c>
      <c r="E1107" s="2" t="inlineStr">
        <is>
          <t>16:03</t>
        </is>
      </c>
      <c r="F1107" s="5" t="n">
        <v>548.33</v>
      </c>
      <c r="G1107" s="5" t="n"/>
      <c r="H1107" s="5" t="n"/>
      <c r="I1107" s="5" t="n"/>
      <c r="J1107" s="5" t="n">
        <v>109.67</v>
      </c>
      <c r="K1107" s="5" t="n"/>
      <c r="L1107" s="5" t="n"/>
      <c r="M1107" s="5" t="n"/>
      <c r="N1107" s="5" t="n"/>
      <c r="O1107" s="5" t="n">
        <v>658</v>
      </c>
      <c r="P1107" s="5" t="n"/>
      <c r="Q1107" s="5" t="n">
        <v>658</v>
      </c>
      <c r="R1107" s="5" t="n"/>
    </row>
    <row r="1108">
      <c r="A1108" s="2" t="inlineStr">
        <is>
          <t>EJ010725.TXT</t>
        </is>
      </c>
      <c r="B1108" s="3" t="inlineStr">
        <is>
          <t>005816</t>
        </is>
      </c>
      <c r="C1108" s="3" t="inlineStr">
        <is>
          <t>004668</t>
        </is>
      </c>
      <c r="D1108" s="4" t="n">
        <v>45786</v>
      </c>
      <c r="E1108" s="2" t="inlineStr">
        <is>
          <t>16:05</t>
        </is>
      </c>
      <c r="F1108" s="5" t="n">
        <v>208.33</v>
      </c>
      <c r="G1108" s="5" t="n"/>
      <c r="H1108" s="5" t="n"/>
      <c r="I1108" s="5" t="n"/>
      <c r="J1108" s="5" t="n">
        <v>41.67</v>
      </c>
      <c r="K1108" s="5" t="n"/>
      <c r="L1108" s="5" t="n"/>
      <c r="M1108" s="5" t="n"/>
      <c r="N1108" s="5" t="n"/>
      <c r="O1108" s="5" t="n">
        <v>250</v>
      </c>
      <c r="P1108" s="5" t="n"/>
      <c r="Q1108" s="5" t="n">
        <v>250</v>
      </c>
      <c r="R1108" s="5" t="n"/>
    </row>
    <row r="1109">
      <c r="A1109" s="2" t="inlineStr">
        <is>
          <t>EJ010725.TXT</t>
        </is>
      </c>
      <c r="B1109" s="3" t="inlineStr">
        <is>
          <t>005817</t>
        </is>
      </c>
      <c r="C1109" s="3" t="inlineStr">
        <is>
          <t>004669</t>
        </is>
      </c>
      <c r="D1109" s="4" t="n">
        <v>45794</v>
      </c>
      <c r="E1109" s="2" t="inlineStr">
        <is>
          <t>17:14</t>
        </is>
      </c>
      <c r="F1109" s="5" t="n">
        <v>274.17</v>
      </c>
      <c r="G1109" s="5" t="n"/>
      <c r="H1109" s="5" t="n"/>
      <c r="I1109" s="5" t="n"/>
      <c r="J1109" s="5" t="n">
        <v>54.83</v>
      </c>
      <c r="K1109" s="5" t="n"/>
      <c r="L1109" s="5" t="n"/>
      <c r="M1109" s="5" t="n"/>
      <c r="N1109" s="5" t="n"/>
      <c r="O1109" s="5" t="n">
        <v>329</v>
      </c>
      <c r="P1109" s="5" t="n">
        <v>329</v>
      </c>
      <c r="Q1109" s="5" t="n"/>
      <c r="R1109" s="5" t="n"/>
    </row>
    <row r="1110">
      <c r="A1110" s="2" t="inlineStr">
        <is>
          <t>EJ010725.TXT</t>
        </is>
      </c>
      <c r="B1110" s="3" t="inlineStr">
        <is>
          <t>005818</t>
        </is>
      </c>
      <c r="C1110" s="3" t="inlineStr">
        <is>
          <t>004670</t>
        </is>
      </c>
      <c r="D1110" s="4" t="n">
        <v>45795</v>
      </c>
      <c r="E1110" s="2" t="inlineStr">
        <is>
          <t>18:35</t>
        </is>
      </c>
      <c r="F1110" s="5" t="n">
        <v>74.92</v>
      </c>
      <c r="G1110" s="5" t="n"/>
      <c r="H1110" s="5" t="n"/>
      <c r="I1110" s="5" t="n"/>
      <c r="J1110" s="5" t="n">
        <v>14.98</v>
      </c>
      <c r="K1110" s="5" t="n"/>
      <c r="L1110" s="5" t="n"/>
      <c r="M1110" s="5" t="n"/>
      <c r="N1110" s="5" t="n"/>
      <c r="O1110" s="5" t="n">
        <v>89.90000000000001</v>
      </c>
      <c r="P1110" s="5" t="n">
        <v>89.90000000000001</v>
      </c>
      <c r="Q1110" s="5" t="n"/>
      <c r="R1110" s="5" t="n"/>
    </row>
    <row r="1111">
      <c r="A1111" s="2" t="inlineStr">
        <is>
          <t>EJ010725.TXT</t>
        </is>
      </c>
      <c r="B1111" s="3" t="inlineStr">
        <is>
          <t>005820</t>
        </is>
      </c>
      <c r="C1111" s="3" t="inlineStr">
        <is>
          <t>004671</t>
        </is>
      </c>
      <c r="D1111" s="4" t="n">
        <v>45805</v>
      </c>
      <c r="E1111" s="2" t="inlineStr">
        <is>
          <t>14:49</t>
        </is>
      </c>
      <c r="F1111" s="5" t="n">
        <v>548.33</v>
      </c>
      <c r="G1111" s="5" t="n"/>
      <c r="H1111" s="5" t="n"/>
      <c r="I1111" s="5" t="n"/>
      <c r="J1111" s="5" t="n">
        <v>109.67</v>
      </c>
      <c r="K1111" s="5" t="n"/>
      <c r="L1111" s="5" t="n"/>
      <c r="M1111" s="5" t="n"/>
      <c r="N1111" s="5" t="n"/>
      <c r="O1111" s="5" t="n">
        <v>658</v>
      </c>
      <c r="P1111" s="5" t="n">
        <v>658</v>
      </c>
      <c r="Q1111" s="5" t="n"/>
      <c r="R1111" s="5" t="n"/>
    </row>
    <row r="1112">
      <c r="A1112" s="2" t="inlineStr">
        <is>
          <t>EJ010725.TXT</t>
        </is>
      </c>
      <c r="B1112" s="3" t="inlineStr">
        <is>
          <t>005821</t>
        </is>
      </c>
      <c r="C1112" s="3" t="inlineStr">
        <is>
          <t>004672</t>
        </is>
      </c>
      <c r="D1112" s="4" t="n">
        <v>45813</v>
      </c>
      <c r="E1112" s="2" t="inlineStr">
        <is>
          <t>16:58</t>
        </is>
      </c>
      <c r="F1112" s="5" t="n">
        <v>865</v>
      </c>
      <c r="G1112" s="5" t="n"/>
      <c r="H1112" s="5" t="n"/>
      <c r="I1112" s="5" t="n"/>
      <c r="J1112" s="5" t="n">
        <v>173</v>
      </c>
      <c r="K1112" s="5" t="n"/>
      <c r="L1112" s="5" t="n"/>
      <c r="M1112" s="5" t="n"/>
      <c r="N1112" s="5" t="n"/>
      <c r="O1112" s="5" t="n">
        <v>1038</v>
      </c>
      <c r="P1112" s="5" t="n"/>
      <c r="Q1112" s="5" t="n">
        <v>1038</v>
      </c>
      <c r="R1112" s="5" t="n"/>
    </row>
    <row r="1113">
      <c r="A1113" s="2" t="inlineStr">
        <is>
          <t>EJ010725.TXT</t>
        </is>
      </c>
      <c r="B1113" s="3" t="inlineStr">
        <is>
          <t>005822</t>
        </is>
      </c>
      <c r="C1113" s="3" t="inlineStr">
        <is>
          <t>004673</t>
        </is>
      </c>
      <c r="D1113" s="4" t="n">
        <v>45815</v>
      </c>
      <c r="E1113" s="2" t="inlineStr">
        <is>
          <t>15:32</t>
        </is>
      </c>
      <c r="F1113" s="5" t="n">
        <v>33.25</v>
      </c>
      <c r="G1113" s="5" t="n"/>
      <c r="H1113" s="5" t="n"/>
      <c r="I1113" s="5" t="n"/>
      <c r="J1113" s="5" t="n">
        <v>6.65</v>
      </c>
      <c r="K1113" s="5" t="n"/>
      <c r="L1113" s="5" t="n"/>
      <c r="M1113" s="5" t="n"/>
      <c r="N1113" s="5" t="n"/>
      <c r="O1113" s="5" t="n">
        <v>39.9</v>
      </c>
      <c r="P1113" s="5" t="n">
        <v>39.9</v>
      </c>
      <c r="Q1113" s="5" t="n"/>
      <c r="R1113" s="5" t="n"/>
    </row>
    <row r="1114">
      <c r="A1114" s="2" t="inlineStr">
        <is>
          <t>EJ010725.TXT</t>
        </is>
      </c>
      <c r="B1114" s="3" t="inlineStr">
        <is>
          <t>005823</t>
        </is>
      </c>
      <c r="C1114" s="3" t="inlineStr">
        <is>
          <t>004674</t>
        </is>
      </c>
      <c r="D1114" s="4" t="n">
        <v>45820</v>
      </c>
      <c r="E1114" s="2" t="inlineStr">
        <is>
          <t>09:30</t>
        </is>
      </c>
      <c r="F1114" s="5" t="n">
        <v>199.17</v>
      </c>
      <c r="G1114" s="5" t="n"/>
      <c r="H1114" s="5" t="n"/>
      <c r="I1114" s="5" t="n"/>
      <c r="J1114" s="5" t="n">
        <v>39.83</v>
      </c>
      <c r="K1114" s="5" t="n"/>
      <c r="L1114" s="5" t="n"/>
      <c r="M1114" s="5" t="n"/>
      <c r="N1114" s="5" t="n"/>
      <c r="O1114" s="5" t="n">
        <v>239</v>
      </c>
      <c r="P1114" s="5" t="n">
        <v>239</v>
      </c>
      <c r="Q1114" s="5" t="n"/>
      <c r="R1114" s="5" t="n"/>
    </row>
    <row r="1115">
      <c r="A1115" s="2" t="inlineStr">
        <is>
          <t>EJ010725.TXT</t>
        </is>
      </c>
      <c r="B1115" s="3" t="inlineStr">
        <is>
          <t>005824</t>
        </is>
      </c>
      <c r="C1115" s="3" t="inlineStr">
        <is>
          <t>004675</t>
        </is>
      </c>
      <c r="D1115" s="4" t="n">
        <v>45820</v>
      </c>
      <c r="E1115" s="2" t="inlineStr">
        <is>
          <t>14:45</t>
        </is>
      </c>
      <c r="F1115" s="5" t="n">
        <v>250</v>
      </c>
      <c r="G1115" s="5" t="n"/>
      <c r="H1115" s="5" t="n"/>
      <c r="I1115" s="5" t="n"/>
      <c r="J1115" s="5" t="n">
        <v>50</v>
      </c>
      <c r="K1115" s="5" t="n"/>
      <c r="L1115" s="5" t="n"/>
      <c r="M1115" s="5" t="n"/>
      <c r="N1115" s="5" t="n"/>
      <c r="O1115" s="5" t="n">
        <v>300</v>
      </c>
      <c r="P1115" s="5" t="n"/>
      <c r="Q1115" s="5" t="n">
        <v>300</v>
      </c>
      <c r="R1115" s="5" t="n"/>
    </row>
    <row r="1116">
      <c r="A1116" s="2" t="inlineStr">
        <is>
          <t>EJ010725.TXT</t>
        </is>
      </c>
      <c r="B1116" s="3" t="inlineStr">
        <is>
          <t>005825</t>
        </is>
      </c>
      <c r="C1116" s="3" t="inlineStr">
        <is>
          <t>004676</t>
        </is>
      </c>
      <c r="D1116" s="4" t="n">
        <v>45820</v>
      </c>
      <c r="E1116" s="2" t="inlineStr">
        <is>
          <t>14:46</t>
        </is>
      </c>
      <c r="F1116" s="5" t="n">
        <v>24.17</v>
      </c>
      <c r="G1116" s="5" t="n"/>
      <c r="H1116" s="5" t="n"/>
      <c r="I1116" s="5" t="n"/>
      <c r="J1116" s="5" t="n">
        <v>4.83</v>
      </c>
      <c r="K1116" s="5" t="n"/>
      <c r="L1116" s="5" t="n"/>
      <c r="M1116" s="5" t="n"/>
      <c r="N1116" s="5" t="n"/>
      <c r="O1116" s="5" t="n">
        <v>29</v>
      </c>
      <c r="P1116" s="5" t="n">
        <v>29</v>
      </c>
      <c r="Q1116" s="5" t="n"/>
      <c r="R1116" s="5" t="n"/>
    </row>
    <row r="1117">
      <c r="A1117" s="2" t="inlineStr">
        <is>
          <t>EJ010725.TXT</t>
        </is>
      </c>
      <c r="B1117" s="3" t="inlineStr">
        <is>
          <t>005826</t>
        </is>
      </c>
      <c r="C1117" s="3" t="inlineStr">
        <is>
          <t>004677</t>
        </is>
      </c>
      <c r="D1117" s="4" t="n">
        <v>45834</v>
      </c>
      <c r="E1117" s="2" t="inlineStr">
        <is>
          <t>15:26</t>
        </is>
      </c>
      <c r="F1117" s="5" t="n">
        <v>199.17</v>
      </c>
      <c r="G1117" s="5" t="n"/>
      <c r="H1117" s="5" t="n"/>
      <c r="I1117" s="5" t="n"/>
      <c r="J1117" s="5" t="n">
        <v>39.83</v>
      </c>
      <c r="K1117" s="5" t="n"/>
      <c r="L1117" s="5" t="n"/>
      <c r="M1117" s="5" t="n"/>
      <c r="N1117" s="5" t="n"/>
      <c r="O1117" s="5" t="n">
        <v>239</v>
      </c>
      <c r="P1117" s="5" t="n">
        <v>239</v>
      </c>
      <c r="Q1117" s="5" t="n"/>
      <c r="R1117" s="5" t="n"/>
    </row>
    <row r="1118">
      <c r="A1118" s="2" t="inlineStr">
        <is>
          <t>EJ010725.TXT</t>
        </is>
      </c>
      <c r="B1118" s="3" t="inlineStr">
        <is>
          <t>005827</t>
        </is>
      </c>
      <c r="C1118" s="3" t="inlineStr">
        <is>
          <t>004678</t>
        </is>
      </c>
      <c r="D1118" s="4" t="n">
        <v>45835</v>
      </c>
      <c r="E1118" s="2" t="inlineStr">
        <is>
          <t>17:12</t>
        </is>
      </c>
      <c r="F1118" s="5" t="n">
        <v>274.17</v>
      </c>
      <c r="G1118" s="5" t="n"/>
      <c r="H1118" s="5" t="n"/>
      <c r="I1118" s="5" t="n"/>
      <c r="J1118" s="5" t="n">
        <v>54.83</v>
      </c>
      <c r="K1118" s="5" t="n"/>
      <c r="L1118" s="5" t="n"/>
      <c r="M1118" s="5" t="n"/>
      <c r="N1118" s="5" t="n"/>
      <c r="O1118" s="5" t="n">
        <v>329</v>
      </c>
      <c r="P1118" s="5" t="n"/>
      <c r="Q1118" s="5" t="n">
        <v>329</v>
      </c>
      <c r="R1118" s="5" t="n"/>
    </row>
    <row r="1119">
      <c r="A1119" s="2" t="inlineStr">
        <is>
          <t>EJ310725.TXT</t>
        </is>
      </c>
      <c r="B1119" s="3" t="inlineStr">
        <is>
          <t>005835</t>
        </is>
      </c>
      <c r="C1119" s="3" t="inlineStr">
        <is>
          <t>004679</t>
        </is>
      </c>
      <c r="D1119" s="4" t="n">
        <v>45845</v>
      </c>
      <c r="E1119" s="2" t="inlineStr">
        <is>
          <t>10:59</t>
        </is>
      </c>
      <c r="F1119" s="5" t="n">
        <v>190.83</v>
      </c>
      <c r="G1119" s="5" t="n"/>
      <c r="H1119" s="5" t="n"/>
      <c r="I1119" s="5" t="n"/>
      <c r="J1119" s="5" t="n">
        <v>38.17</v>
      </c>
      <c r="K1119" s="5" t="n"/>
      <c r="L1119" s="5" t="n"/>
      <c r="M1119" s="5" t="n"/>
      <c r="N1119" s="5" t="n"/>
      <c r="O1119" s="5" t="n">
        <v>229</v>
      </c>
      <c r="P1119" s="5" t="n">
        <v>229</v>
      </c>
      <c r="Q1119" s="5" t="n"/>
      <c r="R1119" s="5" t="n"/>
    </row>
    <row r="1120">
      <c r="A1120" s="2" t="inlineStr">
        <is>
          <t>EJ310725.TXT</t>
        </is>
      </c>
      <c r="B1120" s="3" t="inlineStr">
        <is>
          <t>005836</t>
        </is>
      </c>
      <c r="C1120" s="3" t="inlineStr">
        <is>
          <t>004680</t>
        </is>
      </c>
      <c r="D1120" s="4" t="n">
        <v>45845</v>
      </c>
      <c r="E1120" s="2" t="inlineStr">
        <is>
          <t>16:48</t>
        </is>
      </c>
      <c r="F1120" s="5" t="n">
        <v>274.17</v>
      </c>
      <c r="G1120" s="5" t="n"/>
      <c r="H1120" s="5" t="n"/>
      <c r="I1120" s="5" t="n"/>
      <c r="J1120" s="5" t="n">
        <v>54.83</v>
      </c>
      <c r="K1120" s="5" t="n"/>
      <c r="L1120" s="5" t="n"/>
      <c r="M1120" s="5" t="n"/>
      <c r="N1120" s="5" t="n"/>
      <c r="O1120" s="5" t="n">
        <v>329</v>
      </c>
      <c r="P1120" s="5" t="n"/>
      <c r="Q1120" s="5" t="n">
        <v>329</v>
      </c>
      <c r="R1120" s="5" t="n"/>
    </row>
    <row r="1121">
      <c r="A1121" s="2" t="inlineStr">
        <is>
          <t>EJ310725.TXT</t>
        </is>
      </c>
      <c r="B1121" s="3" t="inlineStr">
        <is>
          <t>005837</t>
        </is>
      </c>
      <c r="C1121" s="3" t="inlineStr">
        <is>
          <t>004681</t>
        </is>
      </c>
      <c r="D1121" s="4" t="n">
        <v>45846</v>
      </c>
      <c r="E1121" s="2" t="inlineStr">
        <is>
          <t>11:39</t>
        </is>
      </c>
      <c r="F1121" s="5" t="n">
        <v>1645</v>
      </c>
      <c r="G1121" s="5" t="n"/>
      <c r="H1121" s="5" t="n"/>
      <c r="I1121" s="5" t="n"/>
      <c r="J1121" s="5" t="n">
        <v>329</v>
      </c>
      <c r="K1121" s="5" t="n"/>
      <c r="L1121" s="5" t="n"/>
      <c r="M1121" s="5" t="n"/>
      <c r="N1121" s="5" t="n"/>
      <c r="O1121" s="5" t="n">
        <v>1974</v>
      </c>
      <c r="P1121" s="5" t="n">
        <v>1974</v>
      </c>
      <c r="Q1121" s="5" t="n"/>
      <c r="R1121" s="5" t="n"/>
    </row>
    <row r="1122">
      <c r="A1122" s="2" t="inlineStr">
        <is>
          <t>EJ310725.TXT</t>
        </is>
      </c>
      <c r="B1122" s="3" t="inlineStr">
        <is>
          <t>005838</t>
        </is>
      </c>
      <c r="C1122" s="3" t="inlineStr">
        <is>
          <t>004682</t>
        </is>
      </c>
      <c r="D1122" s="4" t="n">
        <v>45849</v>
      </c>
      <c r="E1122" s="2" t="inlineStr">
        <is>
          <t>17:08</t>
        </is>
      </c>
      <c r="F1122" s="5" t="n">
        <v>190.83</v>
      </c>
      <c r="G1122" s="5" t="n"/>
      <c r="H1122" s="5" t="n"/>
      <c r="I1122" s="5" t="n"/>
      <c r="J1122" s="5" t="n">
        <v>38.17</v>
      </c>
      <c r="K1122" s="5" t="n"/>
      <c r="L1122" s="5" t="n"/>
      <c r="M1122" s="5" t="n"/>
      <c r="N1122" s="5" t="n"/>
      <c r="O1122" s="5" t="n">
        <v>229</v>
      </c>
      <c r="P1122" s="5" t="n">
        <v>229</v>
      </c>
      <c r="Q1122" s="5" t="n"/>
      <c r="R1122" s="5" t="n"/>
    </row>
    <row r="1123">
      <c r="A1123" s="2" t="inlineStr">
        <is>
          <t>EJ310725.TXT</t>
        </is>
      </c>
      <c r="B1123" s="3" t="inlineStr">
        <is>
          <t>005839</t>
        </is>
      </c>
      <c r="C1123" s="3" t="inlineStr">
        <is>
          <t>004683</t>
        </is>
      </c>
      <c r="D1123" s="4" t="n">
        <v>45853</v>
      </c>
      <c r="E1123" s="2" t="inlineStr">
        <is>
          <t>10:51</t>
        </is>
      </c>
      <c r="F1123" s="5" t="n">
        <v>832.5</v>
      </c>
      <c r="G1123" s="5" t="n"/>
      <c r="H1123" s="5" t="n"/>
      <c r="I1123" s="5" t="n"/>
      <c r="J1123" s="5" t="n">
        <v>166.5</v>
      </c>
      <c r="K1123" s="5" t="n"/>
      <c r="L1123" s="5" t="n"/>
      <c r="M1123" s="5" t="n"/>
      <c r="N1123" s="5" t="n"/>
      <c r="O1123" s="5" t="n">
        <v>999</v>
      </c>
      <c r="P1123" s="5" t="n"/>
      <c r="Q1123" s="5" t="n">
        <v>999</v>
      </c>
      <c r="R1123" s="5" t="n"/>
    </row>
    <row r="1124">
      <c r="A1124" s="2" t="inlineStr">
        <is>
          <t>EJ310725.TXT</t>
        </is>
      </c>
      <c r="B1124" s="3" t="inlineStr">
        <is>
          <t>005840</t>
        </is>
      </c>
      <c r="C1124" s="3" t="inlineStr">
        <is>
          <t>004684</t>
        </is>
      </c>
      <c r="D1124" s="4" t="n">
        <v>45853</v>
      </c>
      <c r="E1124" s="2" t="inlineStr">
        <is>
          <t>10:52</t>
        </is>
      </c>
      <c r="F1124" s="5" t="n">
        <v>833.33</v>
      </c>
      <c r="G1124" s="5" t="n"/>
      <c r="H1124" s="5" t="n"/>
      <c r="I1124" s="5" t="n"/>
      <c r="J1124" s="5" t="n">
        <v>166.67</v>
      </c>
      <c r="K1124" s="5" t="n"/>
      <c r="L1124" s="5" t="n"/>
      <c r="M1124" s="5" t="n"/>
      <c r="N1124" s="5" t="n"/>
      <c r="O1124" s="5" t="n">
        <v>1000</v>
      </c>
      <c r="P1124" s="5" t="n"/>
      <c r="Q1124" s="5" t="n">
        <v>1000</v>
      </c>
      <c r="R1124" s="5" t="n"/>
    </row>
    <row r="1125">
      <c r="A1125" s="2" t="inlineStr">
        <is>
          <t>EJ310725.TXT</t>
        </is>
      </c>
      <c r="B1125" s="3" t="inlineStr">
        <is>
          <t>005841</t>
        </is>
      </c>
      <c r="C1125" s="3" t="inlineStr">
        <is>
          <t>004685</t>
        </is>
      </c>
      <c r="D1125" s="4" t="n">
        <v>45853</v>
      </c>
      <c r="E1125" s="2" t="inlineStr">
        <is>
          <t>10:53</t>
        </is>
      </c>
      <c r="F1125" s="5" t="n">
        <v>825</v>
      </c>
      <c r="G1125" s="5" t="n"/>
      <c r="H1125" s="5" t="n"/>
      <c r="I1125" s="5" t="n"/>
      <c r="J1125" s="5" t="n">
        <v>165</v>
      </c>
      <c r="K1125" s="5" t="n"/>
      <c r="L1125" s="5" t="n"/>
      <c r="M1125" s="5" t="n"/>
      <c r="N1125" s="5" t="n"/>
      <c r="O1125" s="5" t="n">
        <v>990</v>
      </c>
      <c r="P1125" s="5" t="n"/>
      <c r="Q1125" s="5" t="n">
        <v>990</v>
      </c>
      <c r="R1125" s="5" t="n"/>
    </row>
    <row r="1126">
      <c r="A1126" s="2" t="inlineStr">
        <is>
          <t>EJ310725.TXT</t>
        </is>
      </c>
      <c r="B1126" s="3" t="inlineStr">
        <is>
          <t>005842</t>
        </is>
      </c>
      <c r="C1126" s="3" t="inlineStr">
        <is>
          <t>004686</t>
        </is>
      </c>
      <c r="D1126" s="4" t="n">
        <v>45853</v>
      </c>
      <c r="E1126" s="2" t="inlineStr">
        <is>
          <t>10:54</t>
        </is>
      </c>
      <c r="F1126" s="5" t="n">
        <v>690.83</v>
      </c>
      <c r="G1126" s="5" t="n"/>
      <c r="H1126" s="5" t="n"/>
      <c r="I1126" s="5" t="n"/>
      <c r="J1126" s="5" t="n">
        <v>138.17</v>
      </c>
      <c r="K1126" s="5" t="n"/>
      <c r="L1126" s="5" t="n"/>
      <c r="M1126" s="5" t="n"/>
      <c r="N1126" s="5" t="n"/>
      <c r="O1126" s="5" t="n">
        <v>829</v>
      </c>
      <c r="P1126" s="5" t="n"/>
      <c r="Q1126" s="5" t="n">
        <v>829</v>
      </c>
      <c r="R1126" s="5" t="n"/>
    </row>
    <row r="1127">
      <c r="A1127" s="2" t="inlineStr">
        <is>
          <t>EJ310725.TXT</t>
        </is>
      </c>
      <c r="B1127" s="3" t="inlineStr">
        <is>
          <t>005843</t>
        </is>
      </c>
      <c r="C1127" s="3" t="inlineStr">
        <is>
          <t>004687</t>
        </is>
      </c>
      <c r="D1127" s="4" t="n">
        <v>45853</v>
      </c>
      <c r="E1127" s="2" t="inlineStr">
        <is>
          <t>10:55</t>
        </is>
      </c>
      <c r="F1127" s="5" t="n">
        <v>833.33</v>
      </c>
      <c r="G1127" s="5" t="n"/>
      <c r="H1127" s="5" t="n"/>
      <c r="I1127" s="5" t="n"/>
      <c r="J1127" s="5" t="n">
        <v>166.67</v>
      </c>
      <c r="K1127" s="5" t="n"/>
      <c r="L1127" s="5" t="n"/>
      <c r="M1127" s="5" t="n"/>
      <c r="N1127" s="5" t="n"/>
      <c r="O1127" s="5" t="n">
        <v>1000</v>
      </c>
      <c r="P1127" s="5" t="n"/>
      <c r="Q1127" s="5" t="n">
        <v>1000</v>
      </c>
      <c r="R1127" s="5" t="n"/>
    </row>
    <row r="1128">
      <c r="A1128" s="2" t="inlineStr">
        <is>
          <t>EJ310725.TXT</t>
        </is>
      </c>
      <c r="B1128" s="3" t="inlineStr">
        <is>
          <t>005844</t>
        </is>
      </c>
      <c r="C1128" s="3" t="inlineStr">
        <is>
          <t>004688</t>
        </is>
      </c>
      <c r="D1128" s="4" t="n">
        <v>45853</v>
      </c>
      <c r="E1128" s="2" t="inlineStr">
        <is>
          <t>10:56</t>
        </is>
      </c>
      <c r="F1128" s="5" t="n">
        <v>674.17</v>
      </c>
      <c r="G1128" s="5" t="n"/>
      <c r="H1128" s="5" t="n"/>
      <c r="I1128" s="5" t="n"/>
      <c r="J1128" s="5" t="n">
        <v>134.83</v>
      </c>
      <c r="K1128" s="5" t="n"/>
      <c r="L1128" s="5" t="n"/>
      <c r="M1128" s="5" t="n"/>
      <c r="N1128" s="5" t="n"/>
      <c r="O1128" s="5" t="n">
        <v>809</v>
      </c>
      <c r="P1128" s="5" t="n"/>
      <c r="Q1128" s="5" t="n">
        <v>809</v>
      </c>
      <c r="R1128" s="5" t="n"/>
    </row>
    <row r="1129">
      <c r="A1129" s="2" t="inlineStr">
        <is>
          <t>EJ310725.TXT</t>
        </is>
      </c>
      <c r="B1129" s="3" t="inlineStr">
        <is>
          <t>005845</t>
        </is>
      </c>
      <c r="C1129" s="3" t="inlineStr">
        <is>
          <t>004689</t>
        </is>
      </c>
      <c r="D1129" s="4" t="n">
        <v>45853</v>
      </c>
      <c r="E1129" s="2" t="inlineStr">
        <is>
          <t>11:00</t>
        </is>
      </c>
      <c r="F1129" s="5" t="n">
        <v>40.75</v>
      </c>
      <c r="G1129" s="5" t="n"/>
      <c r="H1129" s="5" t="n"/>
      <c r="I1129" s="5" t="n"/>
      <c r="J1129" s="5" t="n">
        <v>8.15</v>
      </c>
      <c r="K1129" s="5" t="n"/>
      <c r="L1129" s="5" t="n"/>
      <c r="M1129" s="5" t="n"/>
      <c r="N1129" s="5" t="n"/>
      <c r="O1129" s="5" t="n">
        <v>48.9</v>
      </c>
      <c r="P1129" s="5" t="n"/>
      <c r="Q1129" s="5" t="n">
        <v>48.9</v>
      </c>
      <c r="R1129" s="5" t="n"/>
    </row>
    <row r="1130">
      <c r="A1130" s="2" t="inlineStr">
        <is>
          <t>EJ310725.TXT</t>
        </is>
      </c>
      <c r="B1130" s="3" t="inlineStr">
        <is>
          <t>005846</t>
        </is>
      </c>
      <c r="C1130" s="3" t="inlineStr">
        <is>
          <t>004690</t>
        </is>
      </c>
      <c r="D1130" s="4" t="n">
        <v>45854</v>
      </c>
      <c r="E1130" s="2" t="inlineStr">
        <is>
          <t>13:34</t>
        </is>
      </c>
      <c r="F1130" s="5" t="n">
        <v>375</v>
      </c>
      <c r="G1130" s="5" t="n"/>
      <c r="H1130" s="5" t="n"/>
      <c r="I1130" s="5" t="n"/>
      <c r="J1130" s="5" t="n">
        <v>75</v>
      </c>
      <c r="K1130" s="5" t="n"/>
      <c r="L1130" s="5" t="n"/>
      <c r="M1130" s="5" t="n"/>
      <c r="N1130" s="5" t="n"/>
      <c r="O1130" s="5" t="n">
        <v>450</v>
      </c>
      <c r="P1130" s="5" t="n"/>
      <c r="Q1130" s="5" t="n">
        <v>450</v>
      </c>
      <c r="R1130" s="5" t="n"/>
    </row>
    <row r="1131">
      <c r="A1131" s="2" t="inlineStr">
        <is>
          <t>EJ310725.TXT</t>
        </is>
      </c>
      <c r="B1131" s="3" t="inlineStr">
        <is>
          <t>005847</t>
        </is>
      </c>
      <c r="C1131" s="3" t="inlineStr">
        <is>
          <t>004691</t>
        </is>
      </c>
      <c r="D1131" s="4" t="n">
        <v>45854</v>
      </c>
      <c r="E1131" s="2" t="inlineStr">
        <is>
          <t>13:34</t>
        </is>
      </c>
      <c r="F1131" s="5" t="n">
        <v>525.83</v>
      </c>
      <c r="G1131" s="5" t="n"/>
      <c r="H1131" s="5" t="n"/>
      <c r="I1131" s="5" t="n"/>
      <c r="J1131" s="5" t="n">
        <v>105.17</v>
      </c>
      <c r="K1131" s="5" t="n"/>
      <c r="L1131" s="5" t="n"/>
      <c r="M1131" s="5" t="n"/>
      <c r="N1131" s="5" t="n"/>
      <c r="O1131" s="5" t="n">
        <v>631</v>
      </c>
      <c r="P1131" s="5" t="n"/>
      <c r="Q1131" s="5" t="n">
        <v>631</v>
      </c>
      <c r="R1131" s="5" t="n"/>
    </row>
    <row r="1132">
      <c r="A1132" s="2" t="inlineStr">
        <is>
          <t>EJ310725.TXT</t>
        </is>
      </c>
      <c r="B1132" s="3" t="inlineStr">
        <is>
          <t>005848</t>
        </is>
      </c>
      <c r="C1132" s="3" t="inlineStr">
        <is>
          <t>004692</t>
        </is>
      </c>
      <c r="D1132" s="4" t="n">
        <v>45854</v>
      </c>
      <c r="E1132" s="2" t="inlineStr">
        <is>
          <t>14:46</t>
        </is>
      </c>
      <c r="F1132" s="5" t="n">
        <v>822.5</v>
      </c>
      <c r="G1132" s="5" t="n"/>
      <c r="H1132" s="5" t="n"/>
      <c r="I1132" s="5" t="n"/>
      <c r="J1132" s="5" t="n">
        <v>164.5</v>
      </c>
      <c r="K1132" s="5" t="n"/>
      <c r="L1132" s="5" t="n"/>
      <c r="M1132" s="5" t="n"/>
      <c r="N1132" s="5" t="n"/>
      <c r="O1132" s="5" t="n">
        <v>987</v>
      </c>
      <c r="P1132" s="5" t="n"/>
      <c r="Q1132" s="5" t="n">
        <v>987</v>
      </c>
      <c r="R1132" s="5" t="n"/>
    </row>
    <row r="1133">
      <c r="A1133" s="2" t="inlineStr">
        <is>
          <t>EJ310725.TXT</t>
        </is>
      </c>
      <c r="B1133" s="3" t="inlineStr">
        <is>
          <t>005849</t>
        </is>
      </c>
      <c r="C1133" s="3" t="inlineStr">
        <is>
          <t>004693</t>
        </is>
      </c>
      <c r="D1133" s="4" t="n">
        <v>45854</v>
      </c>
      <c r="E1133" s="2" t="inlineStr">
        <is>
          <t>14:46</t>
        </is>
      </c>
      <c r="F1133" s="5" t="n">
        <v>822.5</v>
      </c>
      <c r="G1133" s="5" t="n"/>
      <c r="H1133" s="5" t="n"/>
      <c r="I1133" s="5" t="n"/>
      <c r="J1133" s="5" t="n">
        <v>164.5</v>
      </c>
      <c r="K1133" s="5" t="n"/>
      <c r="L1133" s="5" t="n"/>
      <c r="M1133" s="5" t="n"/>
      <c r="N1133" s="5" t="n"/>
      <c r="O1133" s="5" t="n">
        <v>987</v>
      </c>
      <c r="P1133" s="5" t="n"/>
      <c r="Q1133" s="5" t="n">
        <v>987</v>
      </c>
      <c r="R1133" s="5" t="n"/>
    </row>
    <row r="1134">
      <c r="A1134" s="2" t="inlineStr">
        <is>
          <t>EJ310725.TXT</t>
        </is>
      </c>
      <c r="B1134" s="3" t="inlineStr">
        <is>
          <t>005850</t>
        </is>
      </c>
      <c r="C1134" s="3" t="inlineStr">
        <is>
          <t>004694</t>
        </is>
      </c>
      <c r="D1134" s="4" t="n">
        <v>45854</v>
      </c>
      <c r="E1134" s="2" t="inlineStr">
        <is>
          <t>14:47</t>
        </is>
      </c>
      <c r="F1134" s="5" t="n">
        <v>274.17</v>
      </c>
      <c r="G1134" s="5" t="n"/>
      <c r="H1134" s="5" t="n"/>
      <c r="I1134" s="5" t="n"/>
      <c r="J1134" s="5" t="n">
        <v>54.83</v>
      </c>
      <c r="K1134" s="5" t="n"/>
      <c r="L1134" s="5" t="n"/>
      <c r="M1134" s="5" t="n"/>
      <c r="N1134" s="5" t="n"/>
      <c r="O1134" s="5" t="n">
        <v>329</v>
      </c>
      <c r="P1134" s="5" t="n"/>
      <c r="Q1134" s="5" t="n">
        <v>329</v>
      </c>
      <c r="R1134" s="5" t="n"/>
    </row>
    <row r="1135">
      <c r="A1135" s="2" t="inlineStr">
        <is>
          <t>EJ310725.TXT</t>
        </is>
      </c>
      <c r="B1135" s="3" t="inlineStr">
        <is>
          <t>005851</t>
        </is>
      </c>
      <c r="C1135" s="3" t="inlineStr">
        <is>
          <t>004695</t>
        </is>
      </c>
      <c r="D1135" s="4" t="n">
        <v>45856</v>
      </c>
      <c r="E1135" s="2" t="inlineStr">
        <is>
          <t>09:48</t>
        </is>
      </c>
      <c r="F1135" s="5" t="n">
        <v>799.17</v>
      </c>
      <c r="G1135" s="5" t="n"/>
      <c r="H1135" s="5" t="n"/>
      <c r="I1135" s="5" t="n"/>
      <c r="J1135" s="5" t="n">
        <v>159.83</v>
      </c>
      <c r="K1135" s="5" t="n"/>
      <c r="L1135" s="5" t="n"/>
      <c r="M1135" s="5" t="n"/>
      <c r="N1135" s="5" t="n"/>
      <c r="O1135" s="5" t="n">
        <v>959</v>
      </c>
      <c r="P1135" s="5" t="n"/>
      <c r="Q1135" s="5" t="n">
        <v>959</v>
      </c>
      <c r="R1135" s="5" t="n"/>
    </row>
    <row r="1136">
      <c r="A1136" s="2" t="inlineStr">
        <is>
          <t>EJ310725.TXT</t>
        </is>
      </c>
      <c r="B1136" s="3" t="inlineStr">
        <is>
          <t>005852</t>
        </is>
      </c>
      <c r="C1136" s="3" t="inlineStr">
        <is>
          <t>004696</t>
        </is>
      </c>
      <c r="D1136" s="4" t="n">
        <v>45856</v>
      </c>
      <c r="E1136" s="2" t="inlineStr">
        <is>
          <t>09:49</t>
        </is>
      </c>
      <c r="F1136" s="5" t="n">
        <v>799.17</v>
      </c>
      <c r="G1136" s="5" t="n"/>
      <c r="H1136" s="5" t="n"/>
      <c r="I1136" s="5" t="n"/>
      <c r="J1136" s="5" t="n">
        <v>159.83</v>
      </c>
      <c r="K1136" s="5" t="n"/>
      <c r="L1136" s="5" t="n"/>
      <c r="M1136" s="5" t="n"/>
      <c r="N1136" s="5" t="n"/>
      <c r="O1136" s="5" t="n">
        <v>959</v>
      </c>
      <c r="P1136" s="5" t="n"/>
      <c r="Q1136" s="5" t="n">
        <v>959</v>
      </c>
      <c r="R1136" s="5" t="n"/>
    </row>
    <row r="1137">
      <c r="A1137" s="2" t="inlineStr">
        <is>
          <t>EJ310725.TXT</t>
        </is>
      </c>
      <c r="B1137" s="3" t="inlineStr">
        <is>
          <t>005853</t>
        </is>
      </c>
      <c r="C1137" s="3" t="inlineStr">
        <is>
          <t>004697</t>
        </is>
      </c>
      <c r="D1137" s="4" t="n">
        <v>45856</v>
      </c>
      <c r="E1137" s="2" t="inlineStr">
        <is>
          <t>09:49</t>
        </is>
      </c>
      <c r="F1137" s="5" t="n">
        <v>799.17</v>
      </c>
      <c r="G1137" s="5" t="n"/>
      <c r="H1137" s="5" t="n"/>
      <c r="I1137" s="5" t="n"/>
      <c r="J1137" s="5" t="n">
        <v>159.83</v>
      </c>
      <c r="K1137" s="5" t="n"/>
      <c r="L1137" s="5" t="n"/>
      <c r="M1137" s="5" t="n"/>
      <c r="N1137" s="5" t="n"/>
      <c r="O1137" s="5" t="n">
        <v>959</v>
      </c>
      <c r="P1137" s="5" t="n"/>
      <c r="Q1137" s="5" t="n">
        <v>959</v>
      </c>
      <c r="R1137" s="5" t="n"/>
    </row>
    <row r="1138">
      <c r="A1138" s="2" t="inlineStr">
        <is>
          <t>EJ310725.TXT</t>
        </is>
      </c>
      <c r="B1138" s="3" t="inlineStr">
        <is>
          <t>005854</t>
        </is>
      </c>
      <c r="C1138" s="3" t="inlineStr">
        <is>
          <t>004698</t>
        </is>
      </c>
      <c r="D1138" s="4" t="n">
        <v>45856</v>
      </c>
      <c r="E1138" s="2" t="inlineStr">
        <is>
          <t>09:50</t>
        </is>
      </c>
      <c r="F1138" s="5" t="n">
        <v>799.17</v>
      </c>
      <c r="G1138" s="5" t="n"/>
      <c r="H1138" s="5" t="n"/>
      <c r="I1138" s="5" t="n"/>
      <c r="J1138" s="5" t="n">
        <v>159.83</v>
      </c>
      <c r="K1138" s="5" t="n"/>
      <c r="L1138" s="5" t="n"/>
      <c r="M1138" s="5" t="n"/>
      <c r="N1138" s="5" t="n"/>
      <c r="O1138" s="5" t="n">
        <v>959</v>
      </c>
      <c r="P1138" s="5" t="n"/>
      <c r="Q1138" s="5" t="n">
        <v>959</v>
      </c>
      <c r="R1138" s="5" t="n"/>
    </row>
    <row r="1139">
      <c r="A1139" s="2" t="inlineStr">
        <is>
          <t>EJ310725.TXT</t>
        </is>
      </c>
      <c r="B1139" s="3" t="inlineStr">
        <is>
          <t>005855</t>
        </is>
      </c>
      <c r="C1139" s="3" t="inlineStr">
        <is>
          <t>004699</t>
        </is>
      </c>
      <c r="D1139" s="4" t="n">
        <v>45856</v>
      </c>
      <c r="E1139" s="2" t="inlineStr">
        <is>
          <t>09:50</t>
        </is>
      </c>
      <c r="F1139" s="5" t="n">
        <v>799.17</v>
      </c>
      <c r="G1139" s="5" t="n"/>
      <c r="H1139" s="5" t="n"/>
      <c r="I1139" s="5" t="n"/>
      <c r="J1139" s="5" t="n">
        <v>159.83</v>
      </c>
      <c r="K1139" s="5" t="n"/>
      <c r="L1139" s="5" t="n"/>
      <c r="M1139" s="5" t="n"/>
      <c r="N1139" s="5" t="n"/>
      <c r="O1139" s="5" t="n">
        <v>959</v>
      </c>
      <c r="P1139" s="5" t="n"/>
      <c r="Q1139" s="5" t="n">
        <v>959</v>
      </c>
      <c r="R1139" s="5" t="n"/>
    </row>
    <row r="1140">
      <c r="A1140" s="2" t="inlineStr">
        <is>
          <t>EJ310725.TXT</t>
        </is>
      </c>
      <c r="B1140" s="3" t="inlineStr">
        <is>
          <t>005856</t>
        </is>
      </c>
      <c r="C1140" s="3" t="inlineStr">
        <is>
          <t>004700</t>
        </is>
      </c>
      <c r="D1140" s="4" t="n">
        <v>45856</v>
      </c>
      <c r="E1140" s="2" t="inlineStr">
        <is>
          <t>09:51</t>
        </is>
      </c>
      <c r="F1140" s="5" t="n">
        <v>799.17</v>
      </c>
      <c r="G1140" s="5" t="n"/>
      <c r="H1140" s="5" t="n"/>
      <c r="I1140" s="5" t="n"/>
      <c r="J1140" s="5" t="n">
        <v>159.83</v>
      </c>
      <c r="K1140" s="5" t="n"/>
      <c r="L1140" s="5" t="n"/>
      <c r="M1140" s="5" t="n"/>
      <c r="N1140" s="5" t="n"/>
      <c r="O1140" s="5" t="n">
        <v>959</v>
      </c>
      <c r="P1140" s="5" t="n"/>
      <c r="Q1140" s="5" t="n">
        <v>959</v>
      </c>
      <c r="R1140" s="5" t="n"/>
    </row>
    <row r="1141">
      <c r="A1141" s="2" t="inlineStr">
        <is>
          <t>EJ310725.TXT</t>
        </is>
      </c>
      <c r="B1141" s="3" t="inlineStr">
        <is>
          <t>005857</t>
        </is>
      </c>
      <c r="C1141" s="3" t="inlineStr">
        <is>
          <t>004701</t>
        </is>
      </c>
      <c r="D1141" s="4" t="n">
        <v>45856</v>
      </c>
      <c r="E1141" s="2" t="inlineStr">
        <is>
          <t>09:51</t>
        </is>
      </c>
      <c r="F1141" s="5" t="n">
        <v>795</v>
      </c>
      <c r="G1141" s="5" t="n"/>
      <c r="H1141" s="5" t="n"/>
      <c r="I1141" s="5" t="n"/>
      <c r="J1141" s="5" t="n">
        <v>159</v>
      </c>
      <c r="K1141" s="5" t="n"/>
      <c r="L1141" s="5" t="n"/>
      <c r="M1141" s="5" t="n"/>
      <c r="N1141" s="5" t="n"/>
      <c r="O1141" s="5" t="n">
        <v>954</v>
      </c>
      <c r="P1141" s="5" t="n"/>
      <c r="Q1141" s="5" t="n">
        <v>954</v>
      </c>
      <c r="R1141" s="5" t="n"/>
    </row>
    <row r="1142">
      <c r="A1142" s="2" t="inlineStr">
        <is>
          <t>EJ310725.TXT</t>
        </is>
      </c>
      <c r="B1142" s="3" t="inlineStr">
        <is>
          <t>005858</t>
        </is>
      </c>
      <c r="C1142" s="3" t="inlineStr">
        <is>
          <t>004702</t>
        </is>
      </c>
      <c r="D1142" s="4" t="n">
        <v>45861</v>
      </c>
      <c r="E1142" s="2" t="inlineStr">
        <is>
          <t>14:12</t>
        </is>
      </c>
      <c r="F1142" s="5" t="n">
        <v>548.33</v>
      </c>
      <c r="G1142" s="5" t="n"/>
      <c r="H1142" s="5" t="n"/>
      <c r="I1142" s="5" t="n"/>
      <c r="J1142" s="5" t="n">
        <v>109.67</v>
      </c>
      <c r="K1142" s="5" t="n"/>
      <c r="L1142" s="5" t="n"/>
      <c r="M1142" s="5" t="n"/>
      <c r="N1142" s="5" t="n"/>
      <c r="O1142" s="5" t="n">
        <v>658</v>
      </c>
      <c r="P1142" s="5" t="n"/>
      <c r="Q1142" s="5" t="n">
        <v>658</v>
      </c>
      <c r="R1142" s="5" t="n"/>
    </row>
    <row r="1143">
      <c r="A1143" s="2" t="inlineStr">
        <is>
          <t>EJ310725.TXT</t>
        </is>
      </c>
      <c r="B1143" s="3" t="inlineStr">
        <is>
          <t>005859</t>
        </is>
      </c>
      <c r="C1143" s="3" t="inlineStr">
        <is>
          <t>004703</t>
        </is>
      </c>
      <c r="D1143" s="4" t="n">
        <v>45861</v>
      </c>
      <c r="E1143" s="2" t="inlineStr">
        <is>
          <t>14:15</t>
        </is>
      </c>
      <c r="F1143" s="5" t="n">
        <v>110</v>
      </c>
      <c r="G1143" s="5" t="n"/>
      <c r="H1143" s="5" t="n"/>
      <c r="I1143" s="5" t="n"/>
      <c r="J1143" s="5" t="n">
        <v>22</v>
      </c>
      <c r="K1143" s="5" t="n"/>
      <c r="L1143" s="5" t="n"/>
      <c r="M1143" s="5" t="n"/>
      <c r="N1143" s="5" t="n"/>
      <c r="O1143" s="5" t="n">
        <v>132</v>
      </c>
      <c r="P1143" s="5" t="n"/>
      <c r="Q1143" s="5" t="n">
        <v>132</v>
      </c>
      <c r="R1143" s="5" t="n"/>
    </row>
    <row r="1144">
      <c r="A1144" s="2" t="inlineStr">
        <is>
          <t>EJ310725.TXT</t>
        </is>
      </c>
      <c r="B1144" s="3" t="inlineStr">
        <is>
          <t>005860</t>
        </is>
      </c>
      <c r="C1144" s="3" t="inlineStr">
        <is>
          <t>004704</t>
        </is>
      </c>
      <c r="D1144" s="4" t="n">
        <v>45863</v>
      </c>
      <c r="E1144" s="2" t="inlineStr">
        <is>
          <t>16:38</t>
        </is>
      </c>
      <c r="F1144" s="5" t="n">
        <v>124.17</v>
      </c>
      <c r="G1144" s="5" t="n"/>
      <c r="H1144" s="5" t="n"/>
      <c r="I1144" s="5" t="n"/>
      <c r="J1144" s="5" t="n">
        <v>24.83</v>
      </c>
      <c r="K1144" s="5" t="n"/>
      <c r="L1144" s="5" t="n"/>
      <c r="M1144" s="5" t="n"/>
      <c r="N1144" s="5" t="n"/>
      <c r="O1144" s="5" t="n">
        <v>149</v>
      </c>
      <c r="P1144" s="5" t="n">
        <v>149</v>
      </c>
      <c r="Q1144" s="5" t="n"/>
      <c r="R1144" s="5" t="n"/>
    </row>
    <row r="1145">
      <c r="A1145" s="2" t="inlineStr">
        <is>
          <t>EJ310725.TXT</t>
        </is>
      </c>
      <c r="B1145" s="3" t="inlineStr">
        <is>
          <t>005861</t>
        </is>
      </c>
      <c r="C1145" s="3" t="inlineStr">
        <is>
          <t>004705</t>
        </is>
      </c>
      <c r="D1145" s="4" t="n">
        <v>45868</v>
      </c>
      <c r="E1145" s="2" t="inlineStr">
        <is>
          <t>17:33</t>
        </is>
      </c>
      <c r="F1145" s="5" t="n">
        <v>597.5</v>
      </c>
      <c r="G1145" s="5" t="n"/>
      <c r="H1145" s="5" t="n"/>
      <c r="I1145" s="5" t="n"/>
      <c r="J1145" s="5" t="n">
        <v>119.5</v>
      </c>
      <c r="K1145" s="5" t="n"/>
      <c r="L1145" s="5" t="n"/>
      <c r="M1145" s="5" t="n"/>
      <c r="N1145" s="5" t="n"/>
      <c r="O1145" s="5" t="n">
        <v>717</v>
      </c>
      <c r="P1145" s="5" t="n"/>
      <c r="Q1145" s="5" t="n">
        <v>717</v>
      </c>
      <c r="R1145" s="5" t="n"/>
    </row>
    <row r="1146">
      <c r="A1146" s="2" t="inlineStr">
        <is>
          <t>EJ020925.TXT</t>
        </is>
      </c>
      <c r="B1146" s="3" t="inlineStr">
        <is>
          <t>005870</t>
        </is>
      </c>
      <c r="C1146" s="3" t="inlineStr">
        <is>
          <t>004706</t>
        </is>
      </c>
      <c r="D1146" s="4" t="n">
        <v>45875</v>
      </c>
      <c r="E1146" s="2" t="inlineStr">
        <is>
          <t>16:53</t>
        </is>
      </c>
      <c r="F1146" s="5" t="n">
        <v>82.5</v>
      </c>
      <c r="G1146" s="5" t="n"/>
      <c r="H1146" s="5" t="n"/>
      <c r="I1146" s="5" t="n"/>
      <c r="J1146" s="5" t="n">
        <v>16.5</v>
      </c>
      <c r="K1146" s="5" t="n"/>
      <c r="L1146" s="5" t="n"/>
      <c r="M1146" s="5" t="n"/>
      <c r="N1146" s="5" t="n"/>
      <c r="O1146" s="5" t="n">
        <v>99</v>
      </c>
      <c r="P1146" s="5" t="n"/>
      <c r="Q1146" s="5" t="n">
        <v>99</v>
      </c>
      <c r="R1146" s="5" t="n"/>
    </row>
    <row r="1147">
      <c r="A1147" s="2" t="inlineStr">
        <is>
          <t>EJ020925.TXT</t>
        </is>
      </c>
      <c r="B1147" s="3" t="inlineStr">
        <is>
          <t>005871</t>
        </is>
      </c>
      <c r="C1147" s="3" t="inlineStr">
        <is>
          <t>004707</t>
        </is>
      </c>
      <c r="D1147" s="4" t="n">
        <v>45883</v>
      </c>
      <c r="E1147" s="2" t="inlineStr">
        <is>
          <t>16:39</t>
        </is>
      </c>
      <c r="F1147" s="5" t="n">
        <v>548.33</v>
      </c>
      <c r="G1147" s="5" t="n"/>
      <c r="H1147" s="5" t="n"/>
      <c r="I1147" s="5" t="n"/>
      <c r="J1147" s="5" t="n">
        <v>109.67</v>
      </c>
      <c r="K1147" s="5" t="n"/>
      <c r="L1147" s="5" t="n"/>
      <c r="M1147" s="5" t="n"/>
      <c r="N1147" s="5" t="n"/>
      <c r="O1147" s="5" t="n">
        <v>658</v>
      </c>
      <c r="P1147" s="5" t="n">
        <v>658</v>
      </c>
      <c r="Q1147" s="5" t="n"/>
      <c r="R1147" s="5" t="n"/>
    </row>
    <row r="1148">
      <c r="A1148" s="2" t="inlineStr">
        <is>
          <t>EJ020925.TXT</t>
        </is>
      </c>
      <c r="B1148" s="3" t="inlineStr">
        <is>
          <t>005872</t>
        </is>
      </c>
      <c r="C1148" s="3" t="inlineStr">
        <is>
          <t>004708</t>
        </is>
      </c>
      <c r="D1148" s="4" t="n">
        <v>45889</v>
      </c>
      <c r="E1148" s="2" t="inlineStr">
        <is>
          <t>14:37</t>
        </is>
      </c>
      <c r="F1148" s="5" t="n">
        <v>274.17</v>
      </c>
      <c r="G1148" s="5" t="n"/>
      <c r="H1148" s="5" t="n"/>
      <c r="I1148" s="5" t="n"/>
      <c r="J1148" s="5" t="n">
        <v>54.83</v>
      </c>
      <c r="K1148" s="5" t="n"/>
      <c r="L1148" s="5" t="n"/>
      <c r="M1148" s="5" t="n"/>
      <c r="N1148" s="5" t="n"/>
      <c r="O1148" s="5" t="n">
        <v>329</v>
      </c>
      <c r="P1148" s="5" t="n"/>
      <c r="Q1148" s="5" t="n">
        <v>329</v>
      </c>
      <c r="R1148" s="5" t="n"/>
    </row>
    <row r="1149">
      <c r="A1149" s="2" t="inlineStr">
        <is>
          <t>EJ020925.TXT</t>
        </is>
      </c>
      <c r="B1149" s="3" t="inlineStr">
        <is>
          <t>005873</t>
        </is>
      </c>
      <c r="C1149" s="3" t="inlineStr">
        <is>
          <t>004709</t>
        </is>
      </c>
      <c r="D1149" s="4" t="n">
        <v>45890</v>
      </c>
      <c r="E1149" s="2" t="inlineStr">
        <is>
          <t>09:43</t>
        </is>
      </c>
      <c r="F1149" s="5" t="n">
        <v>82.5</v>
      </c>
      <c r="G1149" s="5" t="n"/>
      <c r="H1149" s="5" t="n"/>
      <c r="I1149" s="5" t="n"/>
      <c r="J1149" s="5" t="n">
        <v>16.5</v>
      </c>
      <c r="K1149" s="5" t="n"/>
      <c r="L1149" s="5" t="n"/>
      <c r="M1149" s="5" t="n"/>
      <c r="N1149" s="5" t="n"/>
      <c r="O1149" s="5" t="n">
        <v>99</v>
      </c>
      <c r="P1149" s="5" t="n"/>
      <c r="Q1149" s="5" t="n">
        <v>99</v>
      </c>
      <c r="R1149" s="5" t="n"/>
    </row>
    <row r="1150">
      <c r="A1150" s="2" t="inlineStr">
        <is>
          <t>EJ020925.TXT</t>
        </is>
      </c>
      <c r="B1150" s="3" t="inlineStr">
        <is>
          <t>005874</t>
        </is>
      </c>
      <c r="C1150" s="3" t="inlineStr">
        <is>
          <t>004710</t>
        </is>
      </c>
      <c r="D1150" s="4" t="n">
        <v>45891</v>
      </c>
      <c r="E1150" s="2" t="inlineStr">
        <is>
          <t>16:59</t>
        </is>
      </c>
      <c r="F1150" s="5" t="n">
        <v>548.33</v>
      </c>
      <c r="G1150" s="5" t="n"/>
      <c r="H1150" s="5" t="n"/>
      <c r="I1150" s="5" t="n"/>
      <c r="J1150" s="5" t="n">
        <v>109.67</v>
      </c>
      <c r="K1150" s="5" t="n"/>
      <c r="L1150" s="5" t="n"/>
      <c r="M1150" s="5" t="n"/>
      <c r="N1150" s="5" t="n"/>
      <c r="O1150" s="5" t="n">
        <v>658</v>
      </c>
      <c r="P1150" s="5" t="n"/>
      <c r="Q1150" s="5" t="n">
        <v>658</v>
      </c>
      <c r="R1150" s="5" t="n"/>
    </row>
    <row r="1151">
      <c r="A1151" s="2" t="inlineStr">
        <is>
          <t>EJ020925.TXT</t>
        </is>
      </c>
      <c r="B1151" s="3" t="inlineStr">
        <is>
          <t>005875</t>
        </is>
      </c>
      <c r="C1151" s="3" t="inlineStr">
        <is>
          <t>004711</t>
        </is>
      </c>
      <c r="D1151" s="4" t="n">
        <v>45896</v>
      </c>
      <c r="E1151" s="2" t="inlineStr">
        <is>
          <t>13:45</t>
        </is>
      </c>
      <c r="F1151" s="5" t="n">
        <v>822.5</v>
      </c>
      <c r="G1151" s="5" t="n"/>
      <c r="H1151" s="5" t="n"/>
      <c r="I1151" s="5" t="n"/>
      <c r="J1151" s="5" t="n">
        <v>164.5</v>
      </c>
      <c r="K1151" s="5" t="n"/>
      <c r="L1151" s="5" t="n"/>
      <c r="M1151" s="5" t="n"/>
      <c r="N1151" s="5" t="n"/>
      <c r="O1151" s="5" t="n">
        <v>987</v>
      </c>
      <c r="P1151" s="5" t="n">
        <v>987</v>
      </c>
      <c r="Q1151" s="5" t="n"/>
      <c r="R1151" s="5" t="n"/>
    </row>
    <row r="1152">
      <c r="A1152" s="2" t="inlineStr">
        <is>
          <t>EJ020925.TXT</t>
        </is>
      </c>
      <c r="B1152" s="3" t="inlineStr">
        <is>
          <t>005876</t>
        </is>
      </c>
      <c r="C1152" s="3" t="inlineStr">
        <is>
          <t>004712</t>
        </is>
      </c>
      <c r="D1152" s="4" t="n">
        <v>45896</v>
      </c>
      <c r="E1152" s="2" t="inlineStr">
        <is>
          <t>15:09</t>
        </is>
      </c>
      <c r="F1152" s="5" t="n">
        <v>333.33</v>
      </c>
      <c r="G1152" s="5" t="n"/>
      <c r="H1152" s="5" t="n"/>
      <c r="I1152" s="5" t="n"/>
      <c r="J1152" s="5" t="n">
        <v>66.67</v>
      </c>
      <c r="K1152" s="5" t="n"/>
      <c r="L1152" s="5" t="n"/>
      <c r="M1152" s="5" t="n"/>
      <c r="N1152" s="5" t="n"/>
      <c r="O1152" s="5" t="n">
        <v>400</v>
      </c>
      <c r="P1152" s="5" t="n"/>
      <c r="Q1152" s="5" t="n">
        <v>400</v>
      </c>
      <c r="R1152" s="5" t="n"/>
    </row>
    <row r="1153">
      <c r="A1153" s="2" t="inlineStr">
        <is>
          <t>EJ020925.TXT</t>
        </is>
      </c>
      <c r="B1153" s="3" t="inlineStr">
        <is>
          <t>005877</t>
        </is>
      </c>
      <c r="C1153" s="3" t="inlineStr">
        <is>
          <t>004713</t>
        </is>
      </c>
      <c r="D1153" s="4" t="n">
        <v>45896</v>
      </c>
      <c r="E1153" s="2" t="inlineStr">
        <is>
          <t>15:09</t>
        </is>
      </c>
      <c r="F1153" s="5" t="n">
        <v>355.83</v>
      </c>
      <c r="G1153" s="5" t="n"/>
      <c r="H1153" s="5" t="n"/>
      <c r="I1153" s="5" t="n"/>
      <c r="J1153" s="5" t="n">
        <v>71.17</v>
      </c>
      <c r="K1153" s="5" t="n"/>
      <c r="L1153" s="5" t="n"/>
      <c r="M1153" s="5" t="n"/>
      <c r="N1153" s="5" t="n"/>
      <c r="O1153" s="5" t="n">
        <v>427</v>
      </c>
      <c r="P1153" s="5" t="n">
        <v>427</v>
      </c>
      <c r="Q1153" s="5" t="n"/>
      <c r="R1153" s="5" t="n"/>
    </row>
    <row r="1154">
      <c r="A1154" s="2" t="inlineStr">
        <is>
          <t>EJ020925.TXT</t>
        </is>
      </c>
      <c r="B1154" s="3" t="inlineStr">
        <is>
          <t>005878</t>
        </is>
      </c>
      <c r="C1154" s="3" t="inlineStr">
        <is>
          <t>004714</t>
        </is>
      </c>
      <c r="D1154" s="4" t="n">
        <v>45896</v>
      </c>
      <c r="E1154" s="2" t="inlineStr">
        <is>
          <t>15:37</t>
        </is>
      </c>
      <c r="F1154" s="5" t="n">
        <v>274.17</v>
      </c>
      <c r="G1154" s="5" t="n"/>
      <c r="H1154" s="5" t="n"/>
      <c r="I1154" s="5" t="n"/>
      <c r="J1154" s="5" t="n">
        <v>54.83</v>
      </c>
      <c r="K1154" s="5" t="n"/>
      <c r="L1154" s="5" t="n"/>
      <c r="M1154" s="5" t="n"/>
      <c r="N1154" s="5" t="n"/>
      <c r="O1154" s="5" t="n">
        <v>329</v>
      </c>
      <c r="P1154" s="5" t="n"/>
      <c r="Q1154" s="5" t="n">
        <v>329</v>
      </c>
      <c r="R1154" s="5" t="n"/>
    </row>
  </sheetData>
  <autoFilter ref="A1:R1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</row>
    <row r="2">
      <c r="A2" s="2" t="inlineStr">
        <is>
          <t>EJ310123.TXT</t>
        </is>
      </c>
      <c r="B2" s="3" t="inlineStr">
        <is>
          <t>004517</t>
        </is>
      </c>
      <c r="C2" s="3" t="inlineStr">
        <is>
          <t>003562</t>
        </is>
      </c>
      <c r="D2" s="4" t="n">
        <v>44928</v>
      </c>
      <c r="E2" s="2" t="inlineStr">
        <is>
          <t>11:25</t>
        </is>
      </c>
      <c r="F2" s="5" t="n">
        <v>249.17</v>
      </c>
      <c r="G2" s="5" t="n"/>
      <c r="H2" s="5" t="n"/>
      <c r="I2" s="5" t="n"/>
      <c r="J2" s="5" t="n">
        <v>49.83</v>
      </c>
      <c r="K2" s="5" t="n"/>
      <c r="L2" s="5" t="n"/>
      <c r="M2" s="5" t="n"/>
      <c r="N2" s="5" t="n"/>
      <c r="O2" s="5" t="n">
        <v>299</v>
      </c>
      <c r="P2" s="5" t="n">
        <v>299</v>
      </c>
      <c r="Q2" s="5" t="n"/>
      <c r="R2" s="5" t="n"/>
    </row>
    <row r="3">
      <c r="A3" s="2" t="inlineStr">
        <is>
          <t>EJ310123.TXT</t>
        </is>
      </c>
      <c r="B3" s="3" t="inlineStr">
        <is>
          <t>004518</t>
        </is>
      </c>
      <c r="C3" s="3" t="inlineStr">
        <is>
          <t>003563</t>
        </is>
      </c>
      <c r="D3" s="4" t="n">
        <v>44928</v>
      </c>
      <c r="E3" s="2" t="inlineStr">
        <is>
          <t>12:34</t>
        </is>
      </c>
      <c r="F3" s="5" t="n">
        <v>208.33</v>
      </c>
      <c r="G3" s="5" t="n"/>
      <c r="H3" s="5" t="n"/>
      <c r="I3" s="5" t="n"/>
      <c r="J3" s="5" t="n">
        <v>41.67</v>
      </c>
      <c r="K3" s="5" t="n"/>
      <c r="L3" s="5" t="n"/>
      <c r="M3" s="5" t="n"/>
      <c r="N3" s="5" t="n"/>
      <c r="O3" s="5" t="n">
        <v>250</v>
      </c>
      <c r="P3" s="5" t="n"/>
      <c r="Q3" s="5" t="n">
        <v>250</v>
      </c>
      <c r="R3" s="5" t="n"/>
    </row>
    <row r="4">
      <c r="A4" s="2" t="inlineStr">
        <is>
          <t>EJ310123.TXT</t>
        </is>
      </c>
      <c r="B4" s="3" t="inlineStr">
        <is>
          <t>004519</t>
        </is>
      </c>
      <c r="C4" s="3" t="inlineStr">
        <is>
          <t>003564</t>
        </is>
      </c>
      <c r="D4" s="4" t="n">
        <v>44928</v>
      </c>
      <c r="E4" s="2" t="inlineStr">
        <is>
          <t>16:36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/>
      <c r="Q4" s="5" t="n">
        <v>580</v>
      </c>
      <c r="R4" s="5" t="n"/>
    </row>
    <row r="5">
      <c r="A5" s="2" t="inlineStr">
        <is>
          <t>EJ310123.TXT</t>
        </is>
      </c>
      <c r="B5" s="3" t="inlineStr">
        <is>
          <t>004520</t>
        </is>
      </c>
      <c r="C5" s="3" t="inlineStr">
        <is>
          <t>003565</t>
        </is>
      </c>
      <c r="D5" s="4" t="n">
        <v>44929</v>
      </c>
      <c r="E5" s="2" t="inlineStr">
        <is>
          <t>15:02</t>
        </is>
      </c>
      <c r="F5" s="5" t="n">
        <v>720.83</v>
      </c>
      <c r="G5" s="5" t="n"/>
      <c r="H5" s="5" t="n"/>
      <c r="I5" s="5" t="n"/>
      <c r="J5" s="5" t="n">
        <v>144.17</v>
      </c>
      <c r="K5" s="5" t="n"/>
      <c r="L5" s="5" t="n"/>
      <c r="M5" s="5" t="n"/>
      <c r="N5" s="5" t="n"/>
      <c r="O5" s="5" t="n">
        <v>865</v>
      </c>
      <c r="P5" s="5" t="n"/>
      <c r="Q5" s="5" t="n">
        <v>865</v>
      </c>
      <c r="R5" s="5" t="n"/>
    </row>
    <row r="6">
      <c r="A6" s="2" t="inlineStr">
        <is>
          <t>EJ310123.TXT</t>
        </is>
      </c>
      <c r="B6" s="3" t="inlineStr">
        <is>
          <t>004521</t>
        </is>
      </c>
      <c r="C6" s="3" t="inlineStr">
        <is>
          <t>003566</t>
        </is>
      </c>
      <c r="D6" s="4" t="n">
        <v>44929</v>
      </c>
      <c r="E6" s="2" t="inlineStr">
        <is>
          <t>15:03</t>
        </is>
      </c>
      <c r="F6" s="5" t="n">
        <v>144.17</v>
      </c>
      <c r="G6" s="5" t="n"/>
      <c r="H6" s="5" t="n"/>
      <c r="I6" s="5" t="n"/>
      <c r="J6" s="5" t="n">
        <v>28.83</v>
      </c>
      <c r="K6" s="5" t="n"/>
      <c r="L6" s="5" t="n"/>
      <c r="M6" s="5" t="n"/>
      <c r="N6" s="5" t="n"/>
      <c r="O6" s="5" t="n">
        <v>173</v>
      </c>
      <c r="P6" s="5" t="n"/>
      <c r="Q6" s="5" t="n">
        <v>173</v>
      </c>
      <c r="R6" s="5" t="n"/>
    </row>
    <row r="7">
      <c r="A7" s="2" t="inlineStr">
        <is>
          <t>EJ310123.TXT</t>
        </is>
      </c>
      <c r="B7" s="3" t="inlineStr">
        <is>
          <t>004522</t>
        </is>
      </c>
      <c r="C7" s="3" t="inlineStr">
        <is>
          <t>003567</t>
        </is>
      </c>
      <c r="D7" s="4" t="n">
        <v>44929</v>
      </c>
      <c r="E7" s="2" t="inlineStr">
        <is>
          <t>15:19</t>
        </is>
      </c>
      <c r="F7" s="5" t="n">
        <v>823.33</v>
      </c>
      <c r="G7" s="5" t="n"/>
      <c r="H7" s="5" t="n"/>
      <c r="I7" s="5" t="n"/>
      <c r="J7" s="5" t="n">
        <v>164.67</v>
      </c>
      <c r="K7" s="5" t="n"/>
      <c r="L7" s="5" t="n"/>
      <c r="M7" s="5" t="n"/>
      <c r="N7" s="5" t="n"/>
      <c r="O7" s="5" t="n">
        <v>988</v>
      </c>
      <c r="P7" s="5" t="n"/>
      <c r="Q7" s="5" t="n">
        <v>988</v>
      </c>
      <c r="R7" s="5" t="n"/>
    </row>
    <row r="8">
      <c r="A8" s="2" t="inlineStr">
        <is>
          <t>EJ310123.TXT</t>
        </is>
      </c>
      <c r="B8" s="3" t="inlineStr">
        <is>
          <t>004523</t>
        </is>
      </c>
      <c r="C8" s="3" t="inlineStr">
        <is>
          <t>003568</t>
        </is>
      </c>
      <c r="D8" s="4" t="n">
        <v>44929</v>
      </c>
      <c r="E8" s="2" t="inlineStr">
        <is>
          <t>15:19</t>
        </is>
      </c>
      <c r="F8" s="5" t="n">
        <v>823.33</v>
      </c>
      <c r="G8" s="5" t="n"/>
      <c r="H8" s="5" t="n"/>
      <c r="I8" s="5" t="n"/>
      <c r="J8" s="5" t="n">
        <v>164.67</v>
      </c>
      <c r="K8" s="5" t="n"/>
      <c r="L8" s="5" t="n"/>
      <c r="M8" s="5" t="n"/>
      <c r="N8" s="5" t="n"/>
      <c r="O8" s="5" t="n">
        <v>988</v>
      </c>
      <c r="P8" s="5" t="n"/>
      <c r="Q8" s="5" t="n">
        <v>988</v>
      </c>
      <c r="R8" s="5" t="n"/>
    </row>
    <row r="9">
      <c r="A9" s="2" t="inlineStr">
        <is>
          <t>EJ310123.TXT</t>
        </is>
      </c>
      <c r="B9" s="3" t="inlineStr">
        <is>
          <t>004524</t>
        </is>
      </c>
      <c r="C9" s="3" t="inlineStr">
        <is>
          <t>003569</t>
        </is>
      </c>
      <c r="D9" s="4" t="n">
        <v>44929</v>
      </c>
      <c r="E9" s="2" t="inlineStr">
        <is>
          <t>15:45</t>
        </is>
      </c>
      <c r="F9" s="5" t="n">
        <v>1450</v>
      </c>
      <c r="G9" s="5" t="n"/>
      <c r="H9" s="5" t="n"/>
      <c r="I9" s="5" t="n"/>
      <c r="J9" s="5" t="n">
        <v>290</v>
      </c>
      <c r="K9" s="5" t="n"/>
      <c r="L9" s="5" t="n"/>
      <c r="M9" s="5" t="n"/>
      <c r="N9" s="5" t="n"/>
      <c r="O9" s="5" t="n">
        <v>1740</v>
      </c>
      <c r="P9" s="5" t="n">
        <v>1740</v>
      </c>
      <c r="Q9" s="5" t="n"/>
      <c r="R9" s="5" t="n"/>
    </row>
    <row r="10">
      <c r="A10" s="2" t="inlineStr">
        <is>
          <t>EJ310123.TXT</t>
        </is>
      </c>
      <c r="B10" s="3" t="inlineStr">
        <is>
          <t>004525</t>
        </is>
      </c>
      <c r="C10" s="3" t="inlineStr">
        <is>
          <t>003570</t>
        </is>
      </c>
      <c r="D10" s="4" t="n">
        <v>44929</v>
      </c>
      <c r="E10" s="2" t="inlineStr">
        <is>
          <t>16:16</t>
        </is>
      </c>
      <c r="F10" s="5" t="n">
        <v>498.33</v>
      </c>
      <c r="G10" s="5" t="n"/>
      <c r="H10" s="5" t="n"/>
      <c r="I10" s="5" t="n"/>
      <c r="J10" s="5" t="n">
        <v>99.67</v>
      </c>
      <c r="K10" s="5" t="n"/>
      <c r="L10" s="5" t="n"/>
      <c r="M10" s="5" t="n"/>
      <c r="N10" s="5" t="n"/>
      <c r="O10" s="5" t="n">
        <v>598</v>
      </c>
      <c r="P10" s="5" t="n">
        <v>598</v>
      </c>
      <c r="Q10" s="5" t="n"/>
      <c r="R10" s="5" t="n"/>
    </row>
    <row r="11">
      <c r="A11" s="2" t="inlineStr">
        <is>
          <t>EJ310123.TXT</t>
        </is>
      </c>
      <c r="B11" s="3" t="inlineStr">
        <is>
          <t>004526</t>
        </is>
      </c>
      <c r="C11" s="3" t="inlineStr">
        <is>
          <t>003571</t>
        </is>
      </c>
      <c r="D11" s="4" t="n">
        <v>44930</v>
      </c>
      <c r="E11" s="2" t="inlineStr">
        <is>
          <t>10:54</t>
        </is>
      </c>
      <c r="F11" s="5" t="n">
        <v>725</v>
      </c>
      <c r="G11" s="5" t="n"/>
      <c r="H11" s="5" t="n"/>
      <c r="I11" s="5" t="n"/>
      <c r="J11" s="5" t="n">
        <v>145</v>
      </c>
      <c r="K11" s="5" t="n"/>
      <c r="L11" s="5" t="n"/>
      <c r="M11" s="5" t="n"/>
      <c r="N11" s="5" t="n"/>
      <c r="O11" s="5" t="n">
        <v>870</v>
      </c>
      <c r="P11" s="5" t="n"/>
      <c r="Q11" s="5" t="n">
        <v>870</v>
      </c>
      <c r="R11" s="5" t="n"/>
    </row>
    <row r="12">
      <c r="A12" s="2" t="inlineStr">
        <is>
          <t>EJ310123.TXT</t>
        </is>
      </c>
      <c r="B12" s="3" t="inlineStr">
        <is>
          <t>004527</t>
        </is>
      </c>
      <c r="C12" s="3" t="inlineStr">
        <is>
          <t>003572</t>
        </is>
      </c>
      <c r="D12" s="4" t="n">
        <v>44932</v>
      </c>
      <c r="E12" s="2" t="inlineStr">
        <is>
          <t>11:36</t>
        </is>
      </c>
      <c r="F12" s="5" t="n">
        <v>37.5</v>
      </c>
      <c r="G12" s="5" t="n"/>
      <c r="H12" s="5" t="n"/>
      <c r="I12" s="5" t="n"/>
      <c r="J12" s="5" t="n">
        <v>7.5</v>
      </c>
      <c r="K12" s="5" t="n"/>
      <c r="L12" s="5" t="n"/>
      <c r="M12" s="5" t="n"/>
      <c r="N12" s="5" t="n"/>
      <c r="O12" s="5" t="n">
        <v>45</v>
      </c>
      <c r="P12" s="5" t="n"/>
      <c r="Q12" s="5" t="n">
        <v>45</v>
      </c>
      <c r="R12" s="5" t="n"/>
    </row>
    <row r="13">
      <c r="A13" s="2" t="inlineStr">
        <is>
          <t>EJ310123.TXT</t>
        </is>
      </c>
      <c r="B13" s="3" t="inlineStr">
        <is>
          <t>004528</t>
        </is>
      </c>
      <c r="C13" s="3" t="inlineStr">
        <is>
          <t>003573</t>
        </is>
      </c>
      <c r="D13" s="4" t="n">
        <v>44932</v>
      </c>
      <c r="E13" s="2" t="inlineStr">
        <is>
          <t>13:56</t>
        </is>
      </c>
      <c r="F13" s="5" t="n">
        <v>498.33</v>
      </c>
      <c r="G13" s="5" t="n"/>
      <c r="H13" s="5" t="n"/>
      <c r="I13" s="5" t="n"/>
      <c r="J13" s="5" t="n">
        <v>99.67</v>
      </c>
      <c r="K13" s="5" t="n"/>
      <c r="L13" s="5" t="n"/>
      <c r="M13" s="5" t="n"/>
      <c r="N13" s="5" t="n"/>
      <c r="O13" s="5" t="n">
        <v>598</v>
      </c>
      <c r="P13" s="5" t="n"/>
      <c r="Q13" s="5" t="n">
        <v>598</v>
      </c>
      <c r="R13" s="5" t="n"/>
    </row>
    <row r="14">
      <c r="A14" s="2" t="inlineStr">
        <is>
          <t>EJ310123.TXT</t>
        </is>
      </c>
      <c r="B14" s="3" t="inlineStr">
        <is>
          <t>004529</t>
        </is>
      </c>
      <c r="C14" s="3" t="inlineStr">
        <is>
          <t>003574</t>
        </is>
      </c>
      <c r="D14" s="4" t="n">
        <v>44932</v>
      </c>
      <c r="E14" s="2" t="inlineStr">
        <is>
          <t>17:29</t>
        </is>
      </c>
      <c r="F14" s="5" t="n">
        <v>5035</v>
      </c>
      <c r="G14" s="5" t="n"/>
      <c r="H14" s="5" t="n"/>
      <c r="I14" s="5" t="n"/>
      <c r="J14" s="5" t="n">
        <v>1007</v>
      </c>
      <c r="K14" s="5" t="n"/>
      <c r="L14" s="5" t="n"/>
      <c r="M14" s="5" t="n"/>
      <c r="N14" s="5" t="n"/>
      <c r="O14" s="5" t="n">
        <v>6042</v>
      </c>
      <c r="P14" s="5" t="n"/>
      <c r="Q14" s="5" t="n"/>
      <c r="R14" s="5" t="n">
        <v>6042</v>
      </c>
    </row>
    <row r="15">
      <c r="A15" s="2" t="inlineStr">
        <is>
          <t>EJ310123.TXT</t>
        </is>
      </c>
      <c r="B15" s="3" t="inlineStr">
        <is>
          <t>004530</t>
        </is>
      </c>
      <c r="C15" s="3" t="inlineStr">
        <is>
          <t>003575</t>
        </is>
      </c>
      <c r="D15" s="4" t="n">
        <v>44933</v>
      </c>
      <c r="E15" s="2" t="inlineStr">
        <is>
          <t>15:33</t>
        </is>
      </c>
      <c r="F15" s="5" t="n">
        <v>581.67</v>
      </c>
      <c r="G15" s="5" t="n"/>
      <c r="H15" s="5" t="n"/>
      <c r="I15" s="5" t="n"/>
      <c r="J15" s="5" t="n">
        <v>116.33</v>
      </c>
      <c r="K15" s="5" t="n"/>
      <c r="L15" s="5" t="n"/>
      <c r="M15" s="5" t="n"/>
      <c r="N15" s="5" t="n"/>
      <c r="O15" s="5" t="n">
        <v>698</v>
      </c>
      <c r="P15" s="5" t="n">
        <v>698</v>
      </c>
      <c r="Q15" s="5" t="n"/>
      <c r="R15" s="5" t="n"/>
    </row>
    <row r="16">
      <c r="A16" s="2" t="inlineStr">
        <is>
          <t>EJ310123.TXT</t>
        </is>
      </c>
      <c r="B16" s="3" t="inlineStr">
        <is>
          <t>004531</t>
        </is>
      </c>
      <c r="C16" s="3" t="inlineStr">
        <is>
          <t>003576</t>
        </is>
      </c>
      <c r="D16" s="4" t="n">
        <v>44933</v>
      </c>
      <c r="E16" s="2" t="inlineStr">
        <is>
          <t>16:22</t>
        </is>
      </c>
      <c r="F16" s="5" t="n">
        <v>540</v>
      </c>
      <c r="G16" s="5" t="n"/>
      <c r="H16" s="5" t="n"/>
      <c r="I16" s="5" t="n"/>
      <c r="J16" s="5" t="n">
        <v>108</v>
      </c>
      <c r="K16" s="5" t="n"/>
      <c r="L16" s="5" t="n"/>
      <c r="M16" s="5" t="n"/>
      <c r="N16" s="5" t="n"/>
      <c r="O16" s="5" t="n">
        <v>648</v>
      </c>
      <c r="P16" s="5" t="n">
        <v>648</v>
      </c>
      <c r="Q16" s="5" t="n"/>
      <c r="R16" s="5" t="n"/>
    </row>
    <row r="17">
      <c r="A17" s="2" t="inlineStr">
        <is>
          <t>EJ310123.TXT</t>
        </is>
      </c>
      <c r="B17" s="3" t="inlineStr">
        <is>
          <t>004532</t>
        </is>
      </c>
      <c r="C17" s="3" t="inlineStr">
        <is>
          <t>003577</t>
        </is>
      </c>
      <c r="D17" s="4" t="n">
        <v>44935</v>
      </c>
      <c r="E17" s="2" t="inlineStr">
        <is>
          <t>15:13</t>
        </is>
      </c>
      <c r="F17" s="5" t="n">
        <v>648.33</v>
      </c>
      <c r="G17" s="5" t="n"/>
      <c r="H17" s="5" t="n"/>
      <c r="I17" s="5" t="n"/>
      <c r="J17" s="5" t="n">
        <v>129.67</v>
      </c>
      <c r="K17" s="5" t="n"/>
      <c r="L17" s="5" t="n"/>
      <c r="M17" s="5" t="n"/>
      <c r="N17" s="5" t="n"/>
      <c r="O17" s="5" t="n">
        <v>778</v>
      </c>
      <c r="P17" s="5" t="n"/>
      <c r="Q17" s="5" t="n">
        <v>778</v>
      </c>
      <c r="R17" s="5" t="n"/>
    </row>
    <row r="18">
      <c r="A18" s="2" t="inlineStr">
        <is>
          <t>EJ310123.TXT</t>
        </is>
      </c>
      <c r="B18" s="3" t="inlineStr">
        <is>
          <t>004533</t>
        </is>
      </c>
      <c r="C18" s="3" t="inlineStr">
        <is>
          <t>003578</t>
        </is>
      </c>
      <c r="D18" s="4" t="n">
        <v>44935</v>
      </c>
      <c r="E18" s="2" t="inlineStr">
        <is>
          <t>15:42</t>
        </is>
      </c>
      <c r="F18" s="5" t="n">
        <v>288.33</v>
      </c>
      <c r="G18" s="5" t="n"/>
      <c r="H18" s="5" t="n"/>
      <c r="I18" s="5" t="n"/>
      <c r="J18" s="5" t="n">
        <v>57.67</v>
      </c>
      <c r="K18" s="5" t="n"/>
      <c r="L18" s="5" t="n"/>
      <c r="M18" s="5" t="n"/>
      <c r="N18" s="5" t="n"/>
      <c r="O18" s="5" t="n">
        <v>346</v>
      </c>
      <c r="P18" s="5" t="n"/>
      <c r="Q18" s="5" t="n">
        <v>346</v>
      </c>
      <c r="R18" s="5" t="n"/>
    </row>
    <row r="19">
      <c r="A19" s="2" t="inlineStr">
        <is>
          <t>EJ310123.TXT</t>
        </is>
      </c>
      <c r="B19" s="3" t="inlineStr">
        <is>
          <t>004534</t>
        </is>
      </c>
      <c r="C19" s="3" t="inlineStr">
        <is>
          <t>003579</t>
        </is>
      </c>
      <c r="D19" s="4" t="n">
        <v>44936</v>
      </c>
      <c r="E19" s="2" t="inlineStr">
        <is>
          <t>15:49</t>
        </is>
      </c>
      <c r="F19" s="5" t="n">
        <v>483.33</v>
      </c>
      <c r="G19" s="5" t="n"/>
      <c r="H19" s="5" t="n"/>
      <c r="I19" s="5" t="n"/>
      <c r="J19" s="5" t="n">
        <v>96.67</v>
      </c>
      <c r="K19" s="5" t="n"/>
      <c r="L19" s="5" t="n"/>
      <c r="M19" s="5" t="n"/>
      <c r="N19" s="5" t="n"/>
      <c r="O19" s="5" t="n">
        <v>580</v>
      </c>
      <c r="P19" s="5" t="n"/>
      <c r="Q19" s="5" t="n">
        <v>580</v>
      </c>
      <c r="R19" s="5" t="n"/>
    </row>
    <row r="20">
      <c r="A20" s="2" t="inlineStr">
        <is>
          <t>EJ310123.TXT</t>
        </is>
      </c>
      <c r="B20" s="3" t="inlineStr">
        <is>
          <t>004535</t>
        </is>
      </c>
      <c r="C20" s="3" t="inlineStr">
        <is>
          <t>003580</t>
        </is>
      </c>
      <c r="D20" s="4" t="n">
        <v>44936</v>
      </c>
      <c r="E20" s="2" t="inlineStr">
        <is>
          <t>15:49</t>
        </is>
      </c>
      <c r="F20" s="5" t="n">
        <v>483.33</v>
      </c>
      <c r="G20" s="5" t="n"/>
      <c r="H20" s="5" t="n"/>
      <c r="I20" s="5" t="n"/>
      <c r="J20" s="5" t="n">
        <v>96.67</v>
      </c>
      <c r="K20" s="5" t="n"/>
      <c r="L20" s="5" t="n"/>
      <c r="M20" s="5" t="n"/>
      <c r="N20" s="5" t="n"/>
      <c r="O20" s="5" t="n">
        <v>580</v>
      </c>
      <c r="P20" s="5" t="n"/>
      <c r="Q20" s="5" t="n">
        <v>580</v>
      </c>
      <c r="R20" s="5" t="n"/>
    </row>
    <row r="21">
      <c r="A21" s="2" t="inlineStr">
        <is>
          <t>EJ310123.TXT</t>
        </is>
      </c>
      <c r="B21" s="3" t="inlineStr">
        <is>
          <t>004536</t>
        </is>
      </c>
      <c r="C21" s="3" t="inlineStr">
        <is>
          <t>003581</t>
        </is>
      </c>
      <c r="D21" s="4" t="n">
        <v>44938</v>
      </c>
      <c r="E21" s="2" t="inlineStr">
        <is>
          <t>15:51</t>
        </is>
      </c>
      <c r="F21" s="5" t="n">
        <v>522.5</v>
      </c>
      <c r="G21" s="5" t="n"/>
      <c r="H21" s="5" t="n"/>
      <c r="I21" s="5" t="n"/>
      <c r="J21" s="5" t="n">
        <v>104.5</v>
      </c>
      <c r="K21" s="5" t="n"/>
      <c r="L21" s="5" t="n"/>
      <c r="M21" s="5" t="n"/>
      <c r="N21" s="5" t="n"/>
      <c r="O21" s="5" t="n">
        <v>627</v>
      </c>
      <c r="P21" s="5" t="n"/>
      <c r="Q21" s="5" t="n">
        <v>627</v>
      </c>
      <c r="R21" s="5" t="n"/>
    </row>
    <row r="22">
      <c r="A22" s="2" t="inlineStr">
        <is>
          <t>EJ310123.TXT</t>
        </is>
      </c>
      <c r="B22" s="3" t="inlineStr">
        <is>
          <t>004537</t>
        </is>
      </c>
      <c r="C22" s="3" t="inlineStr">
        <is>
          <t>003582</t>
        </is>
      </c>
      <c r="D22" s="4" t="n">
        <v>44938</v>
      </c>
      <c r="E22" s="2" t="inlineStr">
        <is>
          <t>18:15</t>
        </is>
      </c>
      <c r="F22" s="5" t="n">
        <v>747.5</v>
      </c>
      <c r="G22" s="5" t="n"/>
      <c r="H22" s="5" t="n"/>
      <c r="I22" s="5" t="n"/>
      <c r="J22" s="5" t="n">
        <v>149.5</v>
      </c>
      <c r="K22" s="5" t="n"/>
      <c r="L22" s="5" t="n"/>
      <c r="M22" s="5" t="n"/>
      <c r="N22" s="5" t="n"/>
      <c r="O22" s="5" t="n">
        <v>897</v>
      </c>
      <c r="P22" s="5" t="n"/>
      <c r="Q22" s="5" t="n">
        <v>897</v>
      </c>
      <c r="R22" s="5" t="n"/>
    </row>
    <row r="23">
      <c r="A23" s="2" t="inlineStr">
        <is>
          <t>EJ310123.TXT</t>
        </is>
      </c>
      <c r="B23" s="3" t="inlineStr">
        <is>
          <t>004538</t>
        </is>
      </c>
      <c r="C23" s="3" t="inlineStr">
        <is>
          <t>003583</t>
        </is>
      </c>
      <c r="D23" s="4" t="n">
        <v>44938</v>
      </c>
      <c r="E23" s="2" t="inlineStr">
        <is>
          <t>18:15</t>
        </is>
      </c>
      <c r="F23" s="5" t="n">
        <v>249.17</v>
      </c>
      <c r="G23" s="5" t="n"/>
      <c r="H23" s="5" t="n"/>
      <c r="I23" s="5" t="n"/>
      <c r="J23" s="5" t="n">
        <v>49.83</v>
      </c>
      <c r="K23" s="5" t="n"/>
      <c r="L23" s="5" t="n"/>
      <c r="M23" s="5" t="n"/>
      <c r="N23" s="5" t="n"/>
      <c r="O23" s="5" t="n">
        <v>299</v>
      </c>
      <c r="P23" s="5" t="n"/>
      <c r="Q23" s="5" t="n">
        <v>299</v>
      </c>
      <c r="R23" s="5" t="n"/>
    </row>
    <row r="24">
      <c r="A24" s="2" t="inlineStr">
        <is>
          <t>EJ310123.TXT</t>
        </is>
      </c>
      <c r="B24" s="3" t="inlineStr">
        <is>
          <t>004539</t>
        </is>
      </c>
      <c r="C24" s="3" t="inlineStr">
        <is>
          <t>003584</t>
        </is>
      </c>
      <c r="D24" s="4" t="n">
        <v>44938</v>
      </c>
      <c r="E24" s="2" t="inlineStr">
        <is>
          <t>18:52</t>
        </is>
      </c>
      <c r="F24" s="5" t="n">
        <v>725</v>
      </c>
      <c r="G24" s="5" t="n"/>
      <c r="H24" s="5" t="n"/>
      <c r="I24" s="5" t="n"/>
      <c r="J24" s="5" t="n">
        <v>145</v>
      </c>
      <c r="K24" s="5" t="n"/>
      <c r="L24" s="5" t="n"/>
      <c r="M24" s="5" t="n"/>
      <c r="N24" s="5" t="n"/>
      <c r="O24" s="5" t="n">
        <v>870</v>
      </c>
      <c r="P24" s="5" t="n"/>
      <c r="Q24" s="5" t="n">
        <v>870</v>
      </c>
      <c r="R24" s="5" t="n"/>
    </row>
    <row r="25">
      <c r="A25" s="2" t="inlineStr">
        <is>
          <t>EJ310123.TXT</t>
        </is>
      </c>
      <c r="B25" s="3" t="inlineStr">
        <is>
          <t>004540</t>
        </is>
      </c>
      <c r="C25" s="3" t="inlineStr">
        <is>
          <t>003585</t>
        </is>
      </c>
      <c r="D25" s="4" t="n">
        <v>44939</v>
      </c>
      <c r="E25" s="2" t="inlineStr">
        <is>
          <t>10:29</t>
        </is>
      </c>
      <c r="F25" s="5" t="n">
        <v>582.5</v>
      </c>
      <c r="G25" s="5" t="n"/>
      <c r="H25" s="5" t="n"/>
      <c r="I25" s="5" t="n"/>
      <c r="J25" s="5" t="n">
        <v>116.5</v>
      </c>
      <c r="K25" s="5" t="n"/>
      <c r="L25" s="5" t="n"/>
      <c r="M25" s="5" t="n"/>
      <c r="N25" s="5" t="n"/>
      <c r="O25" s="5" t="n">
        <v>699</v>
      </c>
      <c r="P25" s="5" t="n"/>
      <c r="Q25" s="5" t="n">
        <v>699</v>
      </c>
      <c r="R25" s="5" t="n"/>
    </row>
    <row r="26">
      <c r="A26" s="2" t="inlineStr">
        <is>
          <t>EJ310123.TXT</t>
        </is>
      </c>
      <c r="B26" s="3" t="inlineStr">
        <is>
          <t>004541</t>
        </is>
      </c>
      <c r="C26" s="3" t="inlineStr">
        <is>
          <t>003586</t>
        </is>
      </c>
      <c r="D26" s="4" t="n">
        <v>44939</v>
      </c>
      <c r="E26" s="2" t="inlineStr">
        <is>
          <t>10:29</t>
        </is>
      </c>
      <c r="F26" s="5" t="n">
        <v>582.5</v>
      </c>
      <c r="G26" s="5" t="n"/>
      <c r="H26" s="5" t="n"/>
      <c r="I26" s="5" t="n"/>
      <c r="J26" s="5" t="n">
        <v>116.5</v>
      </c>
      <c r="K26" s="5" t="n"/>
      <c r="L26" s="5" t="n"/>
      <c r="M26" s="5" t="n"/>
      <c r="N26" s="5" t="n"/>
      <c r="O26" s="5" t="n">
        <v>699</v>
      </c>
      <c r="P26" s="5" t="n"/>
      <c r="Q26" s="5" t="n">
        <v>699</v>
      </c>
      <c r="R26" s="5" t="n"/>
    </row>
    <row r="27">
      <c r="A27" s="2" t="inlineStr">
        <is>
          <t>EJ310123.TXT</t>
        </is>
      </c>
      <c r="B27" s="3" t="inlineStr">
        <is>
          <t>004542</t>
        </is>
      </c>
      <c r="C27" s="3" t="inlineStr">
        <is>
          <t>003587</t>
        </is>
      </c>
      <c r="D27" s="4" t="n">
        <v>44939</v>
      </c>
      <c r="E27" s="2" t="inlineStr">
        <is>
          <t>14:36</t>
        </is>
      </c>
      <c r="F27" s="5" t="n">
        <v>747.5</v>
      </c>
      <c r="G27" s="5" t="n"/>
      <c r="H27" s="5" t="n"/>
      <c r="I27" s="5" t="n"/>
      <c r="J27" s="5" t="n">
        <v>149.5</v>
      </c>
      <c r="K27" s="5" t="n"/>
      <c r="L27" s="5" t="n"/>
      <c r="M27" s="5" t="n"/>
      <c r="N27" s="5" t="n"/>
      <c r="O27" s="5" t="n">
        <v>897</v>
      </c>
      <c r="P27" s="5" t="n"/>
      <c r="Q27" s="5" t="n">
        <v>897</v>
      </c>
      <c r="R27" s="5" t="n"/>
    </row>
    <row r="28">
      <c r="A28" s="2" t="inlineStr">
        <is>
          <t>EJ310123.TXT</t>
        </is>
      </c>
      <c r="B28" s="3" t="inlineStr">
        <is>
          <t>004543</t>
        </is>
      </c>
      <c r="C28" s="3" t="inlineStr">
        <is>
          <t>003588</t>
        </is>
      </c>
      <c r="D28" s="4" t="n">
        <v>44939</v>
      </c>
      <c r="E28" s="2" t="inlineStr">
        <is>
          <t>15:42</t>
        </is>
      </c>
      <c r="F28" s="5" t="n">
        <v>181.67</v>
      </c>
      <c r="G28" s="5" t="n"/>
      <c r="H28" s="5" t="n"/>
      <c r="I28" s="5" t="n"/>
      <c r="J28" s="5" t="n">
        <v>36.33</v>
      </c>
      <c r="K28" s="5" t="n"/>
      <c r="L28" s="5" t="n"/>
      <c r="M28" s="5" t="n"/>
      <c r="N28" s="5" t="n"/>
      <c r="O28" s="5" t="n">
        <v>218</v>
      </c>
      <c r="P28" s="5" t="n"/>
      <c r="Q28" s="5" t="n">
        <v>218</v>
      </c>
      <c r="R28" s="5" t="n"/>
    </row>
    <row r="29">
      <c r="A29" s="2" t="inlineStr">
        <is>
          <t>EJ310123.TXT</t>
        </is>
      </c>
      <c r="B29" s="3" t="inlineStr">
        <is>
          <t>004544</t>
        </is>
      </c>
      <c r="C29" s="3" t="inlineStr">
        <is>
          <t>003589</t>
        </is>
      </c>
      <c r="D29" s="4" t="n">
        <v>44939</v>
      </c>
      <c r="E29" s="2" t="inlineStr">
        <is>
          <t>15:43</t>
        </is>
      </c>
      <c r="F29" s="5" t="n">
        <v>144.17</v>
      </c>
      <c r="G29" s="5" t="n"/>
      <c r="H29" s="5" t="n"/>
      <c r="I29" s="5" t="n"/>
      <c r="J29" s="5" t="n">
        <v>28.83</v>
      </c>
      <c r="K29" s="5" t="n"/>
      <c r="L29" s="5" t="n"/>
      <c r="M29" s="5" t="n"/>
      <c r="N29" s="5" t="n"/>
      <c r="O29" s="5" t="n">
        <v>173</v>
      </c>
      <c r="P29" s="5" t="n"/>
      <c r="Q29" s="5" t="n">
        <v>173</v>
      </c>
      <c r="R29" s="5" t="n"/>
    </row>
    <row r="30">
      <c r="A30" s="2" t="inlineStr">
        <is>
          <t>EJ310123.TXT</t>
        </is>
      </c>
      <c r="B30" s="3" t="inlineStr">
        <is>
          <t>004545</t>
        </is>
      </c>
      <c r="C30" s="3" t="inlineStr">
        <is>
          <t>003590</t>
        </is>
      </c>
      <c r="D30" s="4" t="n">
        <v>44939</v>
      </c>
      <c r="E30" s="2" t="inlineStr">
        <is>
          <t>16:03</t>
        </is>
      </c>
      <c r="F30" s="5" t="n">
        <v>249.17</v>
      </c>
      <c r="G30" s="5" t="n"/>
      <c r="H30" s="5" t="n"/>
      <c r="I30" s="5" t="n"/>
      <c r="J30" s="5" t="n">
        <v>49.83</v>
      </c>
      <c r="K30" s="5" t="n"/>
      <c r="L30" s="5" t="n"/>
      <c r="M30" s="5" t="n"/>
      <c r="N30" s="5" t="n"/>
      <c r="O30" s="5" t="n">
        <v>299</v>
      </c>
      <c r="P30" s="5" t="n"/>
      <c r="Q30" s="5" t="n">
        <v>299</v>
      </c>
      <c r="R30" s="5" t="n"/>
    </row>
    <row r="31">
      <c r="A31" s="2" t="inlineStr">
        <is>
          <t>EJ310123.TXT</t>
        </is>
      </c>
      <c r="B31" s="3" t="inlineStr">
        <is>
          <t>004546</t>
        </is>
      </c>
      <c r="C31" s="3" t="inlineStr">
        <is>
          <t>003591</t>
        </is>
      </c>
      <c r="D31" s="4" t="n">
        <v>44939</v>
      </c>
      <c r="E31" s="2" t="inlineStr">
        <is>
          <t>16:04</t>
        </is>
      </c>
      <c r="F31" s="5" t="n">
        <v>208.33</v>
      </c>
      <c r="G31" s="5" t="n"/>
      <c r="H31" s="5" t="n"/>
      <c r="I31" s="5" t="n"/>
      <c r="J31" s="5" t="n">
        <v>41.67</v>
      </c>
      <c r="K31" s="5" t="n"/>
      <c r="L31" s="5" t="n"/>
      <c r="M31" s="5" t="n"/>
      <c r="N31" s="5" t="n"/>
      <c r="O31" s="5" t="n">
        <v>250</v>
      </c>
      <c r="P31" s="5" t="n"/>
      <c r="Q31" s="5" t="n">
        <v>250</v>
      </c>
      <c r="R31" s="5" t="n"/>
    </row>
    <row r="32">
      <c r="A32" s="2" t="inlineStr">
        <is>
          <t>EJ310123.TXT</t>
        </is>
      </c>
      <c r="B32" s="3" t="inlineStr">
        <is>
          <t>004547</t>
        </is>
      </c>
      <c r="C32" s="3" t="inlineStr">
        <is>
          <t>003592</t>
        </is>
      </c>
      <c r="D32" s="4" t="n">
        <v>44940</v>
      </c>
      <c r="E32" s="2" t="inlineStr">
        <is>
          <t>15:12</t>
        </is>
      </c>
      <c r="F32" s="5" t="n">
        <v>747.5</v>
      </c>
      <c r="G32" s="5" t="n"/>
      <c r="H32" s="5" t="n"/>
      <c r="I32" s="5" t="n"/>
      <c r="J32" s="5" t="n">
        <v>149.5</v>
      </c>
      <c r="K32" s="5" t="n"/>
      <c r="L32" s="5" t="n"/>
      <c r="M32" s="5" t="n"/>
      <c r="N32" s="5" t="n"/>
      <c r="O32" s="5" t="n">
        <v>897</v>
      </c>
      <c r="P32" s="5" t="n"/>
      <c r="Q32" s="5" t="n">
        <v>897</v>
      </c>
      <c r="R32" s="5" t="n"/>
    </row>
    <row r="33">
      <c r="A33" s="2" t="inlineStr">
        <is>
          <t>EJ310123.TXT</t>
        </is>
      </c>
      <c r="B33" s="3" t="inlineStr">
        <is>
          <t>004548</t>
        </is>
      </c>
      <c r="C33" s="3" t="inlineStr">
        <is>
          <t>003593</t>
        </is>
      </c>
      <c r="D33" s="4" t="n">
        <v>44942</v>
      </c>
      <c r="E33" s="2" t="inlineStr">
        <is>
          <t>11:27</t>
        </is>
      </c>
      <c r="F33" s="5" t="n">
        <v>747.5</v>
      </c>
      <c r="G33" s="5" t="n"/>
      <c r="H33" s="5" t="n"/>
      <c r="I33" s="5" t="n"/>
      <c r="J33" s="5" t="n">
        <v>149.5</v>
      </c>
      <c r="K33" s="5" t="n"/>
      <c r="L33" s="5" t="n"/>
      <c r="M33" s="5" t="n"/>
      <c r="N33" s="5" t="n"/>
      <c r="O33" s="5" t="n">
        <v>897</v>
      </c>
      <c r="P33" s="5" t="n"/>
      <c r="Q33" s="5" t="n">
        <v>897</v>
      </c>
      <c r="R33" s="5" t="n"/>
    </row>
    <row r="34">
      <c r="A34" s="2" t="inlineStr">
        <is>
          <t>EJ310123.TXT</t>
        </is>
      </c>
      <c r="B34" s="3" t="inlineStr">
        <is>
          <t>004549</t>
        </is>
      </c>
      <c r="C34" s="3" t="inlineStr">
        <is>
          <t>003594</t>
        </is>
      </c>
      <c r="D34" s="4" t="n">
        <v>44942</v>
      </c>
      <c r="E34" s="2" t="inlineStr">
        <is>
          <t>11:27</t>
        </is>
      </c>
      <c r="F34" s="5" t="n">
        <v>747.5</v>
      </c>
      <c r="G34" s="5" t="n"/>
      <c r="H34" s="5" t="n"/>
      <c r="I34" s="5" t="n"/>
      <c r="J34" s="5" t="n">
        <v>149.5</v>
      </c>
      <c r="K34" s="5" t="n"/>
      <c r="L34" s="5" t="n"/>
      <c r="M34" s="5" t="n"/>
      <c r="N34" s="5" t="n"/>
      <c r="O34" s="5" t="n">
        <v>897</v>
      </c>
      <c r="P34" s="5" t="n"/>
      <c r="Q34" s="5" t="n">
        <v>897</v>
      </c>
      <c r="R34" s="5" t="n"/>
    </row>
    <row r="35">
      <c r="A35" s="2" t="inlineStr">
        <is>
          <t>EJ310123.TXT</t>
        </is>
      </c>
      <c r="B35" s="3" t="inlineStr">
        <is>
          <t>004550</t>
        </is>
      </c>
      <c r="C35" s="3" t="inlineStr">
        <is>
          <t>003595</t>
        </is>
      </c>
      <c r="D35" s="4" t="n">
        <v>44942</v>
      </c>
      <c r="E35" s="2" t="inlineStr">
        <is>
          <t>11:28</t>
        </is>
      </c>
      <c r="F35" s="5" t="n">
        <v>747.5</v>
      </c>
      <c r="G35" s="5" t="n"/>
      <c r="H35" s="5" t="n"/>
      <c r="I35" s="5" t="n"/>
      <c r="J35" s="5" t="n">
        <v>149.5</v>
      </c>
      <c r="K35" s="5" t="n"/>
      <c r="L35" s="5" t="n"/>
      <c r="M35" s="5" t="n"/>
      <c r="N35" s="5" t="n"/>
      <c r="O35" s="5" t="n">
        <v>897</v>
      </c>
      <c r="P35" s="5" t="n"/>
      <c r="Q35" s="5" t="n">
        <v>897</v>
      </c>
      <c r="R35" s="5" t="n"/>
    </row>
    <row r="36">
      <c r="A36" s="2" t="inlineStr">
        <is>
          <t>EJ310123.TXT</t>
        </is>
      </c>
      <c r="B36" s="3" t="inlineStr">
        <is>
          <t>004551</t>
        </is>
      </c>
      <c r="C36" s="3" t="inlineStr">
        <is>
          <t>003596</t>
        </is>
      </c>
      <c r="D36" s="4" t="n">
        <v>44942</v>
      </c>
      <c r="E36" s="2" t="inlineStr">
        <is>
          <t>11:28</t>
        </is>
      </c>
      <c r="F36" s="5" t="n">
        <v>747.5</v>
      </c>
      <c r="G36" s="5" t="n"/>
      <c r="H36" s="5" t="n"/>
      <c r="I36" s="5" t="n"/>
      <c r="J36" s="5" t="n">
        <v>149.5</v>
      </c>
      <c r="K36" s="5" t="n"/>
      <c r="L36" s="5" t="n"/>
      <c r="M36" s="5" t="n"/>
      <c r="N36" s="5" t="n"/>
      <c r="O36" s="5" t="n">
        <v>897</v>
      </c>
      <c r="P36" s="5" t="n"/>
      <c r="Q36" s="5" t="n">
        <v>897</v>
      </c>
      <c r="R36" s="5" t="n"/>
    </row>
    <row r="37">
      <c r="A37" s="2" t="inlineStr">
        <is>
          <t>EJ310123.TXT</t>
        </is>
      </c>
      <c r="B37" s="3" t="inlineStr">
        <is>
          <t>004552</t>
        </is>
      </c>
      <c r="C37" s="3" t="inlineStr">
        <is>
          <t>003597</t>
        </is>
      </c>
      <c r="D37" s="4" t="n">
        <v>44942</v>
      </c>
      <c r="E37" s="2" t="inlineStr">
        <is>
          <t>11:42</t>
        </is>
      </c>
      <c r="F37" s="5" t="n">
        <v>581.67</v>
      </c>
      <c r="G37" s="5" t="n"/>
      <c r="H37" s="5" t="n"/>
      <c r="I37" s="5" t="n"/>
      <c r="J37" s="5" t="n">
        <v>116.33</v>
      </c>
      <c r="K37" s="5" t="n"/>
      <c r="L37" s="5" t="n"/>
      <c r="M37" s="5" t="n"/>
      <c r="N37" s="5" t="n"/>
      <c r="O37" s="5" t="n">
        <v>698</v>
      </c>
      <c r="P37" s="5" t="n"/>
      <c r="Q37" s="5" t="n">
        <v>698</v>
      </c>
      <c r="R37" s="5" t="n"/>
    </row>
    <row r="38">
      <c r="A38" s="2" t="inlineStr">
        <is>
          <t>EJ310123.TXT</t>
        </is>
      </c>
      <c r="B38" s="3" t="inlineStr">
        <is>
          <t>004553</t>
        </is>
      </c>
      <c r="C38" s="3" t="inlineStr">
        <is>
          <t>003598</t>
        </is>
      </c>
      <c r="D38" s="4" t="n">
        <v>44942</v>
      </c>
      <c r="E38" s="2" t="inlineStr">
        <is>
          <t>11:44</t>
        </is>
      </c>
      <c r="F38" s="5" t="n">
        <v>581.67</v>
      </c>
      <c r="G38" s="5" t="n"/>
      <c r="H38" s="5" t="n"/>
      <c r="I38" s="5" t="n"/>
      <c r="J38" s="5" t="n">
        <v>116.33</v>
      </c>
      <c r="K38" s="5" t="n"/>
      <c r="L38" s="5" t="n"/>
      <c r="M38" s="5" t="n"/>
      <c r="N38" s="5" t="n"/>
      <c r="O38" s="5" t="n">
        <v>698</v>
      </c>
      <c r="P38" s="5" t="n"/>
      <c r="Q38" s="5" t="n">
        <v>698</v>
      </c>
      <c r="R38" s="5" t="n"/>
    </row>
    <row r="39">
      <c r="A39" s="2" t="inlineStr">
        <is>
          <t>EJ310123.TXT</t>
        </is>
      </c>
      <c r="B39" s="3" t="inlineStr">
        <is>
          <t>004554</t>
        </is>
      </c>
      <c r="C39" s="3" t="inlineStr">
        <is>
          <t>003599</t>
        </is>
      </c>
      <c r="D39" s="4" t="n">
        <v>44942</v>
      </c>
      <c r="E39" s="2" t="inlineStr">
        <is>
          <t>11:45</t>
        </is>
      </c>
      <c r="F39" s="5" t="n">
        <v>581.67</v>
      </c>
      <c r="G39" s="5" t="n"/>
      <c r="H39" s="5" t="n"/>
      <c r="I39" s="5" t="n"/>
      <c r="J39" s="5" t="n">
        <v>116.33</v>
      </c>
      <c r="K39" s="5" t="n"/>
      <c r="L39" s="5" t="n"/>
      <c r="M39" s="5" t="n"/>
      <c r="N39" s="5" t="n"/>
      <c r="O39" s="5" t="n">
        <v>698</v>
      </c>
      <c r="P39" s="5" t="n"/>
      <c r="Q39" s="5" t="n">
        <v>698</v>
      </c>
      <c r="R39" s="5" t="n"/>
    </row>
    <row r="40">
      <c r="A40" s="2" t="inlineStr">
        <is>
          <t>EJ310123.TXT</t>
        </is>
      </c>
      <c r="B40" s="3" t="inlineStr">
        <is>
          <t>004555</t>
        </is>
      </c>
      <c r="C40" s="3" t="inlineStr">
        <is>
          <t>003600</t>
        </is>
      </c>
      <c r="D40" s="4" t="n">
        <v>44942</v>
      </c>
      <c r="E40" s="2" t="inlineStr">
        <is>
          <t>12:07</t>
        </is>
      </c>
      <c r="F40" s="5" t="n">
        <v>350</v>
      </c>
      <c r="G40" s="5" t="n"/>
      <c r="H40" s="5" t="n"/>
      <c r="I40" s="5" t="n"/>
      <c r="J40" s="5" t="n">
        <v>70</v>
      </c>
      <c r="K40" s="5" t="n"/>
      <c r="L40" s="5" t="n"/>
      <c r="M40" s="5" t="n"/>
      <c r="N40" s="5" t="n"/>
      <c r="O40" s="5" t="n">
        <v>420</v>
      </c>
      <c r="P40" s="5" t="n">
        <v>420</v>
      </c>
      <c r="Q40" s="5" t="n"/>
      <c r="R40" s="5" t="n"/>
    </row>
    <row r="41">
      <c r="A41" s="2" t="inlineStr">
        <is>
          <t>EJ310123.TXT</t>
        </is>
      </c>
      <c r="B41" s="3" t="inlineStr">
        <is>
          <t>004556</t>
        </is>
      </c>
      <c r="C41" s="3" t="inlineStr">
        <is>
          <t>003601</t>
        </is>
      </c>
      <c r="D41" s="4" t="n">
        <v>44942</v>
      </c>
      <c r="E41" s="2" t="inlineStr">
        <is>
          <t>16:10</t>
        </is>
      </c>
      <c r="F41" s="5" t="n">
        <v>288.33</v>
      </c>
      <c r="G41" s="5" t="n"/>
      <c r="H41" s="5" t="n"/>
      <c r="I41" s="5" t="n"/>
      <c r="J41" s="5" t="n">
        <v>57.67</v>
      </c>
      <c r="K41" s="5" t="n"/>
      <c r="L41" s="5" t="n"/>
      <c r="M41" s="5" t="n"/>
      <c r="N41" s="5" t="n"/>
      <c r="O41" s="5" t="n">
        <v>346</v>
      </c>
      <c r="P41" s="5" t="n"/>
      <c r="Q41" s="5" t="n">
        <v>346</v>
      </c>
      <c r="R41" s="5" t="n"/>
    </row>
    <row r="42">
      <c r="A42" s="2" t="inlineStr">
        <is>
          <t>EJ310123.TXT</t>
        </is>
      </c>
      <c r="B42" s="3" t="inlineStr">
        <is>
          <t>004557</t>
        </is>
      </c>
      <c r="C42" s="3" t="inlineStr">
        <is>
          <t>003602</t>
        </is>
      </c>
      <c r="D42" s="4" t="n">
        <v>44942</v>
      </c>
      <c r="E42" s="2" t="inlineStr">
        <is>
          <t>18:23</t>
        </is>
      </c>
      <c r="F42" s="5" t="n">
        <v>299.17</v>
      </c>
      <c r="G42" s="5" t="n"/>
      <c r="H42" s="5" t="n"/>
      <c r="I42" s="5" t="n"/>
      <c r="J42" s="5" t="n">
        <v>59.83</v>
      </c>
      <c r="K42" s="5" t="n"/>
      <c r="L42" s="5" t="n"/>
      <c r="M42" s="5" t="n"/>
      <c r="N42" s="5" t="n"/>
      <c r="O42" s="5" t="n">
        <v>359</v>
      </c>
      <c r="P42" s="5" t="n"/>
      <c r="Q42" s="5" t="n">
        <v>359</v>
      </c>
      <c r="R42" s="5" t="n"/>
    </row>
    <row r="43">
      <c r="A43" s="2" t="inlineStr">
        <is>
          <t>EJ310123.TXT</t>
        </is>
      </c>
      <c r="B43" s="3" t="inlineStr">
        <is>
          <t>004558</t>
        </is>
      </c>
      <c r="C43" s="3" t="inlineStr">
        <is>
          <t>003603</t>
        </is>
      </c>
      <c r="D43" s="4" t="n">
        <v>44942</v>
      </c>
      <c r="E43" s="2" t="inlineStr">
        <is>
          <t>18:25</t>
        </is>
      </c>
      <c r="F43" s="5" t="n">
        <v>299.17</v>
      </c>
      <c r="G43" s="5" t="n"/>
      <c r="H43" s="5" t="n"/>
      <c r="I43" s="5" t="n"/>
      <c r="J43" s="5" t="n">
        <v>59.83</v>
      </c>
      <c r="K43" s="5" t="n"/>
      <c r="L43" s="5" t="n"/>
      <c r="M43" s="5" t="n"/>
      <c r="N43" s="5" t="n"/>
      <c r="O43" s="5" t="n">
        <v>359</v>
      </c>
      <c r="P43" s="5" t="n">
        <v>359</v>
      </c>
      <c r="Q43" s="5" t="n"/>
      <c r="R43" s="5" t="n"/>
    </row>
    <row r="44">
      <c r="A44" s="2" t="inlineStr">
        <is>
          <t>EJ310123.TXT</t>
        </is>
      </c>
      <c r="B44" s="3" t="inlineStr">
        <is>
          <t>004559</t>
        </is>
      </c>
      <c r="C44" s="3" t="inlineStr">
        <is>
          <t>003604</t>
        </is>
      </c>
      <c r="D44" s="4" t="n">
        <v>44943</v>
      </c>
      <c r="E44" s="2" t="inlineStr">
        <is>
          <t>12:25</t>
        </is>
      </c>
      <c r="F44" s="5" t="n">
        <v>581.67</v>
      </c>
      <c r="G44" s="5" t="n"/>
      <c r="H44" s="5" t="n"/>
      <c r="I44" s="5" t="n"/>
      <c r="J44" s="5" t="n">
        <v>116.33</v>
      </c>
      <c r="K44" s="5" t="n"/>
      <c r="L44" s="5" t="n"/>
      <c r="M44" s="5" t="n"/>
      <c r="N44" s="5" t="n"/>
      <c r="O44" s="5" t="n">
        <v>698</v>
      </c>
      <c r="P44" s="5" t="n"/>
      <c r="Q44" s="5" t="n">
        <v>698</v>
      </c>
      <c r="R44" s="5" t="n"/>
    </row>
    <row r="45">
      <c r="A45" s="2" t="inlineStr">
        <is>
          <t>EJ310123.TXT</t>
        </is>
      </c>
      <c r="B45" s="3" t="inlineStr">
        <is>
          <t>004560</t>
        </is>
      </c>
      <c r="C45" s="3" t="inlineStr">
        <is>
          <t>003605</t>
        </is>
      </c>
      <c r="D45" s="4" t="n">
        <v>44943</v>
      </c>
      <c r="E45" s="2" t="inlineStr">
        <is>
          <t>12:25</t>
        </is>
      </c>
      <c r="F45" s="5" t="n">
        <v>581.67</v>
      </c>
      <c r="G45" s="5" t="n"/>
      <c r="H45" s="5" t="n"/>
      <c r="I45" s="5" t="n"/>
      <c r="J45" s="5" t="n">
        <v>116.33</v>
      </c>
      <c r="K45" s="5" t="n"/>
      <c r="L45" s="5" t="n"/>
      <c r="M45" s="5" t="n"/>
      <c r="N45" s="5" t="n"/>
      <c r="O45" s="5" t="n">
        <v>698</v>
      </c>
      <c r="P45" s="5" t="n"/>
      <c r="Q45" s="5" t="n">
        <v>698</v>
      </c>
      <c r="R45" s="5" t="n"/>
    </row>
    <row r="46">
      <c r="A46" s="2" t="inlineStr">
        <is>
          <t>EJ310123.TXT</t>
        </is>
      </c>
      <c r="B46" s="3" t="inlineStr">
        <is>
          <t>004561</t>
        </is>
      </c>
      <c r="C46" s="3" t="inlineStr">
        <is>
          <t>003606</t>
        </is>
      </c>
      <c r="D46" s="4" t="n">
        <v>44943</v>
      </c>
      <c r="E46" s="2" t="inlineStr">
        <is>
          <t>12:25</t>
        </is>
      </c>
      <c r="F46" s="5" t="n">
        <v>581.67</v>
      </c>
      <c r="G46" s="5" t="n"/>
      <c r="H46" s="5" t="n"/>
      <c r="I46" s="5" t="n"/>
      <c r="J46" s="5" t="n">
        <v>116.33</v>
      </c>
      <c r="K46" s="5" t="n"/>
      <c r="L46" s="5" t="n"/>
      <c r="M46" s="5" t="n"/>
      <c r="N46" s="5" t="n"/>
      <c r="O46" s="5" t="n">
        <v>698</v>
      </c>
      <c r="P46" s="5" t="n"/>
      <c r="Q46" s="5" t="n">
        <v>698</v>
      </c>
      <c r="R46" s="5" t="n"/>
    </row>
    <row r="47">
      <c r="A47" s="2" t="inlineStr">
        <is>
          <t>EJ310123.TXT</t>
        </is>
      </c>
      <c r="B47" s="3" t="inlineStr">
        <is>
          <t>004562</t>
        </is>
      </c>
      <c r="C47" s="3" t="inlineStr">
        <is>
          <t>003607</t>
        </is>
      </c>
      <c r="D47" s="4" t="n">
        <v>44943</v>
      </c>
      <c r="E47" s="2" t="inlineStr">
        <is>
          <t>15:31</t>
        </is>
      </c>
      <c r="F47" s="5" t="n">
        <v>37.5</v>
      </c>
      <c r="G47" s="5" t="n"/>
      <c r="H47" s="5" t="n"/>
      <c r="I47" s="5" t="n"/>
      <c r="J47" s="5" t="n">
        <v>7.5</v>
      </c>
      <c r="K47" s="5" t="n"/>
      <c r="L47" s="5" t="n"/>
      <c r="M47" s="5" t="n"/>
      <c r="N47" s="5" t="n"/>
      <c r="O47" s="5" t="n">
        <v>45</v>
      </c>
      <c r="P47" s="5" t="n"/>
      <c r="Q47" s="5" t="n">
        <v>45</v>
      </c>
      <c r="R47" s="5" t="n"/>
    </row>
    <row r="48">
      <c r="A48" s="2" t="inlineStr">
        <is>
          <t>EJ310123.TXT</t>
        </is>
      </c>
      <c r="B48" s="3" t="inlineStr">
        <is>
          <t>004563</t>
        </is>
      </c>
      <c r="C48" s="3" t="inlineStr">
        <is>
          <t>003608</t>
        </is>
      </c>
      <c r="D48" s="4" t="n">
        <v>44944</v>
      </c>
      <c r="E48" s="2" t="inlineStr">
        <is>
          <t>11:13</t>
        </is>
      </c>
      <c r="F48" s="5" t="n">
        <v>166.67</v>
      </c>
      <c r="G48" s="5" t="n"/>
      <c r="H48" s="5" t="n"/>
      <c r="I48" s="5" t="n"/>
      <c r="J48" s="5" t="n">
        <v>33.33</v>
      </c>
      <c r="K48" s="5" t="n"/>
      <c r="L48" s="5" t="n"/>
      <c r="M48" s="5" t="n"/>
      <c r="N48" s="5" t="n"/>
      <c r="O48" s="5" t="n">
        <v>200</v>
      </c>
      <c r="P48" s="5" t="n"/>
      <c r="Q48" s="5" t="n">
        <v>200</v>
      </c>
      <c r="R48" s="5" t="n"/>
    </row>
    <row r="49">
      <c r="A49" s="2" t="inlineStr">
        <is>
          <t>EJ310123.TXT</t>
        </is>
      </c>
      <c r="B49" s="3" t="inlineStr">
        <is>
          <t>004564</t>
        </is>
      </c>
      <c r="C49" s="3" t="inlineStr">
        <is>
          <t>003609</t>
        </is>
      </c>
      <c r="D49" s="4" t="n">
        <v>44944</v>
      </c>
      <c r="E49" s="2" t="inlineStr">
        <is>
          <t>12:09</t>
        </is>
      </c>
      <c r="F49" s="5" t="n">
        <v>581.67</v>
      </c>
      <c r="G49" s="5" t="n"/>
      <c r="H49" s="5" t="n"/>
      <c r="I49" s="5" t="n"/>
      <c r="J49" s="5" t="n">
        <v>116.33</v>
      </c>
      <c r="K49" s="5" t="n"/>
      <c r="L49" s="5" t="n"/>
      <c r="M49" s="5" t="n"/>
      <c r="N49" s="5" t="n"/>
      <c r="O49" s="5" t="n">
        <v>698</v>
      </c>
      <c r="P49" s="5" t="n"/>
      <c r="Q49" s="5" t="n">
        <v>698</v>
      </c>
      <c r="R49" s="5" t="n"/>
    </row>
    <row r="50">
      <c r="A50" s="2" t="inlineStr">
        <is>
          <t>EJ310123.TXT</t>
        </is>
      </c>
      <c r="B50" s="3" t="inlineStr">
        <is>
          <t>004565</t>
        </is>
      </c>
      <c r="C50" s="3" t="inlineStr">
        <is>
          <t>003610</t>
        </is>
      </c>
      <c r="D50" s="4" t="n">
        <v>44944</v>
      </c>
      <c r="E50" s="2" t="inlineStr">
        <is>
          <t>12:10</t>
        </is>
      </c>
      <c r="F50" s="5" t="n">
        <v>299.17</v>
      </c>
      <c r="G50" s="5" t="n"/>
      <c r="H50" s="5" t="n"/>
      <c r="I50" s="5" t="n"/>
      <c r="J50" s="5" t="n">
        <v>59.83</v>
      </c>
      <c r="K50" s="5" t="n"/>
      <c r="L50" s="5" t="n"/>
      <c r="M50" s="5" t="n"/>
      <c r="N50" s="5" t="n"/>
      <c r="O50" s="5" t="n">
        <v>359</v>
      </c>
      <c r="P50" s="5" t="n"/>
      <c r="Q50" s="5" t="n">
        <v>359</v>
      </c>
      <c r="R50" s="5" t="n"/>
    </row>
    <row r="51">
      <c r="A51" s="2" t="inlineStr">
        <is>
          <t>EJ310123.TXT</t>
        </is>
      </c>
      <c r="B51" s="3" t="inlineStr">
        <is>
          <t>004566</t>
        </is>
      </c>
      <c r="C51" s="3" t="inlineStr">
        <is>
          <t>003611</t>
        </is>
      </c>
      <c r="D51" s="4" t="n">
        <v>44944</v>
      </c>
      <c r="E51" s="2" t="inlineStr">
        <is>
          <t>15:26</t>
        </is>
      </c>
      <c r="F51" s="5" t="n">
        <v>598.33</v>
      </c>
      <c r="G51" s="5" t="n"/>
      <c r="H51" s="5" t="n"/>
      <c r="I51" s="5" t="n"/>
      <c r="J51" s="5" t="n">
        <v>119.67</v>
      </c>
      <c r="K51" s="5" t="n"/>
      <c r="L51" s="5" t="n"/>
      <c r="M51" s="5" t="n"/>
      <c r="N51" s="5" t="n"/>
      <c r="O51" s="5" t="n">
        <v>718</v>
      </c>
      <c r="P51" s="5" t="n"/>
      <c r="Q51" s="5" t="n">
        <v>718</v>
      </c>
      <c r="R51" s="5" t="n"/>
    </row>
    <row r="52">
      <c r="A52" s="2" t="inlineStr">
        <is>
          <t>EJ310123.TXT</t>
        </is>
      </c>
      <c r="B52" s="3" t="inlineStr">
        <is>
          <t>004567</t>
        </is>
      </c>
      <c r="C52" s="3" t="inlineStr">
        <is>
          <t>003612</t>
        </is>
      </c>
      <c r="D52" s="4" t="n">
        <v>44944</v>
      </c>
      <c r="E52" s="2" t="inlineStr">
        <is>
          <t>15:26</t>
        </is>
      </c>
      <c r="F52" s="5" t="n">
        <v>598.33</v>
      </c>
      <c r="G52" s="5" t="n"/>
      <c r="H52" s="5" t="n"/>
      <c r="I52" s="5" t="n"/>
      <c r="J52" s="5" t="n">
        <v>119.67</v>
      </c>
      <c r="K52" s="5" t="n"/>
      <c r="L52" s="5" t="n"/>
      <c r="M52" s="5" t="n"/>
      <c r="N52" s="5" t="n"/>
      <c r="O52" s="5" t="n">
        <v>718</v>
      </c>
      <c r="P52" s="5" t="n"/>
      <c r="Q52" s="5" t="n">
        <v>718</v>
      </c>
      <c r="R52" s="5" t="n"/>
    </row>
    <row r="53">
      <c r="A53" s="2" t="inlineStr">
        <is>
          <t>EJ310123.TXT</t>
        </is>
      </c>
      <c r="B53" s="3" t="inlineStr">
        <is>
          <t>004568</t>
        </is>
      </c>
      <c r="C53" s="3" t="inlineStr">
        <is>
          <t>003613</t>
        </is>
      </c>
      <c r="D53" s="4" t="n">
        <v>44944</v>
      </c>
      <c r="E53" s="2" t="inlineStr">
        <is>
          <t>15:27</t>
        </is>
      </c>
      <c r="F53" s="5" t="n">
        <v>290.83</v>
      </c>
      <c r="G53" s="5" t="n"/>
      <c r="H53" s="5" t="n"/>
      <c r="I53" s="5" t="n"/>
      <c r="J53" s="5" t="n">
        <v>58.17</v>
      </c>
      <c r="K53" s="5" t="n"/>
      <c r="L53" s="5" t="n"/>
      <c r="M53" s="5" t="n"/>
      <c r="N53" s="5" t="n"/>
      <c r="O53" s="5" t="n">
        <v>349</v>
      </c>
      <c r="P53" s="5" t="n"/>
      <c r="Q53" s="5" t="n">
        <v>349</v>
      </c>
      <c r="R53" s="5" t="n"/>
    </row>
    <row r="54">
      <c r="A54" s="2" t="inlineStr">
        <is>
          <t>EJ310123.TXT</t>
        </is>
      </c>
      <c r="B54" s="3" t="inlineStr">
        <is>
          <t>004569</t>
        </is>
      </c>
      <c r="C54" s="3" t="inlineStr">
        <is>
          <t>003614</t>
        </is>
      </c>
      <c r="D54" s="4" t="n">
        <v>44944</v>
      </c>
      <c r="E54" s="2" t="inlineStr">
        <is>
          <t>17:26</t>
        </is>
      </c>
      <c r="F54" s="5" t="n">
        <v>115.83</v>
      </c>
      <c r="G54" s="5" t="n"/>
      <c r="H54" s="5" t="n"/>
      <c r="I54" s="5" t="n"/>
      <c r="J54" s="5" t="n">
        <v>23.17</v>
      </c>
      <c r="K54" s="5" t="n"/>
      <c r="L54" s="5" t="n"/>
      <c r="M54" s="5" t="n"/>
      <c r="N54" s="5" t="n"/>
      <c r="O54" s="5" t="n">
        <v>139</v>
      </c>
      <c r="P54" s="5" t="n">
        <v>139</v>
      </c>
      <c r="Q54" s="5" t="n"/>
      <c r="R54" s="5" t="n"/>
    </row>
    <row r="55">
      <c r="A55" s="2" t="inlineStr">
        <is>
          <t>EJ310123.TXT</t>
        </is>
      </c>
      <c r="B55" s="3" t="inlineStr">
        <is>
          <t>004570</t>
        </is>
      </c>
      <c r="C55" s="3" t="inlineStr">
        <is>
          <t>003615</t>
        </is>
      </c>
      <c r="D55" s="4" t="n">
        <v>44944</v>
      </c>
      <c r="E55" s="2" t="inlineStr">
        <is>
          <t>18:12</t>
        </is>
      </c>
      <c r="F55" s="5" t="n">
        <v>598.33</v>
      </c>
      <c r="G55" s="5" t="n"/>
      <c r="H55" s="5" t="n"/>
      <c r="I55" s="5" t="n"/>
      <c r="J55" s="5" t="n">
        <v>119.67</v>
      </c>
      <c r="K55" s="5" t="n"/>
      <c r="L55" s="5" t="n"/>
      <c r="M55" s="5" t="n"/>
      <c r="N55" s="5" t="n"/>
      <c r="O55" s="5" t="n">
        <v>718</v>
      </c>
      <c r="P55" s="5" t="n"/>
      <c r="Q55" s="5" t="n">
        <v>718</v>
      </c>
      <c r="R55" s="5" t="n"/>
    </row>
    <row r="56">
      <c r="A56" s="2" t="inlineStr">
        <is>
          <t>EJ310123.TXT</t>
        </is>
      </c>
      <c r="B56" s="3" t="inlineStr">
        <is>
          <t>004571</t>
        </is>
      </c>
      <c r="C56" s="3" t="inlineStr">
        <is>
          <t>003616</t>
        </is>
      </c>
      <c r="D56" s="4" t="n">
        <v>44944</v>
      </c>
      <c r="E56" s="2" t="inlineStr">
        <is>
          <t>18:16</t>
        </is>
      </c>
      <c r="F56" s="5" t="n">
        <v>598.33</v>
      </c>
      <c r="G56" s="5" t="n"/>
      <c r="H56" s="5" t="n"/>
      <c r="I56" s="5" t="n"/>
      <c r="J56" s="5" t="n">
        <v>119.67</v>
      </c>
      <c r="K56" s="5" t="n"/>
      <c r="L56" s="5" t="n"/>
      <c r="M56" s="5" t="n"/>
      <c r="N56" s="5" t="n"/>
      <c r="O56" s="5" t="n">
        <v>718</v>
      </c>
      <c r="P56" s="5" t="n">
        <v>718</v>
      </c>
      <c r="Q56" s="5" t="n"/>
      <c r="R56" s="5" t="n"/>
    </row>
    <row r="57">
      <c r="A57" s="2" t="inlineStr">
        <is>
          <t>EJ310123.TXT</t>
        </is>
      </c>
      <c r="B57" s="3" t="inlineStr">
        <is>
          <t>004572</t>
        </is>
      </c>
      <c r="C57" s="3" t="inlineStr">
        <is>
          <t>003617</t>
        </is>
      </c>
      <c r="D57" s="4" t="n">
        <v>44944</v>
      </c>
      <c r="E57" s="2" t="inlineStr">
        <is>
          <t>18:18</t>
        </is>
      </c>
      <c r="F57" s="5" t="n">
        <v>175</v>
      </c>
      <c r="G57" s="5" t="n"/>
      <c r="H57" s="5" t="n"/>
      <c r="I57" s="5" t="n"/>
      <c r="J57" s="5" t="n">
        <v>35</v>
      </c>
      <c r="K57" s="5" t="n"/>
      <c r="L57" s="5" t="n"/>
      <c r="M57" s="5" t="n"/>
      <c r="N57" s="5" t="n"/>
      <c r="O57" s="5" t="n">
        <v>210</v>
      </c>
      <c r="P57" s="5" t="n"/>
      <c r="Q57" s="5" t="n">
        <v>210</v>
      </c>
      <c r="R57" s="5" t="n"/>
    </row>
    <row r="58">
      <c r="A58" s="2" t="inlineStr">
        <is>
          <t>EJ310123.TXT</t>
        </is>
      </c>
      <c r="B58" s="3" t="inlineStr">
        <is>
          <t>004573</t>
        </is>
      </c>
      <c r="C58" s="3" t="inlineStr">
        <is>
          <t>003618</t>
        </is>
      </c>
      <c r="D58" s="4" t="n">
        <v>44944</v>
      </c>
      <c r="E58" s="2" t="inlineStr">
        <is>
          <t>18:22</t>
        </is>
      </c>
      <c r="F58" s="5" t="n">
        <v>75</v>
      </c>
      <c r="G58" s="5" t="n"/>
      <c r="H58" s="5" t="n"/>
      <c r="I58" s="5" t="n"/>
      <c r="J58" s="5" t="n">
        <v>15</v>
      </c>
      <c r="K58" s="5" t="n"/>
      <c r="L58" s="5" t="n"/>
      <c r="M58" s="5" t="n"/>
      <c r="N58" s="5" t="n"/>
      <c r="O58" s="5" t="n">
        <v>90</v>
      </c>
      <c r="P58" s="5" t="n"/>
      <c r="Q58" s="5" t="n">
        <v>90</v>
      </c>
      <c r="R58" s="5" t="n"/>
    </row>
    <row r="59">
      <c r="A59" s="2" t="inlineStr">
        <is>
          <t>EJ310123.TXT</t>
        </is>
      </c>
      <c r="B59" s="3" t="inlineStr">
        <is>
          <t>004574</t>
        </is>
      </c>
      <c r="C59" s="3" t="inlineStr">
        <is>
          <t>003619</t>
        </is>
      </c>
      <c r="D59" s="4" t="n">
        <v>44945</v>
      </c>
      <c r="E59" s="2" t="inlineStr">
        <is>
          <t>15:50</t>
        </is>
      </c>
      <c r="F59" s="5" t="n">
        <v>299.17</v>
      </c>
      <c r="G59" s="5" t="n"/>
      <c r="H59" s="5" t="n"/>
      <c r="I59" s="5" t="n"/>
      <c r="J59" s="5" t="n">
        <v>59.83</v>
      </c>
      <c r="K59" s="5" t="n"/>
      <c r="L59" s="5" t="n"/>
      <c r="M59" s="5" t="n"/>
      <c r="N59" s="5" t="n"/>
      <c r="O59" s="5" t="n">
        <v>359</v>
      </c>
      <c r="P59" s="5" t="n"/>
      <c r="Q59" s="5" t="n">
        <v>359</v>
      </c>
      <c r="R59" s="5" t="n"/>
    </row>
    <row r="60">
      <c r="A60" s="2" t="inlineStr">
        <is>
          <t>EJ310123.TXT</t>
        </is>
      </c>
      <c r="B60" s="3" t="inlineStr">
        <is>
          <t>004575</t>
        </is>
      </c>
      <c r="C60" s="3" t="inlineStr">
        <is>
          <t>003620</t>
        </is>
      </c>
      <c r="D60" s="4" t="n">
        <v>44945</v>
      </c>
      <c r="E60" s="2" t="inlineStr">
        <is>
          <t>16:56</t>
        </is>
      </c>
      <c r="F60" s="5" t="n">
        <v>299.17</v>
      </c>
      <c r="G60" s="5" t="n"/>
      <c r="H60" s="5" t="n"/>
      <c r="I60" s="5" t="n"/>
      <c r="J60" s="5" t="n">
        <v>59.83</v>
      </c>
      <c r="K60" s="5" t="n"/>
      <c r="L60" s="5" t="n"/>
      <c r="M60" s="5" t="n"/>
      <c r="N60" s="5" t="n"/>
      <c r="O60" s="5" t="n">
        <v>359</v>
      </c>
      <c r="P60" s="5" t="n">
        <v>359</v>
      </c>
      <c r="Q60" s="5" t="n"/>
      <c r="R60" s="5" t="n"/>
    </row>
    <row r="61">
      <c r="A61" s="2" t="inlineStr">
        <is>
          <t>EJ310123.TXT</t>
        </is>
      </c>
      <c r="B61" s="3" t="inlineStr">
        <is>
          <t>004576</t>
        </is>
      </c>
      <c r="C61" s="3" t="inlineStr">
        <is>
          <t>003621</t>
        </is>
      </c>
      <c r="D61" s="4" t="n">
        <v>44945</v>
      </c>
      <c r="E61" s="2" t="inlineStr">
        <is>
          <t>18:15</t>
        </is>
      </c>
      <c r="F61" s="5" t="n">
        <v>582.5</v>
      </c>
      <c r="G61" s="5" t="n"/>
      <c r="H61" s="5" t="n"/>
      <c r="I61" s="5" t="n"/>
      <c r="J61" s="5" t="n">
        <v>116.5</v>
      </c>
      <c r="K61" s="5" t="n"/>
      <c r="L61" s="5" t="n"/>
      <c r="M61" s="5" t="n"/>
      <c r="N61" s="5" t="n"/>
      <c r="O61" s="5" t="n">
        <v>699</v>
      </c>
      <c r="P61" s="5" t="n"/>
      <c r="Q61" s="5" t="n">
        <v>699</v>
      </c>
      <c r="R61" s="5" t="n"/>
    </row>
    <row r="62">
      <c r="A62" s="2" t="inlineStr">
        <is>
          <t>EJ310123.TXT</t>
        </is>
      </c>
      <c r="B62" s="3" t="inlineStr">
        <is>
          <t>004577</t>
        </is>
      </c>
      <c r="C62" s="3" t="inlineStr">
        <is>
          <t>003622</t>
        </is>
      </c>
      <c r="D62" s="4" t="n">
        <v>44945</v>
      </c>
      <c r="E62" s="2" t="inlineStr">
        <is>
          <t>18:15</t>
        </is>
      </c>
      <c r="F62" s="5" t="n">
        <v>582.5</v>
      </c>
      <c r="G62" s="5" t="n"/>
      <c r="H62" s="5" t="n"/>
      <c r="I62" s="5" t="n"/>
      <c r="J62" s="5" t="n">
        <v>116.5</v>
      </c>
      <c r="K62" s="5" t="n"/>
      <c r="L62" s="5" t="n"/>
      <c r="M62" s="5" t="n"/>
      <c r="N62" s="5" t="n"/>
      <c r="O62" s="5" t="n">
        <v>699</v>
      </c>
      <c r="P62" s="5" t="n"/>
      <c r="Q62" s="5" t="n">
        <v>699</v>
      </c>
      <c r="R62" s="5" t="n"/>
    </row>
    <row r="63">
      <c r="A63" s="2" t="inlineStr">
        <is>
          <t>EJ310123.TXT</t>
        </is>
      </c>
      <c r="B63" s="3" t="inlineStr">
        <is>
          <t>004578</t>
        </is>
      </c>
      <c r="C63" s="3" t="inlineStr">
        <is>
          <t>003623</t>
        </is>
      </c>
      <c r="D63" s="4" t="n">
        <v>44946</v>
      </c>
      <c r="E63" s="2" t="inlineStr">
        <is>
          <t>11:51</t>
        </is>
      </c>
      <c r="F63" s="5" t="n">
        <v>249.17</v>
      </c>
      <c r="G63" s="5" t="n"/>
      <c r="H63" s="5" t="n"/>
      <c r="I63" s="5" t="n"/>
      <c r="J63" s="5" t="n">
        <v>49.83</v>
      </c>
      <c r="K63" s="5" t="n"/>
      <c r="L63" s="5" t="n"/>
      <c r="M63" s="5" t="n"/>
      <c r="N63" s="5" t="n"/>
      <c r="O63" s="5" t="n">
        <v>299</v>
      </c>
      <c r="P63" s="5" t="n"/>
      <c r="Q63" s="5" t="n">
        <v>299</v>
      </c>
      <c r="R63" s="5" t="n"/>
    </row>
    <row r="64">
      <c r="A64" s="2" t="inlineStr">
        <is>
          <t>EJ310123.TXT</t>
        </is>
      </c>
      <c r="B64" s="3" t="inlineStr">
        <is>
          <t>004579</t>
        </is>
      </c>
      <c r="C64" s="3" t="inlineStr">
        <is>
          <t>003624</t>
        </is>
      </c>
      <c r="D64" s="4" t="n">
        <v>44946</v>
      </c>
      <c r="E64" s="2" t="inlineStr">
        <is>
          <t>12:17</t>
        </is>
      </c>
      <c r="F64" s="5" t="n">
        <v>37.5</v>
      </c>
      <c r="G64" s="5" t="n"/>
      <c r="H64" s="5" t="n"/>
      <c r="I64" s="5" t="n"/>
      <c r="J64" s="5" t="n">
        <v>7.5</v>
      </c>
      <c r="K64" s="5" t="n"/>
      <c r="L64" s="5" t="n"/>
      <c r="M64" s="5" t="n"/>
      <c r="N64" s="5" t="n"/>
      <c r="O64" s="5" t="n">
        <v>45</v>
      </c>
      <c r="P64" s="5" t="n">
        <v>45</v>
      </c>
      <c r="Q64" s="5" t="n"/>
      <c r="R64" s="5" t="n"/>
    </row>
    <row r="65">
      <c r="A65" s="2" t="inlineStr">
        <is>
          <t>EJ310123.TXT</t>
        </is>
      </c>
      <c r="B65" s="3" t="inlineStr">
        <is>
          <t>004580</t>
        </is>
      </c>
      <c r="C65" s="3" t="inlineStr">
        <is>
          <t>003625</t>
        </is>
      </c>
      <c r="D65" s="4" t="n">
        <v>44946</v>
      </c>
      <c r="E65" s="2" t="inlineStr">
        <is>
          <t>12:32</t>
        </is>
      </c>
      <c r="F65" s="5" t="n">
        <v>725</v>
      </c>
      <c r="G65" s="5" t="n"/>
      <c r="H65" s="5" t="n"/>
      <c r="I65" s="5" t="n"/>
      <c r="J65" s="5" t="n">
        <v>145</v>
      </c>
      <c r="K65" s="5" t="n"/>
      <c r="L65" s="5" t="n"/>
      <c r="M65" s="5" t="n"/>
      <c r="N65" s="5" t="n"/>
      <c r="O65" s="5" t="n">
        <v>870</v>
      </c>
      <c r="P65" s="5" t="n"/>
      <c r="Q65" s="5" t="n">
        <v>870</v>
      </c>
      <c r="R65" s="5" t="n"/>
    </row>
    <row r="66">
      <c r="A66" s="2" t="inlineStr">
        <is>
          <t>EJ310123.TXT</t>
        </is>
      </c>
      <c r="B66" s="3" t="inlineStr">
        <is>
          <t>004581</t>
        </is>
      </c>
      <c r="C66" s="3" t="inlineStr">
        <is>
          <t>003626</t>
        </is>
      </c>
      <c r="D66" s="4" t="n">
        <v>44946</v>
      </c>
      <c r="E66" s="2" t="inlineStr">
        <is>
          <t>13:04</t>
        </is>
      </c>
      <c r="F66" s="5" t="n">
        <v>249.17</v>
      </c>
      <c r="G66" s="5" t="n"/>
      <c r="H66" s="5" t="n"/>
      <c r="I66" s="5" t="n"/>
      <c r="J66" s="5" t="n">
        <v>49.83</v>
      </c>
      <c r="K66" s="5" t="n"/>
      <c r="L66" s="5" t="n"/>
      <c r="M66" s="5" t="n"/>
      <c r="N66" s="5" t="n"/>
      <c r="O66" s="5" t="n">
        <v>299</v>
      </c>
      <c r="P66" s="5" t="n">
        <v>299</v>
      </c>
      <c r="Q66" s="5" t="n"/>
      <c r="R66" s="5" t="n"/>
    </row>
    <row r="67">
      <c r="A67" s="2" t="inlineStr">
        <is>
          <t>EJ310123.TXT</t>
        </is>
      </c>
      <c r="B67" s="3" t="inlineStr">
        <is>
          <t>004582</t>
        </is>
      </c>
      <c r="C67" s="3" t="inlineStr">
        <is>
          <t>003627</t>
        </is>
      </c>
      <c r="D67" s="4" t="n">
        <v>44946</v>
      </c>
      <c r="E67" s="2" t="inlineStr">
        <is>
          <t>14:32</t>
        </is>
      </c>
      <c r="F67" s="5" t="n">
        <v>166.67</v>
      </c>
      <c r="G67" s="5" t="n"/>
      <c r="H67" s="5" t="n"/>
      <c r="I67" s="5" t="n"/>
      <c r="J67" s="5" t="n">
        <v>33.33</v>
      </c>
      <c r="K67" s="5" t="n"/>
      <c r="L67" s="5" t="n"/>
      <c r="M67" s="5" t="n"/>
      <c r="N67" s="5" t="n"/>
      <c r="O67" s="5" t="n">
        <v>200</v>
      </c>
      <c r="P67" s="5" t="n"/>
      <c r="Q67" s="5" t="n">
        <v>200</v>
      </c>
      <c r="R67" s="5" t="n"/>
    </row>
    <row r="68">
      <c r="A68" s="2" t="inlineStr">
        <is>
          <t>EJ310123.TXT</t>
        </is>
      </c>
      <c r="B68" s="3" t="inlineStr">
        <is>
          <t>004583</t>
        </is>
      </c>
      <c r="C68" s="3" t="inlineStr">
        <is>
          <t>003628</t>
        </is>
      </c>
      <c r="D68" s="4" t="n">
        <v>44946</v>
      </c>
      <c r="E68" s="2" t="inlineStr">
        <is>
          <t>14:50</t>
        </is>
      </c>
      <c r="F68" s="5" t="n">
        <v>319.17</v>
      </c>
      <c r="G68" s="5" t="n"/>
      <c r="H68" s="5" t="n"/>
      <c r="I68" s="5" t="n"/>
      <c r="J68" s="5" t="n">
        <v>63.83</v>
      </c>
      <c r="K68" s="5" t="n"/>
      <c r="L68" s="5" t="n"/>
      <c r="M68" s="5" t="n"/>
      <c r="N68" s="5" t="n"/>
      <c r="O68" s="5" t="n">
        <v>383</v>
      </c>
      <c r="P68" s="5" t="n">
        <v>383</v>
      </c>
      <c r="Q68" s="5" t="n"/>
      <c r="R68" s="5" t="n"/>
    </row>
    <row r="69">
      <c r="A69" s="2" t="inlineStr">
        <is>
          <t>EJ310123.TXT</t>
        </is>
      </c>
      <c r="B69" s="3" t="inlineStr">
        <is>
          <t>004584</t>
        </is>
      </c>
      <c r="C69" s="3" t="inlineStr">
        <is>
          <t>003629</t>
        </is>
      </c>
      <c r="D69" s="4" t="n">
        <v>44946</v>
      </c>
      <c r="E69" s="2" t="inlineStr">
        <is>
          <t>15:10</t>
        </is>
      </c>
      <c r="F69" s="5" t="n">
        <v>175</v>
      </c>
      <c r="G69" s="5" t="n"/>
      <c r="H69" s="5" t="n"/>
      <c r="I69" s="5" t="n"/>
      <c r="J69" s="5" t="n">
        <v>35</v>
      </c>
      <c r="K69" s="5" t="n"/>
      <c r="L69" s="5" t="n"/>
      <c r="M69" s="5" t="n"/>
      <c r="N69" s="5" t="n"/>
      <c r="O69" s="5" t="n">
        <v>210</v>
      </c>
      <c r="P69" s="5" t="n">
        <v>210</v>
      </c>
      <c r="Q69" s="5" t="n"/>
      <c r="R69" s="5" t="n"/>
    </row>
    <row r="70">
      <c r="A70" s="2" t="inlineStr">
        <is>
          <t>EJ310123.TXT</t>
        </is>
      </c>
      <c r="B70" s="3" t="inlineStr">
        <is>
          <t>004585</t>
        </is>
      </c>
      <c r="C70" s="3" t="inlineStr">
        <is>
          <t>003630</t>
        </is>
      </c>
      <c r="D70" s="4" t="n">
        <v>44946</v>
      </c>
      <c r="E70" s="2" t="inlineStr">
        <is>
          <t>15:46</t>
        </is>
      </c>
      <c r="F70" s="5" t="n">
        <v>249.17</v>
      </c>
      <c r="G70" s="5" t="n"/>
      <c r="H70" s="5" t="n"/>
      <c r="I70" s="5" t="n"/>
      <c r="J70" s="5" t="n">
        <v>49.83</v>
      </c>
      <c r="K70" s="5" t="n"/>
      <c r="L70" s="5" t="n"/>
      <c r="M70" s="5" t="n"/>
      <c r="N70" s="5" t="n"/>
      <c r="O70" s="5" t="n">
        <v>299</v>
      </c>
      <c r="P70" s="5" t="n">
        <v>299</v>
      </c>
      <c r="Q70" s="5" t="n"/>
      <c r="R70" s="5" t="n"/>
    </row>
    <row r="71">
      <c r="A71" s="2" t="inlineStr">
        <is>
          <t>EJ310123.TXT</t>
        </is>
      </c>
      <c r="B71" s="3" t="inlineStr">
        <is>
          <t>004586</t>
        </is>
      </c>
      <c r="C71" s="3" t="inlineStr">
        <is>
          <t>003631</t>
        </is>
      </c>
      <c r="D71" s="4" t="n">
        <v>44946</v>
      </c>
      <c r="E71" s="2" t="inlineStr">
        <is>
          <t>18:22</t>
        </is>
      </c>
      <c r="F71" s="5" t="n">
        <v>483.33</v>
      </c>
      <c r="G71" s="5" t="n"/>
      <c r="H71" s="5" t="n"/>
      <c r="I71" s="5" t="n"/>
      <c r="J71" s="5" t="n">
        <v>96.67</v>
      </c>
      <c r="K71" s="5" t="n"/>
      <c r="L71" s="5" t="n"/>
      <c r="M71" s="5" t="n"/>
      <c r="N71" s="5" t="n"/>
      <c r="O71" s="5" t="n">
        <v>580</v>
      </c>
      <c r="P71" s="5" t="n"/>
      <c r="Q71" s="5" t="n">
        <v>580</v>
      </c>
      <c r="R71" s="5" t="n"/>
    </row>
    <row r="72">
      <c r="A72" s="2" t="inlineStr">
        <is>
          <t>EJ310123.TXT</t>
        </is>
      </c>
      <c r="B72" s="3" t="inlineStr">
        <is>
          <t>004587</t>
        </is>
      </c>
      <c r="C72" s="3" t="inlineStr">
        <is>
          <t>003632</t>
        </is>
      </c>
      <c r="D72" s="4" t="n">
        <v>44947</v>
      </c>
      <c r="E72" s="2" t="inlineStr">
        <is>
          <t>15:25</t>
        </is>
      </c>
      <c r="F72" s="5" t="n">
        <v>2100</v>
      </c>
      <c r="G72" s="5" t="n"/>
      <c r="H72" s="5" t="n"/>
      <c r="I72" s="5" t="n"/>
      <c r="J72" s="5" t="n">
        <v>420</v>
      </c>
      <c r="K72" s="5" t="n"/>
      <c r="L72" s="5" t="n"/>
      <c r="M72" s="5" t="n"/>
      <c r="N72" s="5" t="n"/>
      <c r="O72" s="5" t="n">
        <v>2520</v>
      </c>
      <c r="P72" s="5" t="n">
        <v>2520</v>
      </c>
      <c r="Q72" s="5" t="n"/>
      <c r="R72" s="5" t="n"/>
    </row>
    <row r="73">
      <c r="A73" s="2" t="inlineStr">
        <is>
          <t>EJ310123.TXT</t>
        </is>
      </c>
      <c r="B73" s="3" t="inlineStr">
        <is>
          <t>004588</t>
        </is>
      </c>
      <c r="C73" s="3" t="inlineStr">
        <is>
          <t>003633</t>
        </is>
      </c>
      <c r="D73" s="4" t="n">
        <v>44947</v>
      </c>
      <c r="E73" s="2" t="inlineStr">
        <is>
          <t>15:37</t>
        </is>
      </c>
      <c r="F73" s="5" t="n">
        <v>494.17</v>
      </c>
      <c r="G73" s="5" t="n"/>
      <c r="H73" s="5" t="n"/>
      <c r="I73" s="5" t="n"/>
      <c r="J73" s="5" t="n">
        <v>98.83</v>
      </c>
      <c r="K73" s="5" t="n"/>
      <c r="L73" s="5" t="n"/>
      <c r="M73" s="5" t="n"/>
      <c r="N73" s="5" t="n"/>
      <c r="O73" s="5" t="n">
        <v>593</v>
      </c>
      <c r="P73" s="5" t="n"/>
      <c r="Q73" s="5" t="n">
        <v>593</v>
      </c>
      <c r="R73" s="5" t="n"/>
    </row>
    <row r="74">
      <c r="A74" s="2" t="inlineStr">
        <is>
          <t>EJ310123.TXT</t>
        </is>
      </c>
      <c r="B74" s="3" t="inlineStr">
        <is>
          <t>004589</t>
        </is>
      </c>
      <c r="C74" s="3" t="inlineStr">
        <is>
          <t>003634</t>
        </is>
      </c>
      <c r="D74" s="4" t="n">
        <v>44947</v>
      </c>
      <c r="E74" s="2" t="inlineStr">
        <is>
          <t>15:40</t>
        </is>
      </c>
      <c r="F74" s="5" t="n">
        <v>747.5</v>
      </c>
      <c r="G74" s="5" t="n"/>
      <c r="H74" s="5" t="n"/>
      <c r="I74" s="5" t="n"/>
      <c r="J74" s="5" t="n">
        <v>149.5</v>
      </c>
      <c r="K74" s="5" t="n"/>
      <c r="L74" s="5" t="n"/>
      <c r="M74" s="5" t="n"/>
      <c r="N74" s="5" t="n"/>
      <c r="O74" s="5" t="n">
        <v>897</v>
      </c>
      <c r="P74" s="5" t="n"/>
      <c r="Q74" s="5" t="n">
        <v>897</v>
      </c>
      <c r="R74" s="5" t="n"/>
    </row>
    <row r="75">
      <c r="A75" s="2" t="inlineStr">
        <is>
          <t>EJ310123.TXT</t>
        </is>
      </c>
      <c r="B75" s="3" t="inlineStr">
        <is>
          <t>004590</t>
        </is>
      </c>
      <c r="C75" s="3" t="inlineStr">
        <is>
          <t>003635</t>
        </is>
      </c>
      <c r="D75" s="4" t="n">
        <v>44947</v>
      </c>
      <c r="E75" s="2" t="inlineStr">
        <is>
          <t>15:44</t>
        </is>
      </c>
      <c r="F75" s="5" t="n">
        <v>747.5</v>
      </c>
      <c r="G75" s="5" t="n"/>
      <c r="H75" s="5" t="n"/>
      <c r="I75" s="5" t="n"/>
      <c r="J75" s="5" t="n">
        <v>149.5</v>
      </c>
      <c r="K75" s="5" t="n"/>
      <c r="L75" s="5" t="n"/>
      <c r="M75" s="5" t="n"/>
      <c r="N75" s="5" t="n"/>
      <c r="O75" s="5" t="n">
        <v>897</v>
      </c>
      <c r="P75" s="5" t="n"/>
      <c r="Q75" s="5" t="n">
        <v>897</v>
      </c>
      <c r="R75" s="5" t="n"/>
    </row>
    <row r="76">
      <c r="A76" s="2" t="inlineStr">
        <is>
          <t>EJ310123.TXT</t>
        </is>
      </c>
      <c r="B76" s="3" t="inlineStr">
        <is>
          <t>004591</t>
        </is>
      </c>
      <c r="C76" s="3" t="inlineStr">
        <is>
          <t>003636</t>
        </is>
      </c>
      <c r="D76" s="4" t="n">
        <v>44947</v>
      </c>
      <c r="E76" s="2" t="inlineStr">
        <is>
          <t>15:46</t>
        </is>
      </c>
      <c r="F76" s="5" t="n">
        <v>498.33</v>
      </c>
      <c r="G76" s="5" t="n"/>
      <c r="H76" s="5" t="n"/>
      <c r="I76" s="5" t="n"/>
      <c r="J76" s="5" t="n">
        <v>99.67</v>
      </c>
      <c r="K76" s="5" t="n"/>
      <c r="L76" s="5" t="n"/>
      <c r="M76" s="5" t="n"/>
      <c r="N76" s="5" t="n"/>
      <c r="O76" s="5" t="n">
        <v>598</v>
      </c>
      <c r="P76" s="5" t="n"/>
      <c r="Q76" s="5" t="n">
        <v>598</v>
      </c>
      <c r="R76" s="5" t="n"/>
    </row>
    <row r="77">
      <c r="A77" s="2" t="inlineStr">
        <is>
          <t>EJ310123.TXT</t>
        </is>
      </c>
      <c r="B77" s="3" t="inlineStr">
        <is>
          <t>004592</t>
        </is>
      </c>
      <c r="C77" s="3" t="inlineStr">
        <is>
          <t>003637</t>
        </is>
      </c>
      <c r="D77" s="4" t="n">
        <v>44947</v>
      </c>
      <c r="E77" s="2" t="inlineStr">
        <is>
          <t>15:47</t>
        </is>
      </c>
      <c r="F77" s="5" t="n">
        <v>725</v>
      </c>
      <c r="G77" s="5" t="n"/>
      <c r="H77" s="5" t="n"/>
      <c r="I77" s="5" t="n"/>
      <c r="J77" s="5" t="n">
        <v>145</v>
      </c>
      <c r="K77" s="5" t="n"/>
      <c r="L77" s="5" t="n"/>
      <c r="M77" s="5" t="n"/>
      <c r="N77" s="5" t="n"/>
      <c r="O77" s="5" t="n">
        <v>870</v>
      </c>
      <c r="P77" s="5" t="n"/>
      <c r="Q77" s="5" t="n">
        <v>870</v>
      </c>
      <c r="R77" s="5" t="n"/>
    </row>
    <row r="78">
      <c r="A78" s="2" t="inlineStr">
        <is>
          <t>EJ310123.TXT</t>
        </is>
      </c>
      <c r="B78" s="3" t="inlineStr">
        <is>
          <t>004593</t>
        </is>
      </c>
      <c r="C78" s="3" t="inlineStr">
        <is>
          <t>003638</t>
        </is>
      </c>
      <c r="D78" s="4" t="n">
        <v>44947</v>
      </c>
      <c r="E78" s="2" t="inlineStr">
        <is>
          <t>15:48</t>
        </is>
      </c>
      <c r="F78" s="5" t="n">
        <v>702.5</v>
      </c>
      <c r="G78" s="5" t="n"/>
      <c r="H78" s="5" t="n"/>
      <c r="I78" s="5" t="n"/>
      <c r="J78" s="5" t="n">
        <v>140.5</v>
      </c>
      <c r="K78" s="5" t="n"/>
      <c r="L78" s="5" t="n"/>
      <c r="M78" s="5" t="n"/>
      <c r="N78" s="5" t="n"/>
      <c r="O78" s="5" t="n">
        <v>843</v>
      </c>
      <c r="P78" s="5" t="n"/>
      <c r="Q78" s="5" t="n">
        <v>843</v>
      </c>
      <c r="R78" s="5" t="n"/>
    </row>
    <row r="79">
      <c r="A79" s="2" t="inlineStr">
        <is>
          <t>EJ310123.TXT</t>
        </is>
      </c>
      <c r="B79" s="3" t="inlineStr">
        <is>
          <t>004594</t>
        </is>
      </c>
      <c r="C79" s="3" t="inlineStr">
        <is>
          <t>003639</t>
        </is>
      </c>
      <c r="D79" s="4" t="n">
        <v>44947</v>
      </c>
      <c r="E79" s="2" t="inlineStr">
        <is>
          <t>15:49</t>
        </is>
      </c>
      <c r="F79" s="5" t="n">
        <v>226.67</v>
      </c>
      <c r="G79" s="5" t="n"/>
      <c r="H79" s="5" t="n"/>
      <c r="I79" s="5" t="n"/>
      <c r="J79" s="5" t="n">
        <v>45.33</v>
      </c>
      <c r="K79" s="5" t="n"/>
      <c r="L79" s="5" t="n"/>
      <c r="M79" s="5" t="n"/>
      <c r="N79" s="5" t="n"/>
      <c r="O79" s="5" t="n">
        <v>272</v>
      </c>
      <c r="P79" s="5" t="n"/>
      <c r="Q79" s="5" t="n">
        <v>272</v>
      </c>
      <c r="R79" s="5" t="n"/>
    </row>
    <row r="80">
      <c r="A80" s="2" t="inlineStr">
        <is>
          <t>EJ310123.TXT</t>
        </is>
      </c>
      <c r="B80" s="3" t="inlineStr">
        <is>
          <t>004595</t>
        </is>
      </c>
      <c r="C80" s="3" t="inlineStr">
        <is>
          <t>003640</t>
        </is>
      </c>
      <c r="D80" s="4" t="n">
        <v>44947</v>
      </c>
      <c r="E80" s="2" t="inlineStr">
        <is>
          <t>16:04</t>
        </is>
      </c>
      <c r="F80" s="5" t="n">
        <v>582.5</v>
      </c>
      <c r="G80" s="5" t="n"/>
      <c r="H80" s="5" t="n"/>
      <c r="I80" s="5" t="n"/>
      <c r="J80" s="5" t="n">
        <v>116.5</v>
      </c>
      <c r="K80" s="5" t="n"/>
      <c r="L80" s="5" t="n"/>
      <c r="M80" s="5" t="n"/>
      <c r="N80" s="5" t="n"/>
      <c r="O80" s="5" t="n">
        <v>699</v>
      </c>
      <c r="P80" s="5" t="n"/>
      <c r="Q80" s="5" t="n">
        <v>699</v>
      </c>
      <c r="R80" s="5" t="n"/>
    </row>
    <row r="81">
      <c r="A81" s="2" t="inlineStr">
        <is>
          <t>EJ310123.TXT</t>
        </is>
      </c>
      <c r="B81" s="3" t="inlineStr">
        <is>
          <t>004596</t>
        </is>
      </c>
      <c r="C81" s="3" t="inlineStr">
        <is>
          <t>003641</t>
        </is>
      </c>
      <c r="D81" s="4" t="n">
        <v>44947</v>
      </c>
      <c r="E81" s="2" t="inlineStr">
        <is>
          <t>16:52</t>
        </is>
      </c>
      <c r="F81" s="5" t="n">
        <v>175</v>
      </c>
      <c r="G81" s="5" t="n"/>
      <c r="H81" s="5" t="n"/>
      <c r="I81" s="5" t="n"/>
      <c r="J81" s="5" t="n">
        <v>35</v>
      </c>
      <c r="K81" s="5" t="n"/>
      <c r="L81" s="5" t="n"/>
      <c r="M81" s="5" t="n"/>
      <c r="N81" s="5" t="n"/>
      <c r="O81" s="5" t="n">
        <v>210</v>
      </c>
      <c r="P81" s="5" t="n">
        <v>210</v>
      </c>
      <c r="Q81" s="5" t="n"/>
      <c r="R81" s="5" t="n"/>
    </row>
    <row r="82">
      <c r="A82" s="2" t="inlineStr">
        <is>
          <t>EJ310123.TXT</t>
        </is>
      </c>
      <c r="B82" s="3" t="inlineStr">
        <is>
          <t>004597</t>
        </is>
      </c>
      <c r="C82" s="3" t="inlineStr">
        <is>
          <t>003642</t>
        </is>
      </c>
      <c r="D82" s="4" t="n">
        <v>44947</v>
      </c>
      <c r="E82" s="2" t="inlineStr">
        <is>
          <t>18:18</t>
        </is>
      </c>
      <c r="F82" s="5" t="n">
        <v>249.17</v>
      </c>
      <c r="G82" s="5" t="n"/>
      <c r="H82" s="5" t="n"/>
      <c r="I82" s="5" t="n"/>
      <c r="J82" s="5" t="n">
        <v>49.83</v>
      </c>
      <c r="K82" s="5" t="n"/>
      <c r="L82" s="5" t="n"/>
      <c r="M82" s="5" t="n"/>
      <c r="N82" s="5" t="n"/>
      <c r="O82" s="5" t="n">
        <v>299</v>
      </c>
      <c r="P82" s="5" t="n"/>
      <c r="Q82" s="5" t="n">
        <v>299</v>
      </c>
      <c r="R82" s="5" t="n"/>
    </row>
    <row r="83">
      <c r="A83" s="2" t="inlineStr">
        <is>
          <t>EJ310123.TXT</t>
        </is>
      </c>
      <c r="B83" s="3" t="inlineStr">
        <is>
          <t>004598</t>
        </is>
      </c>
      <c r="C83" s="3" t="inlineStr">
        <is>
          <t>003643</t>
        </is>
      </c>
      <c r="D83" s="4" t="n">
        <v>44947</v>
      </c>
      <c r="E83" s="2" t="inlineStr">
        <is>
          <t>18:40</t>
        </is>
      </c>
      <c r="F83" s="5" t="n">
        <v>1245.83</v>
      </c>
      <c r="G83" s="5" t="n"/>
      <c r="H83" s="5" t="n"/>
      <c r="I83" s="5" t="n"/>
      <c r="J83" s="5" t="n">
        <v>249.17</v>
      </c>
      <c r="K83" s="5" t="n"/>
      <c r="L83" s="5" t="n"/>
      <c r="M83" s="5" t="n"/>
      <c r="N83" s="5" t="n"/>
      <c r="O83" s="5" t="n">
        <v>1495</v>
      </c>
      <c r="P83" s="5" t="n">
        <v>1495</v>
      </c>
      <c r="Q83" s="5" t="n"/>
      <c r="R83" s="5" t="n"/>
    </row>
    <row r="84">
      <c r="A84" s="2" t="inlineStr">
        <is>
          <t>EJ310123.TXT</t>
        </is>
      </c>
      <c r="B84" s="3" t="inlineStr">
        <is>
          <t>004599</t>
        </is>
      </c>
      <c r="C84" s="3" t="inlineStr">
        <is>
          <t>003644</t>
        </is>
      </c>
      <c r="D84" s="4" t="n">
        <v>44949</v>
      </c>
      <c r="E84" s="2" t="inlineStr">
        <is>
          <t>14:44</t>
        </is>
      </c>
      <c r="F84" s="5" t="n">
        <v>747.5</v>
      </c>
      <c r="G84" s="5" t="n"/>
      <c r="H84" s="5" t="n"/>
      <c r="I84" s="5" t="n"/>
      <c r="J84" s="5" t="n">
        <v>149.5</v>
      </c>
      <c r="K84" s="5" t="n"/>
      <c r="L84" s="5" t="n"/>
      <c r="M84" s="5" t="n"/>
      <c r="N84" s="5" t="n"/>
      <c r="O84" s="5" t="n">
        <v>897</v>
      </c>
      <c r="P84" s="5" t="n"/>
      <c r="Q84" s="5" t="n">
        <v>897</v>
      </c>
      <c r="R84" s="5" t="n"/>
    </row>
    <row r="85">
      <c r="A85" s="2" t="inlineStr">
        <is>
          <t>EJ310123.TXT</t>
        </is>
      </c>
      <c r="B85" s="3" t="inlineStr">
        <is>
          <t>004600</t>
        </is>
      </c>
      <c r="C85" s="3" t="inlineStr">
        <is>
          <t>003645</t>
        </is>
      </c>
      <c r="D85" s="4" t="n">
        <v>44949</v>
      </c>
      <c r="E85" s="2" t="inlineStr">
        <is>
          <t>14:45</t>
        </is>
      </c>
      <c r="F85" s="5" t="n">
        <v>747.5</v>
      </c>
      <c r="G85" s="5" t="n"/>
      <c r="H85" s="5" t="n"/>
      <c r="I85" s="5" t="n"/>
      <c r="J85" s="5" t="n">
        <v>149.5</v>
      </c>
      <c r="K85" s="5" t="n"/>
      <c r="L85" s="5" t="n"/>
      <c r="M85" s="5" t="n"/>
      <c r="N85" s="5" t="n"/>
      <c r="O85" s="5" t="n">
        <v>897</v>
      </c>
      <c r="P85" s="5" t="n"/>
      <c r="Q85" s="5" t="n">
        <v>897</v>
      </c>
      <c r="R85" s="5" t="n"/>
    </row>
    <row r="86">
      <c r="A86" s="2" t="inlineStr">
        <is>
          <t>EJ310123.TXT</t>
        </is>
      </c>
      <c r="B86" s="3" t="inlineStr">
        <is>
          <t>004601</t>
        </is>
      </c>
      <c r="C86" s="3" t="inlineStr">
        <is>
          <t>003646</t>
        </is>
      </c>
      <c r="D86" s="4" t="n">
        <v>44949</v>
      </c>
      <c r="E86" s="2" t="inlineStr">
        <is>
          <t>15:36</t>
        </is>
      </c>
      <c r="F86" s="5" t="n">
        <v>156.67</v>
      </c>
      <c r="G86" s="5" t="n"/>
      <c r="H86" s="5" t="n"/>
      <c r="I86" s="5" t="n"/>
      <c r="J86" s="5" t="n">
        <v>31.33</v>
      </c>
      <c r="K86" s="5" t="n"/>
      <c r="L86" s="5" t="n"/>
      <c r="M86" s="5" t="n"/>
      <c r="N86" s="5" t="n"/>
      <c r="O86" s="5" t="n">
        <v>188</v>
      </c>
      <c r="P86" s="5" t="n"/>
      <c r="Q86" s="5" t="n">
        <v>188</v>
      </c>
      <c r="R86" s="5" t="n"/>
    </row>
    <row r="87">
      <c r="A87" s="2" t="inlineStr">
        <is>
          <t>EJ310123.TXT</t>
        </is>
      </c>
      <c r="B87" s="3" t="inlineStr">
        <is>
          <t>004602</t>
        </is>
      </c>
      <c r="C87" s="3" t="inlineStr">
        <is>
          <t>003647</t>
        </is>
      </c>
      <c r="D87" s="4" t="n">
        <v>44949</v>
      </c>
      <c r="E87" s="2" t="inlineStr">
        <is>
          <t>15:36</t>
        </is>
      </c>
      <c r="F87" s="5" t="n">
        <v>725</v>
      </c>
      <c r="G87" s="5" t="n"/>
      <c r="H87" s="5" t="n"/>
      <c r="I87" s="5" t="n"/>
      <c r="J87" s="5" t="n">
        <v>145</v>
      </c>
      <c r="K87" s="5" t="n"/>
      <c r="L87" s="5" t="n"/>
      <c r="M87" s="5" t="n"/>
      <c r="N87" s="5" t="n"/>
      <c r="O87" s="5" t="n">
        <v>870</v>
      </c>
      <c r="P87" s="5" t="n"/>
      <c r="Q87" s="5" t="n">
        <v>870</v>
      </c>
      <c r="R87" s="5" t="n"/>
    </row>
    <row r="88">
      <c r="A88" s="2" t="inlineStr">
        <is>
          <t>EJ310123.TXT</t>
        </is>
      </c>
      <c r="B88" s="3" t="inlineStr">
        <is>
          <t>004603</t>
        </is>
      </c>
      <c r="C88" s="3" t="inlineStr">
        <is>
          <t>003648</t>
        </is>
      </c>
      <c r="D88" s="4" t="n">
        <v>44949</v>
      </c>
      <c r="E88" s="2" t="inlineStr">
        <is>
          <t>15:36</t>
        </is>
      </c>
      <c r="F88" s="5" t="n">
        <v>241.67</v>
      </c>
      <c r="G88" s="5" t="n"/>
      <c r="H88" s="5" t="n"/>
      <c r="I88" s="5" t="n"/>
      <c r="J88" s="5" t="n">
        <v>48.33</v>
      </c>
      <c r="K88" s="5" t="n"/>
      <c r="L88" s="5" t="n"/>
      <c r="M88" s="5" t="n"/>
      <c r="N88" s="5" t="n"/>
      <c r="O88" s="5" t="n">
        <v>290</v>
      </c>
      <c r="P88" s="5" t="n"/>
      <c r="Q88" s="5" t="n">
        <v>290</v>
      </c>
      <c r="R88" s="5" t="n"/>
    </row>
    <row r="89">
      <c r="A89" s="2" t="inlineStr">
        <is>
          <t>EJ310123.TXT</t>
        </is>
      </c>
      <c r="B89" s="3" t="inlineStr">
        <is>
          <t>004604</t>
        </is>
      </c>
      <c r="C89" s="3" t="inlineStr">
        <is>
          <t>003649</t>
        </is>
      </c>
      <c r="D89" s="4" t="n">
        <v>44949</v>
      </c>
      <c r="E89" s="2" t="inlineStr">
        <is>
          <t>15:36</t>
        </is>
      </c>
      <c r="F89" s="5" t="n">
        <v>483.33</v>
      </c>
      <c r="G89" s="5" t="n"/>
      <c r="H89" s="5" t="n"/>
      <c r="I89" s="5" t="n"/>
      <c r="J89" s="5" t="n">
        <v>96.67</v>
      </c>
      <c r="K89" s="5" t="n"/>
      <c r="L89" s="5" t="n"/>
      <c r="M89" s="5" t="n"/>
      <c r="N89" s="5" t="n"/>
      <c r="O89" s="5" t="n">
        <v>580</v>
      </c>
      <c r="P89" s="5" t="n"/>
      <c r="Q89" s="5" t="n">
        <v>580</v>
      </c>
      <c r="R89" s="5" t="n"/>
    </row>
    <row r="90">
      <c r="A90" s="2" t="inlineStr">
        <is>
          <t>EJ310123.TXT</t>
        </is>
      </c>
      <c r="B90" s="3" t="inlineStr">
        <is>
          <t>004605</t>
        </is>
      </c>
      <c r="C90" s="3" t="inlineStr">
        <is>
          <t>003650</t>
        </is>
      </c>
      <c r="D90" s="4" t="n">
        <v>44949</v>
      </c>
      <c r="E90" s="2" t="inlineStr">
        <is>
          <t>17:28</t>
        </is>
      </c>
      <c r="F90" s="5" t="n">
        <v>115.83</v>
      </c>
      <c r="G90" s="5" t="n"/>
      <c r="H90" s="5" t="n"/>
      <c r="I90" s="5" t="n"/>
      <c r="J90" s="5" t="n">
        <v>23.17</v>
      </c>
      <c r="K90" s="5" t="n"/>
      <c r="L90" s="5" t="n"/>
      <c r="M90" s="5" t="n"/>
      <c r="N90" s="5" t="n"/>
      <c r="O90" s="5" t="n">
        <v>139</v>
      </c>
      <c r="P90" s="5" t="n"/>
      <c r="Q90" s="5" t="n">
        <v>139</v>
      </c>
      <c r="R90" s="5" t="n"/>
    </row>
    <row r="91">
      <c r="A91" s="2" t="inlineStr">
        <is>
          <t>EJ310123.TXT</t>
        </is>
      </c>
      <c r="B91" s="3" t="inlineStr">
        <is>
          <t>004606</t>
        </is>
      </c>
      <c r="C91" s="3" t="inlineStr">
        <is>
          <t>003651</t>
        </is>
      </c>
      <c r="D91" s="4" t="n">
        <v>44949</v>
      </c>
      <c r="E91" s="2" t="inlineStr">
        <is>
          <t>17:50</t>
        </is>
      </c>
      <c r="F91" s="5" t="n">
        <v>249.17</v>
      </c>
      <c r="G91" s="5" t="n"/>
      <c r="H91" s="5" t="n"/>
      <c r="I91" s="5" t="n"/>
      <c r="J91" s="5" t="n">
        <v>49.83</v>
      </c>
      <c r="K91" s="5" t="n"/>
      <c r="L91" s="5" t="n"/>
      <c r="M91" s="5" t="n"/>
      <c r="N91" s="5" t="n"/>
      <c r="O91" s="5" t="n">
        <v>299</v>
      </c>
      <c r="P91" s="5" t="n"/>
      <c r="Q91" s="5" t="n">
        <v>299</v>
      </c>
      <c r="R91" s="5" t="n"/>
    </row>
    <row r="92">
      <c r="A92" s="2" t="inlineStr">
        <is>
          <t>EJ310123.TXT</t>
        </is>
      </c>
      <c r="B92" s="3" t="inlineStr">
        <is>
          <t>004607</t>
        </is>
      </c>
      <c r="C92" s="3" t="inlineStr">
        <is>
          <t>003652</t>
        </is>
      </c>
      <c r="D92" s="4" t="n">
        <v>44950</v>
      </c>
      <c r="E92" s="2" t="inlineStr">
        <is>
          <t>12:25</t>
        </is>
      </c>
      <c r="F92" s="5" t="n">
        <v>747.5</v>
      </c>
      <c r="G92" s="5" t="n"/>
      <c r="H92" s="5" t="n"/>
      <c r="I92" s="5" t="n"/>
      <c r="J92" s="5" t="n">
        <v>149.5</v>
      </c>
      <c r="K92" s="5" t="n"/>
      <c r="L92" s="5" t="n"/>
      <c r="M92" s="5" t="n"/>
      <c r="N92" s="5" t="n"/>
      <c r="O92" s="5" t="n">
        <v>897</v>
      </c>
      <c r="P92" s="5" t="n"/>
      <c r="Q92" s="5" t="n">
        <v>897</v>
      </c>
      <c r="R92" s="5" t="n"/>
    </row>
    <row r="93">
      <c r="A93" s="2" t="inlineStr">
        <is>
          <t>EJ310123.TXT</t>
        </is>
      </c>
      <c r="B93" s="3" t="inlineStr">
        <is>
          <t>004608</t>
        </is>
      </c>
      <c r="C93" s="3" t="inlineStr">
        <is>
          <t>003653</t>
        </is>
      </c>
      <c r="D93" s="4" t="n">
        <v>44950</v>
      </c>
      <c r="E93" s="2" t="inlineStr">
        <is>
          <t>12:27</t>
        </is>
      </c>
      <c r="F93" s="5" t="n">
        <v>747.5</v>
      </c>
      <c r="G93" s="5" t="n"/>
      <c r="H93" s="5" t="n"/>
      <c r="I93" s="5" t="n"/>
      <c r="J93" s="5" t="n">
        <v>149.5</v>
      </c>
      <c r="K93" s="5" t="n"/>
      <c r="L93" s="5" t="n"/>
      <c r="M93" s="5" t="n"/>
      <c r="N93" s="5" t="n"/>
      <c r="O93" s="5" t="n">
        <v>897</v>
      </c>
      <c r="P93" s="5" t="n"/>
      <c r="Q93" s="5" t="n">
        <v>897</v>
      </c>
      <c r="R93" s="5" t="n"/>
    </row>
    <row r="94">
      <c r="A94" s="2" t="inlineStr">
        <is>
          <t>EJ310123.TXT</t>
        </is>
      </c>
      <c r="B94" s="3" t="inlineStr">
        <is>
          <t>004609</t>
        </is>
      </c>
      <c r="C94" s="3" t="inlineStr">
        <is>
          <t>003654</t>
        </is>
      </c>
      <c r="D94" s="4" t="n">
        <v>44950</v>
      </c>
      <c r="E94" s="2" t="inlineStr">
        <is>
          <t>12:27</t>
        </is>
      </c>
      <c r="F94" s="5" t="n">
        <v>747.5</v>
      </c>
      <c r="G94" s="5" t="n"/>
      <c r="H94" s="5" t="n"/>
      <c r="I94" s="5" t="n"/>
      <c r="J94" s="5" t="n">
        <v>149.5</v>
      </c>
      <c r="K94" s="5" t="n"/>
      <c r="L94" s="5" t="n"/>
      <c r="M94" s="5" t="n"/>
      <c r="N94" s="5" t="n"/>
      <c r="O94" s="5" t="n">
        <v>897</v>
      </c>
      <c r="P94" s="5" t="n"/>
      <c r="Q94" s="5" t="n">
        <v>897</v>
      </c>
      <c r="R94" s="5" t="n"/>
    </row>
    <row r="95">
      <c r="A95" s="2" t="inlineStr">
        <is>
          <t>EJ310123.TXT</t>
        </is>
      </c>
      <c r="B95" s="3" t="inlineStr">
        <is>
          <t>004610</t>
        </is>
      </c>
      <c r="C95" s="3" t="inlineStr">
        <is>
          <t>003655</t>
        </is>
      </c>
      <c r="D95" s="4" t="n">
        <v>44950</v>
      </c>
      <c r="E95" s="2" t="inlineStr">
        <is>
          <t>12:27</t>
        </is>
      </c>
      <c r="F95" s="5" t="n">
        <v>747.5</v>
      </c>
      <c r="G95" s="5" t="n"/>
      <c r="H95" s="5" t="n"/>
      <c r="I95" s="5" t="n"/>
      <c r="J95" s="5" t="n">
        <v>149.5</v>
      </c>
      <c r="K95" s="5" t="n"/>
      <c r="L95" s="5" t="n"/>
      <c r="M95" s="5" t="n"/>
      <c r="N95" s="5" t="n"/>
      <c r="O95" s="5" t="n">
        <v>897</v>
      </c>
      <c r="P95" s="5" t="n"/>
      <c r="Q95" s="5" t="n">
        <v>897</v>
      </c>
      <c r="R95" s="5" t="n"/>
    </row>
    <row r="96">
      <c r="A96" s="2" t="inlineStr">
        <is>
          <t>EJ310123.TXT</t>
        </is>
      </c>
      <c r="B96" s="3" t="inlineStr">
        <is>
          <t>004611</t>
        </is>
      </c>
      <c r="C96" s="3" t="inlineStr">
        <is>
          <t>003656</t>
        </is>
      </c>
      <c r="D96" s="4" t="n">
        <v>44950</v>
      </c>
      <c r="E96" s="2" t="inlineStr">
        <is>
          <t>15:08</t>
        </is>
      </c>
      <c r="F96" s="5" t="n">
        <v>747.5</v>
      </c>
      <c r="G96" s="5" t="n"/>
      <c r="H96" s="5" t="n"/>
      <c r="I96" s="5" t="n"/>
      <c r="J96" s="5" t="n">
        <v>149.5</v>
      </c>
      <c r="K96" s="5" t="n"/>
      <c r="L96" s="5" t="n"/>
      <c r="M96" s="5" t="n"/>
      <c r="N96" s="5" t="n"/>
      <c r="O96" s="5" t="n">
        <v>897</v>
      </c>
      <c r="P96" s="5" t="n"/>
      <c r="Q96" s="5" t="n">
        <v>897</v>
      </c>
      <c r="R96" s="5" t="n"/>
    </row>
    <row r="97">
      <c r="A97" s="2" t="inlineStr">
        <is>
          <t>EJ310123.TXT</t>
        </is>
      </c>
      <c r="B97" s="3" t="inlineStr">
        <is>
          <t>004612</t>
        </is>
      </c>
      <c r="C97" s="3" t="inlineStr">
        <is>
          <t>003657</t>
        </is>
      </c>
      <c r="D97" s="4" t="n">
        <v>44950</v>
      </c>
      <c r="E97" s="2" t="inlineStr">
        <is>
          <t>15:08</t>
        </is>
      </c>
      <c r="F97" s="5" t="n">
        <v>747.5</v>
      </c>
      <c r="G97" s="5" t="n"/>
      <c r="H97" s="5" t="n"/>
      <c r="I97" s="5" t="n"/>
      <c r="J97" s="5" t="n">
        <v>149.5</v>
      </c>
      <c r="K97" s="5" t="n"/>
      <c r="L97" s="5" t="n"/>
      <c r="M97" s="5" t="n"/>
      <c r="N97" s="5" t="n"/>
      <c r="O97" s="5" t="n">
        <v>897</v>
      </c>
      <c r="P97" s="5" t="n"/>
      <c r="Q97" s="5" t="n">
        <v>897</v>
      </c>
      <c r="R97" s="5" t="n"/>
    </row>
    <row r="98">
      <c r="A98" s="2" t="inlineStr">
        <is>
          <t>EJ310123.TXT</t>
        </is>
      </c>
      <c r="B98" s="3" t="inlineStr">
        <is>
          <t>004613</t>
        </is>
      </c>
      <c r="C98" s="3" t="inlineStr">
        <is>
          <t>003658</t>
        </is>
      </c>
      <c r="D98" s="4" t="n">
        <v>44950</v>
      </c>
      <c r="E98" s="2" t="inlineStr">
        <is>
          <t>15:17</t>
        </is>
      </c>
      <c r="F98" s="5" t="n">
        <v>75</v>
      </c>
      <c r="G98" s="5" t="n"/>
      <c r="H98" s="5" t="n"/>
      <c r="I98" s="5" t="n"/>
      <c r="J98" s="5" t="n">
        <v>15</v>
      </c>
      <c r="K98" s="5" t="n"/>
      <c r="L98" s="5" t="n"/>
      <c r="M98" s="5" t="n"/>
      <c r="N98" s="5" t="n"/>
      <c r="O98" s="5" t="n">
        <v>90</v>
      </c>
      <c r="P98" s="5" t="n"/>
      <c r="Q98" s="5" t="n">
        <v>90</v>
      </c>
      <c r="R98" s="5" t="n"/>
    </row>
    <row r="99">
      <c r="A99" s="2" t="inlineStr">
        <is>
          <t>EJ310123.TXT</t>
        </is>
      </c>
      <c r="B99" s="3" t="inlineStr">
        <is>
          <t>004614</t>
        </is>
      </c>
      <c r="C99" s="3" t="inlineStr">
        <is>
          <t>003659</t>
        </is>
      </c>
      <c r="D99" s="4" t="n">
        <v>44950</v>
      </c>
      <c r="E99" s="2" t="inlineStr">
        <is>
          <t>15:52</t>
        </is>
      </c>
      <c r="F99" s="5" t="n">
        <v>498.33</v>
      </c>
      <c r="G99" s="5" t="n"/>
      <c r="H99" s="5" t="n"/>
      <c r="I99" s="5" t="n"/>
      <c r="J99" s="5" t="n">
        <v>99.67</v>
      </c>
      <c r="K99" s="5" t="n"/>
      <c r="L99" s="5" t="n"/>
      <c r="M99" s="5" t="n"/>
      <c r="N99" s="5" t="n"/>
      <c r="O99" s="5" t="n">
        <v>598</v>
      </c>
      <c r="P99" s="5" t="n"/>
      <c r="Q99" s="5" t="n">
        <v>598</v>
      </c>
      <c r="R99" s="5" t="n"/>
    </row>
    <row r="100">
      <c r="A100" s="2" t="inlineStr">
        <is>
          <t>EJ310123.TXT</t>
        </is>
      </c>
      <c r="B100" s="3" t="inlineStr">
        <is>
          <t>004615</t>
        </is>
      </c>
      <c r="C100" s="3" t="inlineStr">
        <is>
          <t>003660</t>
        </is>
      </c>
      <c r="D100" s="4" t="n">
        <v>44950</v>
      </c>
      <c r="E100" s="2" t="inlineStr">
        <is>
          <t>15:57</t>
        </is>
      </c>
      <c r="F100" s="5" t="n">
        <v>498.33</v>
      </c>
      <c r="G100" s="5" t="n"/>
      <c r="H100" s="5" t="n"/>
      <c r="I100" s="5" t="n"/>
      <c r="J100" s="5" t="n">
        <v>99.67</v>
      </c>
      <c r="K100" s="5" t="n"/>
      <c r="L100" s="5" t="n"/>
      <c r="M100" s="5" t="n"/>
      <c r="N100" s="5" t="n"/>
      <c r="O100" s="5" t="n">
        <v>598</v>
      </c>
      <c r="P100" s="5" t="n">
        <v>598</v>
      </c>
      <c r="Q100" s="5" t="n"/>
      <c r="R100" s="5" t="n"/>
    </row>
    <row r="101">
      <c r="A101" s="2" t="inlineStr">
        <is>
          <t>EJ310123.TXT</t>
        </is>
      </c>
      <c r="B101" s="3" t="inlineStr">
        <is>
          <t>004616</t>
        </is>
      </c>
      <c r="C101" s="3" t="inlineStr">
        <is>
          <t>003661</t>
        </is>
      </c>
      <c r="D101" s="4" t="n">
        <v>44950</v>
      </c>
      <c r="E101" s="2" t="inlineStr">
        <is>
          <t>18:33</t>
        </is>
      </c>
      <c r="F101" s="5" t="n">
        <v>208.33</v>
      </c>
      <c r="G101" s="5" t="n"/>
      <c r="H101" s="5" t="n"/>
      <c r="I101" s="5" t="n"/>
      <c r="J101" s="5" t="n">
        <v>41.67</v>
      </c>
      <c r="K101" s="5" t="n"/>
      <c r="L101" s="5" t="n"/>
      <c r="M101" s="5" t="n"/>
      <c r="N101" s="5" t="n"/>
      <c r="O101" s="5" t="n">
        <v>250</v>
      </c>
      <c r="P101" s="5" t="n"/>
      <c r="Q101" s="5" t="n">
        <v>250</v>
      </c>
      <c r="R101" s="5" t="n"/>
    </row>
    <row r="102">
      <c r="A102" s="2" t="inlineStr">
        <is>
          <t>EJ310123.TXT</t>
        </is>
      </c>
      <c r="B102" s="3" t="inlineStr">
        <is>
          <t>004617</t>
        </is>
      </c>
      <c r="C102" s="3" t="inlineStr">
        <is>
          <t>003662</t>
        </is>
      </c>
      <c r="D102" s="4" t="n">
        <v>44952</v>
      </c>
      <c r="E102" s="2" t="inlineStr">
        <is>
          <t>12:16</t>
        </is>
      </c>
      <c r="F102" s="5" t="n">
        <v>725</v>
      </c>
      <c r="G102" s="5" t="n"/>
      <c r="H102" s="5" t="n"/>
      <c r="I102" s="5" t="n"/>
      <c r="J102" s="5" t="n">
        <v>145</v>
      </c>
      <c r="K102" s="5" t="n"/>
      <c r="L102" s="5" t="n"/>
      <c r="M102" s="5" t="n"/>
      <c r="N102" s="5" t="n"/>
      <c r="O102" s="5" t="n">
        <v>870</v>
      </c>
      <c r="P102" s="5" t="n"/>
      <c r="Q102" s="5" t="n">
        <v>870</v>
      </c>
      <c r="R102" s="5" t="n"/>
    </row>
    <row r="103">
      <c r="A103" s="2" t="inlineStr">
        <is>
          <t>EJ310123.TXT</t>
        </is>
      </c>
      <c r="B103" s="3" t="inlineStr">
        <is>
          <t>004618</t>
        </is>
      </c>
      <c r="C103" s="3" t="inlineStr">
        <is>
          <t>003663</t>
        </is>
      </c>
      <c r="D103" s="4" t="n">
        <v>44952</v>
      </c>
      <c r="E103" s="2" t="inlineStr">
        <is>
          <t>12:16</t>
        </is>
      </c>
      <c r="F103" s="5" t="n">
        <v>241.67</v>
      </c>
      <c r="G103" s="5" t="n"/>
      <c r="H103" s="5" t="n"/>
      <c r="I103" s="5" t="n"/>
      <c r="J103" s="5" t="n">
        <v>48.33</v>
      </c>
      <c r="K103" s="5" t="n"/>
      <c r="L103" s="5" t="n"/>
      <c r="M103" s="5" t="n"/>
      <c r="N103" s="5" t="n"/>
      <c r="O103" s="5" t="n">
        <v>290</v>
      </c>
      <c r="P103" s="5" t="n"/>
      <c r="Q103" s="5" t="n">
        <v>290</v>
      </c>
      <c r="R103" s="5" t="n"/>
    </row>
    <row r="104">
      <c r="A104" s="2" t="inlineStr">
        <is>
          <t>EJ310123.TXT</t>
        </is>
      </c>
      <c r="B104" s="3" t="inlineStr">
        <is>
          <t>004619</t>
        </is>
      </c>
      <c r="C104" s="3" t="inlineStr">
        <is>
          <t>003664</t>
        </is>
      </c>
      <c r="D104" s="4" t="n">
        <v>44952</v>
      </c>
      <c r="E104" s="2" t="inlineStr">
        <is>
          <t>12:16</t>
        </is>
      </c>
      <c r="F104" s="5" t="n">
        <v>483.33</v>
      </c>
      <c r="G104" s="5" t="n"/>
      <c r="H104" s="5" t="n"/>
      <c r="I104" s="5" t="n"/>
      <c r="J104" s="5" t="n">
        <v>96.67</v>
      </c>
      <c r="K104" s="5" t="n"/>
      <c r="L104" s="5" t="n"/>
      <c r="M104" s="5" t="n"/>
      <c r="N104" s="5" t="n"/>
      <c r="O104" s="5" t="n">
        <v>580</v>
      </c>
      <c r="P104" s="5" t="n"/>
      <c r="Q104" s="5" t="n">
        <v>580</v>
      </c>
      <c r="R104" s="5" t="n"/>
    </row>
    <row r="105">
      <c r="A105" s="2" t="inlineStr">
        <is>
          <t>EJ310123.TXT</t>
        </is>
      </c>
      <c r="B105" s="3" t="inlineStr">
        <is>
          <t>004620</t>
        </is>
      </c>
      <c r="C105" s="3" t="inlineStr">
        <is>
          <t>003665</t>
        </is>
      </c>
      <c r="D105" s="4" t="n">
        <v>44952</v>
      </c>
      <c r="E105" s="2" t="inlineStr">
        <is>
          <t>12:23</t>
        </is>
      </c>
      <c r="F105" s="5" t="n">
        <v>498.33</v>
      </c>
      <c r="G105" s="5" t="n"/>
      <c r="H105" s="5" t="n"/>
      <c r="I105" s="5" t="n"/>
      <c r="J105" s="5" t="n">
        <v>99.67</v>
      </c>
      <c r="K105" s="5" t="n"/>
      <c r="L105" s="5" t="n"/>
      <c r="M105" s="5" t="n"/>
      <c r="N105" s="5" t="n"/>
      <c r="O105" s="5" t="n">
        <v>598</v>
      </c>
      <c r="P105" s="5" t="n"/>
      <c r="Q105" s="5" t="n">
        <v>598</v>
      </c>
      <c r="R105" s="5" t="n"/>
    </row>
    <row r="106">
      <c r="A106" s="2" t="inlineStr">
        <is>
          <t>EJ310123.TXT</t>
        </is>
      </c>
      <c r="B106" s="3" t="inlineStr">
        <is>
          <t>004621</t>
        </is>
      </c>
      <c r="C106" s="3" t="inlineStr">
        <is>
          <t>003666</t>
        </is>
      </c>
      <c r="D106" s="4" t="n">
        <v>44952</v>
      </c>
      <c r="E106" s="2" t="inlineStr">
        <is>
          <t>12:28</t>
        </is>
      </c>
      <c r="F106" s="5" t="n">
        <v>498.33</v>
      </c>
      <c r="G106" s="5" t="n"/>
      <c r="H106" s="5" t="n"/>
      <c r="I106" s="5" t="n"/>
      <c r="J106" s="5" t="n">
        <v>99.67</v>
      </c>
      <c r="K106" s="5" t="n"/>
      <c r="L106" s="5" t="n"/>
      <c r="M106" s="5" t="n"/>
      <c r="N106" s="5" t="n"/>
      <c r="O106" s="5" t="n">
        <v>598</v>
      </c>
      <c r="P106" s="5" t="n"/>
      <c r="Q106" s="5" t="n">
        <v>598</v>
      </c>
      <c r="R106" s="5" t="n"/>
    </row>
    <row r="107">
      <c r="A107" s="2" t="inlineStr">
        <is>
          <t>EJ310123.TXT</t>
        </is>
      </c>
      <c r="B107" s="3" t="inlineStr">
        <is>
          <t>004622</t>
        </is>
      </c>
      <c r="C107" s="3" t="inlineStr">
        <is>
          <t>003667</t>
        </is>
      </c>
      <c r="D107" s="4" t="n">
        <v>44952</v>
      </c>
      <c r="E107" s="2" t="inlineStr">
        <is>
          <t>14:55</t>
        </is>
      </c>
      <c r="F107" s="5" t="n">
        <v>963.33</v>
      </c>
      <c r="G107" s="5" t="n"/>
      <c r="H107" s="5" t="n"/>
      <c r="I107" s="5" t="n"/>
      <c r="J107" s="5" t="n">
        <v>192.67</v>
      </c>
      <c r="K107" s="5" t="n"/>
      <c r="L107" s="5" t="n"/>
      <c r="M107" s="5" t="n"/>
      <c r="N107" s="5" t="n"/>
      <c r="O107" s="5" t="n">
        <v>1156</v>
      </c>
      <c r="P107" s="5" t="n">
        <v>1156</v>
      </c>
      <c r="Q107" s="5" t="n"/>
      <c r="R107" s="5" t="n"/>
    </row>
    <row r="108">
      <c r="A108" s="2" t="inlineStr">
        <is>
          <t>EJ310123.TXT</t>
        </is>
      </c>
      <c r="B108" s="3" t="inlineStr">
        <is>
          <t>004623</t>
        </is>
      </c>
      <c r="C108" s="3" t="inlineStr">
        <is>
          <t>003668</t>
        </is>
      </c>
      <c r="D108" s="4" t="n">
        <v>44953</v>
      </c>
      <c r="E108" s="2" t="inlineStr">
        <is>
          <t>11:14</t>
        </is>
      </c>
      <c r="F108" s="5" t="n">
        <v>747.5</v>
      </c>
      <c r="G108" s="5" t="n"/>
      <c r="H108" s="5" t="n"/>
      <c r="I108" s="5" t="n"/>
      <c r="J108" s="5" t="n">
        <v>149.5</v>
      </c>
      <c r="K108" s="5" t="n"/>
      <c r="L108" s="5" t="n"/>
      <c r="M108" s="5" t="n"/>
      <c r="N108" s="5" t="n"/>
      <c r="O108" s="5" t="n">
        <v>897</v>
      </c>
      <c r="P108" s="5" t="n"/>
      <c r="Q108" s="5" t="n">
        <v>897</v>
      </c>
      <c r="R108" s="5" t="n"/>
    </row>
    <row r="109">
      <c r="A109" s="2" t="inlineStr">
        <is>
          <t>EJ310123.TXT</t>
        </is>
      </c>
      <c r="B109" s="3" t="inlineStr">
        <is>
          <t>004624</t>
        </is>
      </c>
      <c r="C109" s="3" t="inlineStr">
        <is>
          <t>003669</t>
        </is>
      </c>
      <c r="D109" s="4" t="n">
        <v>44953</v>
      </c>
      <c r="E109" s="2" t="inlineStr">
        <is>
          <t>16:22</t>
        </is>
      </c>
      <c r="F109" s="5" t="n">
        <v>249.17</v>
      </c>
      <c r="G109" s="5" t="n"/>
      <c r="H109" s="5" t="n"/>
      <c r="I109" s="5" t="n"/>
      <c r="J109" s="5" t="n">
        <v>49.83</v>
      </c>
      <c r="K109" s="5" t="n"/>
      <c r="L109" s="5" t="n"/>
      <c r="M109" s="5" t="n"/>
      <c r="N109" s="5" t="n"/>
      <c r="O109" s="5" t="n">
        <v>299</v>
      </c>
      <c r="P109" s="5" t="n"/>
      <c r="Q109" s="5" t="n">
        <v>299</v>
      </c>
      <c r="R109" s="5" t="n"/>
    </row>
    <row r="110">
      <c r="A110" s="2" t="inlineStr">
        <is>
          <t>EJ310123.TXT</t>
        </is>
      </c>
      <c r="B110" s="3" t="inlineStr">
        <is>
          <t>004625</t>
        </is>
      </c>
      <c r="C110" s="3" t="inlineStr">
        <is>
          <t>003670</t>
        </is>
      </c>
      <c r="D110" s="4" t="n">
        <v>44953</v>
      </c>
      <c r="E110" s="2" t="inlineStr">
        <is>
          <t>16:58</t>
        </is>
      </c>
      <c r="F110" s="5" t="n">
        <v>498.33</v>
      </c>
      <c r="G110" s="5" t="n"/>
      <c r="H110" s="5" t="n"/>
      <c r="I110" s="5" t="n"/>
      <c r="J110" s="5" t="n">
        <v>99.67</v>
      </c>
      <c r="K110" s="5" t="n"/>
      <c r="L110" s="5" t="n"/>
      <c r="M110" s="5" t="n"/>
      <c r="N110" s="5" t="n"/>
      <c r="O110" s="5" t="n">
        <v>598</v>
      </c>
      <c r="P110" s="5" t="n">
        <v>598</v>
      </c>
      <c r="Q110" s="5" t="n"/>
      <c r="R110" s="5" t="n"/>
    </row>
    <row r="111">
      <c r="A111" s="2" t="inlineStr">
        <is>
          <t>EJ310123.TXT</t>
        </is>
      </c>
      <c r="B111" s="3" t="inlineStr">
        <is>
          <t>004626</t>
        </is>
      </c>
      <c r="C111" s="3" t="inlineStr">
        <is>
          <t>003671</t>
        </is>
      </c>
      <c r="D111" s="4" t="n">
        <v>44953</v>
      </c>
      <c r="E111" s="2" t="inlineStr">
        <is>
          <t>17:40</t>
        </is>
      </c>
      <c r="F111" s="5" t="n">
        <v>331.67</v>
      </c>
      <c r="G111" s="5" t="n"/>
      <c r="H111" s="5" t="n"/>
      <c r="I111" s="5" t="n"/>
      <c r="J111" s="5" t="n">
        <v>66.33</v>
      </c>
      <c r="K111" s="5" t="n"/>
      <c r="L111" s="5" t="n"/>
      <c r="M111" s="5" t="n"/>
      <c r="N111" s="5" t="n"/>
      <c r="O111" s="5" t="n">
        <v>398</v>
      </c>
      <c r="P111" s="5" t="n">
        <v>398</v>
      </c>
      <c r="Q111" s="5" t="n"/>
      <c r="R111" s="5" t="n"/>
    </row>
    <row r="112">
      <c r="A112" s="2" t="inlineStr">
        <is>
          <t>EJ310123.TXT</t>
        </is>
      </c>
      <c r="B112" s="3" t="inlineStr">
        <is>
          <t>004627</t>
        </is>
      </c>
      <c r="C112" s="3" t="inlineStr">
        <is>
          <t>003672</t>
        </is>
      </c>
      <c r="D112" s="4" t="n">
        <v>44953</v>
      </c>
      <c r="E112" s="2" t="inlineStr">
        <is>
          <t>18:11</t>
        </is>
      </c>
      <c r="F112" s="5" t="n">
        <v>350</v>
      </c>
      <c r="G112" s="5" t="n"/>
      <c r="H112" s="5" t="n"/>
      <c r="I112" s="5" t="n"/>
      <c r="J112" s="5" t="n">
        <v>70</v>
      </c>
      <c r="K112" s="5" t="n"/>
      <c r="L112" s="5" t="n"/>
      <c r="M112" s="5" t="n"/>
      <c r="N112" s="5" t="n"/>
      <c r="O112" s="5" t="n">
        <v>420</v>
      </c>
      <c r="P112" s="5" t="n"/>
      <c r="Q112" s="5" t="n">
        <v>420</v>
      </c>
      <c r="R112" s="5" t="n"/>
    </row>
    <row r="113">
      <c r="A113" s="2" t="inlineStr">
        <is>
          <t>EJ310123.TXT</t>
        </is>
      </c>
      <c r="B113" s="3" t="inlineStr">
        <is>
          <t>004628</t>
        </is>
      </c>
      <c r="C113" s="3" t="inlineStr">
        <is>
          <t>003673</t>
        </is>
      </c>
      <c r="D113" s="4" t="n">
        <v>44953</v>
      </c>
      <c r="E113" s="2" t="inlineStr">
        <is>
          <t>18:36</t>
        </is>
      </c>
      <c r="F113" s="5" t="n">
        <v>144.17</v>
      </c>
      <c r="G113" s="5" t="n"/>
      <c r="H113" s="5" t="n"/>
      <c r="I113" s="5" t="n"/>
      <c r="J113" s="5" t="n">
        <v>28.83</v>
      </c>
      <c r="K113" s="5" t="n"/>
      <c r="L113" s="5" t="n"/>
      <c r="M113" s="5" t="n"/>
      <c r="N113" s="5" t="n"/>
      <c r="O113" s="5" t="n">
        <v>173</v>
      </c>
      <c r="P113" s="5" t="n"/>
      <c r="Q113" s="5" t="n">
        <v>173</v>
      </c>
      <c r="R113" s="5" t="n"/>
    </row>
    <row r="114">
      <c r="A114" s="2" t="inlineStr">
        <is>
          <t>EJ310123.TXT</t>
        </is>
      </c>
      <c r="B114" s="3" t="inlineStr">
        <is>
          <t>004629</t>
        </is>
      </c>
      <c r="C114" s="3" t="inlineStr">
        <is>
          <t>003674</t>
        </is>
      </c>
      <c r="D114" s="4" t="n">
        <v>44954</v>
      </c>
      <c r="E114" s="2" t="inlineStr">
        <is>
          <t>15:44</t>
        </is>
      </c>
      <c r="F114" s="5" t="n">
        <v>24.83</v>
      </c>
      <c r="G114" s="5" t="n"/>
      <c r="H114" s="5" t="n"/>
      <c r="I114" s="5" t="n"/>
      <c r="J114" s="5" t="n">
        <v>4.97</v>
      </c>
      <c r="K114" s="5" t="n"/>
      <c r="L114" s="5" t="n"/>
      <c r="M114" s="5" t="n"/>
      <c r="N114" s="5" t="n"/>
      <c r="O114" s="5" t="n">
        <v>29.8</v>
      </c>
      <c r="P114" s="5" t="n"/>
      <c r="Q114" s="5" t="n">
        <v>29.8</v>
      </c>
      <c r="R114" s="5" t="n"/>
    </row>
    <row r="115">
      <c r="A115" s="2" t="inlineStr">
        <is>
          <t>EJ310123.TXT</t>
        </is>
      </c>
      <c r="B115" s="3" t="inlineStr">
        <is>
          <t>004630</t>
        </is>
      </c>
      <c r="C115" s="3" t="inlineStr">
        <is>
          <t>003675</t>
        </is>
      </c>
      <c r="D115" s="4" t="n">
        <v>44954</v>
      </c>
      <c r="E115" s="2" t="inlineStr">
        <is>
          <t>16:02</t>
        </is>
      </c>
      <c r="F115" s="5" t="n">
        <v>73.33</v>
      </c>
      <c r="G115" s="5" t="n"/>
      <c r="H115" s="5" t="n"/>
      <c r="I115" s="5" t="n"/>
      <c r="J115" s="5" t="n">
        <v>14.67</v>
      </c>
      <c r="K115" s="5" t="n"/>
      <c r="L115" s="5" t="n"/>
      <c r="M115" s="5" t="n"/>
      <c r="N115" s="5" t="n"/>
      <c r="O115" s="5" t="n">
        <v>88</v>
      </c>
      <c r="P115" s="5" t="n"/>
      <c r="Q115" s="5" t="n">
        <v>88</v>
      </c>
      <c r="R115" s="5" t="n"/>
    </row>
    <row r="116">
      <c r="A116" s="2" t="inlineStr">
        <is>
          <t>EJ310123.TXT</t>
        </is>
      </c>
      <c r="B116" s="3" t="inlineStr">
        <is>
          <t>004631</t>
        </is>
      </c>
      <c r="C116" s="3" t="inlineStr">
        <is>
          <t>003676</t>
        </is>
      </c>
      <c r="D116" s="4" t="n">
        <v>44954</v>
      </c>
      <c r="E116" s="2" t="inlineStr">
        <is>
          <t>16:13</t>
        </is>
      </c>
      <c r="F116" s="5" t="n">
        <v>996.67</v>
      </c>
      <c r="G116" s="5" t="n"/>
      <c r="H116" s="5" t="n"/>
      <c r="I116" s="5" t="n"/>
      <c r="J116" s="5" t="n">
        <v>199.33</v>
      </c>
      <c r="K116" s="5" t="n"/>
      <c r="L116" s="5" t="n"/>
      <c r="M116" s="5" t="n"/>
      <c r="N116" s="5" t="n"/>
      <c r="O116" s="5" t="n">
        <v>1196</v>
      </c>
      <c r="P116" s="5" t="n">
        <v>1196</v>
      </c>
      <c r="Q116" s="5" t="n"/>
      <c r="R116" s="5" t="n"/>
    </row>
    <row r="117">
      <c r="A117" s="2" t="inlineStr">
        <is>
          <t>EJ310123.TXT</t>
        </is>
      </c>
      <c r="B117" s="3" t="inlineStr">
        <is>
          <t>004632</t>
        </is>
      </c>
      <c r="C117" s="3" t="inlineStr">
        <is>
          <t>003677</t>
        </is>
      </c>
      <c r="D117" s="4" t="n">
        <v>44954</v>
      </c>
      <c r="E117" s="2" t="inlineStr">
        <is>
          <t>16:51</t>
        </is>
      </c>
      <c r="F117" s="5" t="n">
        <v>249.17</v>
      </c>
      <c r="G117" s="5" t="n"/>
      <c r="H117" s="5" t="n"/>
      <c r="I117" s="5" t="n"/>
      <c r="J117" s="5" t="n">
        <v>49.83</v>
      </c>
      <c r="K117" s="5" t="n"/>
      <c r="L117" s="5" t="n"/>
      <c r="M117" s="5" t="n"/>
      <c r="N117" s="5" t="n"/>
      <c r="O117" s="5" t="n">
        <v>299</v>
      </c>
      <c r="P117" s="5" t="n"/>
      <c r="Q117" s="5" t="n">
        <v>299</v>
      </c>
      <c r="R117" s="5" t="n"/>
    </row>
    <row r="118">
      <c r="A118" s="2" t="inlineStr">
        <is>
          <t>EJ310123.TXT</t>
        </is>
      </c>
      <c r="B118" s="3" t="inlineStr">
        <is>
          <t>004633</t>
        </is>
      </c>
      <c r="C118" s="3" t="inlineStr">
        <is>
          <t>003678</t>
        </is>
      </c>
      <c r="D118" s="4" t="n">
        <v>44954</v>
      </c>
      <c r="E118" s="2" t="inlineStr">
        <is>
          <t>18:41</t>
        </is>
      </c>
      <c r="F118" s="5" t="n">
        <v>625</v>
      </c>
      <c r="G118" s="5" t="n"/>
      <c r="H118" s="5" t="n"/>
      <c r="I118" s="5" t="n"/>
      <c r="J118" s="5" t="n">
        <v>125</v>
      </c>
      <c r="K118" s="5" t="n"/>
      <c r="L118" s="5" t="n"/>
      <c r="M118" s="5" t="n"/>
      <c r="N118" s="5" t="n"/>
      <c r="O118" s="5" t="n">
        <v>750</v>
      </c>
      <c r="P118" s="5" t="n"/>
      <c r="Q118" s="5" t="n">
        <v>750</v>
      </c>
      <c r="R118" s="5" t="n"/>
    </row>
    <row r="119">
      <c r="A119" s="2" t="inlineStr">
        <is>
          <t>EJ310123.TXT</t>
        </is>
      </c>
      <c r="B119" s="3" t="inlineStr">
        <is>
          <t>004634</t>
        </is>
      </c>
      <c r="C119" s="3" t="inlineStr">
        <is>
          <t>003679</t>
        </is>
      </c>
      <c r="D119" s="4" t="n">
        <v>44954</v>
      </c>
      <c r="E119" s="2" t="inlineStr">
        <is>
          <t>18:42</t>
        </is>
      </c>
      <c r="F119" s="5" t="n">
        <v>625</v>
      </c>
      <c r="G119" s="5" t="n"/>
      <c r="H119" s="5" t="n"/>
      <c r="I119" s="5" t="n"/>
      <c r="J119" s="5" t="n">
        <v>125</v>
      </c>
      <c r="K119" s="5" t="n"/>
      <c r="L119" s="5" t="n"/>
      <c r="M119" s="5" t="n"/>
      <c r="N119" s="5" t="n"/>
      <c r="O119" s="5" t="n">
        <v>750</v>
      </c>
      <c r="P119" s="5" t="n"/>
      <c r="Q119" s="5" t="n">
        <v>750</v>
      </c>
      <c r="R119" s="5" t="n"/>
    </row>
    <row r="120">
      <c r="A120" s="2" t="inlineStr">
        <is>
          <t>EJ310123.TXT</t>
        </is>
      </c>
      <c r="B120" s="3" t="inlineStr">
        <is>
          <t>004635</t>
        </is>
      </c>
      <c r="C120" s="3" t="inlineStr">
        <is>
          <t>003680</t>
        </is>
      </c>
      <c r="D120" s="4" t="n">
        <v>44954</v>
      </c>
      <c r="E120" s="2" t="inlineStr">
        <is>
          <t>18:53</t>
        </is>
      </c>
      <c r="F120" s="5" t="n">
        <v>75</v>
      </c>
      <c r="G120" s="5" t="n"/>
      <c r="H120" s="5" t="n"/>
      <c r="I120" s="5" t="n"/>
      <c r="J120" s="5" t="n">
        <v>15</v>
      </c>
      <c r="K120" s="5" t="n"/>
      <c r="L120" s="5" t="n"/>
      <c r="M120" s="5" t="n"/>
      <c r="N120" s="5" t="n"/>
      <c r="O120" s="5" t="n">
        <v>90</v>
      </c>
      <c r="P120" s="5" t="n"/>
      <c r="Q120" s="5" t="n">
        <v>90</v>
      </c>
      <c r="R120" s="5" t="n"/>
    </row>
    <row r="121">
      <c r="A121" s="2" t="inlineStr">
        <is>
          <t>EJ310123.TXT</t>
        </is>
      </c>
      <c r="B121" s="3" t="inlineStr">
        <is>
          <t>004636</t>
        </is>
      </c>
      <c r="C121" s="3" t="inlineStr">
        <is>
          <t>003681</t>
        </is>
      </c>
      <c r="D121" s="4" t="n">
        <v>44956</v>
      </c>
      <c r="E121" s="2" t="inlineStr">
        <is>
          <t>18:18</t>
        </is>
      </c>
      <c r="F121" s="5" t="n">
        <v>354.17</v>
      </c>
      <c r="G121" s="5" t="n"/>
      <c r="H121" s="5" t="n"/>
      <c r="I121" s="5" t="n"/>
      <c r="J121" s="5" t="n">
        <v>70.83</v>
      </c>
      <c r="K121" s="5" t="n"/>
      <c r="L121" s="5" t="n"/>
      <c r="M121" s="5" t="n"/>
      <c r="N121" s="5" t="n"/>
      <c r="O121" s="5" t="n">
        <v>425</v>
      </c>
      <c r="P121" s="5" t="n"/>
      <c r="Q121" s="5" t="n">
        <v>425</v>
      </c>
      <c r="R121" s="5" t="n"/>
    </row>
    <row r="122">
      <c r="A122" s="2" t="inlineStr">
        <is>
          <t>EJ310123.TXT</t>
        </is>
      </c>
      <c r="B122" s="3" t="inlineStr">
        <is>
          <t>004637</t>
        </is>
      </c>
      <c r="C122" s="3" t="inlineStr">
        <is>
          <t>003682</t>
        </is>
      </c>
      <c r="D122" s="4" t="n">
        <v>44957</v>
      </c>
      <c r="E122" s="2" t="inlineStr">
        <is>
          <t>15:46</t>
        </is>
      </c>
      <c r="F122" s="5" t="n">
        <v>483.33</v>
      </c>
      <c r="G122" s="5" t="n"/>
      <c r="H122" s="5" t="n"/>
      <c r="I122" s="5" t="n"/>
      <c r="J122" s="5" t="n">
        <v>96.67</v>
      </c>
      <c r="K122" s="5" t="n"/>
      <c r="L122" s="5" t="n"/>
      <c r="M122" s="5" t="n"/>
      <c r="N122" s="5" t="n"/>
      <c r="O122" s="5" t="n">
        <v>580</v>
      </c>
      <c r="P122" s="5" t="n"/>
      <c r="Q122" s="5" t="n">
        <v>580</v>
      </c>
      <c r="R122" s="5" t="n"/>
    </row>
    <row r="123">
      <c r="A123" s="2" t="inlineStr">
        <is>
          <t>EJ030323.TXT</t>
        </is>
      </c>
      <c r="B123" s="3" t="inlineStr">
        <is>
          <t>004645</t>
        </is>
      </c>
      <c r="C123" s="3" t="inlineStr">
        <is>
          <t>003683</t>
        </is>
      </c>
      <c r="D123" s="4" t="n">
        <v>44958</v>
      </c>
      <c r="E123" s="2" t="inlineStr">
        <is>
          <t>13:11</t>
        </is>
      </c>
      <c r="F123" s="5" t="n">
        <v>144.17</v>
      </c>
      <c r="G123" s="5" t="n"/>
      <c r="H123" s="5" t="n"/>
      <c r="I123" s="5" t="n"/>
      <c r="J123" s="5" t="n">
        <v>28.83</v>
      </c>
      <c r="K123" s="5" t="n"/>
      <c r="L123" s="5" t="n"/>
      <c r="M123" s="5" t="n"/>
      <c r="N123" s="5" t="n"/>
      <c r="O123" s="5" t="n">
        <v>173</v>
      </c>
      <c r="P123" s="5" t="n"/>
      <c r="Q123" s="5" t="n">
        <v>173</v>
      </c>
      <c r="R123" s="5" t="n"/>
    </row>
    <row r="124">
      <c r="A124" s="2" t="inlineStr">
        <is>
          <t>EJ030323.TXT</t>
        </is>
      </c>
      <c r="B124" s="3" t="inlineStr">
        <is>
          <t>004646</t>
        </is>
      </c>
      <c r="C124" s="3" t="inlineStr">
        <is>
          <t>003684</t>
        </is>
      </c>
      <c r="D124" s="4" t="n">
        <v>44958</v>
      </c>
      <c r="E124" s="2" t="inlineStr">
        <is>
          <t>16:34</t>
        </is>
      </c>
      <c r="F124" s="5" t="n">
        <v>124.17</v>
      </c>
      <c r="G124" s="5" t="n"/>
      <c r="H124" s="5" t="n"/>
      <c r="I124" s="5" t="n"/>
      <c r="J124" s="5" t="n">
        <v>24.83</v>
      </c>
      <c r="K124" s="5" t="n"/>
      <c r="L124" s="5" t="n"/>
      <c r="M124" s="5" t="n"/>
      <c r="N124" s="5" t="n"/>
      <c r="O124" s="5" t="n">
        <v>149</v>
      </c>
      <c r="P124" s="5" t="n">
        <v>149</v>
      </c>
      <c r="Q124" s="5" t="n"/>
      <c r="R124" s="5" t="n"/>
    </row>
    <row r="125">
      <c r="A125" s="2" t="inlineStr">
        <is>
          <t>EJ030323.TXT</t>
        </is>
      </c>
      <c r="B125" s="3" t="inlineStr">
        <is>
          <t>004647</t>
        </is>
      </c>
      <c r="C125" s="3" t="inlineStr">
        <is>
          <t>003685</t>
        </is>
      </c>
      <c r="D125" s="4" t="n">
        <v>44958</v>
      </c>
      <c r="E125" s="2" t="inlineStr">
        <is>
          <t>16:39</t>
        </is>
      </c>
      <c r="F125" s="5" t="n">
        <v>725</v>
      </c>
      <c r="G125" s="5" t="n"/>
      <c r="H125" s="5" t="n"/>
      <c r="I125" s="5" t="n"/>
      <c r="J125" s="5" t="n">
        <v>145</v>
      </c>
      <c r="K125" s="5" t="n"/>
      <c r="L125" s="5" t="n"/>
      <c r="M125" s="5" t="n"/>
      <c r="N125" s="5" t="n"/>
      <c r="O125" s="5" t="n">
        <v>870</v>
      </c>
      <c r="P125" s="5" t="n"/>
      <c r="Q125" s="5" t="n">
        <v>870</v>
      </c>
      <c r="R125" s="5" t="n"/>
    </row>
    <row r="126">
      <c r="A126" s="2" t="inlineStr">
        <is>
          <t>EJ030323.TXT</t>
        </is>
      </c>
      <c r="B126" s="3" t="inlineStr">
        <is>
          <t>004648</t>
        </is>
      </c>
      <c r="C126" s="3" t="inlineStr">
        <is>
          <t>003686</t>
        </is>
      </c>
      <c r="D126" s="4" t="n">
        <v>44958</v>
      </c>
      <c r="E126" s="2" t="inlineStr">
        <is>
          <t>16:40</t>
        </is>
      </c>
      <c r="F126" s="5" t="n">
        <v>725</v>
      </c>
      <c r="G126" s="5" t="n"/>
      <c r="H126" s="5" t="n"/>
      <c r="I126" s="5" t="n"/>
      <c r="J126" s="5" t="n">
        <v>145</v>
      </c>
      <c r="K126" s="5" t="n"/>
      <c r="L126" s="5" t="n"/>
      <c r="M126" s="5" t="n"/>
      <c r="N126" s="5" t="n"/>
      <c r="O126" s="5" t="n">
        <v>870</v>
      </c>
      <c r="P126" s="5" t="n"/>
      <c r="Q126" s="5" t="n">
        <v>870</v>
      </c>
      <c r="R126" s="5" t="n"/>
    </row>
    <row r="127">
      <c r="A127" s="2" t="inlineStr">
        <is>
          <t>EJ030323.TXT</t>
        </is>
      </c>
      <c r="B127" s="3" t="inlineStr">
        <is>
          <t>004649</t>
        </is>
      </c>
      <c r="C127" s="3" t="inlineStr">
        <is>
          <t>003687</t>
        </is>
      </c>
      <c r="D127" s="4" t="n">
        <v>44958</v>
      </c>
      <c r="E127" s="2" t="inlineStr">
        <is>
          <t>16:41</t>
        </is>
      </c>
      <c r="F127" s="5" t="n">
        <v>166.67</v>
      </c>
      <c r="G127" s="5" t="n"/>
      <c r="H127" s="5" t="n"/>
      <c r="I127" s="5" t="n"/>
      <c r="J127" s="5" t="n">
        <v>33.33</v>
      </c>
      <c r="K127" s="5" t="n"/>
      <c r="L127" s="5" t="n"/>
      <c r="M127" s="5" t="n"/>
      <c r="N127" s="5" t="n"/>
      <c r="O127" s="5" t="n">
        <v>200</v>
      </c>
      <c r="P127" s="5" t="n"/>
      <c r="Q127" s="5" t="n">
        <v>200</v>
      </c>
      <c r="R127" s="5" t="n"/>
    </row>
    <row r="128">
      <c r="A128" s="2" t="inlineStr">
        <is>
          <t>EJ030323.TXT</t>
        </is>
      </c>
      <c r="B128" s="3" t="inlineStr">
        <is>
          <t>004650</t>
        </is>
      </c>
      <c r="C128" s="3" t="inlineStr">
        <is>
          <t>003688</t>
        </is>
      </c>
      <c r="D128" s="4" t="n">
        <v>44959</v>
      </c>
      <c r="E128" s="2" t="inlineStr">
        <is>
          <t>17:13</t>
        </is>
      </c>
      <c r="F128" s="5" t="n">
        <v>166.67</v>
      </c>
      <c r="G128" s="5" t="n"/>
      <c r="H128" s="5" t="n"/>
      <c r="I128" s="5" t="n"/>
      <c r="J128" s="5" t="n">
        <v>33.33</v>
      </c>
      <c r="K128" s="5" t="n"/>
      <c r="L128" s="5" t="n"/>
      <c r="M128" s="5" t="n"/>
      <c r="N128" s="5" t="n"/>
      <c r="O128" s="5" t="n">
        <v>200</v>
      </c>
      <c r="P128" s="5" t="n"/>
      <c r="Q128" s="5" t="n">
        <v>200</v>
      </c>
      <c r="R128" s="5" t="n"/>
    </row>
    <row r="129">
      <c r="A129" s="2" t="inlineStr">
        <is>
          <t>EJ030323.TXT</t>
        </is>
      </c>
      <c r="B129" s="3" t="inlineStr">
        <is>
          <t>004651</t>
        </is>
      </c>
      <c r="C129" s="3" t="inlineStr">
        <is>
          <t>003689</t>
        </is>
      </c>
      <c r="D129" s="4" t="n">
        <v>44959</v>
      </c>
      <c r="E129" s="2" t="inlineStr">
        <is>
          <t>17:30</t>
        </is>
      </c>
      <c r="F129" s="5" t="n">
        <v>166.67</v>
      </c>
      <c r="G129" s="5" t="n"/>
      <c r="H129" s="5" t="n"/>
      <c r="I129" s="5" t="n"/>
      <c r="J129" s="5" t="n">
        <v>33.33</v>
      </c>
      <c r="K129" s="5" t="n"/>
      <c r="L129" s="5" t="n"/>
      <c r="M129" s="5" t="n"/>
      <c r="N129" s="5" t="n"/>
      <c r="O129" s="5" t="n">
        <v>200</v>
      </c>
      <c r="P129" s="5" t="n"/>
      <c r="Q129" s="5" t="n">
        <v>200</v>
      </c>
      <c r="R129" s="5" t="n"/>
    </row>
    <row r="130">
      <c r="A130" s="2" t="inlineStr">
        <is>
          <t>EJ030323.TXT</t>
        </is>
      </c>
      <c r="B130" s="3" t="inlineStr">
        <is>
          <t>004652</t>
        </is>
      </c>
      <c r="C130" s="3" t="inlineStr">
        <is>
          <t>003690</t>
        </is>
      </c>
      <c r="D130" s="4" t="n">
        <v>44960</v>
      </c>
      <c r="E130" s="2" t="inlineStr">
        <is>
          <t>10:40</t>
        </is>
      </c>
      <c r="F130" s="5" t="n">
        <v>822.5</v>
      </c>
      <c r="G130" s="5" t="n"/>
      <c r="H130" s="5" t="n"/>
      <c r="I130" s="5" t="n"/>
      <c r="J130" s="5" t="n">
        <v>164.5</v>
      </c>
      <c r="K130" s="5" t="n"/>
      <c r="L130" s="5" t="n"/>
      <c r="M130" s="5" t="n"/>
      <c r="N130" s="5" t="n"/>
      <c r="O130" s="5" t="n">
        <v>987</v>
      </c>
      <c r="P130" s="5" t="n"/>
      <c r="Q130" s="5" t="n">
        <v>987</v>
      </c>
      <c r="R130" s="5" t="n"/>
    </row>
    <row r="131">
      <c r="A131" s="2" t="inlineStr">
        <is>
          <t>EJ030323.TXT</t>
        </is>
      </c>
      <c r="B131" s="3" t="inlineStr">
        <is>
          <t>004653</t>
        </is>
      </c>
      <c r="C131" s="3" t="inlineStr">
        <is>
          <t>003691</t>
        </is>
      </c>
      <c r="D131" s="4" t="n">
        <v>44960</v>
      </c>
      <c r="E131" s="2" t="inlineStr">
        <is>
          <t>11:55</t>
        </is>
      </c>
      <c r="F131" s="5" t="n">
        <v>166.67</v>
      </c>
      <c r="G131" s="5" t="n"/>
      <c r="H131" s="5" t="n"/>
      <c r="I131" s="5" t="n"/>
      <c r="J131" s="5" t="n">
        <v>33.33</v>
      </c>
      <c r="K131" s="5" t="n"/>
      <c r="L131" s="5" t="n"/>
      <c r="M131" s="5" t="n"/>
      <c r="N131" s="5" t="n"/>
      <c r="O131" s="5" t="n">
        <v>200</v>
      </c>
      <c r="P131" s="5" t="n"/>
      <c r="Q131" s="5" t="n">
        <v>200</v>
      </c>
      <c r="R131" s="5" t="n"/>
    </row>
    <row r="132">
      <c r="A132" s="2" t="inlineStr">
        <is>
          <t>EJ030323.TXT</t>
        </is>
      </c>
      <c r="B132" s="3" t="inlineStr">
        <is>
          <t>004654</t>
        </is>
      </c>
      <c r="C132" s="3" t="inlineStr">
        <is>
          <t>003692</t>
        </is>
      </c>
      <c r="D132" s="4" t="n">
        <v>44960</v>
      </c>
      <c r="E132" s="2" t="inlineStr">
        <is>
          <t>11:57</t>
        </is>
      </c>
      <c r="F132" s="5" t="n">
        <v>208.33</v>
      </c>
      <c r="G132" s="5" t="n"/>
      <c r="H132" s="5" t="n"/>
      <c r="I132" s="5" t="n"/>
      <c r="J132" s="5" t="n">
        <v>41.67</v>
      </c>
      <c r="K132" s="5" t="n"/>
      <c r="L132" s="5" t="n"/>
      <c r="M132" s="5" t="n"/>
      <c r="N132" s="5" t="n"/>
      <c r="O132" s="5" t="n">
        <v>250</v>
      </c>
      <c r="P132" s="5" t="n"/>
      <c r="Q132" s="5" t="n">
        <v>250</v>
      </c>
      <c r="R132" s="5" t="n"/>
    </row>
    <row r="133">
      <c r="A133" s="2" t="inlineStr">
        <is>
          <t>EJ030323.TXT</t>
        </is>
      </c>
      <c r="B133" s="3" t="inlineStr">
        <is>
          <t>004655</t>
        </is>
      </c>
      <c r="C133" s="3" t="inlineStr">
        <is>
          <t>003693</t>
        </is>
      </c>
      <c r="D133" s="4" t="n">
        <v>44960</v>
      </c>
      <c r="E133" s="2" t="inlineStr">
        <is>
          <t>14:51</t>
        </is>
      </c>
      <c r="F133" s="5" t="n">
        <v>799.17</v>
      </c>
      <c r="G133" s="5" t="n"/>
      <c r="H133" s="5" t="n"/>
      <c r="I133" s="5" t="n"/>
      <c r="J133" s="5" t="n">
        <v>159.83</v>
      </c>
      <c r="K133" s="5" t="n"/>
      <c r="L133" s="5" t="n"/>
      <c r="M133" s="5" t="n"/>
      <c r="N133" s="5" t="n"/>
      <c r="O133" s="5" t="n">
        <v>959</v>
      </c>
      <c r="P133" s="5" t="n"/>
      <c r="Q133" s="5" t="n">
        <v>959</v>
      </c>
      <c r="R133" s="5" t="n"/>
    </row>
    <row r="134">
      <c r="A134" s="2" t="inlineStr">
        <is>
          <t>EJ030323.TXT</t>
        </is>
      </c>
      <c r="B134" s="3" t="inlineStr">
        <is>
          <t>004656</t>
        </is>
      </c>
      <c r="C134" s="3" t="inlineStr">
        <is>
          <t>003694</t>
        </is>
      </c>
      <c r="D134" s="4" t="n">
        <v>44960</v>
      </c>
      <c r="E134" s="2" t="inlineStr">
        <is>
          <t>14:51</t>
        </is>
      </c>
      <c r="F134" s="5" t="n">
        <v>799.17</v>
      </c>
      <c r="G134" s="5" t="n"/>
      <c r="H134" s="5" t="n"/>
      <c r="I134" s="5" t="n"/>
      <c r="J134" s="5" t="n">
        <v>159.83</v>
      </c>
      <c r="K134" s="5" t="n"/>
      <c r="L134" s="5" t="n"/>
      <c r="M134" s="5" t="n"/>
      <c r="N134" s="5" t="n"/>
      <c r="O134" s="5" t="n">
        <v>959</v>
      </c>
      <c r="P134" s="5" t="n"/>
      <c r="Q134" s="5" t="n">
        <v>959</v>
      </c>
      <c r="R134" s="5" t="n"/>
    </row>
    <row r="135">
      <c r="A135" s="2" t="inlineStr">
        <is>
          <t>EJ030323.TXT</t>
        </is>
      </c>
      <c r="B135" s="3" t="inlineStr">
        <is>
          <t>004657</t>
        </is>
      </c>
      <c r="C135" s="3" t="inlineStr">
        <is>
          <t>003695</t>
        </is>
      </c>
      <c r="D135" s="4" t="n">
        <v>44960</v>
      </c>
      <c r="E135" s="2" t="inlineStr">
        <is>
          <t>14:51</t>
        </is>
      </c>
      <c r="F135" s="5" t="n">
        <v>733.33</v>
      </c>
      <c r="G135" s="5" t="n"/>
      <c r="H135" s="5" t="n"/>
      <c r="I135" s="5" t="n"/>
      <c r="J135" s="5" t="n">
        <v>146.67</v>
      </c>
      <c r="K135" s="5" t="n"/>
      <c r="L135" s="5" t="n"/>
      <c r="M135" s="5" t="n"/>
      <c r="N135" s="5" t="n"/>
      <c r="O135" s="5" t="n">
        <v>880</v>
      </c>
      <c r="P135" s="5" t="n"/>
      <c r="Q135" s="5" t="n">
        <v>880</v>
      </c>
      <c r="R135" s="5" t="n"/>
    </row>
    <row r="136">
      <c r="A136" s="2" t="inlineStr">
        <is>
          <t>EJ030323.TXT</t>
        </is>
      </c>
      <c r="B136" s="3" t="inlineStr">
        <is>
          <t>004658</t>
        </is>
      </c>
      <c r="C136" s="3" t="inlineStr">
        <is>
          <t>003696</t>
        </is>
      </c>
      <c r="D136" s="4" t="n">
        <v>44960</v>
      </c>
      <c r="E136" s="2" t="inlineStr">
        <is>
          <t>14:51</t>
        </is>
      </c>
      <c r="F136" s="5" t="n">
        <v>733.33</v>
      </c>
      <c r="G136" s="5" t="n"/>
      <c r="H136" s="5" t="n"/>
      <c r="I136" s="5" t="n"/>
      <c r="J136" s="5" t="n">
        <v>146.67</v>
      </c>
      <c r="K136" s="5" t="n"/>
      <c r="L136" s="5" t="n"/>
      <c r="M136" s="5" t="n"/>
      <c r="N136" s="5" t="n"/>
      <c r="O136" s="5" t="n">
        <v>880</v>
      </c>
      <c r="P136" s="5" t="n"/>
      <c r="Q136" s="5" t="n">
        <v>880</v>
      </c>
      <c r="R136" s="5" t="n"/>
    </row>
    <row r="137">
      <c r="A137" s="2" t="inlineStr">
        <is>
          <t>EJ030323.TXT</t>
        </is>
      </c>
      <c r="B137" s="3" t="inlineStr">
        <is>
          <t>004659</t>
        </is>
      </c>
      <c r="C137" s="3" t="inlineStr">
        <is>
          <t>003697</t>
        </is>
      </c>
      <c r="D137" s="4" t="n">
        <v>44960</v>
      </c>
      <c r="E137" s="2" t="inlineStr">
        <is>
          <t>14:51</t>
        </is>
      </c>
      <c r="F137" s="5" t="n">
        <v>650</v>
      </c>
      <c r="G137" s="5" t="n"/>
      <c r="H137" s="5" t="n"/>
      <c r="I137" s="5" t="n"/>
      <c r="J137" s="5" t="n">
        <v>130</v>
      </c>
      <c r="K137" s="5" t="n"/>
      <c r="L137" s="5" t="n"/>
      <c r="M137" s="5" t="n"/>
      <c r="N137" s="5" t="n"/>
      <c r="O137" s="5" t="n">
        <v>780</v>
      </c>
      <c r="P137" s="5" t="n"/>
      <c r="Q137" s="5" t="n">
        <v>780</v>
      </c>
      <c r="R137" s="5" t="n"/>
    </row>
    <row r="138">
      <c r="A138" s="2" t="inlineStr">
        <is>
          <t>EJ030323.TXT</t>
        </is>
      </c>
      <c r="B138" s="3" t="inlineStr">
        <is>
          <t>004660</t>
        </is>
      </c>
      <c r="C138" s="3" t="inlineStr">
        <is>
          <t>003698</t>
        </is>
      </c>
      <c r="D138" s="4" t="n">
        <v>44960</v>
      </c>
      <c r="E138" s="2" t="inlineStr">
        <is>
          <t>14:52</t>
        </is>
      </c>
      <c r="F138" s="5" t="n">
        <v>650</v>
      </c>
      <c r="G138" s="5" t="n"/>
      <c r="H138" s="5" t="n"/>
      <c r="I138" s="5" t="n"/>
      <c r="J138" s="5" t="n">
        <v>130</v>
      </c>
      <c r="K138" s="5" t="n"/>
      <c r="L138" s="5" t="n"/>
      <c r="M138" s="5" t="n"/>
      <c r="N138" s="5" t="n"/>
      <c r="O138" s="5" t="n">
        <v>780</v>
      </c>
      <c r="P138" s="5" t="n"/>
      <c r="Q138" s="5" t="n">
        <v>780</v>
      </c>
      <c r="R138" s="5" t="n"/>
    </row>
    <row r="139">
      <c r="A139" s="2" t="inlineStr">
        <is>
          <t>EJ030323.TXT</t>
        </is>
      </c>
      <c r="B139" s="3" t="inlineStr">
        <is>
          <t>004661</t>
        </is>
      </c>
      <c r="C139" s="3" t="inlineStr">
        <is>
          <t>003699</t>
        </is>
      </c>
      <c r="D139" s="4" t="n">
        <v>44960</v>
      </c>
      <c r="E139" s="2" t="inlineStr">
        <is>
          <t>16:40</t>
        </is>
      </c>
      <c r="F139" s="5" t="n">
        <v>190.83</v>
      </c>
      <c r="G139" s="5" t="n"/>
      <c r="H139" s="5" t="n"/>
      <c r="I139" s="5" t="n"/>
      <c r="J139" s="5" t="n">
        <v>38.17</v>
      </c>
      <c r="K139" s="5" t="n"/>
      <c r="L139" s="5" t="n"/>
      <c r="M139" s="5" t="n"/>
      <c r="N139" s="5" t="n"/>
      <c r="O139" s="5" t="n">
        <v>229</v>
      </c>
      <c r="P139" s="5" t="n"/>
      <c r="Q139" s="5" t="n">
        <v>229</v>
      </c>
      <c r="R139" s="5" t="n"/>
    </row>
    <row r="140">
      <c r="A140" s="2" t="inlineStr">
        <is>
          <t>EJ030323.TXT</t>
        </is>
      </c>
      <c r="B140" s="3" t="inlineStr">
        <is>
          <t>004662</t>
        </is>
      </c>
      <c r="C140" s="3" t="inlineStr">
        <is>
          <t>003700</t>
        </is>
      </c>
      <c r="D140" s="4" t="n">
        <v>44963</v>
      </c>
      <c r="E140" s="2" t="inlineStr">
        <is>
          <t>15:19</t>
        </is>
      </c>
      <c r="F140" s="5" t="n">
        <v>822.5</v>
      </c>
      <c r="G140" s="5" t="n"/>
      <c r="H140" s="5" t="n"/>
      <c r="I140" s="5" t="n"/>
      <c r="J140" s="5" t="n">
        <v>164.5</v>
      </c>
      <c r="K140" s="5" t="n"/>
      <c r="L140" s="5" t="n"/>
      <c r="M140" s="5" t="n"/>
      <c r="N140" s="5" t="n"/>
      <c r="O140" s="5" t="n">
        <v>987</v>
      </c>
      <c r="P140" s="5" t="n">
        <v>987</v>
      </c>
      <c r="Q140" s="5" t="n"/>
      <c r="R140" s="5" t="n"/>
    </row>
    <row r="141">
      <c r="A141" s="2" t="inlineStr">
        <is>
          <t>EJ030323.TXT</t>
        </is>
      </c>
      <c r="B141" s="3" t="inlineStr">
        <is>
          <t>004663</t>
        </is>
      </c>
      <c r="C141" s="3" t="inlineStr">
        <is>
          <t>003701</t>
        </is>
      </c>
      <c r="D141" s="4" t="n">
        <v>44963</v>
      </c>
      <c r="E141" s="2" t="inlineStr">
        <is>
          <t>15:46</t>
        </is>
      </c>
      <c r="F141" s="5" t="n">
        <v>381.67</v>
      </c>
      <c r="G141" s="5" t="n"/>
      <c r="H141" s="5" t="n"/>
      <c r="I141" s="5" t="n"/>
      <c r="J141" s="5" t="n">
        <v>76.33</v>
      </c>
      <c r="K141" s="5" t="n"/>
      <c r="L141" s="5" t="n"/>
      <c r="M141" s="5" t="n"/>
      <c r="N141" s="5" t="n"/>
      <c r="O141" s="5" t="n">
        <v>458</v>
      </c>
      <c r="P141" s="5" t="n"/>
      <c r="Q141" s="5" t="n">
        <v>458</v>
      </c>
      <c r="R141" s="5" t="n"/>
    </row>
    <row r="142">
      <c r="A142" s="2" t="inlineStr">
        <is>
          <t>EJ030323.TXT</t>
        </is>
      </c>
      <c r="B142" s="3" t="inlineStr">
        <is>
          <t>004664</t>
        </is>
      </c>
      <c r="C142" s="3" t="inlineStr">
        <is>
          <t>003702</t>
        </is>
      </c>
      <c r="D142" s="4" t="n">
        <v>44964</v>
      </c>
      <c r="E142" s="2" t="inlineStr">
        <is>
          <t>16:13</t>
        </is>
      </c>
      <c r="F142" s="5" t="n">
        <v>582.5</v>
      </c>
      <c r="G142" s="5" t="n"/>
      <c r="H142" s="5" t="n"/>
      <c r="I142" s="5" t="n"/>
      <c r="J142" s="5" t="n">
        <v>116.5</v>
      </c>
      <c r="K142" s="5" t="n"/>
      <c r="L142" s="5" t="n"/>
      <c r="M142" s="5" t="n"/>
      <c r="N142" s="5" t="n"/>
      <c r="O142" s="5" t="n">
        <v>699</v>
      </c>
      <c r="P142" s="5" t="n"/>
      <c r="Q142" s="5" t="n">
        <v>699</v>
      </c>
      <c r="R142" s="5" t="n"/>
    </row>
    <row r="143">
      <c r="A143" s="2" t="inlineStr">
        <is>
          <t>EJ030323.TXT</t>
        </is>
      </c>
      <c r="B143" s="3" t="inlineStr">
        <is>
          <t>004665</t>
        </is>
      </c>
      <c r="C143" s="3" t="inlineStr">
        <is>
          <t>003703</t>
        </is>
      </c>
      <c r="D143" s="4" t="n">
        <v>44964</v>
      </c>
      <c r="E143" s="2" t="inlineStr">
        <is>
          <t>16:13</t>
        </is>
      </c>
      <c r="F143" s="5" t="n">
        <v>582.5</v>
      </c>
      <c r="G143" s="5" t="n"/>
      <c r="H143" s="5" t="n"/>
      <c r="I143" s="5" t="n"/>
      <c r="J143" s="5" t="n">
        <v>116.5</v>
      </c>
      <c r="K143" s="5" t="n"/>
      <c r="L143" s="5" t="n"/>
      <c r="M143" s="5" t="n"/>
      <c r="N143" s="5" t="n"/>
      <c r="O143" s="5" t="n">
        <v>699</v>
      </c>
      <c r="P143" s="5" t="n"/>
      <c r="Q143" s="5" t="n">
        <v>699</v>
      </c>
      <c r="R143" s="5" t="n"/>
    </row>
    <row r="144">
      <c r="A144" s="2" t="inlineStr">
        <is>
          <t>EJ030323.TXT</t>
        </is>
      </c>
      <c r="B144" s="3" t="inlineStr">
        <is>
          <t>004666</t>
        </is>
      </c>
      <c r="C144" s="3" t="inlineStr">
        <is>
          <t>003704</t>
        </is>
      </c>
      <c r="D144" s="4" t="n">
        <v>44964</v>
      </c>
      <c r="E144" s="2" t="inlineStr">
        <is>
          <t>16:20</t>
        </is>
      </c>
      <c r="F144" s="5" t="n">
        <v>531.67</v>
      </c>
      <c r="G144" s="5" t="n"/>
      <c r="H144" s="5" t="n"/>
      <c r="I144" s="5" t="n"/>
      <c r="J144" s="5" t="n">
        <v>106.33</v>
      </c>
      <c r="K144" s="5" t="n"/>
      <c r="L144" s="5" t="n"/>
      <c r="M144" s="5" t="n"/>
      <c r="N144" s="5" t="n"/>
      <c r="O144" s="5" t="n">
        <v>638</v>
      </c>
      <c r="P144" s="5" t="n"/>
      <c r="Q144" s="5" t="n">
        <v>638</v>
      </c>
      <c r="R144" s="5" t="n"/>
    </row>
    <row r="145">
      <c r="A145" s="2" t="inlineStr">
        <is>
          <t>EJ030323.TXT</t>
        </is>
      </c>
      <c r="B145" s="3" t="inlineStr">
        <is>
          <t>004667</t>
        </is>
      </c>
      <c r="C145" s="3" t="inlineStr">
        <is>
          <t>003705</t>
        </is>
      </c>
      <c r="D145" s="4" t="n">
        <v>44964</v>
      </c>
      <c r="E145" s="2" t="inlineStr">
        <is>
          <t>16:29</t>
        </is>
      </c>
      <c r="F145" s="5" t="n">
        <v>282.5</v>
      </c>
      <c r="G145" s="5" t="n"/>
      <c r="H145" s="5" t="n"/>
      <c r="I145" s="5" t="n"/>
      <c r="J145" s="5" t="n">
        <v>56.5</v>
      </c>
      <c r="K145" s="5" t="n"/>
      <c r="L145" s="5" t="n"/>
      <c r="M145" s="5" t="n"/>
      <c r="N145" s="5" t="n"/>
      <c r="O145" s="5" t="n">
        <v>339</v>
      </c>
      <c r="P145" s="5" t="n"/>
      <c r="Q145" s="5" t="n">
        <v>339</v>
      </c>
      <c r="R145" s="5" t="n"/>
    </row>
    <row r="146">
      <c r="A146" s="2" t="inlineStr">
        <is>
          <t>EJ030323.TXT</t>
        </is>
      </c>
      <c r="B146" s="3" t="inlineStr">
        <is>
          <t>004668</t>
        </is>
      </c>
      <c r="C146" s="3" t="inlineStr">
        <is>
          <t>003706</t>
        </is>
      </c>
      <c r="D146" s="4" t="n">
        <v>44965</v>
      </c>
      <c r="E146" s="2" t="inlineStr">
        <is>
          <t>12:42</t>
        </is>
      </c>
      <c r="F146" s="5" t="n">
        <v>1063.33</v>
      </c>
      <c r="G146" s="5" t="n"/>
      <c r="H146" s="5" t="n"/>
      <c r="I146" s="5" t="n"/>
      <c r="J146" s="5" t="n">
        <v>212.67</v>
      </c>
      <c r="K146" s="5" t="n"/>
      <c r="L146" s="5" t="n"/>
      <c r="M146" s="5" t="n"/>
      <c r="N146" s="5" t="n"/>
      <c r="O146" s="5" t="n">
        <v>1276</v>
      </c>
      <c r="P146" s="5" t="n">
        <v>1276</v>
      </c>
      <c r="Q146" s="5" t="n"/>
      <c r="R146" s="5" t="n"/>
    </row>
    <row r="147">
      <c r="A147" s="2" t="inlineStr">
        <is>
          <t>EJ030323.TXT</t>
        </is>
      </c>
      <c r="B147" s="3" t="inlineStr">
        <is>
          <t>004669</t>
        </is>
      </c>
      <c r="C147" s="3" t="inlineStr">
        <is>
          <t>003707</t>
        </is>
      </c>
      <c r="D147" s="4" t="n">
        <v>44965</v>
      </c>
      <c r="E147" s="2" t="inlineStr">
        <is>
          <t>13:04</t>
        </is>
      </c>
      <c r="F147" s="5" t="n">
        <v>37.5</v>
      </c>
      <c r="G147" s="5" t="n"/>
      <c r="H147" s="5" t="n"/>
      <c r="I147" s="5" t="n"/>
      <c r="J147" s="5" t="n">
        <v>7.5</v>
      </c>
      <c r="K147" s="5" t="n"/>
      <c r="L147" s="5" t="n"/>
      <c r="M147" s="5" t="n"/>
      <c r="N147" s="5" t="n"/>
      <c r="O147" s="5" t="n">
        <v>45</v>
      </c>
      <c r="P147" s="5" t="n"/>
      <c r="Q147" s="5" t="n">
        <v>45</v>
      </c>
      <c r="R147" s="5" t="n"/>
    </row>
    <row r="148">
      <c r="A148" s="2" t="inlineStr">
        <is>
          <t>EJ030323.TXT</t>
        </is>
      </c>
      <c r="B148" s="3" t="inlineStr">
        <is>
          <t>004670</t>
        </is>
      </c>
      <c r="C148" s="3" t="inlineStr">
        <is>
          <t>003708</t>
        </is>
      </c>
      <c r="D148" s="4" t="n">
        <v>44965</v>
      </c>
      <c r="E148" s="2" t="inlineStr">
        <is>
          <t>16:37</t>
        </is>
      </c>
      <c r="F148" s="5" t="n">
        <v>1096.67</v>
      </c>
      <c r="G148" s="5" t="n"/>
      <c r="H148" s="5" t="n"/>
      <c r="I148" s="5" t="n"/>
      <c r="J148" s="5" t="n">
        <v>219.33</v>
      </c>
      <c r="K148" s="5" t="n"/>
      <c r="L148" s="5" t="n"/>
      <c r="M148" s="5" t="n"/>
      <c r="N148" s="5" t="n"/>
      <c r="O148" s="5" t="n">
        <v>1316</v>
      </c>
      <c r="P148" s="5" t="n">
        <v>1316</v>
      </c>
      <c r="Q148" s="5" t="n"/>
      <c r="R148" s="5" t="n"/>
    </row>
    <row r="149">
      <c r="A149" s="2" t="inlineStr">
        <is>
          <t>EJ030323.TXT</t>
        </is>
      </c>
      <c r="B149" s="3" t="inlineStr">
        <is>
          <t>004671</t>
        </is>
      </c>
      <c r="C149" s="3" t="inlineStr">
        <is>
          <t>003709</t>
        </is>
      </c>
      <c r="D149" s="4" t="n">
        <v>44966</v>
      </c>
      <c r="E149" s="2" t="inlineStr">
        <is>
          <t>11:15</t>
        </is>
      </c>
      <c r="F149" s="5" t="n">
        <v>548.33</v>
      </c>
      <c r="G149" s="5" t="n"/>
      <c r="H149" s="5" t="n"/>
      <c r="I149" s="5" t="n"/>
      <c r="J149" s="5" t="n">
        <v>109.67</v>
      </c>
      <c r="K149" s="5" t="n"/>
      <c r="L149" s="5" t="n"/>
      <c r="M149" s="5" t="n"/>
      <c r="N149" s="5" t="n"/>
      <c r="O149" s="5" t="n">
        <v>658</v>
      </c>
      <c r="P149" s="5" t="n"/>
      <c r="Q149" s="5" t="n">
        <v>658</v>
      </c>
      <c r="R149" s="5" t="n"/>
    </row>
    <row r="150">
      <c r="A150" s="2" t="inlineStr">
        <is>
          <t>EJ030323.TXT</t>
        </is>
      </c>
      <c r="B150" s="3" t="inlineStr">
        <is>
          <t>004672</t>
        </is>
      </c>
      <c r="C150" s="3" t="inlineStr">
        <is>
          <t>003710</t>
        </is>
      </c>
      <c r="D150" s="4" t="n">
        <v>44966</v>
      </c>
      <c r="E150" s="2" t="inlineStr">
        <is>
          <t>11:16</t>
        </is>
      </c>
      <c r="F150" s="5" t="n">
        <v>307.5</v>
      </c>
      <c r="G150" s="5" t="n"/>
      <c r="H150" s="5" t="n"/>
      <c r="I150" s="5" t="n"/>
      <c r="J150" s="5" t="n">
        <v>61.5</v>
      </c>
      <c r="K150" s="5" t="n"/>
      <c r="L150" s="5" t="n"/>
      <c r="M150" s="5" t="n"/>
      <c r="N150" s="5" t="n"/>
      <c r="O150" s="5" t="n">
        <v>369</v>
      </c>
      <c r="P150" s="5" t="n"/>
      <c r="Q150" s="5" t="n">
        <v>369</v>
      </c>
      <c r="R150" s="5" t="n"/>
    </row>
    <row r="151">
      <c r="A151" s="2" t="inlineStr">
        <is>
          <t>EJ030323.TXT</t>
        </is>
      </c>
      <c r="B151" s="3" t="inlineStr">
        <is>
          <t>004673</t>
        </is>
      </c>
      <c r="C151" s="3" t="inlineStr">
        <is>
          <t>003711</t>
        </is>
      </c>
      <c r="D151" s="4" t="n">
        <v>44966</v>
      </c>
      <c r="E151" s="2" t="inlineStr">
        <is>
          <t>16:22</t>
        </is>
      </c>
      <c r="F151" s="5" t="n">
        <v>531.67</v>
      </c>
      <c r="G151" s="5" t="n"/>
      <c r="H151" s="5" t="n"/>
      <c r="I151" s="5" t="n"/>
      <c r="J151" s="5" t="n">
        <v>106.33</v>
      </c>
      <c r="K151" s="5" t="n"/>
      <c r="L151" s="5" t="n"/>
      <c r="M151" s="5" t="n"/>
      <c r="N151" s="5" t="n"/>
      <c r="O151" s="5" t="n">
        <v>638</v>
      </c>
      <c r="P151" s="5" t="n"/>
      <c r="Q151" s="5" t="n">
        <v>638</v>
      </c>
      <c r="R151" s="5" t="n"/>
    </row>
    <row r="152">
      <c r="A152" s="2" t="inlineStr">
        <is>
          <t>EJ030323.TXT</t>
        </is>
      </c>
      <c r="B152" s="3" t="inlineStr">
        <is>
          <t>004674</t>
        </is>
      </c>
      <c r="C152" s="3" t="inlineStr">
        <is>
          <t>003712</t>
        </is>
      </c>
      <c r="D152" s="4" t="n">
        <v>44966</v>
      </c>
      <c r="E152" s="2" t="inlineStr">
        <is>
          <t>18:21</t>
        </is>
      </c>
      <c r="F152" s="5" t="n">
        <v>6380</v>
      </c>
      <c r="G152" s="5" t="n"/>
      <c r="H152" s="5" t="n"/>
      <c r="I152" s="5" t="n"/>
      <c r="J152" s="5" t="n">
        <v>1276</v>
      </c>
      <c r="K152" s="5" t="n"/>
      <c r="L152" s="5" t="n"/>
      <c r="M152" s="5" t="n"/>
      <c r="N152" s="5" t="n"/>
      <c r="O152" s="5" t="n">
        <v>7656</v>
      </c>
      <c r="P152" s="5" t="n">
        <v>7656</v>
      </c>
      <c r="Q152" s="5" t="n"/>
      <c r="R152" s="5" t="n"/>
    </row>
    <row r="153">
      <c r="A153" s="2" t="inlineStr">
        <is>
          <t>EJ030323.TXT</t>
        </is>
      </c>
      <c r="B153" s="3" t="inlineStr">
        <is>
          <t>004675</t>
        </is>
      </c>
      <c r="C153" s="3" t="inlineStr">
        <is>
          <t>003713</t>
        </is>
      </c>
      <c r="D153" s="4" t="n">
        <v>44968</v>
      </c>
      <c r="E153" s="2" t="inlineStr">
        <is>
          <t>16:19</t>
        </is>
      </c>
      <c r="F153" s="5" t="n">
        <v>75</v>
      </c>
      <c r="G153" s="5" t="n"/>
      <c r="H153" s="5" t="n"/>
      <c r="I153" s="5" t="n"/>
      <c r="J153" s="5" t="n">
        <v>15</v>
      </c>
      <c r="K153" s="5" t="n"/>
      <c r="L153" s="5" t="n"/>
      <c r="M153" s="5" t="n"/>
      <c r="N153" s="5" t="n"/>
      <c r="O153" s="5" t="n">
        <v>90</v>
      </c>
      <c r="P153" s="5" t="n"/>
      <c r="Q153" s="5" t="n">
        <v>90</v>
      </c>
      <c r="R153" s="5" t="n"/>
    </row>
    <row r="154">
      <c r="A154" s="2" t="inlineStr">
        <is>
          <t>EJ030323.TXT</t>
        </is>
      </c>
      <c r="B154" s="3" t="inlineStr">
        <is>
          <t>004676</t>
        </is>
      </c>
      <c r="C154" s="3" t="inlineStr">
        <is>
          <t>003714</t>
        </is>
      </c>
      <c r="D154" s="4" t="n">
        <v>44968</v>
      </c>
      <c r="E154" s="2" t="inlineStr">
        <is>
          <t>16:20</t>
        </is>
      </c>
      <c r="F154" s="5" t="n">
        <v>315</v>
      </c>
      <c r="G154" s="5" t="n"/>
      <c r="H154" s="5" t="n"/>
      <c r="I154" s="5" t="n"/>
      <c r="J154" s="5" t="n">
        <v>63</v>
      </c>
      <c r="K154" s="5" t="n"/>
      <c r="L154" s="5" t="n"/>
      <c r="M154" s="5" t="n"/>
      <c r="N154" s="5" t="n"/>
      <c r="O154" s="5" t="n">
        <v>378</v>
      </c>
      <c r="P154" s="5" t="n"/>
      <c r="Q154" s="5" t="n">
        <v>378</v>
      </c>
      <c r="R154" s="5" t="n"/>
    </row>
    <row r="155">
      <c r="A155" s="2" t="inlineStr">
        <is>
          <t>EJ030323.TXT</t>
        </is>
      </c>
      <c r="B155" s="3" t="inlineStr">
        <is>
          <t>004677</t>
        </is>
      </c>
      <c r="C155" s="3" t="inlineStr">
        <is>
          <t>003715</t>
        </is>
      </c>
      <c r="D155" s="4" t="n">
        <v>44970</v>
      </c>
      <c r="E155" s="2" t="inlineStr">
        <is>
          <t>14:39</t>
        </is>
      </c>
      <c r="F155" s="5" t="n">
        <v>295</v>
      </c>
      <c r="G155" s="5" t="n"/>
      <c r="H155" s="5" t="n"/>
      <c r="I155" s="5" t="n"/>
      <c r="J155" s="5" t="n">
        <v>59</v>
      </c>
      <c r="K155" s="5" t="n"/>
      <c r="L155" s="5" t="n"/>
      <c r="M155" s="5" t="n"/>
      <c r="N155" s="5" t="n"/>
      <c r="O155" s="5" t="n">
        <v>354</v>
      </c>
      <c r="P155" s="5" t="n"/>
      <c r="Q155" s="5" t="n">
        <v>354</v>
      </c>
      <c r="R155" s="5" t="n"/>
    </row>
    <row r="156">
      <c r="A156" s="2" t="inlineStr">
        <is>
          <t>EJ030323.TXT</t>
        </is>
      </c>
      <c r="B156" s="3" t="inlineStr">
        <is>
          <t>004678</t>
        </is>
      </c>
      <c r="C156" s="3" t="inlineStr">
        <is>
          <t>003716</t>
        </is>
      </c>
      <c r="D156" s="4" t="n">
        <v>44970</v>
      </c>
      <c r="E156" s="2" t="inlineStr">
        <is>
          <t>14:42</t>
        </is>
      </c>
      <c r="F156" s="5" t="n">
        <v>65.83</v>
      </c>
      <c r="G156" s="5" t="n"/>
      <c r="H156" s="5" t="n"/>
      <c r="I156" s="5" t="n"/>
      <c r="J156" s="5" t="n">
        <v>13.17</v>
      </c>
      <c r="K156" s="5" t="n"/>
      <c r="L156" s="5" t="n"/>
      <c r="M156" s="5" t="n"/>
      <c r="N156" s="5" t="n"/>
      <c r="O156" s="5" t="n">
        <v>79</v>
      </c>
      <c r="P156" s="5" t="n"/>
      <c r="Q156" s="5" t="n">
        <v>79</v>
      </c>
      <c r="R156" s="5" t="n"/>
    </row>
    <row r="157">
      <c r="A157" s="2" t="inlineStr">
        <is>
          <t>EJ030323.TXT</t>
        </is>
      </c>
      <c r="B157" s="3" t="inlineStr">
        <is>
          <t>004679</t>
        </is>
      </c>
      <c r="C157" s="3" t="inlineStr">
        <is>
          <t>003717</t>
        </is>
      </c>
      <c r="D157" s="4" t="n">
        <v>44971</v>
      </c>
      <c r="E157" s="2" t="inlineStr">
        <is>
          <t>12:11</t>
        </is>
      </c>
      <c r="F157" s="5" t="n">
        <v>274.17</v>
      </c>
      <c r="G157" s="5" t="n"/>
      <c r="H157" s="5" t="n"/>
      <c r="I157" s="5" t="n"/>
      <c r="J157" s="5" t="n">
        <v>54.83</v>
      </c>
      <c r="K157" s="5" t="n"/>
      <c r="L157" s="5" t="n"/>
      <c r="M157" s="5" t="n"/>
      <c r="N157" s="5" t="n"/>
      <c r="O157" s="5" t="n">
        <v>329</v>
      </c>
      <c r="P157" s="5" t="n"/>
      <c r="Q157" s="5" t="n">
        <v>329</v>
      </c>
      <c r="R157" s="5" t="n"/>
    </row>
    <row r="158">
      <c r="A158" s="2" t="inlineStr">
        <is>
          <t>EJ030323.TXT</t>
        </is>
      </c>
      <c r="B158" s="3" t="inlineStr">
        <is>
          <t>004680</t>
        </is>
      </c>
      <c r="C158" s="3" t="inlineStr">
        <is>
          <t>003718</t>
        </is>
      </c>
      <c r="D158" s="4" t="n">
        <v>44971</v>
      </c>
      <c r="E158" s="2" t="inlineStr">
        <is>
          <t>18:26</t>
        </is>
      </c>
      <c r="F158" s="5" t="n">
        <v>124.17</v>
      </c>
      <c r="G158" s="5" t="n"/>
      <c r="H158" s="5" t="n"/>
      <c r="I158" s="5" t="n"/>
      <c r="J158" s="5" t="n">
        <v>24.83</v>
      </c>
      <c r="K158" s="5" t="n"/>
      <c r="L158" s="5" t="n"/>
      <c r="M158" s="5" t="n"/>
      <c r="N158" s="5" t="n"/>
      <c r="O158" s="5" t="n">
        <v>149</v>
      </c>
      <c r="P158" s="5" t="n">
        <v>149</v>
      </c>
      <c r="Q158" s="5" t="n"/>
      <c r="R158" s="5" t="n"/>
    </row>
    <row r="159">
      <c r="A159" s="2" t="inlineStr">
        <is>
          <t>EJ030323.TXT</t>
        </is>
      </c>
      <c r="B159" s="3" t="inlineStr">
        <is>
          <t>004681</t>
        </is>
      </c>
      <c r="C159" s="3" t="inlineStr">
        <is>
          <t>003719</t>
        </is>
      </c>
      <c r="D159" s="4" t="n">
        <v>44974</v>
      </c>
      <c r="E159" s="2" t="inlineStr">
        <is>
          <t>16:29</t>
        </is>
      </c>
      <c r="F159" s="5" t="n">
        <v>548.33</v>
      </c>
      <c r="G159" s="5" t="n"/>
      <c r="H159" s="5" t="n"/>
      <c r="I159" s="5" t="n"/>
      <c r="J159" s="5" t="n">
        <v>109.67</v>
      </c>
      <c r="K159" s="5" t="n"/>
      <c r="L159" s="5" t="n"/>
      <c r="M159" s="5" t="n"/>
      <c r="N159" s="5" t="n"/>
      <c r="O159" s="5" t="n">
        <v>658</v>
      </c>
      <c r="P159" s="5" t="n"/>
      <c r="Q159" s="5" t="n">
        <v>658</v>
      </c>
      <c r="R159" s="5" t="n"/>
    </row>
    <row r="160">
      <c r="A160" s="2" t="inlineStr">
        <is>
          <t>EJ030323.TXT</t>
        </is>
      </c>
      <c r="B160" s="3" t="inlineStr">
        <is>
          <t>004682</t>
        </is>
      </c>
      <c r="C160" s="3" t="inlineStr">
        <is>
          <t>003720</t>
        </is>
      </c>
      <c r="D160" s="4" t="n">
        <v>44975</v>
      </c>
      <c r="E160" s="2" t="inlineStr">
        <is>
          <t>17:03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/>
      <c r="Q160" s="5" t="n">
        <v>658</v>
      </c>
      <c r="R160" s="5" t="n"/>
    </row>
    <row r="161">
      <c r="A161" s="2" t="inlineStr">
        <is>
          <t>EJ030323.TXT</t>
        </is>
      </c>
      <c r="B161" s="3" t="inlineStr">
        <is>
          <t>004683</t>
        </is>
      </c>
      <c r="C161" s="3" t="inlineStr">
        <is>
          <t>003721</t>
        </is>
      </c>
      <c r="D161" s="4" t="n">
        <v>44977</v>
      </c>
      <c r="E161" s="2" t="inlineStr">
        <is>
          <t>10:49</t>
        </is>
      </c>
      <c r="F161" s="5" t="n">
        <v>457.5</v>
      </c>
      <c r="G161" s="5" t="n"/>
      <c r="H161" s="5" t="n"/>
      <c r="I161" s="5" t="n"/>
      <c r="J161" s="5" t="n">
        <v>91.5</v>
      </c>
      <c r="K161" s="5" t="n"/>
      <c r="L161" s="5" t="n"/>
      <c r="M161" s="5" t="n"/>
      <c r="N161" s="5" t="n"/>
      <c r="O161" s="5" t="n">
        <v>549</v>
      </c>
      <c r="P161" s="5" t="n"/>
      <c r="Q161" s="5" t="n">
        <v>549</v>
      </c>
      <c r="R161" s="5" t="n"/>
    </row>
    <row r="162">
      <c r="A162" s="2" t="inlineStr">
        <is>
          <t>EJ030323.TXT</t>
        </is>
      </c>
      <c r="B162" s="3" t="inlineStr">
        <is>
          <t>004684</t>
        </is>
      </c>
      <c r="C162" s="3" t="inlineStr">
        <is>
          <t>003722</t>
        </is>
      </c>
      <c r="D162" s="4" t="n">
        <v>44977</v>
      </c>
      <c r="E162" s="2" t="inlineStr">
        <is>
          <t>15:47</t>
        </is>
      </c>
      <c r="F162" s="5" t="n">
        <v>806.67</v>
      </c>
      <c r="G162" s="5" t="n"/>
      <c r="H162" s="5" t="n"/>
      <c r="I162" s="5" t="n"/>
      <c r="J162" s="5" t="n">
        <v>161.33</v>
      </c>
      <c r="K162" s="5" t="n"/>
      <c r="L162" s="5" t="n"/>
      <c r="M162" s="5" t="n"/>
      <c r="N162" s="5" t="n"/>
      <c r="O162" s="5" t="n">
        <v>968</v>
      </c>
      <c r="P162" s="5" t="n"/>
      <c r="Q162" s="5" t="n">
        <v>968</v>
      </c>
      <c r="R162" s="5" t="n"/>
    </row>
    <row r="163">
      <c r="A163" s="2" t="inlineStr">
        <is>
          <t>EJ030323.TXT</t>
        </is>
      </c>
      <c r="B163" s="3" t="inlineStr">
        <is>
          <t>004685</t>
        </is>
      </c>
      <c r="C163" s="3" t="inlineStr">
        <is>
          <t>003723</t>
        </is>
      </c>
      <c r="D163" s="4" t="n">
        <v>44977</v>
      </c>
      <c r="E163" s="2" t="inlineStr">
        <is>
          <t>15:51</t>
        </is>
      </c>
      <c r="F163" s="5" t="n">
        <v>381.67</v>
      </c>
      <c r="G163" s="5" t="n"/>
      <c r="H163" s="5" t="n"/>
      <c r="I163" s="5" t="n"/>
      <c r="J163" s="5" t="n">
        <v>76.33</v>
      </c>
      <c r="K163" s="5" t="n"/>
      <c r="L163" s="5" t="n"/>
      <c r="M163" s="5" t="n"/>
      <c r="N163" s="5" t="n"/>
      <c r="O163" s="5" t="n">
        <v>458</v>
      </c>
      <c r="P163" s="5" t="n"/>
      <c r="Q163" s="5" t="n">
        <v>458</v>
      </c>
      <c r="R163" s="5" t="n"/>
    </row>
    <row r="164">
      <c r="A164" s="2" t="inlineStr">
        <is>
          <t>EJ030323.TXT</t>
        </is>
      </c>
      <c r="B164" s="3" t="inlineStr">
        <is>
          <t>004686</t>
        </is>
      </c>
      <c r="C164" s="3" t="inlineStr">
        <is>
          <t>003724</t>
        </is>
      </c>
      <c r="D164" s="4" t="n">
        <v>44980</v>
      </c>
      <c r="E164" s="2" t="inlineStr">
        <is>
          <t>17:50</t>
        </is>
      </c>
      <c r="F164" s="5" t="n">
        <v>572.5</v>
      </c>
      <c r="G164" s="5" t="n"/>
      <c r="H164" s="5" t="n"/>
      <c r="I164" s="5" t="n"/>
      <c r="J164" s="5" t="n">
        <v>114.5</v>
      </c>
      <c r="K164" s="5" t="n"/>
      <c r="L164" s="5" t="n"/>
      <c r="M164" s="5" t="n"/>
      <c r="N164" s="5" t="n"/>
      <c r="O164" s="5" t="n">
        <v>687</v>
      </c>
      <c r="P164" s="5" t="n"/>
      <c r="Q164" s="5" t="n">
        <v>687</v>
      </c>
      <c r="R164" s="5" t="n"/>
    </row>
    <row r="165">
      <c r="A165" s="2" t="inlineStr">
        <is>
          <t>EJ030323.TXT</t>
        </is>
      </c>
      <c r="B165" s="3" t="inlineStr">
        <is>
          <t>004687</t>
        </is>
      </c>
      <c r="C165" s="3" t="inlineStr">
        <is>
          <t>003725</t>
        </is>
      </c>
      <c r="D165" s="4" t="n">
        <v>44980</v>
      </c>
      <c r="E165" s="2" t="inlineStr">
        <is>
          <t>18:32</t>
        </is>
      </c>
      <c r="F165" s="5" t="n">
        <v>381.67</v>
      </c>
      <c r="G165" s="5" t="n"/>
      <c r="H165" s="5" t="n"/>
      <c r="I165" s="5" t="n"/>
      <c r="J165" s="5" t="n">
        <v>76.33</v>
      </c>
      <c r="K165" s="5" t="n"/>
      <c r="L165" s="5" t="n"/>
      <c r="M165" s="5" t="n"/>
      <c r="N165" s="5" t="n"/>
      <c r="O165" s="5" t="n">
        <v>458</v>
      </c>
      <c r="P165" s="5" t="n"/>
      <c r="Q165" s="5" t="n">
        <v>458</v>
      </c>
      <c r="R165" s="5" t="n"/>
    </row>
    <row r="166">
      <c r="A166" s="2" t="inlineStr">
        <is>
          <t>EJ030323.TXT</t>
        </is>
      </c>
      <c r="B166" s="3" t="inlineStr">
        <is>
          <t>004688</t>
        </is>
      </c>
      <c r="C166" s="3" t="inlineStr">
        <is>
          <t>003726</t>
        </is>
      </c>
      <c r="D166" s="4" t="n">
        <v>44981</v>
      </c>
      <c r="E166" s="2" t="inlineStr">
        <is>
          <t>13:26</t>
        </is>
      </c>
      <c r="F166" s="5" t="n">
        <v>208.33</v>
      </c>
      <c r="G166" s="5" t="n"/>
      <c r="H166" s="5" t="n"/>
      <c r="I166" s="5" t="n"/>
      <c r="J166" s="5" t="n">
        <v>41.67</v>
      </c>
      <c r="K166" s="5" t="n"/>
      <c r="L166" s="5" t="n"/>
      <c r="M166" s="5" t="n"/>
      <c r="N166" s="5" t="n"/>
      <c r="O166" s="5" t="n">
        <v>250</v>
      </c>
      <c r="P166" s="5" t="n"/>
      <c r="Q166" s="5" t="n">
        <v>250</v>
      </c>
      <c r="R166" s="5" t="n"/>
    </row>
    <row r="167">
      <c r="A167" s="2" t="inlineStr">
        <is>
          <t>EJ030323.TXT</t>
        </is>
      </c>
      <c r="B167" s="3" t="inlineStr">
        <is>
          <t>004689</t>
        </is>
      </c>
      <c r="C167" s="3" t="inlineStr">
        <is>
          <t>003727</t>
        </is>
      </c>
      <c r="D167" s="4" t="n">
        <v>44981</v>
      </c>
      <c r="E167" s="2" t="inlineStr">
        <is>
          <t>15:56</t>
        </is>
      </c>
      <c r="F167" s="5" t="n">
        <v>2330</v>
      </c>
      <c r="G167" s="5" t="n"/>
      <c r="H167" s="5" t="n"/>
      <c r="I167" s="5" t="n"/>
      <c r="J167" s="5" t="n">
        <v>466</v>
      </c>
      <c r="K167" s="5" t="n"/>
      <c r="L167" s="5" t="n"/>
      <c r="M167" s="5" t="n"/>
      <c r="N167" s="5" t="n"/>
      <c r="O167" s="5" t="n">
        <v>2796</v>
      </c>
      <c r="P167" s="5" t="n">
        <v>2796</v>
      </c>
      <c r="Q167" s="5" t="n"/>
      <c r="R167" s="5" t="n"/>
    </row>
    <row r="168">
      <c r="A168" s="2" t="inlineStr">
        <is>
          <t>EJ030323.TXT</t>
        </is>
      </c>
      <c r="B168" s="3" t="inlineStr">
        <is>
          <t>004690</t>
        </is>
      </c>
      <c r="C168" s="3" t="inlineStr">
        <is>
          <t>003728</t>
        </is>
      </c>
      <c r="D168" s="4" t="n">
        <v>44981</v>
      </c>
      <c r="E168" s="2" t="inlineStr">
        <is>
          <t>16:46</t>
        </is>
      </c>
      <c r="F168" s="5" t="n">
        <v>822.5</v>
      </c>
      <c r="G168" s="5" t="n"/>
      <c r="H168" s="5" t="n"/>
      <c r="I168" s="5" t="n"/>
      <c r="J168" s="5" t="n">
        <v>164.5</v>
      </c>
      <c r="K168" s="5" t="n"/>
      <c r="L168" s="5" t="n"/>
      <c r="M168" s="5" t="n"/>
      <c r="N168" s="5" t="n"/>
      <c r="O168" s="5" t="n">
        <v>987</v>
      </c>
      <c r="P168" s="5" t="n"/>
      <c r="Q168" s="5" t="n">
        <v>987</v>
      </c>
      <c r="R168" s="5" t="n"/>
    </row>
    <row r="169">
      <c r="A169" s="2" t="inlineStr">
        <is>
          <t>EJ030323.TXT</t>
        </is>
      </c>
      <c r="B169" s="3" t="inlineStr">
        <is>
          <t>004691</t>
        </is>
      </c>
      <c r="C169" s="3" t="inlineStr">
        <is>
          <t>003729</t>
        </is>
      </c>
      <c r="D169" s="4" t="n">
        <v>44981</v>
      </c>
      <c r="E169" s="2" t="inlineStr">
        <is>
          <t>16:47</t>
        </is>
      </c>
      <c r="F169" s="5" t="n">
        <v>822.5</v>
      </c>
      <c r="G169" s="5" t="n"/>
      <c r="H169" s="5" t="n"/>
      <c r="I169" s="5" t="n"/>
      <c r="J169" s="5" t="n">
        <v>164.5</v>
      </c>
      <c r="K169" s="5" t="n"/>
      <c r="L169" s="5" t="n"/>
      <c r="M169" s="5" t="n"/>
      <c r="N169" s="5" t="n"/>
      <c r="O169" s="5" t="n">
        <v>987</v>
      </c>
      <c r="P169" s="5" t="n"/>
      <c r="Q169" s="5" t="n">
        <v>987</v>
      </c>
      <c r="R169" s="5" t="n"/>
    </row>
    <row r="170">
      <c r="A170" s="2" t="inlineStr">
        <is>
          <t>EJ030323.TXT</t>
        </is>
      </c>
      <c r="B170" s="3" t="inlineStr">
        <is>
          <t>004692</t>
        </is>
      </c>
      <c r="C170" s="3" t="inlineStr">
        <is>
          <t>003730</t>
        </is>
      </c>
      <c r="D170" s="4" t="n">
        <v>44981</v>
      </c>
      <c r="E170" s="2" t="inlineStr">
        <is>
          <t>16:47</t>
        </is>
      </c>
      <c r="F170" s="5" t="n">
        <v>797.5</v>
      </c>
      <c r="G170" s="5" t="n"/>
      <c r="H170" s="5" t="n"/>
      <c r="I170" s="5" t="n"/>
      <c r="J170" s="5" t="n">
        <v>159.5</v>
      </c>
      <c r="K170" s="5" t="n"/>
      <c r="L170" s="5" t="n"/>
      <c r="M170" s="5" t="n"/>
      <c r="N170" s="5" t="n"/>
      <c r="O170" s="5" t="n">
        <v>957</v>
      </c>
      <c r="P170" s="5" t="n"/>
      <c r="Q170" s="5" t="n">
        <v>957</v>
      </c>
      <c r="R170" s="5" t="n"/>
    </row>
    <row r="171">
      <c r="A171" s="2" t="inlineStr">
        <is>
          <t>EJ030323.TXT</t>
        </is>
      </c>
      <c r="B171" s="3" t="inlineStr">
        <is>
          <t>004693</t>
        </is>
      </c>
      <c r="C171" s="3" t="inlineStr">
        <is>
          <t>003731</t>
        </is>
      </c>
      <c r="D171" s="4" t="n">
        <v>44982</v>
      </c>
      <c r="E171" s="2" t="inlineStr">
        <is>
          <t>14:55</t>
        </is>
      </c>
      <c r="F171" s="5" t="n">
        <v>208.33</v>
      </c>
      <c r="G171" s="5" t="n"/>
      <c r="H171" s="5" t="n"/>
      <c r="I171" s="5" t="n"/>
      <c r="J171" s="5" t="n">
        <v>41.67</v>
      </c>
      <c r="K171" s="5" t="n"/>
      <c r="L171" s="5" t="n"/>
      <c r="M171" s="5" t="n"/>
      <c r="N171" s="5" t="n"/>
      <c r="O171" s="5" t="n">
        <v>250</v>
      </c>
      <c r="P171" s="5" t="n"/>
      <c r="Q171" s="5" t="n">
        <v>250</v>
      </c>
      <c r="R171" s="5" t="n"/>
    </row>
    <row r="172">
      <c r="A172" s="2" t="inlineStr">
        <is>
          <t>EJ030323.TXT</t>
        </is>
      </c>
      <c r="B172" s="3" t="inlineStr">
        <is>
          <t>004694</t>
        </is>
      </c>
      <c r="C172" s="3" t="inlineStr">
        <is>
          <t>003732</t>
        </is>
      </c>
      <c r="D172" s="4" t="n">
        <v>44982</v>
      </c>
      <c r="E172" s="2" t="inlineStr">
        <is>
          <t>17:06</t>
        </is>
      </c>
      <c r="F172" s="5" t="n">
        <v>797.5</v>
      </c>
      <c r="G172" s="5" t="n"/>
      <c r="H172" s="5" t="n"/>
      <c r="I172" s="5" t="n"/>
      <c r="J172" s="5" t="n">
        <v>159.5</v>
      </c>
      <c r="K172" s="5" t="n"/>
      <c r="L172" s="5" t="n"/>
      <c r="M172" s="5" t="n"/>
      <c r="N172" s="5" t="n"/>
      <c r="O172" s="5" t="n">
        <v>957</v>
      </c>
      <c r="P172" s="5" t="n"/>
      <c r="Q172" s="5" t="n">
        <v>957</v>
      </c>
      <c r="R172" s="5" t="n"/>
    </row>
    <row r="173">
      <c r="A173" s="2" t="inlineStr">
        <is>
          <t>EJ030323.TXT</t>
        </is>
      </c>
      <c r="B173" s="3" t="inlineStr">
        <is>
          <t>004695</t>
        </is>
      </c>
      <c r="C173" s="3" t="inlineStr">
        <is>
          <t>003733</t>
        </is>
      </c>
      <c r="D173" s="4" t="n">
        <v>44982</v>
      </c>
      <c r="E173" s="2" t="inlineStr">
        <is>
          <t>17:06</t>
        </is>
      </c>
      <c r="F173" s="5" t="n">
        <v>265.83</v>
      </c>
      <c r="G173" s="5" t="n"/>
      <c r="H173" s="5" t="n"/>
      <c r="I173" s="5" t="n"/>
      <c r="J173" s="5" t="n">
        <v>53.17</v>
      </c>
      <c r="K173" s="5" t="n"/>
      <c r="L173" s="5" t="n"/>
      <c r="M173" s="5" t="n"/>
      <c r="N173" s="5" t="n"/>
      <c r="O173" s="5" t="n">
        <v>319</v>
      </c>
      <c r="P173" s="5" t="n"/>
      <c r="Q173" s="5" t="n">
        <v>319</v>
      </c>
      <c r="R173" s="5" t="n"/>
    </row>
    <row r="174">
      <c r="A174" s="2" t="inlineStr">
        <is>
          <t>EJ030323.TXT</t>
        </is>
      </c>
      <c r="B174" s="3" t="inlineStr">
        <is>
          <t>004696</t>
        </is>
      </c>
      <c r="C174" s="3" t="inlineStr">
        <is>
          <t>003734</t>
        </is>
      </c>
      <c r="D174" s="4" t="n">
        <v>44982</v>
      </c>
      <c r="E174" s="2" t="inlineStr">
        <is>
          <t>17:06</t>
        </is>
      </c>
      <c r="F174" s="5" t="n">
        <v>531.67</v>
      </c>
      <c r="G174" s="5" t="n"/>
      <c r="H174" s="5" t="n"/>
      <c r="I174" s="5" t="n"/>
      <c r="J174" s="5" t="n">
        <v>106.33</v>
      </c>
      <c r="K174" s="5" t="n"/>
      <c r="L174" s="5" t="n"/>
      <c r="M174" s="5" t="n"/>
      <c r="N174" s="5" t="n"/>
      <c r="O174" s="5" t="n">
        <v>638</v>
      </c>
      <c r="P174" s="5" t="n"/>
      <c r="Q174" s="5" t="n">
        <v>638</v>
      </c>
      <c r="R174" s="5" t="n"/>
    </row>
    <row r="175">
      <c r="A175" s="2" t="inlineStr">
        <is>
          <t>EJ030323.TXT</t>
        </is>
      </c>
      <c r="B175" s="3" t="inlineStr">
        <is>
          <t>004697</t>
        </is>
      </c>
      <c r="C175" s="3" t="inlineStr">
        <is>
          <t>003735</t>
        </is>
      </c>
      <c r="D175" s="4" t="n">
        <v>44982</v>
      </c>
      <c r="E175" s="2" t="inlineStr">
        <is>
          <t>17:07</t>
        </is>
      </c>
      <c r="F175" s="5" t="n">
        <v>797.5</v>
      </c>
      <c r="G175" s="5" t="n"/>
      <c r="H175" s="5" t="n"/>
      <c r="I175" s="5" t="n"/>
      <c r="J175" s="5" t="n">
        <v>159.5</v>
      </c>
      <c r="K175" s="5" t="n"/>
      <c r="L175" s="5" t="n"/>
      <c r="M175" s="5" t="n"/>
      <c r="N175" s="5" t="n"/>
      <c r="O175" s="5" t="n">
        <v>957</v>
      </c>
      <c r="P175" s="5" t="n"/>
      <c r="Q175" s="5" t="n">
        <v>957</v>
      </c>
      <c r="R175" s="5" t="n"/>
    </row>
    <row r="176">
      <c r="A176" s="2" t="inlineStr">
        <is>
          <t>EJ030323.TXT</t>
        </is>
      </c>
      <c r="B176" s="3" t="inlineStr">
        <is>
          <t>004698</t>
        </is>
      </c>
      <c r="C176" s="3" t="inlineStr">
        <is>
          <t>003736</t>
        </is>
      </c>
      <c r="D176" s="4" t="n">
        <v>44982</v>
      </c>
      <c r="E176" s="2" t="inlineStr">
        <is>
          <t>17:07</t>
        </is>
      </c>
      <c r="F176" s="5" t="n">
        <v>531.67</v>
      </c>
      <c r="G176" s="5" t="n"/>
      <c r="H176" s="5" t="n"/>
      <c r="I176" s="5" t="n"/>
      <c r="J176" s="5" t="n">
        <v>106.33</v>
      </c>
      <c r="K176" s="5" t="n"/>
      <c r="L176" s="5" t="n"/>
      <c r="M176" s="5" t="n"/>
      <c r="N176" s="5" t="n"/>
      <c r="O176" s="5" t="n">
        <v>638</v>
      </c>
      <c r="P176" s="5" t="n"/>
      <c r="Q176" s="5" t="n">
        <v>638</v>
      </c>
      <c r="R176" s="5" t="n"/>
    </row>
    <row r="177">
      <c r="A177" s="2" t="inlineStr">
        <is>
          <t>EJ030323.TXT</t>
        </is>
      </c>
      <c r="B177" s="3" t="inlineStr">
        <is>
          <t>004699</t>
        </is>
      </c>
      <c r="C177" s="3" t="inlineStr">
        <is>
          <t>003737</t>
        </is>
      </c>
      <c r="D177" s="4" t="n">
        <v>44982</v>
      </c>
      <c r="E177" s="2" t="inlineStr">
        <is>
          <t>17:08</t>
        </is>
      </c>
      <c r="F177" s="5" t="n">
        <v>265.83</v>
      </c>
      <c r="G177" s="5" t="n"/>
      <c r="H177" s="5" t="n"/>
      <c r="I177" s="5" t="n"/>
      <c r="J177" s="5" t="n">
        <v>53.17</v>
      </c>
      <c r="K177" s="5" t="n"/>
      <c r="L177" s="5" t="n"/>
      <c r="M177" s="5" t="n"/>
      <c r="N177" s="5" t="n"/>
      <c r="O177" s="5" t="n">
        <v>319</v>
      </c>
      <c r="P177" s="5" t="n"/>
      <c r="Q177" s="5" t="n">
        <v>319</v>
      </c>
      <c r="R177" s="5" t="n"/>
    </row>
    <row r="178">
      <c r="A178" s="2" t="inlineStr">
        <is>
          <t>EJ030323.TXT</t>
        </is>
      </c>
      <c r="B178" s="3" t="inlineStr">
        <is>
          <t>004700</t>
        </is>
      </c>
      <c r="C178" s="3" t="inlineStr">
        <is>
          <t>003738</t>
        </is>
      </c>
      <c r="D178" s="4" t="n">
        <v>44984</v>
      </c>
      <c r="E178" s="2" t="inlineStr">
        <is>
          <t>11:07</t>
        </is>
      </c>
      <c r="F178" s="5" t="n">
        <v>73.33</v>
      </c>
      <c r="G178" s="5" t="n"/>
      <c r="H178" s="5" t="n"/>
      <c r="I178" s="5" t="n"/>
      <c r="J178" s="5" t="n">
        <v>14.67</v>
      </c>
      <c r="K178" s="5" t="n"/>
      <c r="L178" s="5" t="n"/>
      <c r="M178" s="5" t="n"/>
      <c r="N178" s="5" t="n"/>
      <c r="O178" s="5" t="n">
        <v>88</v>
      </c>
      <c r="P178" s="5" t="n">
        <v>88</v>
      </c>
      <c r="Q178" s="5" t="n"/>
      <c r="R178" s="5" t="n"/>
    </row>
    <row r="179">
      <c r="A179" s="2" t="inlineStr">
        <is>
          <t>EJ030323.TXT</t>
        </is>
      </c>
      <c r="B179" s="3" t="inlineStr">
        <is>
          <t>004701</t>
        </is>
      </c>
      <c r="C179" s="3" t="inlineStr">
        <is>
          <t>003739</t>
        </is>
      </c>
      <c r="D179" s="4" t="n">
        <v>44984</v>
      </c>
      <c r="E179" s="2" t="inlineStr">
        <is>
          <t>15:37</t>
        </is>
      </c>
      <c r="F179" s="5" t="n">
        <v>548.33</v>
      </c>
      <c r="G179" s="5" t="n"/>
      <c r="H179" s="5" t="n"/>
      <c r="I179" s="5" t="n"/>
      <c r="J179" s="5" t="n">
        <v>109.67</v>
      </c>
      <c r="K179" s="5" t="n"/>
      <c r="L179" s="5" t="n"/>
      <c r="M179" s="5" t="n"/>
      <c r="N179" s="5" t="n"/>
      <c r="O179" s="5" t="n">
        <v>658</v>
      </c>
      <c r="P179" s="5" t="n">
        <v>658</v>
      </c>
      <c r="Q179" s="5" t="n"/>
      <c r="R179" s="5" t="n"/>
    </row>
    <row r="180">
      <c r="A180" s="2" t="inlineStr">
        <is>
          <t>EJ030323.TXT</t>
        </is>
      </c>
      <c r="B180" s="3" t="inlineStr">
        <is>
          <t>004702</t>
        </is>
      </c>
      <c r="C180" s="3" t="inlineStr">
        <is>
          <t>003740</t>
        </is>
      </c>
      <c r="D180" s="4" t="n">
        <v>44985</v>
      </c>
      <c r="E180" s="2" t="inlineStr">
        <is>
          <t>14:53</t>
        </is>
      </c>
      <c r="F180" s="5" t="n">
        <v>307.5</v>
      </c>
      <c r="G180" s="5" t="n"/>
      <c r="H180" s="5" t="n"/>
      <c r="I180" s="5" t="n"/>
      <c r="J180" s="5" t="n">
        <v>61.5</v>
      </c>
      <c r="K180" s="5" t="n"/>
      <c r="L180" s="5" t="n"/>
      <c r="M180" s="5" t="n"/>
      <c r="N180" s="5" t="n"/>
      <c r="O180" s="5" t="n">
        <v>369</v>
      </c>
      <c r="P180" s="5" t="n"/>
      <c r="Q180" s="5" t="n">
        <v>369</v>
      </c>
      <c r="R180" s="5" t="n"/>
    </row>
    <row r="181">
      <c r="A181" s="2" t="inlineStr">
        <is>
          <t>EJ030323.TXT</t>
        </is>
      </c>
      <c r="B181" s="3" t="inlineStr">
        <is>
          <t>004703</t>
        </is>
      </c>
      <c r="C181" s="3" t="inlineStr">
        <is>
          <t>003741</t>
        </is>
      </c>
      <c r="D181" s="4" t="n">
        <v>44985</v>
      </c>
      <c r="E181" s="2" t="inlineStr">
        <is>
          <t>14:56</t>
        </is>
      </c>
      <c r="F181" s="5" t="n">
        <v>307.5</v>
      </c>
      <c r="G181" s="5" t="n"/>
      <c r="H181" s="5" t="n"/>
      <c r="I181" s="5" t="n"/>
      <c r="J181" s="5" t="n">
        <v>61.5</v>
      </c>
      <c r="K181" s="5" t="n"/>
      <c r="L181" s="5" t="n"/>
      <c r="M181" s="5" t="n"/>
      <c r="N181" s="5" t="n"/>
      <c r="O181" s="5" t="n">
        <v>369</v>
      </c>
      <c r="P181" s="5" t="n"/>
      <c r="Q181" s="5" t="n">
        <v>369</v>
      </c>
      <c r="R181" s="5" t="n"/>
    </row>
    <row r="182">
      <c r="A182" s="2" t="inlineStr">
        <is>
          <t>EJ030323.TXT</t>
        </is>
      </c>
      <c r="B182" s="3" t="inlineStr">
        <is>
          <t>004704</t>
        </is>
      </c>
      <c r="C182" s="3" t="inlineStr">
        <is>
          <t>003742</t>
        </is>
      </c>
      <c r="D182" s="4" t="n">
        <v>44986</v>
      </c>
      <c r="E182" s="2" t="inlineStr">
        <is>
          <t>11:35</t>
        </is>
      </c>
      <c r="F182" s="5" t="n">
        <v>65.83</v>
      </c>
      <c r="G182" s="5" t="n"/>
      <c r="H182" s="5" t="n"/>
      <c r="I182" s="5" t="n"/>
      <c r="J182" s="5" t="n">
        <v>13.17</v>
      </c>
      <c r="K182" s="5" t="n"/>
      <c r="L182" s="5" t="n"/>
      <c r="M182" s="5" t="n"/>
      <c r="N182" s="5" t="n"/>
      <c r="O182" s="5" t="n">
        <v>79</v>
      </c>
      <c r="P182" s="5" t="n">
        <v>79</v>
      </c>
      <c r="Q182" s="5" t="n"/>
      <c r="R182" s="5" t="n"/>
    </row>
    <row r="183">
      <c r="A183" s="2" t="inlineStr">
        <is>
          <t>EJ030323.TXT</t>
        </is>
      </c>
      <c r="B183" s="3" t="inlineStr">
        <is>
          <t>004705</t>
        </is>
      </c>
      <c r="C183" s="3" t="inlineStr">
        <is>
          <t>003743</t>
        </is>
      </c>
      <c r="D183" s="4" t="n">
        <v>44987</v>
      </c>
      <c r="E183" s="2" t="inlineStr">
        <is>
          <t>11:43</t>
        </is>
      </c>
      <c r="F183" s="5" t="n">
        <v>1490</v>
      </c>
      <c r="G183" s="5" t="n"/>
      <c r="H183" s="5" t="n"/>
      <c r="I183" s="5" t="n"/>
      <c r="J183" s="5" t="n">
        <v>298</v>
      </c>
      <c r="K183" s="5" t="n"/>
      <c r="L183" s="5" t="n"/>
      <c r="M183" s="5" t="n"/>
      <c r="N183" s="5" t="n"/>
      <c r="O183" s="5" t="n">
        <v>1788</v>
      </c>
      <c r="P183" s="5" t="n">
        <v>1788</v>
      </c>
      <c r="Q183" s="5" t="n"/>
      <c r="R183" s="5" t="n"/>
    </row>
    <row r="184">
      <c r="A184" s="2" t="inlineStr">
        <is>
          <t>EJ030323.TXT</t>
        </is>
      </c>
      <c r="B184" s="3" t="inlineStr">
        <is>
          <t>004706</t>
        </is>
      </c>
      <c r="C184" s="3" t="inlineStr">
        <is>
          <t>003744</t>
        </is>
      </c>
      <c r="D184" s="4" t="n">
        <v>44987</v>
      </c>
      <c r="E184" s="2" t="inlineStr">
        <is>
          <t>11:45</t>
        </is>
      </c>
      <c r="F184" s="5" t="n">
        <v>395</v>
      </c>
      <c r="G184" s="5" t="n"/>
      <c r="H184" s="5" t="n"/>
      <c r="I184" s="5" t="n"/>
      <c r="J184" s="5" t="n">
        <v>79</v>
      </c>
      <c r="K184" s="5" t="n"/>
      <c r="L184" s="5" t="n"/>
      <c r="M184" s="5" t="n"/>
      <c r="N184" s="5" t="n"/>
      <c r="O184" s="5" t="n">
        <v>474</v>
      </c>
      <c r="P184" s="5" t="n"/>
      <c r="Q184" s="5" t="n">
        <v>474</v>
      </c>
      <c r="R184" s="5" t="n"/>
    </row>
    <row r="185">
      <c r="A185" s="2" t="inlineStr">
        <is>
          <t>EJ030323.TXT</t>
        </is>
      </c>
      <c r="B185" s="3" t="inlineStr">
        <is>
          <t>004707</t>
        </is>
      </c>
      <c r="C185" s="3" t="inlineStr">
        <is>
          <t>003745</t>
        </is>
      </c>
      <c r="D185" s="4" t="n">
        <v>44987</v>
      </c>
      <c r="E185" s="2" t="inlineStr">
        <is>
          <t>11:47</t>
        </is>
      </c>
      <c r="F185" s="5" t="n">
        <v>274.17</v>
      </c>
      <c r="G185" s="5" t="n"/>
      <c r="H185" s="5" t="n"/>
      <c r="I185" s="5" t="n"/>
      <c r="J185" s="5" t="n">
        <v>54.83</v>
      </c>
      <c r="K185" s="5" t="n"/>
      <c r="L185" s="5" t="n"/>
      <c r="M185" s="5" t="n"/>
      <c r="N185" s="5" t="n"/>
      <c r="O185" s="5" t="n">
        <v>329</v>
      </c>
      <c r="P185" s="5" t="n"/>
      <c r="Q185" s="5" t="n">
        <v>329</v>
      </c>
      <c r="R185" s="5" t="n"/>
    </row>
    <row r="186">
      <c r="A186" s="2" t="inlineStr">
        <is>
          <t>EJ030323.TXT</t>
        </is>
      </c>
      <c r="B186" s="3" t="inlineStr">
        <is>
          <t>004708</t>
        </is>
      </c>
      <c r="C186" s="3" t="inlineStr">
        <is>
          <t>003746</t>
        </is>
      </c>
      <c r="D186" s="4" t="n">
        <v>44987</v>
      </c>
      <c r="E186" s="2" t="inlineStr">
        <is>
          <t>12:22</t>
        </is>
      </c>
      <c r="F186" s="5" t="n">
        <v>73.33</v>
      </c>
      <c r="G186" s="5" t="n"/>
      <c r="H186" s="5" t="n"/>
      <c r="I186" s="5" t="n"/>
      <c r="J186" s="5" t="n">
        <v>14.67</v>
      </c>
      <c r="K186" s="5" t="n"/>
      <c r="L186" s="5" t="n"/>
      <c r="M186" s="5" t="n"/>
      <c r="N186" s="5" t="n"/>
      <c r="O186" s="5" t="n">
        <v>88</v>
      </c>
      <c r="P186" s="5" t="n">
        <v>88</v>
      </c>
      <c r="Q186" s="5" t="n"/>
      <c r="R186" s="5" t="n"/>
    </row>
    <row r="187">
      <c r="A187" s="2" t="inlineStr">
        <is>
          <t>EJ030323.TXT</t>
        </is>
      </c>
      <c r="B187" s="3" t="inlineStr">
        <is>
          <t>004709</t>
        </is>
      </c>
      <c r="C187" s="3" t="inlineStr">
        <is>
          <t>003747</t>
        </is>
      </c>
      <c r="D187" s="4" t="n">
        <v>44987</v>
      </c>
      <c r="E187" s="2" t="inlineStr">
        <is>
          <t>13:02</t>
        </is>
      </c>
      <c r="F187" s="5" t="n">
        <v>1117.5</v>
      </c>
      <c r="G187" s="5" t="n"/>
      <c r="H187" s="5" t="n"/>
      <c r="I187" s="5" t="n"/>
      <c r="J187" s="5" t="n">
        <v>223.5</v>
      </c>
      <c r="K187" s="5" t="n"/>
      <c r="L187" s="5" t="n"/>
      <c r="M187" s="5" t="n"/>
      <c r="N187" s="5" t="n"/>
      <c r="O187" s="5" t="n">
        <v>1341</v>
      </c>
      <c r="P187" s="5" t="n">
        <v>1341</v>
      </c>
      <c r="Q187" s="5" t="n"/>
      <c r="R187" s="5" t="n"/>
    </row>
    <row r="188">
      <c r="A188" s="2" t="inlineStr">
        <is>
          <t>EJ030323.TXT</t>
        </is>
      </c>
      <c r="B188" s="3" t="inlineStr">
        <is>
          <t>004710</t>
        </is>
      </c>
      <c r="C188" s="3" t="inlineStr">
        <is>
          <t>003748</t>
        </is>
      </c>
      <c r="D188" s="4" t="n">
        <v>44987</v>
      </c>
      <c r="E188" s="2" t="inlineStr">
        <is>
          <t>13:08</t>
        </is>
      </c>
      <c r="F188" s="5" t="n">
        <v>1070.83</v>
      </c>
      <c r="G188" s="5" t="n"/>
      <c r="H188" s="5" t="n"/>
      <c r="I188" s="5" t="n"/>
      <c r="J188" s="5" t="n">
        <v>214.17</v>
      </c>
      <c r="K188" s="5" t="n"/>
      <c r="L188" s="5" t="n"/>
      <c r="M188" s="5" t="n"/>
      <c r="N188" s="5" t="n"/>
      <c r="O188" s="5" t="n">
        <v>1285</v>
      </c>
      <c r="P188" s="5" t="n">
        <v>1285</v>
      </c>
      <c r="Q188" s="5" t="n"/>
      <c r="R188" s="5" t="n"/>
    </row>
    <row r="189">
      <c r="A189" s="2" t="inlineStr">
        <is>
          <t>EJ030323.TXT</t>
        </is>
      </c>
      <c r="B189" s="3" t="inlineStr">
        <is>
          <t>004711</t>
        </is>
      </c>
      <c r="C189" s="3" t="inlineStr">
        <is>
          <t>003749</t>
        </is>
      </c>
      <c r="D189" s="4" t="n">
        <v>44987</v>
      </c>
      <c r="E189" s="2" t="inlineStr">
        <is>
          <t>13:12</t>
        </is>
      </c>
      <c r="F189" s="5" t="n">
        <v>1096.67</v>
      </c>
      <c r="G189" s="5" t="n"/>
      <c r="H189" s="5" t="n"/>
      <c r="I189" s="5" t="n"/>
      <c r="J189" s="5" t="n">
        <v>219.33</v>
      </c>
      <c r="K189" s="5" t="n"/>
      <c r="L189" s="5" t="n"/>
      <c r="M189" s="5" t="n"/>
      <c r="N189" s="5" t="n"/>
      <c r="O189" s="5" t="n">
        <v>1316</v>
      </c>
      <c r="P189" s="5" t="n">
        <v>1316</v>
      </c>
      <c r="Q189" s="5" t="n"/>
      <c r="R189" s="5" t="n"/>
    </row>
    <row r="190">
      <c r="A190" s="2" t="inlineStr">
        <is>
          <t>EJ030323.TXT</t>
        </is>
      </c>
      <c r="B190" s="3" t="inlineStr">
        <is>
          <t>004712</t>
        </is>
      </c>
      <c r="C190" s="3" t="inlineStr">
        <is>
          <t>003750</t>
        </is>
      </c>
      <c r="D190" s="4" t="n">
        <v>44987</v>
      </c>
      <c r="E190" s="2" t="inlineStr">
        <is>
          <t>13:13</t>
        </is>
      </c>
      <c r="F190" s="5" t="n">
        <v>1370.83</v>
      </c>
      <c r="G190" s="5" t="n"/>
      <c r="H190" s="5" t="n"/>
      <c r="I190" s="5" t="n"/>
      <c r="J190" s="5" t="n">
        <v>274.17</v>
      </c>
      <c r="K190" s="5" t="n"/>
      <c r="L190" s="5" t="n"/>
      <c r="M190" s="5" t="n"/>
      <c r="N190" s="5" t="n"/>
      <c r="O190" s="5" t="n">
        <v>1645</v>
      </c>
      <c r="P190" s="5" t="n">
        <v>1645</v>
      </c>
      <c r="Q190" s="5" t="n"/>
      <c r="R190" s="5" t="n"/>
    </row>
    <row r="191">
      <c r="A191" s="2" t="inlineStr">
        <is>
          <t>EJ030323.TXT</t>
        </is>
      </c>
      <c r="B191" s="3" t="inlineStr">
        <is>
          <t>004713</t>
        </is>
      </c>
      <c r="C191" s="3" t="inlineStr">
        <is>
          <t>003751</t>
        </is>
      </c>
      <c r="D191" s="4" t="n">
        <v>44987</v>
      </c>
      <c r="E191" s="2" t="inlineStr">
        <is>
          <t>15:23</t>
        </is>
      </c>
      <c r="F191" s="5" t="n">
        <v>196.67</v>
      </c>
      <c r="G191" s="5" t="n"/>
      <c r="H191" s="5" t="n"/>
      <c r="I191" s="5" t="n"/>
      <c r="J191" s="5" t="n">
        <v>39.33</v>
      </c>
      <c r="K191" s="5" t="n"/>
      <c r="L191" s="5" t="n"/>
      <c r="M191" s="5" t="n"/>
      <c r="N191" s="5" t="n"/>
      <c r="O191" s="5" t="n">
        <v>236</v>
      </c>
      <c r="P191" s="5" t="n"/>
      <c r="Q191" s="5" t="n">
        <v>236</v>
      </c>
      <c r="R191" s="5" t="n"/>
    </row>
    <row r="192">
      <c r="A192" s="2" t="inlineStr">
        <is>
          <t>EJ030323.TXT</t>
        </is>
      </c>
      <c r="B192" s="3" t="inlineStr">
        <is>
          <t>004714</t>
        </is>
      </c>
      <c r="C192" s="3" t="inlineStr">
        <is>
          <t>003752</t>
        </is>
      </c>
      <c r="D192" s="4" t="n">
        <v>44987</v>
      </c>
      <c r="E192" s="2" t="inlineStr">
        <is>
          <t>18:43</t>
        </is>
      </c>
      <c r="F192" s="5" t="n">
        <v>73.33</v>
      </c>
      <c r="G192" s="5" t="n"/>
      <c r="H192" s="5" t="n"/>
      <c r="I192" s="5" t="n"/>
      <c r="J192" s="5" t="n">
        <v>14.67</v>
      </c>
      <c r="K192" s="5" t="n"/>
      <c r="L192" s="5" t="n"/>
      <c r="M192" s="5" t="n"/>
      <c r="N192" s="5" t="n"/>
      <c r="O192" s="5" t="n">
        <v>88</v>
      </c>
      <c r="P192" s="5" t="n">
        <v>88</v>
      </c>
      <c r="Q192" s="5" t="n"/>
      <c r="R192" s="5" t="n"/>
    </row>
    <row r="193">
      <c r="A193" s="2" t="inlineStr">
        <is>
          <t>EJ030323.TXT</t>
        </is>
      </c>
      <c r="B193" s="3" t="inlineStr">
        <is>
          <t>004715</t>
        </is>
      </c>
      <c r="C193" s="3" t="inlineStr">
        <is>
          <t>003753</t>
        </is>
      </c>
      <c r="D193" s="4" t="n">
        <v>44988</v>
      </c>
      <c r="E193" s="2" t="inlineStr">
        <is>
          <t>12:41</t>
        </is>
      </c>
      <c r="F193" s="5" t="n">
        <v>582.5</v>
      </c>
      <c r="G193" s="5" t="n"/>
      <c r="H193" s="5" t="n"/>
      <c r="I193" s="5" t="n"/>
      <c r="J193" s="5" t="n">
        <v>116.5</v>
      </c>
      <c r="K193" s="5" t="n"/>
      <c r="L193" s="5" t="n"/>
      <c r="M193" s="5" t="n"/>
      <c r="N193" s="5" t="n"/>
      <c r="O193" s="5" t="n">
        <v>699</v>
      </c>
      <c r="P193" s="5" t="n"/>
      <c r="Q193" s="5" t="n">
        <v>699</v>
      </c>
      <c r="R193" s="5" t="n"/>
    </row>
    <row r="194">
      <c r="A194" s="2" t="inlineStr">
        <is>
          <t>EJ030323.TXT</t>
        </is>
      </c>
      <c r="B194" s="3" t="inlineStr">
        <is>
          <t>004716</t>
        </is>
      </c>
      <c r="C194" s="3" t="inlineStr">
        <is>
          <t>003754</t>
        </is>
      </c>
      <c r="D194" s="4" t="n">
        <v>44988</v>
      </c>
      <c r="E194" s="2" t="inlineStr">
        <is>
          <t>12:41</t>
        </is>
      </c>
      <c r="F194" s="5" t="n">
        <v>582.5</v>
      </c>
      <c r="G194" s="5" t="n"/>
      <c r="H194" s="5" t="n"/>
      <c r="I194" s="5" t="n"/>
      <c r="J194" s="5" t="n">
        <v>116.5</v>
      </c>
      <c r="K194" s="5" t="n"/>
      <c r="L194" s="5" t="n"/>
      <c r="M194" s="5" t="n"/>
      <c r="N194" s="5" t="n"/>
      <c r="O194" s="5" t="n">
        <v>699</v>
      </c>
      <c r="P194" s="5" t="n"/>
      <c r="Q194" s="5" t="n">
        <v>699</v>
      </c>
      <c r="R194" s="5" t="n"/>
    </row>
    <row r="195">
      <c r="A195" s="2" t="inlineStr">
        <is>
          <t>EJ010423.TXT</t>
        </is>
      </c>
      <c r="B195" s="3" t="inlineStr">
        <is>
          <t>004723</t>
        </is>
      </c>
      <c r="C195" s="3" t="inlineStr">
        <is>
          <t>003755</t>
        </is>
      </c>
      <c r="D195" s="4" t="n">
        <v>44991</v>
      </c>
      <c r="E195" s="2" t="inlineStr">
        <is>
          <t>11:08</t>
        </is>
      </c>
      <c r="F195" s="5" t="n">
        <v>98.33</v>
      </c>
      <c r="G195" s="5" t="n"/>
      <c r="H195" s="5" t="n"/>
      <c r="I195" s="5" t="n"/>
      <c r="J195" s="5" t="n">
        <v>19.67</v>
      </c>
      <c r="K195" s="5" t="n"/>
      <c r="L195" s="5" t="n"/>
      <c r="M195" s="5" t="n"/>
      <c r="N195" s="5" t="n"/>
      <c r="O195" s="5" t="n">
        <v>118</v>
      </c>
      <c r="P195" s="5" t="n"/>
      <c r="Q195" s="5" t="n">
        <v>118</v>
      </c>
      <c r="R195" s="5" t="n"/>
    </row>
    <row r="196">
      <c r="A196" s="2" t="inlineStr">
        <is>
          <t>EJ010423.TXT</t>
        </is>
      </c>
      <c r="B196" s="3" t="inlineStr">
        <is>
          <t>004724</t>
        </is>
      </c>
      <c r="C196" s="3" t="inlineStr">
        <is>
          <t>003756</t>
        </is>
      </c>
      <c r="D196" s="4" t="n">
        <v>44991</v>
      </c>
      <c r="E196" s="2" t="inlineStr">
        <is>
          <t>18:30</t>
        </is>
      </c>
      <c r="F196" s="5" t="n">
        <v>822.5</v>
      </c>
      <c r="G196" s="5" t="n"/>
      <c r="H196" s="5" t="n"/>
      <c r="I196" s="5" t="n"/>
      <c r="J196" s="5" t="n">
        <v>164.5</v>
      </c>
      <c r="K196" s="5" t="n"/>
      <c r="L196" s="5" t="n"/>
      <c r="M196" s="5" t="n"/>
      <c r="N196" s="5" t="n"/>
      <c r="O196" s="5" t="n">
        <v>987</v>
      </c>
      <c r="P196" s="5" t="n"/>
      <c r="Q196" s="5" t="n"/>
      <c r="R196" s="5" t="n">
        <v>987</v>
      </c>
    </row>
    <row r="197">
      <c r="A197" s="2" t="inlineStr">
        <is>
          <t>EJ010423.TXT</t>
        </is>
      </c>
      <c r="B197" s="3" t="inlineStr">
        <is>
          <t>004725</t>
        </is>
      </c>
      <c r="C197" s="3" t="inlineStr">
        <is>
          <t>003757</t>
        </is>
      </c>
      <c r="D197" s="4" t="n">
        <v>44992</v>
      </c>
      <c r="E197" s="2" t="inlineStr">
        <is>
          <t>12:32</t>
        </is>
      </c>
      <c r="F197" s="5" t="n">
        <v>548.33</v>
      </c>
      <c r="G197" s="5" t="n"/>
      <c r="H197" s="5" t="n"/>
      <c r="I197" s="5" t="n"/>
      <c r="J197" s="5" t="n">
        <v>109.67</v>
      </c>
      <c r="K197" s="5" t="n"/>
      <c r="L197" s="5" t="n"/>
      <c r="M197" s="5" t="n"/>
      <c r="N197" s="5" t="n"/>
      <c r="O197" s="5" t="n">
        <v>658</v>
      </c>
      <c r="P197" s="5" t="n"/>
      <c r="Q197" s="5" t="n">
        <v>658</v>
      </c>
      <c r="R197" s="5" t="n"/>
    </row>
    <row r="198">
      <c r="A198" s="2" t="inlineStr">
        <is>
          <t>EJ010423.TXT</t>
        </is>
      </c>
      <c r="B198" s="3" t="inlineStr">
        <is>
          <t>004726</t>
        </is>
      </c>
      <c r="C198" s="3" t="inlineStr">
        <is>
          <t>003758</t>
        </is>
      </c>
      <c r="D198" s="4" t="n">
        <v>44992</v>
      </c>
      <c r="E198" s="2" t="inlineStr">
        <is>
          <t>14:59</t>
        </is>
      </c>
      <c r="F198" s="5" t="n">
        <v>822.5</v>
      </c>
      <c r="G198" s="5" t="n"/>
      <c r="H198" s="5" t="n"/>
      <c r="I198" s="5" t="n"/>
      <c r="J198" s="5" t="n">
        <v>164.5</v>
      </c>
      <c r="K198" s="5" t="n"/>
      <c r="L198" s="5" t="n"/>
      <c r="M198" s="5" t="n"/>
      <c r="N198" s="5" t="n"/>
      <c r="O198" s="5" t="n">
        <v>987</v>
      </c>
      <c r="P198" s="5" t="n"/>
      <c r="Q198" s="5" t="n">
        <v>987</v>
      </c>
      <c r="R198" s="5" t="n"/>
    </row>
    <row r="199">
      <c r="A199" s="2" t="inlineStr">
        <is>
          <t>EJ010423.TXT</t>
        </is>
      </c>
      <c r="B199" s="3" t="inlineStr">
        <is>
          <t>004727</t>
        </is>
      </c>
      <c r="C199" s="3" t="inlineStr">
        <is>
          <t>003759</t>
        </is>
      </c>
      <c r="D199" s="4" t="n">
        <v>44992</v>
      </c>
      <c r="E199" s="2" t="inlineStr">
        <is>
          <t>14:59</t>
        </is>
      </c>
      <c r="F199" s="5" t="n">
        <v>822.5</v>
      </c>
      <c r="G199" s="5" t="n"/>
      <c r="H199" s="5" t="n"/>
      <c r="I199" s="5" t="n"/>
      <c r="J199" s="5" t="n">
        <v>164.5</v>
      </c>
      <c r="K199" s="5" t="n"/>
      <c r="L199" s="5" t="n"/>
      <c r="M199" s="5" t="n"/>
      <c r="N199" s="5" t="n"/>
      <c r="O199" s="5" t="n">
        <v>987</v>
      </c>
      <c r="P199" s="5" t="n"/>
      <c r="Q199" s="5" t="n">
        <v>987</v>
      </c>
      <c r="R199" s="5" t="n"/>
    </row>
    <row r="200">
      <c r="A200" s="2" t="inlineStr">
        <is>
          <t>EJ010423.TXT</t>
        </is>
      </c>
      <c r="B200" s="3" t="inlineStr">
        <is>
          <t>004728</t>
        </is>
      </c>
      <c r="C200" s="3" t="inlineStr">
        <is>
          <t>003760</t>
        </is>
      </c>
      <c r="D200" s="4" t="n">
        <v>44993</v>
      </c>
      <c r="E200" s="2" t="inlineStr">
        <is>
          <t>11:12</t>
        </is>
      </c>
      <c r="F200" s="5" t="n">
        <v>208.33</v>
      </c>
      <c r="G200" s="5" t="n"/>
      <c r="H200" s="5" t="n"/>
      <c r="I200" s="5" t="n"/>
      <c r="J200" s="5" t="n">
        <v>41.67</v>
      </c>
      <c r="K200" s="5" t="n"/>
      <c r="L200" s="5" t="n"/>
      <c r="M200" s="5" t="n"/>
      <c r="N200" s="5" t="n"/>
      <c r="O200" s="5" t="n">
        <v>250</v>
      </c>
      <c r="P200" s="5" t="n"/>
      <c r="Q200" s="5" t="n">
        <v>250</v>
      </c>
      <c r="R200" s="5" t="n"/>
    </row>
    <row r="201">
      <c r="A201" s="2" t="inlineStr">
        <is>
          <t>EJ010423.TXT</t>
        </is>
      </c>
      <c r="B201" s="3" t="inlineStr">
        <is>
          <t>004729</t>
        </is>
      </c>
      <c r="C201" s="3" t="inlineStr">
        <is>
          <t>003761</t>
        </is>
      </c>
      <c r="D201" s="4" t="n">
        <v>44993</v>
      </c>
      <c r="E201" s="2" t="inlineStr">
        <is>
          <t>12:20</t>
        </is>
      </c>
      <c r="F201" s="5" t="n">
        <v>763.33</v>
      </c>
      <c r="G201" s="5" t="n"/>
      <c r="H201" s="5" t="n"/>
      <c r="I201" s="5" t="n"/>
      <c r="J201" s="5" t="n">
        <v>152.67</v>
      </c>
      <c r="K201" s="5" t="n"/>
      <c r="L201" s="5" t="n"/>
      <c r="M201" s="5" t="n"/>
      <c r="N201" s="5" t="n"/>
      <c r="O201" s="5" t="n">
        <v>916</v>
      </c>
      <c r="P201" s="5" t="n"/>
      <c r="Q201" s="5" t="n">
        <v>916</v>
      </c>
      <c r="R201" s="5" t="n"/>
    </row>
    <row r="202">
      <c r="A202" s="2" t="inlineStr">
        <is>
          <t>EJ010423.TXT</t>
        </is>
      </c>
      <c r="B202" s="3" t="inlineStr">
        <is>
          <t>004730</t>
        </is>
      </c>
      <c r="C202" s="3" t="inlineStr">
        <is>
          <t>003762</t>
        </is>
      </c>
      <c r="D202" s="4" t="n">
        <v>44998</v>
      </c>
      <c r="E202" s="2" t="inlineStr">
        <is>
          <t>14:55</t>
        </is>
      </c>
      <c r="F202" s="5" t="n">
        <v>307.5</v>
      </c>
      <c r="G202" s="5" t="n"/>
      <c r="H202" s="5" t="n"/>
      <c r="I202" s="5" t="n"/>
      <c r="J202" s="5" t="n">
        <v>61.5</v>
      </c>
      <c r="K202" s="5" t="n"/>
      <c r="L202" s="5" t="n"/>
      <c r="M202" s="5" t="n"/>
      <c r="N202" s="5" t="n"/>
      <c r="O202" s="5" t="n">
        <v>369</v>
      </c>
      <c r="P202" s="5" t="n"/>
      <c r="Q202" s="5" t="n">
        <v>369</v>
      </c>
      <c r="R202" s="5" t="n"/>
    </row>
    <row r="203">
      <c r="A203" s="2" t="inlineStr">
        <is>
          <t>EJ010423.TXT</t>
        </is>
      </c>
      <c r="B203" s="3" t="inlineStr">
        <is>
          <t>004731</t>
        </is>
      </c>
      <c r="C203" s="3" t="inlineStr">
        <is>
          <t>003763</t>
        </is>
      </c>
      <c r="D203" s="4" t="n">
        <v>44999</v>
      </c>
      <c r="E203" s="2" t="inlineStr">
        <is>
          <t>15:07</t>
        </is>
      </c>
      <c r="F203" s="5" t="n">
        <v>797.5</v>
      </c>
      <c r="G203" s="5" t="n"/>
      <c r="H203" s="5" t="n"/>
      <c r="I203" s="5" t="n"/>
      <c r="J203" s="5" t="n">
        <v>159.5</v>
      </c>
      <c r="K203" s="5" t="n"/>
      <c r="L203" s="5" t="n"/>
      <c r="M203" s="5" t="n"/>
      <c r="N203" s="5" t="n"/>
      <c r="O203" s="5" t="n">
        <v>957</v>
      </c>
      <c r="P203" s="5" t="n"/>
      <c r="Q203" s="5" t="n">
        <v>957</v>
      </c>
      <c r="R203" s="5" t="n"/>
    </row>
    <row r="204">
      <c r="A204" s="2" t="inlineStr">
        <is>
          <t>EJ010423.TXT</t>
        </is>
      </c>
      <c r="B204" s="3" t="inlineStr">
        <is>
          <t>004732</t>
        </is>
      </c>
      <c r="C204" s="3" t="inlineStr">
        <is>
          <t>003764</t>
        </is>
      </c>
      <c r="D204" s="4" t="n">
        <v>44999</v>
      </c>
      <c r="E204" s="2" t="inlineStr">
        <is>
          <t>16:56</t>
        </is>
      </c>
      <c r="F204" s="5" t="n">
        <v>797.5</v>
      </c>
      <c r="G204" s="5" t="n"/>
      <c r="H204" s="5" t="n"/>
      <c r="I204" s="5" t="n"/>
      <c r="J204" s="5" t="n">
        <v>159.5</v>
      </c>
      <c r="K204" s="5" t="n"/>
      <c r="L204" s="5" t="n"/>
      <c r="M204" s="5" t="n"/>
      <c r="N204" s="5" t="n"/>
      <c r="O204" s="5" t="n">
        <v>957</v>
      </c>
      <c r="P204" s="5" t="n"/>
      <c r="Q204" s="5" t="n">
        <v>957</v>
      </c>
      <c r="R204" s="5" t="n"/>
    </row>
    <row r="205">
      <c r="A205" s="2" t="inlineStr">
        <is>
          <t>EJ010423.TXT</t>
        </is>
      </c>
      <c r="B205" s="3" t="inlineStr">
        <is>
          <t>004733</t>
        </is>
      </c>
      <c r="C205" s="3" t="inlineStr">
        <is>
          <t>003765</t>
        </is>
      </c>
      <c r="D205" s="4" t="n">
        <v>44999</v>
      </c>
      <c r="E205" s="2" t="inlineStr">
        <is>
          <t>18:58</t>
        </is>
      </c>
      <c r="F205" s="5" t="n">
        <v>797.5</v>
      </c>
      <c r="G205" s="5" t="n"/>
      <c r="H205" s="5" t="n"/>
      <c r="I205" s="5" t="n"/>
      <c r="J205" s="5" t="n">
        <v>159.5</v>
      </c>
      <c r="K205" s="5" t="n"/>
      <c r="L205" s="5" t="n"/>
      <c r="M205" s="5" t="n"/>
      <c r="N205" s="5" t="n"/>
      <c r="O205" s="5" t="n">
        <v>957</v>
      </c>
      <c r="P205" s="5" t="n"/>
      <c r="Q205" s="5" t="n">
        <v>957</v>
      </c>
      <c r="R205" s="5" t="n"/>
    </row>
    <row r="206">
      <c r="A206" s="2" t="inlineStr">
        <is>
          <t>EJ010423.TXT</t>
        </is>
      </c>
      <c r="B206" s="3" t="inlineStr">
        <is>
          <t>004734</t>
        </is>
      </c>
      <c r="C206" s="3" t="inlineStr">
        <is>
          <t>003766</t>
        </is>
      </c>
      <c r="D206" s="4" t="n">
        <v>44999</v>
      </c>
      <c r="E206" s="2" t="inlineStr">
        <is>
          <t>18:59</t>
        </is>
      </c>
      <c r="F206" s="5" t="n">
        <v>797.5</v>
      </c>
      <c r="G206" s="5" t="n"/>
      <c r="H206" s="5" t="n"/>
      <c r="I206" s="5" t="n"/>
      <c r="J206" s="5" t="n">
        <v>159.5</v>
      </c>
      <c r="K206" s="5" t="n"/>
      <c r="L206" s="5" t="n"/>
      <c r="M206" s="5" t="n"/>
      <c r="N206" s="5" t="n"/>
      <c r="O206" s="5" t="n">
        <v>957</v>
      </c>
      <c r="P206" s="5" t="n"/>
      <c r="Q206" s="5" t="n">
        <v>957</v>
      </c>
      <c r="R206" s="5" t="n"/>
    </row>
    <row r="207">
      <c r="A207" s="2" t="inlineStr">
        <is>
          <t>EJ010423.TXT</t>
        </is>
      </c>
      <c r="B207" s="3" t="inlineStr">
        <is>
          <t>004735</t>
        </is>
      </c>
      <c r="C207" s="3" t="inlineStr">
        <is>
          <t>003767</t>
        </is>
      </c>
      <c r="D207" s="4" t="n">
        <v>45000</v>
      </c>
      <c r="E207" s="2" t="inlineStr">
        <is>
          <t>17:19</t>
        </is>
      </c>
      <c r="F207" s="5" t="n">
        <v>797.5</v>
      </c>
      <c r="G207" s="5" t="n"/>
      <c r="H207" s="5" t="n"/>
      <c r="I207" s="5" t="n"/>
      <c r="J207" s="5" t="n">
        <v>159.5</v>
      </c>
      <c r="K207" s="5" t="n"/>
      <c r="L207" s="5" t="n"/>
      <c r="M207" s="5" t="n"/>
      <c r="N207" s="5" t="n"/>
      <c r="O207" s="5" t="n">
        <v>957</v>
      </c>
      <c r="P207" s="5" t="n"/>
      <c r="Q207" s="5" t="n">
        <v>957</v>
      </c>
      <c r="R207" s="5" t="n"/>
    </row>
    <row r="208">
      <c r="A208" s="2" t="inlineStr">
        <is>
          <t>EJ010423.TXT</t>
        </is>
      </c>
      <c r="B208" s="3" t="inlineStr">
        <is>
          <t>004736</t>
        </is>
      </c>
      <c r="C208" s="3" t="inlineStr">
        <is>
          <t>003768</t>
        </is>
      </c>
      <c r="D208" s="4" t="n">
        <v>45000</v>
      </c>
      <c r="E208" s="2" t="inlineStr">
        <is>
          <t>17:20</t>
        </is>
      </c>
      <c r="F208" s="5" t="n">
        <v>797.5</v>
      </c>
      <c r="G208" s="5" t="n"/>
      <c r="H208" s="5" t="n"/>
      <c r="I208" s="5" t="n"/>
      <c r="J208" s="5" t="n">
        <v>159.5</v>
      </c>
      <c r="K208" s="5" t="n"/>
      <c r="L208" s="5" t="n"/>
      <c r="M208" s="5" t="n"/>
      <c r="N208" s="5" t="n"/>
      <c r="O208" s="5" t="n">
        <v>957</v>
      </c>
      <c r="P208" s="5" t="n"/>
      <c r="Q208" s="5" t="n">
        <v>957</v>
      </c>
      <c r="R208" s="5" t="n"/>
    </row>
    <row r="209">
      <c r="A209" s="2" t="inlineStr">
        <is>
          <t>EJ010423.TXT</t>
        </is>
      </c>
      <c r="B209" s="3" t="inlineStr">
        <is>
          <t>004737</t>
        </is>
      </c>
      <c r="C209" s="3" t="inlineStr">
        <is>
          <t>003769</t>
        </is>
      </c>
      <c r="D209" s="4" t="n">
        <v>45000</v>
      </c>
      <c r="E209" s="2" t="inlineStr">
        <is>
          <t>18:30</t>
        </is>
      </c>
      <c r="F209" s="5" t="n">
        <v>548.33</v>
      </c>
      <c r="G209" s="5" t="n"/>
      <c r="H209" s="5" t="n"/>
      <c r="I209" s="5" t="n"/>
      <c r="J209" s="5" t="n">
        <v>109.67</v>
      </c>
      <c r="K209" s="5" t="n"/>
      <c r="L209" s="5" t="n"/>
      <c r="M209" s="5" t="n"/>
      <c r="N209" s="5" t="n"/>
      <c r="O209" s="5" t="n">
        <v>658</v>
      </c>
      <c r="P209" s="5" t="n"/>
      <c r="Q209" s="5" t="n">
        <v>658</v>
      </c>
      <c r="R209" s="5" t="n"/>
    </row>
    <row r="210">
      <c r="A210" s="2" t="inlineStr">
        <is>
          <t>EJ010423.TXT</t>
        </is>
      </c>
      <c r="B210" s="3" t="inlineStr">
        <is>
          <t>004738</t>
        </is>
      </c>
      <c r="C210" s="3" t="inlineStr">
        <is>
          <t>003770</t>
        </is>
      </c>
      <c r="D210" s="4" t="n">
        <v>45001</v>
      </c>
      <c r="E210" s="2" t="inlineStr">
        <is>
          <t>12:02</t>
        </is>
      </c>
      <c r="F210" s="5" t="n">
        <v>531.67</v>
      </c>
      <c r="G210" s="5" t="n"/>
      <c r="H210" s="5" t="n"/>
      <c r="I210" s="5" t="n"/>
      <c r="J210" s="5" t="n">
        <v>106.33</v>
      </c>
      <c r="K210" s="5" t="n"/>
      <c r="L210" s="5" t="n"/>
      <c r="M210" s="5" t="n"/>
      <c r="N210" s="5" t="n"/>
      <c r="O210" s="5" t="n">
        <v>638</v>
      </c>
      <c r="P210" s="5" t="n"/>
      <c r="Q210" s="5" t="n">
        <v>638</v>
      </c>
      <c r="R210" s="5" t="n"/>
    </row>
    <row r="211">
      <c r="A211" s="2" t="inlineStr">
        <is>
          <t>EJ010423.TXT</t>
        </is>
      </c>
      <c r="B211" s="3" t="inlineStr">
        <is>
          <t>004739</t>
        </is>
      </c>
      <c r="C211" s="3" t="inlineStr">
        <is>
          <t>003771</t>
        </is>
      </c>
      <c r="D211" s="4" t="n">
        <v>45001</v>
      </c>
      <c r="E211" s="2" t="inlineStr">
        <is>
          <t>18:12</t>
        </is>
      </c>
      <c r="F211" s="5" t="n">
        <v>274.17</v>
      </c>
      <c r="G211" s="5" t="n"/>
      <c r="H211" s="5" t="n"/>
      <c r="I211" s="5" t="n"/>
      <c r="J211" s="5" t="n">
        <v>54.83</v>
      </c>
      <c r="K211" s="5" t="n"/>
      <c r="L211" s="5" t="n"/>
      <c r="M211" s="5" t="n"/>
      <c r="N211" s="5" t="n"/>
      <c r="O211" s="5" t="n">
        <v>329</v>
      </c>
      <c r="P211" s="5" t="n">
        <v>329</v>
      </c>
      <c r="Q211" s="5" t="n"/>
      <c r="R211" s="5" t="n"/>
    </row>
    <row r="212">
      <c r="A212" s="2" t="inlineStr">
        <is>
          <t>EJ010423.TXT</t>
        </is>
      </c>
      <c r="B212" s="3" t="inlineStr">
        <is>
          <t>004740</t>
        </is>
      </c>
      <c r="C212" s="3" t="inlineStr">
        <is>
          <t>003772</t>
        </is>
      </c>
      <c r="D212" s="4" t="n">
        <v>45002</v>
      </c>
      <c r="E212" s="2" t="inlineStr">
        <is>
          <t>11:42</t>
        </is>
      </c>
      <c r="F212" s="5" t="n">
        <v>190.83</v>
      </c>
      <c r="G212" s="5" t="n"/>
      <c r="H212" s="5" t="n"/>
      <c r="I212" s="5" t="n"/>
      <c r="J212" s="5" t="n">
        <v>38.17</v>
      </c>
      <c r="K212" s="5" t="n"/>
      <c r="L212" s="5" t="n"/>
      <c r="M212" s="5" t="n"/>
      <c r="N212" s="5" t="n"/>
      <c r="O212" s="5" t="n">
        <v>229</v>
      </c>
      <c r="P212" s="5" t="n"/>
      <c r="Q212" s="5" t="n">
        <v>229</v>
      </c>
      <c r="R212" s="5" t="n"/>
    </row>
    <row r="213">
      <c r="A213" s="2" t="inlineStr">
        <is>
          <t>EJ010423.TXT</t>
        </is>
      </c>
      <c r="B213" s="3" t="inlineStr">
        <is>
          <t>004741</t>
        </is>
      </c>
      <c r="C213" s="3" t="inlineStr">
        <is>
          <t>003773</t>
        </is>
      </c>
      <c r="D213" s="4" t="n">
        <v>45003</v>
      </c>
      <c r="E213" s="2" t="inlineStr">
        <is>
          <t>15:04</t>
        </is>
      </c>
      <c r="F213" s="5" t="n">
        <v>822.5</v>
      </c>
      <c r="G213" s="5" t="n"/>
      <c r="H213" s="5" t="n"/>
      <c r="I213" s="5" t="n"/>
      <c r="J213" s="5" t="n">
        <v>164.5</v>
      </c>
      <c r="K213" s="5" t="n"/>
      <c r="L213" s="5" t="n"/>
      <c r="M213" s="5" t="n"/>
      <c r="N213" s="5" t="n"/>
      <c r="O213" s="5" t="n">
        <v>987</v>
      </c>
      <c r="P213" s="5" t="n"/>
      <c r="Q213" s="5" t="n">
        <v>987</v>
      </c>
      <c r="R213" s="5" t="n"/>
    </row>
    <row r="214">
      <c r="A214" s="2" t="inlineStr">
        <is>
          <t>EJ010423.TXT</t>
        </is>
      </c>
      <c r="B214" s="3" t="inlineStr">
        <is>
          <t>004742</t>
        </is>
      </c>
      <c r="C214" s="3" t="inlineStr">
        <is>
          <t>003774</t>
        </is>
      </c>
      <c r="D214" s="4" t="n">
        <v>45003</v>
      </c>
      <c r="E214" s="2" t="inlineStr">
        <is>
          <t>15:04</t>
        </is>
      </c>
      <c r="F214" s="5" t="n">
        <v>672.5</v>
      </c>
      <c r="G214" s="5" t="n"/>
      <c r="H214" s="5" t="n"/>
      <c r="I214" s="5" t="n"/>
      <c r="J214" s="5" t="n">
        <v>134.5</v>
      </c>
      <c r="K214" s="5" t="n"/>
      <c r="L214" s="5" t="n"/>
      <c r="M214" s="5" t="n"/>
      <c r="N214" s="5" t="n"/>
      <c r="O214" s="5" t="n">
        <v>807</v>
      </c>
      <c r="P214" s="5" t="n"/>
      <c r="Q214" s="5" t="n">
        <v>807</v>
      </c>
      <c r="R214" s="5" t="n"/>
    </row>
    <row r="215">
      <c r="A215" s="2" t="inlineStr">
        <is>
          <t>EJ010423.TXT</t>
        </is>
      </c>
      <c r="B215" s="3" t="inlineStr">
        <is>
          <t>004743</t>
        </is>
      </c>
      <c r="C215" s="3" t="inlineStr">
        <is>
          <t>003775</t>
        </is>
      </c>
      <c r="D215" s="4" t="n">
        <v>45003</v>
      </c>
      <c r="E215" s="2" t="inlineStr">
        <is>
          <t>15:05</t>
        </is>
      </c>
      <c r="F215" s="5" t="n">
        <v>747.5</v>
      </c>
      <c r="G215" s="5" t="n"/>
      <c r="H215" s="5" t="n"/>
      <c r="I215" s="5" t="n"/>
      <c r="J215" s="5" t="n">
        <v>149.5</v>
      </c>
      <c r="K215" s="5" t="n"/>
      <c r="L215" s="5" t="n"/>
      <c r="M215" s="5" t="n"/>
      <c r="N215" s="5" t="n"/>
      <c r="O215" s="5" t="n">
        <v>897</v>
      </c>
      <c r="P215" s="5" t="n"/>
      <c r="Q215" s="5" t="n">
        <v>897</v>
      </c>
      <c r="R215" s="5" t="n"/>
    </row>
    <row r="216">
      <c r="A216" s="2" t="inlineStr">
        <is>
          <t>EJ010423.TXT</t>
        </is>
      </c>
      <c r="B216" s="3" t="inlineStr">
        <is>
          <t>004744</t>
        </is>
      </c>
      <c r="C216" s="3" t="inlineStr">
        <is>
          <t>003776</t>
        </is>
      </c>
      <c r="D216" s="4" t="n">
        <v>45003</v>
      </c>
      <c r="E216" s="2" t="inlineStr">
        <is>
          <t>15:06</t>
        </is>
      </c>
      <c r="F216" s="5" t="n">
        <v>473.33</v>
      </c>
      <c r="G216" s="5" t="n"/>
      <c r="H216" s="5" t="n"/>
      <c r="I216" s="5" t="n"/>
      <c r="J216" s="5" t="n">
        <v>94.67</v>
      </c>
      <c r="K216" s="5" t="n"/>
      <c r="L216" s="5" t="n"/>
      <c r="M216" s="5" t="n"/>
      <c r="N216" s="5" t="n"/>
      <c r="O216" s="5" t="n">
        <v>568</v>
      </c>
      <c r="P216" s="5" t="n"/>
      <c r="Q216" s="5" t="n">
        <v>568</v>
      </c>
      <c r="R216" s="5" t="n"/>
    </row>
    <row r="217">
      <c r="A217" s="2" t="inlineStr">
        <is>
          <t>EJ010423.TXT</t>
        </is>
      </c>
      <c r="B217" s="3" t="inlineStr">
        <is>
          <t>004745</t>
        </is>
      </c>
      <c r="C217" s="3" t="inlineStr">
        <is>
          <t>003777</t>
        </is>
      </c>
      <c r="D217" s="4" t="n">
        <v>45003</v>
      </c>
      <c r="E217" s="2" t="inlineStr">
        <is>
          <t>15:07</t>
        </is>
      </c>
      <c r="F217" s="5" t="n">
        <v>274.17</v>
      </c>
      <c r="G217" s="5" t="n"/>
      <c r="H217" s="5" t="n"/>
      <c r="I217" s="5" t="n"/>
      <c r="J217" s="5" t="n">
        <v>54.83</v>
      </c>
      <c r="K217" s="5" t="n"/>
      <c r="L217" s="5" t="n"/>
      <c r="M217" s="5" t="n"/>
      <c r="N217" s="5" t="n"/>
      <c r="O217" s="5" t="n">
        <v>329</v>
      </c>
      <c r="P217" s="5" t="n"/>
      <c r="Q217" s="5" t="n">
        <v>329</v>
      </c>
      <c r="R217" s="5" t="n"/>
    </row>
    <row r="218">
      <c r="A218" s="2" t="inlineStr">
        <is>
          <t>EJ010423.TXT</t>
        </is>
      </c>
      <c r="B218" s="3" t="inlineStr">
        <is>
          <t>004746</t>
        </is>
      </c>
      <c r="C218" s="3" t="inlineStr">
        <is>
          <t>003778</t>
        </is>
      </c>
      <c r="D218" s="4" t="n">
        <v>45003</v>
      </c>
      <c r="E218" s="2" t="inlineStr">
        <is>
          <t>15:12</t>
        </is>
      </c>
      <c r="F218" s="5" t="n">
        <v>349.17</v>
      </c>
      <c r="G218" s="5" t="n"/>
      <c r="H218" s="5" t="n"/>
      <c r="I218" s="5" t="n"/>
      <c r="J218" s="5" t="n">
        <v>69.83</v>
      </c>
      <c r="K218" s="5" t="n"/>
      <c r="L218" s="5" t="n"/>
      <c r="M218" s="5" t="n"/>
      <c r="N218" s="5" t="n"/>
      <c r="O218" s="5" t="n">
        <v>419</v>
      </c>
      <c r="P218" s="5" t="n"/>
      <c r="Q218" s="5" t="n">
        <v>419</v>
      </c>
      <c r="R218" s="5" t="n"/>
    </row>
    <row r="219">
      <c r="A219" s="2" t="inlineStr">
        <is>
          <t>EJ010423.TXT</t>
        </is>
      </c>
      <c r="B219" s="3" t="inlineStr">
        <is>
          <t>004747</t>
        </is>
      </c>
      <c r="C219" s="3" t="inlineStr">
        <is>
          <t>003779</t>
        </is>
      </c>
      <c r="D219" s="4" t="n">
        <v>45003</v>
      </c>
      <c r="E219" s="2" t="inlineStr">
        <is>
          <t>15:15</t>
        </is>
      </c>
      <c r="F219" s="5" t="n">
        <v>208.33</v>
      </c>
      <c r="G219" s="5" t="n"/>
      <c r="H219" s="5" t="n"/>
      <c r="I219" s="5" t="n"/>
      <c r="J219" s="5" t="n">
        <v>41.67</v>
      </c>
      <c r="K219" s="5" t="n"/>
      <c r="L219" s="5" t="n"/>
      <c r="M219" s="5" t="n"/>
      <c r="N219" s="5" t="n"/>
      <c r="O219" s="5" t="n">
        <v>250</v>
      </c>
      <c r="P219" s="5" t="n"/>
      <c r="Q219" s="5" t="n">
        <v>250</v>
      </c>
      <c r="R219" s="5" t="n"/>
    </row>
    <row r="220">
      <c r="A220" s="2" t="inlineStr">
        <is>
          <t>EJ010423.TXT</t>
        </is>
      </c>
      <c r="B220" s="3" t="inlineStr">
        <is>
          <t>004748</t>
        </is>
      </c>
      <c r="C220" s="3" t="inlineStr">
        <is>
          <t>003780</t>
        </is>
      </c>
      <c r="D220" s="4" t="n">
        <v>45003</v>
      </c>
      <c r="E220" s="2" t="inlineStr">
        <is>
          <t>17:15</t>
        </is>
      </c>
      <c r="F220" s="5" t="n">
        <v>548.33</v>
      </c>
      <c r="G220" s="5" t="n"/>
      <c r="H220" s="5" t="n"/>
      <c r="I220" s="5" t="n"/>
      <c r="J220" s="5" t="n">
        <v>109.67</v>
      </c>
      <c r="K220" s="5" t="n"/>
      <c r="L220" s="5" t="n"/>
      <c r="M220" s="5" t="n"/>
      <c r="N220" s="5" t="n"/>
      <c r="O220" s="5" t="n">
        <v>658</v>
      </c>
      <c r="P220" s="5" t="n">
        <v>658</v>
      </c>
      <c r="Q220" s="5" t="n"/>
      <c r="R220" s="5" t="n"/>
    </row>
    <row r="221">
      <c r="A221" s="2" t="inlineStr">
        <is>
          <t>EJ010423.TXT</t>
        </is>
      </c>
      <c r="B221" s="3" t="inlineStr">
        <is>
          <t>004749</t>
        </is>
      </c>
      <c r="C221" s="3" t="inlineStr">
        <is>
          <t>003781</t>
        </is>
      </c>
      <c r="D221" s="4" t="n">
        <v>45003</v>
      </c>
      <c r="E221" s="2" t="inlineStr">
        <is>
          <t>18:23</t>
        </is>
      </c>
      <c r="F221" s="5" t="n">
        <v>73.33</v>
      </c>
      <c r="G221" s="5" t="n"/>
      <c r="H221" s="5" t="n"/>
      <c r="I221" s="5" t="n"/>
      <c r="J221" s="5" t="n">
        <v>14.67</v>
      </c>
      <c r="K221" s="5" t="n"/>
      <c r="L221" s="5" t="n"/>
      <c r="M221" s="5" t="n"/>
      <c r="N221" s="5" t="n"/>
      <c r="O221" s="5" t="n">
        <v>88</v>
      </c>
      <c r="P221" s="5" t="n">
        <v>88</v>
      </c>
      <c r="Q221" s="5" t="n"/>
      <c r="R221" s="5" t="n"/>
    </row>
    <row r="222">
      <c r="A222" s="2" t="inlineStr">
        <is>
          <t>EJ010423.TXT</t>
        </is>
      </c>
      <c r="B222" s="3" t="inlineStr">
        <is>
          <t>004750</t>
        </is>
      </c>
      <c r="C222" s="3" t="inlineStr">
        <is>
          <t>003782</t>
        </is>
      </c>
      <c r="D222" s="4" t="n">
        <v>45005</v>
      </c>
      <c r="E222" s="2" t="inlineStr">
        <is>
          <t>15:26</t>
        </is>
      </c>
      <c r="F222" s="5" t="n">
        <v>666.67</v>
      </c>
      <c r="G222" s="5" t="n"/>
      <c r="H222" s="5" t="n"/>
      <c r="I222" s="5" t="n"/>
      <c r="J222" s="5" t="n">
        <v>133.33</v>
      </c>
      <c r="K222" s="5" t="n"/>
      <c r="L222" s="5" t="n"/>
      <c r="M222" s="5" t="n"/>
      <c r="N222" s="5" t="n"/>
      <c r="O222" s="5" t="n">
        <v>800</v>
      </c>
      <c r="P222" s="5" t="n"/>
      <c r="Q222" s="5" t="n">
        <v>800</v>
      </c>
      <c r="R222" s="5" t="n"/>
    </row>
    <row r="223">
      <c r="A223" s="2" t="inlineStr">
        <is>
          <t>EJ010423.TXT</t>
        </is>
      </c>
      <c r="B223" s="3" t="inlineStr">
        <is>
          <t>004751</t>
        </is>
      </c>
      <c r="C223" s="3" t="inlineStr">
        <is>
          <t>003783</t>
        </is>
      </c>
      <c r="D223" s="4" t="n">
        <v>45005</v>
      </c>
      <c r="E223" s="2" t="inlineStr">
        <is>
          <t>15:33</t>
        </is>
      </c>
      <c r="F223" s="5" t="n">
        <v>166.67</v>
      </c>
      <c r="G223" s="5" t="n"/>
      <c r="H223" s="5" t="n"/>
      <c r="I223" s="5" t="n"/>
      <c r="J223" s="5" t="n">
        <v>33.33</v>
      </c>
      <c r="K223" s="5" t="n"/>
      <c r="L223" s="5" t="n"/>
      <c r="M223" s="5" t="n"/>
      <c r="N223" s="5" t="n"/>
      <c r="O223" s="5" t="n">
        <v>200</v>
      </c>
      <c r="P223" s="5" t="n"/>
      <c r="Q223" s="5" t="n">
        <v>200</v>
      </c>
      <c r="R223" s="5" t="n"/>
    </row>
    <row r="224">
      <c r="A224" s="2" t="inlineStr">
        <is>
          <t>EJ010423.TXT</t>
        </is>
      </c>
      <c r="B224" s="3" t="inlineStr">
        <is>
          <t>004752</t>
        </is>
      </c>
      <c r="C224" s="3" t="inlineStr">
        <is>
          <t>003784</t>
        </is>
      </c>
      <c r="D224" s="4" t="n">
        <v>45005</v>
      </c>
      <c r="E224" s="2" t="inlineStr">
        <is>
          <t>15:34</t>
        </is>
      </c>
      <c r="F224" s="5" t="n">
        <v>233.33</v>
      </c>
      <c r="G224" s="5" t="n"/>
      <c r="H224" s="5" t="n"/>
      <c r="I224" s="5" t="n"/>
      <c r="J224" s="5" t="n">
        <v>46.67</v>
      </c>
      <c r="K224" s="5" t="n"/>
      <c r="L224" s="5" t="n"/>
      <c r="M224" s="5" t="n"/>
      <c r="N224" s="5" t="n"/>
      <c r="O224" s="5" t="n">
        <v>280</v>
      </c>
      <c r="P224" s="5" t="n"/>
      <c r="Q224" s="5" t="n">
        <v>280</v>
      </c>
      <c r="R224" s="5" t="n"/>
    </row>
    <row r="225">
      <c r="A225" s="2" t="inlineStr">
        <is>
          <t>EJ010423.TXT</t>
        </is>
      </c>
      <c r="B225" s="3" t="inlineStr">
        <is>
          <t>004753</t>
        </is>
      </c>
      <c r="C225" s="3" t="inlineStr">
        <is>
          <t>003785</t>
        </is>
      </c>
      <c r="D225" s="4" t="n">
        <v>45006</v>
      </c>
      <c r="E225" s="2" t="inlineStr">
        <is>
          <t>16:56</t>
        </is>
      </c>
      <c r="F225" s="5" t="n">
        <v>381.67</v>
      </c>
      <c r="G225" s="5" t="n"/>
      <c r="H225" s="5" t="n"/>
      <c r="I225" s="5" t="n"/>
      <c r="J225" s="5" t="n">
        <v>76.33</v>
      </c>
      <c r="K225" s="5" t="n"/>
      <c r="L225" s="5" t="n"/>
      <c r="M225" s="5" t="n"/>
      <c r="N225" s="5" t="n"/>
      <c r="O225" s="5" t="n">
        <v>458</v>
      </c>
      <c r="P225" s="5" t="n"/>
      <c r="Q225" s="5" t="n">
        <v>458</v>
      </c>
      <c r="R225" s="5" t="n"/>
    </row>
    <row r="226">
      <c r="A226" s="2" t="inlineStr">
        <is>
          <t>EJ010423.TXT</t>
        </is>
      </c>
      <c r="B226" s="3" t="inlineStr">
        <is>
          <t>004754</t>
        </is>
      </c>
      <c r="C226" s="3" t="inlineStr">
        <is>
          <t>003786</t>
        </is>
      </c>
      <c r="D226" s="4" t="n">
        <v>45006</v>
      </c>
      <c r="E226" s="2" t="inlineStr">
        <is>
          <t>17:32</t>
        </is>
      </c>
      <c r="F226" s="5" t="n">
        <v>822.5</v>
      </c>
      <c r="G226" s="5" t="n"/>
      <c r="H226" s="5" t="n"/>
      <c r="I226" s="5" t="n"/>
      <c r="J226" s="5" t="n">
        <v>164.5</v>
      </c>
      <c r="K226" s="5" t="n"/>
      <c r="L226" s="5" t="n"/>
      <c r="M226" s="5" t="n"/>
      <c r="N226" s="5" t="n"/>
      <c r="O226" s="5" t="n">
        <v>987</v>
      </c>
      <c r="P226" s="5" t="n"/>
      <c r="Q226" s="5" t="n">
        <v>987</v>
      </c>
      <c r="R226" s="5" t="n"/>
    </row>
    <row r="227">
      <c r="A227" s="2" t="inlineStr">
        <is>
          <t>EJ010423.TXT</t>
        </is>
      </c>
      <c r="B227" s="3" t="inlineStr">
        <is>
          <t>004755</t>
        </is>
      </c>
      <c r="C227" s="3" t="inlineStr">
        <is>
          <t>003787</t>
        </is>
      </c>
      <c r="D227" s="4" t="n">
        <v>45007</v>
      </c>
      <c r="E227" s="2" t="inlineStr">
        <is>
          <t>12:24</t>
        </is>
      </c>
      <c r="F227" s="5" t="n">
        <v>208.33</v>
      </c>
      <c r="G227" s="5" t="n"/>
      <c r="H227" s="5" t="n"/>
      <c r="I227" s="5" t="n"/>
      <c r="J227" s="5" t="n">
        <v>41.67</v>
      </c>
      <c r="K227" s="5" t="n"/>
      <c r="L227" s="5" t="n"/>
      <c r="M227" s="5" t="n"/>
      <c r="N227" s="5" t="n"/>
      <c r="O227" s="5" t="n">
        <v>250</v>
      </c>
      <c r="P227" s="5" t="n"/>
      <c r="Q227" s="5" t="n">
        <v>250</v>
      </c>
      <c r="R227" s="5" t="n"/>
    </row>
    <row r="228">
      <c r="A228" s="2" t="inlineStr">
        <is>
          <t>EJ010423.TXT</t>
        </is>
      </c>
      <c r="B228" s="3" t="inlineStr">
        <is>
          <t>004756</t>
        </is>
      </c>
      <c r="C228" s="3" t="inlineStr">
        <is>
          <t>003788</t>
        </is>
      </c>
      <c r="D228" s="4" t="n">
        <v>45009</v>
      </c>
      <c r="E228" s="2" t="inlineStr">
        <is>
          <t>10:49</t>
        </is>
      </c>
      <c r="F228" s="5" t="n">
        <v>548.33</v>
      </c>
      <c r="G228" s="5" t="n"/>
      <c r="H228" s="5" t="n"/>
      <c r="I228" s="5" t="n"/>
      <c r="J228" s="5" t="n">
        <v>109.67</v>
      </c>
      <c r="K228" s="5" t="n"/>
      <c r="L228" s="5" t="n"/>
      <c r="M228" s="5" t="n"/>
      <c r="N228" s="5" t="n"/>
      <c r="O228" s="5" t="n">
        <v>658</v>
      </c>
      <c r="P228" s="5" t="n">
        <v>658</v>
      </c>
      <c r="Q228" s="5" t="n"/>
      <c r="R228" s="5" t="n"/>
    </row>
    <row r="229">
      <c r="A229" s="2" t="inlineStr">
        <is>
          <t>EJ010423.TXT</t>
        </is>
      </c>
      <c r="B229" s="3" t="inlineStr">
        <is>
          <t>004757</t>
        </is>
      </c>
      <c r="C229" s="3" t="inlineStr">
        <is>
          <t>003789</t>
        </is>
      </c>
      <c r="D229" s="4" t="n">
        <v>45009</v>
      </c>
      <c r="E229" s="2" t="inlineStr">
        <is>
          <t>18:19</t>
        </is>
      </c>
      <c r="F229" s="5" t="n">
        <v>208.33</v>
      </c>
      <c r="G229" s="5" t="n"/>
      <c r="H229" s="5" t="n"/>
      <c r="I229" s="5" t="n"/>
      <c r="J229" s="5" t="n">
        <v>41.67</v>
      </c>
      <c r="K229" s="5" t="n"/>
      <c r="L229" s="5" t="n"/>
      <c r="M229" s="5" t="n"/>
      <c r="N229" s="5" t="n"/>
      <c r="O229" s="5" t="n">
        <v>250</v>
      </c>
      <c r="P229" s="5" t="n"/>
      <c r="Q229" s="5" t="n">
        <v>250</v>
      </c>
      <c r="R229" s="5" t="n"/>
    </row>
    <row r="230">
      <c r="A230" s="2" t="inlineStr">
        <is>
          <t>EJ010423.TXT</t>
        </is>
      </c>
      <c r="B230" s="3" t="inlineStr">
        <is>
          <t>004758</t>
        </is>
      </c>
      <c r="C230" s="3" t="inlineStr">
        <is>
          <t>003790</t>
        </is>
      </c>
      <c r="D230" s="4" t="n">
        <v>45010</v>
      </c>
      <c r="E230" s="2" t="inlineStr">
        <is>
          <t>17:45</t>
        </is>
      </c>
      <c r="F230" s="5" t="n">
        <v>621.67</v>
      </c>
      <c r="G230" s="5" t="n"/>
      <c r="H230" s="5" t="n"/>
      <c r="I230" s="5" t="n"/>
      <c r="J230" s="5" t="n">
        <v>124.33</v>
      </c>
      <c r="K230" s="5" t="n"/>
      <c r="L230" s="5" t="n"/>
      <c r="M230" s="5" t="n"/>
      <c r="N230" s="5" t="n"/>
      <c r="O230" s="5" t="n">
        <v>746</v>
      </c>
      <c r="P230" s="5" t="n">
        <v>746</v>
      </c>
      <c r="Q230" s="5" t="n"/>
      <c r="R230" s="5" t="n"/>
    </row>
    <row r="231">
      <c r="A231" s="2" t="inlineStr">
        <is>
          <t>EJ010423.TXT</t>
        </is>
      </c>
      <c r="B231" s="3" t="inlineStr">
        <is>
          <t>004759</t>
        </is>
      </c>
      <c r="C231" s="3" t="inlineStr">
        <is>
          <t>003791</t>
        </is>
      </c>
      <c r="D231" s="4" t="n">
        <v>45012</v>
      </c>
      <c r="E231" s="2" t="inlineStr">
        <is>
          <t>10:05</t>
        </is>
      </c>
      <c r="F231" s="5" t="n">
        <v>531.67</v>
      </c>
      <c r="G231" s="5" t="n"/>
      <c r="H231" s="5" t="n"/>
      <c r="I231" s="5" t="n"/>
      <c r="J231" s="5" t="n">
        <v>106.33</v>
      </c>
      <c r="K231" s="5" t="n"/>
      <c r="L231" s="5" t="n"/>
      <c r="M231" s="5" t="n"/>
      <c r="N231" s="5" t="n"/>
      <c r="O231" s="5" t="n">
        <v>638</v>
      </c>
      <c r="P231" s="5" t="n">
        <v>638</v>
      </c>
      <c r="Q231" s="5" t="n"/>
      <c r="R231" s="5" t="n"/>
    </row>
    <row r="232">
      <c r="A232" s="2" t="inlineStr">
        <is>
          <t>EJ010423.TXT</t>
        </is>
      </c>
      <c r="B232" s="3" t="inlineStr">
        <is>
          <t>004760</t>
        </is>
      </c>
      <c r="C232" s="3" t="inlineStr">
        <is>
          <t>003792</t>
        </is>
      </c>
      <c r="D232" s="4" t="n">
        <v>45012</v>
      </c>
      <c r="E232" s="2" t="inlineStr">
        <is>
          <t>14:37</t>
        </is>
      </c>
      <c r="F232" s="5" t="n">
        <v>548.33</v>
      </c>
      <c r="G232" s="5" t="n"/>
      <c r="H232" s="5" t="n"/>
      <c r="I232" s="5" t="n"/>
      <c r="J232" s="5" t="n">
        <v>109.67</v>
      </c>
      <c r="K232" s="5" t="n"/>
      <c r="L232" s="5" t="n"/>
      <c r="M232" s="5" t="n"/>
      <c r="N232" s="5" t="n"/>
      <c r="O232" s="5" t="n">
        <v>658</v>
      </c>
      <c r="P232" s="5" t="n">
        <v>658</v>
      </c>
      <c r="Q232" s="5" t="n"/>
      <c r="R232" s="5" t="n"/>
    </row>
    <row r="233">
      <c r="A233" s="2" t="inlineStr">
        <is>
          <t>EJ010423.TXT</t>
        </is>
      </c>
      <c r="B233" s="3" t="inlineStr">
        <is>
          <t>004761</t>
        </is>
      </c>
      <c r="C233" s="3" t="inlineStr">
        <is>
          <t>003793</t>
        </is>
      </c>
      <c r="D233" s="4" t="n">
        <v>45012</v>
      </c>
      <c r="E233" s="2" t="inlineStr">
        <is>
          <t>14:57</t>
        </is>
      </c>
      <c r="F233" s="5" t="n">
        <v>274.17</v>
      </c>
      <c r="G233" s="5" t="n"/>
      <c r="H233" s="5" t="n"/>
      <c r="I233" s="5" t="n"/>
      <c r="J233" s="5" t="n">
        <v>54.83</v>
      </c>
      <c r="K233" s="5" t="n"/>
      <c r="L233" s="5" t="n"/>
      <c r="M233" s="5" t="n"/>
      <c r="N233" s="5" t="n"/>
      <c r="O233" s="5" t="n">
        <v>329</v>
      </c>
      <c r="P233" s="5" t="n"/>
      <c r="Q233" s="5" t="n">
        <v>329</v>
      </c>
      <c r="R233" s="5" t="n"/>
    </row>
    <row r="234">
      <c r="A234" s="2" t="inlineStr">
        <is>
          <t>EJ010423.TXT</t>
        </is>
      </c>
      <c r="B234" s="3" t="inlineStr">
        <is>
          <t>004762</t>
        </is>
      </c>
      <c r="C234" s="3" t="inlineStr">
        <is>
          <t>003794</t>
        </is>
      </c>
      <c r="D234" s="4" t="n">
        <v>45013</v>
      </c>
      <c r="E234" s="2" t="inlineStr">
        <is>
          <t>09:09</t>
        </is>
      </c>
      <c r="F234" s="5" t="n">
        <v>822.5</v>
      </c>
      <c r="G234" s="5" t="n"/>
      <c r="H234" s="5" t="n"/>
      <c r="I234" s="5" t="n"/>
      <c r="J234" s="5" t="n">
        <v>164.5</v>
      </c>
      <c r="K234" s="5" t="n"/>
      <c r="L234" s="5" t="n"/>
      <c r="M234" s="5" t="n"/>
      <c r="N234" s="5" t="n"/>
      <c r="O234" s="5" t="n">
        <v>987</v>
      </c>
      <c r="P234" s="5" t="n"/>
      <c r="Q234" s="5" t="n">
        <v>987</v>
      </c>
      <c r="R234" s="5" t="n"/>
    </row>
    <row r="235">
      <c r="A235" s="2" t="inlineStr">
        <is>
          <t>EJ010423.TXT</t>
        </is>
      </c>
      <c r="B235" s="3" t="inlineStr">
        <is>
          <t>004763</t>
        </is>
      </c>
      <c r="C235" s="3" t="inlineStr">
        <is>
          <t>003795</t>
        </is>
      </c>
      <c r="D235" s="4" t="n">
        <v>45013</v>
      </c>
      <c r="E235" s="2" t="inlineStr">
        <is>
          <t>12:12</t>
        </is>
      </c>
      <c r="F235" s="5" t="n">
        <v>797.5</v>
      </c>
      <c r="G235" s="5" t="n"/>
      <c r="H235" s="5" t="n"/>
      <c r="I235" s="5" t="n"/>
      <c r="J235" s="5" t="n">
        <v>159.5</v>
      </c>
      <c r="K235" s="5" t="n"/>
      <c r="L235" s="5" t="n"/>
      <c r="M235" s="5" t="n"/>
      <c r="N235" s="5" t="n"/>
      <c r="O235" s="5" t="n">
        <v>957</v>
      </c>
      <c r="P235" s="5" t="n"/>
      <c r="Q235" s="5" t="n">
        <v>957</v>
      </c>
      <c r="R235" s="5" t="n"/>
    </row>
    <row r="236">
      <c r="A236" s="2" t="inlineStr">
        <is>
          <t>EJ010423.TXT</t>
        </is>
      </c>
      <c r="B236" s="3" t="inlineStr">
        <is>
          <t>004764</t>
        </is>
      </c>
      <c r="C236" s="3" t="inlineStr">
        <is>
          <t>003796</t>
        </is>
      </c>
      <c r="D236" s="4" t="n">
        <v>45013</v>
      </c>
      <c r="E236" s="2" t="inlineStr">
        <is>
          <t>12:13</t>
        </is>
      </c>
      <c r="F236" s="5" t="n">
        <v>797.5</v>
      </c>
      <c r="G236" s="5" t="n"/>
      <c r="H236" s="5" t="n"/>
      <c r="I236" s="5" t="n"/>
      <c r="J236" s="5" t="n">
        <v>159.5</v>
      </c>
      <c r="K236" s="5" t="n"/>
      <c r="L236" s="5" t="n"/>
      <c r="M236" s="5" t="n"/>
      <c r="N236" s="5" t="n"/>
      <c r="O236" s="5" t="n">
        <v>957</v>
      </c>
      <c r="P236" s="5" t="n"/>
      <c r="Q236" s="5" t="n">
        <v>957</v>
      </c>
      <c r="R236" s="5" t="n"/>
    </row>
    <row r="237">
      <c r="A237" s="2" t="inlineStr">
        <is>
          <t>EJ010423.TXT</t>
        </is>
      </c>
      <c r="B237" s="3" t="inlineStr">
        <is>
          <t>004765</t>
        </is>
      </c>
      <c r="C237" s="3" t="inlineStr">
        <is>
          <t>003797</t>
        </is>
      </c>
      <c r="D237" s="4" t="n">
        <v>45014</v>
      </c>
      <c r="E237" s="2" t="inlineStr">
        <is>
          <t>10:57</t>
        </is>
      </c>
      <c r="F237" s="5" t="n">
        <v>175</v>
      </c>
      <c r="G237" s="5" t="n"/>
      <c r="H237" s="5" t="n"/>
      <c r="I237" s="5" t="n"/>
      <c r="J237" s="5" t="n">
        <v>35</v>
      </c>
      <c r="K237" s="5" t="n"/>
      <c r="L237" s="5" t="n"/>
      <c r="M237" s="5" t="n"/>
      <c r="N237" s="5" t="n"/>
      <c r="O237" s="5" t="n">
        <v>210</v>
      </c>
      <c r="P237" s="5" t="n">
        <v>210</v>
      </c>
      <c r="Q237" s="5" t="n"/>
      <c r="R237" s="5" t="n"/>
    </row>
    <row r="238">
      <c r="A238" s="2" t="inlineStr">
        <is>
          <t>EJ010423.TXT</t>
        </is>
      </c>
      <c r="B238" s="3" t="inlineStr">
        <is>
          <t>004766</t>
        </is>
      </c>
      <c r="C238" s="3" t="inlineStr">
        <is>
          <t>003798</t>
        </is>
      </c>
      <c r="D238" s="4" t="n">
        <v>45014</v>
      </c>
      <c r="E238" s="2" t="inlineStr">
        <is>
          <t>13:58</t>
        </is>
      </c>
      <c r="F238" s="5" t="n">
        <v>274.17</v>
      </c>
      <c r="G238" s="5" t="n"/>
      <c r="H238" s="5" t="n"/>
      <c r="I238" s="5" t="n"/>
      <c r="J238" s="5" t="n">
        <v>54.83</v>
      </c>
      <c r="K238" s="5" t="n"/>
      <c r="L238" s="5" t="n"/>
      <c r="M238" s="5" t="n"/>
      <c r="N238" s="5" t="n"/>
      <c r="O238" s="5" t="n">
        <v>329</v>
      </c>
      <c r="P238" s="5" t="n">
        <v>329</v>
      </c>
      <c r="Q238" s="5" t="n"/>
      <c r="R238" s="5" t="n"/>
    </row>
    <row r="239">
      <c r="A239" s="2" t="inlineStr">
        <is>
          <t>EJ010423.TXT</t>
        </is>
      </c>
      <c r="B239" s="3" t="inlineStr">
        <is>
          <t>004767</t>
        </is>
      </c>
      <c r="C239" s="3" t="inlineStr">
        <is>
          <t>003799</t>
        </is>
      </c>
      <c r="D239" s="4" t="n">
        <v>45014</v>
      </c>
      <c r="E239" s="2" t="inlineStr">
        <is>
          <t>14:16</t>
        </is>
      </c>
      <c r="F239" s="5" t="n">
        <v>822.5</v>
      </c>
      <c r="G239" s="5" t="n"/>
      <c r="H239" s="5" t="n"/>
      <c r="I239" s="5" t="n"/>
      <c r="J239" s="5" t="n">
        <v>164.5</v>
      </c>
      <c r="K239" s="5" t="n"/>
      <c r="L239" s="5" t="n"/>
      <c r="M239" s="5" t="n"/>
      <c r="N239" s="5" t="n"/>
      <c r="O239" s="5" t="n">
        <v>987</v>
      </c>
      <c r="P239" s="5" t="n"/>
      <c r="Q239" s="5" t="n">
        <v>987</v>
      </c>
      <c r="R239" s="5" t="n"/>
    </row>
    <row r="240">
      <c r="A240" s="2" t="inlineStr">
        <is>
          <t>EJ010423.TXT</t>
        </is>
      </c>
      <c r="B240" s="3" t="inlineStr">
        <is>
          <t>004768</t>
        </is>
      </c>
      <c r="C240" s="3" t="inlineStr">
        <is>
          <t>003800</t>
        </is>
      </c>
      <c r="D240" s="4" t="n">
        <v>45014</v>
      </c>
      <c r="E240" s="2" t="inlineStr">
        <is>
          <t>14:23</t>
        </is>
      </c>
      <c r="F240" s="5" t="n">
        <v>797.5</v>
      </c>
      <c r="G240" s="5" t="n"/>
      <c r="H240" s="5" t="n"/>
      <c r="I240" s="5" t="n"/>
      <c r="J240" s="5" t="n">
        <v>159.5</v>
      </c>
      <c r="K240" s="5" t="n"/>
      <c r="L240" s="5" t="n"/>
      <c r="M240" s="5" t="n"/>
      <c r="N240" s="5" t="n"/>
      <c r="O240" s="5" t="n">
        <v>957</v>
      </c>
      <c r="P240" s="5" t="n"/>
      <c r="Q240" s="5" t="n">
        <v>957</v>
      </c>
      <c r="R240" s="5" t="n"/>
    </row>
    <row r="241">
      <c r="A241" s="2" t="inlineStr">
        <is>
          <t>EJ010423.TXT</t>
        </is>
      </c>
      <c r="B241" s="3" t="inlineStr">
        <is>
          <t>004769</t>
        </is>
      </c>
      <c r="C241" s="3" t="inlineStr">
        <is>
          <t>003801</t>
        </is>
      </c>
      <c r="D241" s="4" t="n">
        <v>45014</v>
      </c>
      <c r="E241" s="2" t="inlineStr">
        <is>
          <t>14:29</t>
        </is>
      </c>
      <c r="F241" s="5" t="n">
        <v>797.5</v>
      </c>
      <c r="G241" s="5" t="n"/>
      <c r="H241" s="5" t="n"/>
      <c r="I241" s="5" t="n"/>
      <c r="J241" s="5" t="n">
        <v>159.5</v>
      </c>
      <c r="K241" s="5" t="n"/>
      <c r="L241" s="5" t="n"/>
      <c r="M241" s="5" t="n"/>
      <c r="N241" s="5" t="n"/>
      <c r="O241" s="5" t="n">
        <v>957</v>
      </c>
      <c r="P241" s="5" t="n"/>
      <c r="Q241" s="5" t="n">
        <v>957</v>
      </c>
      <c r="R241" s="5" t="n"/>
    </row>
    <row r="242">
      <c r="A242" s="2" t="inlineStr">
        <is>
          <t>EJ010423.TXT</t>
        </is>
      </c>
      <c r="B242" s="3" t="inlineStr">
        <is>
          <t>004770</t>
        </is>
      </c>
      <c r="C242" s="3" t="inlineStr">
        <is>
          <t>003802</t>
        </is>
      </c>
      <c r="D242" s="4" t="n">
        <v>45015</v>
      </c>
      <c r="E242" s="2" t="inlineStr">
        <is>
          <t>11:08</t>
        </is>
      </c>
      <c r="F242" s="5" t="n">
        <v>797.5</v>
      </c>
      <c r="G242" s="5" t="n"/>
      <c r="H242" s="5" t="n"/>
      <c r="I242" s="5" t="n"/>
      <c r="J242" s="5" t="n">
        <v>159.5</v>
      </c>
      <c r="K242" s="5" t="n"/>
      <c r="L242" s="5" t="n"/>
      <c r="M242" s="5" t="n"/>
      <c r="N242" s="5" t="n"/>
      <c r="O242" s="5" t="n">
        <v>957</v>
      </c>
      <c r="P242" s="5" t="n"/>
      <c r="Q242" s="5" t="n">
        <v>957</v>
      </c>
      <c r="R242" s="5" t="n"/>
    </row>
    <row r="243">
      <c r="A243" s="2" t="inlineStr">
        <is>
          <t>EJ010423.TXT</t>
        </is>
      </c>
      <c r="B243" s="3" t="inlineStr">
        <is>
          <t>004771</t>
        </is>
      </c>
      <c r="C243" s="3" t="inlineStr">
        <is>
          <t>003803</t>
        </is>
      </c>
      <c r="D243" s="4" t="n">
        <v>45016</v>
      </c>
      <c r="E243" s="2" t="inlineStr">
        <is>
          <t>09:47</t>
        </is>
      </c>
      <c r="F243" s="5" t="n">
        <v>797.5</v>
      </c>
      <c r="G243" s="5" t="n"/>
      <c r="H243" s="5" t="n"/>
      <c r="I243" s="5" t="n"/>
      <c r="J243" s="5" t="n">
        <v>159.5</v>
      </c>
      <c r="K243" s="5" t="n"/>
      <c r="L243" s="5" t="n"/>
      <c r="M243" s="5" t="n"/>
      <c r="N243" s="5" t="n"/>
      <c r="O243" s="5" t="n">
        <v>957</v>
      </c>
      <c r="P243" s="5" t="n"/>
      <c r="Q243" s="5" t="n">
        <v>957</v>
      </c>
      <c r="R243" s="5" t="n"/>
    </row>
    <row r="244">
      <c r="A244" s="2" t="inlineStr">
        <is>
          <t>EJ010423.TXT</t>
        </is>
      </c>
      <c r="B244" s="3" t="inlineStr">
        <is>
          <t>004772</t>
        </is>
      </c>
      <c r="C244" s="3" t="inlineStr">
        <is>
          <t>003804</t>
        </is>
      </c>
      <c r="D244" s="4" t="n">
        <v>45016</v>
      </c>
      <c r="E244" s="2" t="inlineStr">
        <is>
          <t>14:26</t>
        </is>
      </c>
      <c r="F244" s="5" t="n">
        <v>797.5</v>
      </c>
      <c r="G244" s="5" t="n"/>
      <c r="H244" s="5" t="n"/>
      <c r="I244" s="5" t="n"/>
      <c r="J244" s="5" t="n">
        <v>159.5</v>
      </c>
      <c r="K244" s="5" t="n"/>
      <c r="L244" s="5" t="n"/>
      <c r="M244" s="5" t="n"/>
      <c r="N244" s="5" t="n"/>
      <c r="O244" s="5" t="n">
        <v>957</v>
      </c>
      <c r="P244" s="5" t="n"/>
      <c r="Q244" s="5" t="n">
        <v>957</v>
      </c>
      <c r="R244" s="5" t="n"/>
    </row>
    <row r="245">
      <c r="A245" s="2" t="inlineStr">
        <is>
          <t>EJ010423.TXT</t>
        </is>
      </c>
      <c r="B245" s="3" t="inlineStr">
        <is>
          <t>004773</t>
        </is>
      </c>
      <c r="C245" s="3" t="inlineStr">
        <is>
          <t>003805</t>
        </is>
      </c>
      <c r="D245" s="4" t="n">
        <v>45016</v>
      </c>
      <c r="E245" s="2" t="inlineStr">
        <is>
          <t>14:33</t>
        </is>
      </c>
      <c r="F245" s="5" t="n">
        <v>131.67</v>
      </c>
      <c r="G245" s="5" t="n"/>
      <c r="H245" s="5" t="n"/>
      <c r="I245" s="5" t="n"/>
      <c r="J245" s="5" t="n">
        <v>26.33</v>
      </c>
      <c r="K245" s="5" t="n"/>
      <c r="L245" s="5" t="n"/>
      <c r="M245" s="5" t="n"/>
      <c r="N245" s="5" t="n"/>
      <c r="O245" s="5" t="n">
        <v>158</v>
      </c>
      <c r="P245" s="5" t="n"/>
      <c r="Q245" s="5" t="n">
        <v>158</v>
      </c>
      <c r="R245" s="5" t="n"/>
    </row>
    <row r="246">
      <c r="A246" s="2" t="inlineStr">
        <is>
          <t>EJ010423.TXT</t>
        </is>
      </c>
      <c r="B246" s="3" t="inlineStr">
        <is>
          <t>004774</t>
        </is>
      </c>
      <c r="C246" s="3" t="inlineStr">
        <is>
          <t>003806</t>
        </is>
      </c>
      <c r="D246" s="4" t="n">
        <v>45016</v>
      </c>
      <c r="E246" s="2" t="inlineStr">
        <is>
          <t>16:28</t>
        </is>
      </c>
      <c r="F246" s="5" t="n">
        <v>83.33</v>
      </c>
      <c r="G246" s="5" t="n"/>
      <c r="H246" s="5" t="n"/>
      <c r="I246" s="5" t="n"/>
      <c r="J246" s="5" t="n">
        <v>16.67</v>
      </c>
      <c r="K246" s="5" t="n"/>
      <c r="L246" s="5" t="n"/>
      <c r="M246" s="5" t="n"/>
      <c r="N246" s="5" t="n"/>
      <c r="O246" s="5" t="n">
        <v>100</v>
      </c>
      <c r="P246" s="5" t="n">
        <v>100</v>
      </c>
      <c r="Q246" s="5" t="n"/>
      <c r="R246" s="5" t="n"/>
    </row>
    <row r="247">
      <c r="A247" s="2" t="inlineStr">
        <is>
          <t>EJ010423.TXT</t>
        </is>
      </c>
      <c r="B247" s="3" t="inlineStr">
        <is>
          <t>004775</t>
        </is>
      </c>
      <c r="C247" s="3" t="inlineStr">
        <is>
          <t>003807</t>
        </is>
      </c>
      <c r="D247" s="4" t="n">
        <v>45016</v>
      </c>
      <c r="E247" s="2" t="inlineStr">
        <is>
          <t>16:28</t>
        </is>
      </c>
      <c r="F247" s="5" t="n">
        <v>15</v>
      </c>
      <c r="G247" s="5" t="n"/>
      <c r="H247" s="5" t="n"/>
      <c r="I247" s="5" t="n"/>
      <c r="J247" s="5" t="n">
        <v>3</v>
      </c>
      <c r="K247" s="5" t="n"/>
      <c r="L247" s="5" t="n"/>
      <c r="M247" s="5" t="n"/>
      <c r="N247" s="5" t="n"/>
      <c r="O247" s="5" t="n">
        <v>18</v>
      </c>
      <c r="P247" s="5" t="n"/>
      <c r="Q247" s="5" t="n">
        <v>18</v>
      </c>
      <c r="R247" s="5" t="n"/>
    </row>
    <row r="248">
      <c r="A248" s="2" t="inlineStr">
        <is>
          <t>EJ020523.TXT</t>
        </is>
      </c>
      <c r="B248" s="3" t="inlineStr">
        <is>
          <t>004783</t>
        </is>
      </c>
      <c r="C248" s="3" t="inlineStr">
        <is>
          <t>003808</t>
        </is>
      </c>
      <c r="D248" s="4" t="n">
        <v>45017</v>
      </c>
      <c r="E248" s="2" t="inlineStr">
        <is>
          <t>14:46</t>
        </is>
      </c>
      <c r="F248" s="5" t="n">
        <v>190.83</v>
      </c>
      <c r="G248" s="5" t="n"/>
      <c r="H248" s="5" t="n"/>
      <c r="I248" s="5" t="n"/>
      <c r="J248" s="5" t="n">
        <v>38.17</v>
      </c>
      <c r="K248" s="5" t="n"/>
      <c r="L248" s="5" t="n"/>
      <c r="M248" s="5" t="n"/>
      <c r="N248" s="5" t="n"/>
      <c r="O248" s="5" t="n">
        <v>229</v>
      </c>
      <c r="P248" s="5" t="n">
        <v>229</v>
      </c>
      <c r="Q248" s="5" t="n"/>
      <c r="R248" s="5" t="n"/>
    </row>
    <row r="249">
      <c r="A249" s="2" t="inlineStr">
        <is>
          <t>EJ020523.TXT</t>
        </is>
      </c>
      <c r="B249" s="3" t="inlineStr">
        <is>
          <t>004784</t>
        </is>
      </c>
      <c r="C249" s="3" t="inlineStr">
        <is>
          <t>003809</t>
        </is>
      </c>
      <c r="D249" s="4" t="n">
        <v>45019</v>
      </c>
      <c r="E249" s="2" t="inlineStr">
        <is>
          <t>14:30</t>
        </is>
      </c>
      <c r="F249" s="5" t="n">
        <v>797.5</v>
      </c>
      <c r="G249" s="5" t="n"/>
      <c r="H249" s="5" t="n"/>
      <c r="I249" s="5" t="n"/>
      <c r="J249" s="5" t="n">
        <v>159.5</v>
      </c>
      <c r="K249" s="5" t="n"/>
      <c r="L249" s="5" t="n"/>
      <c r="M249" s="5" t="n"/>
      <c r="N249" s="5" t="n"/>
      <c r="O249" s="5" t="n">
        <v>957</v>
      </c>
      <c r="P249" s="5" t="n"/>
      <c r="Q249" s="5" t="n">
        <v>957</v>
      </c>
      <c r="R249" s="5" t="n"/>
    </row>
    <row r="250">
      <c r="A250" s="2" t="inlineStr">
        <is>
          <t>EJ020523.TXT</t>
        </is>
      </c>
      <c r="B250" s="3" t="inlineStr">
        <is>
          <t>004785</t>
        </is>
      </c>
      <c r="C250" s="3" t="inlineStr">
        <is>
          <t>003810</t>
        </is>
      </c>
      <c r="D250" s="4" t="n">
        <v>45019</v>
      </c>
      <c r="E250" s="2" t="inlineStr">
        <is>
          <t>14:30</t>
        </is>
      </c>
      <c r="F250" s="5" t="n">
        <v>797.5</v>
      </c>
      <c r="G250" s="5" t="n"/>
      <c r="H250" s="5" t="n"/>
      <c r="I250" s="5" t="n"/>
      <c r="J250" s="5" t="n">
        <v>159.5</v>
      </c>
      <c r="K250" s="5" t="n"/>
      <c r="L250" s="5" t="n"/>
      <c r="M250" s="5" t="n"/>
      <c r="N250" s="5" t="n"/>
      <c r="O250" s="5" t="n">
        <v>957</v>
      </c>
      <c r="P250" s="5" t="n"/>
      <c r="Q250" s="5" t="n">
        <v>957</v>
      </c>
      <c r="R250" s="5" t="n"/>
    </row>
    <row r="251">
      <c r="A251" s="2" t="inlineStr">
        <is>
          <t>EJ020523.TXT</t>
        </is>
      </c>
      <c r="B251" s="3" t="inlineStr">
        <is>
          <t>004786</t>
        </is>
      </c>
      <c r="C251" s="3" t="inlineStr">
        <is>
          <t>003811</t>
        </is>
      </c>
      <c r="D251" s="4" t="n">
        <v>45019</v>
      </c>
      <c r="E251" s="2" t="inlineStr">
        <is>
          <t>17:35</t>
        </is>
      </c>
      <c r="F251" s="5" t="n">
        <v>531.67</v>
      </c>
      <c r="G251" s="5" t="n"/>
      <c r="H251" s="5" t="n"/>
      <c r="I251" s="5" t="n"/>
      <c r="J251" s="5" t="n">
        <v>106.33</v>
      </c>
      <c r="K251" s="5" t="n"/>
      <c r="L251" s="5" t="n"/>
      <c r="M251" s="5" t="n"/>
      <c r="N251" s="5" t="n"/>
      <c r="O251" s="5" t="n">
        <v>638</v>
      </c>
      <c r="P251" s="5" t="n"/>
      <c r="Q251" s="5" t="n">
        <v>638</v>
      </c>
      <c r="R251" s="5" t="n"/>
    </row>
    <row r="252">
      <c r="A252" s="2" t="inlineStr">
        <is>
          <t>EJ020523.TXT</t>
        </is>
      </c>
      <c r="B252" s="3" t="inlineStr">
        <is>
          <t>004787</t>
        </is>
      </c>
      <c r="C252" s="3" t="inlineStr">
        <is>
          <t>003812</t>
        </is>
      </c>
      <c r="D252" s="4" t="n">
        <v>45019</v>
      </c>
      <c r="E252" s="2" t="inlineStr">
        <is>
          <t>17:36</t>
        </is>
      </c>
      <c r="F252" s="5" t="n">
        <v>265.83</v>
      </c>
      <c r="G252" s="5" t="n"/>
      <c r="H252" s="5" t="n"/>
      <c r="I252" s="5" t="n"/>
      <c r="J252" s="5" t="n">
        <v>53.17</v>
      </c>
      <c r="K252" s="5" t="n"/>
      <c r="L252" s="5" t="n"/>
      <c r="M252" s="5" t="n"/>
      <c r="N252" s="5" t="n"/>
      <c r="O252" s="5" t="n">
        <v>319</v>
      </c>
      <c r="P252" s="5" t="n"/>
      <c r="Q252" s="5" t="n">
        <v>319</v>
      </c>
      <c r="R252" s="5" t="n"/>
    </row>
    <row r="253">
      <c r="A253" s="2" t="inlineStr">
        <is>
          <t>EJ020523.TXT</t>
        </is>
      </c>
      <c r="B253" s="3" t="inlineStr">
        <is>
          <t>004788</t>
        </is>
      </c>
      <c r="C253" s="3" t="inlineStr">
        <is>
          <t>003813</t>
        </is>
      </c>
      <c r="D253" s="4" t="n">
        <v>45019</v>
      </c>
      <c r="E253" s="2" t="inlineStr">
        <is>
          <t>17:36</t>
        </is>
      </c>
      <c r="F253" s="5" t="n">
        <v>531.67</v>
      </c>
      <c r="G253" s="5" t="n"/>
      <c r="H253" s="5" t="n"/>
      <c r="I253" s="5" t="n"/>
      <c r="J253" s="5" t="n">
        <v>106.33</v>
      </c>
      <c r="K253" s="5" t="n"/>
      <c r="L253" s="5" t="n"/>
      <c r="M253" s="5" t="n"/>
      <c r="N253" s="5" t="n"/>
      <c r="O253" s="5" t="n">
        <v>638</v>
      </c>
      <c r="P253" s="5" t="n"/>
      <c r="Q253" s="5" t="n">
        <v>638</v>
      </c>
      <c r="R253" s="5" t="n"/>
    </row>
    <row r="254">
      <c r="A254" s="2" t="inlineStr">
        <is>
          <t>EJ020523.TXT</t>
        </is>
      </c>
      <c r="B254" s="3" t="inlineStr">
        <is>
          <t>004789</t>
        </is>
      </c>
      <c r="C254" s="3" t="inlineStr">
        <is>
          <t>003814</t>
        </is>
      </c>
      <c r="D254" s="4" t="n">
        <v>45019</v>
      </c>
      <c r="E254" s="2" t="inlineStr">
        <is>
          <t>17:36</t>
        </is>
      </c>
      <c r="F254" s="5" t="n">
        <v>797.5</v>
      </c>
      <c r="G254" s="5" t="n"/>
      <c r="H254" s="5" t="n"/>
      <c r="I254" s="5" t="n"/>
      <c r="J254" s="5" t="n">
        <v>159.5</v>
      </c>
      <c r="K254" s="5" t="n"/>
      <c r="L254" s="5" t="n"/>
      <c r="M254" s="5" t="n"/>
      <c r="N254" s="5" t="n"/>
      <c r="O254" s="5" t="n">
        <v>957</v>
      </c>
      <c r="P254" s="5" t="n"/>
      <c r="Q254" s="5" t="n">
        <v>957</v>
      </c>
      <c r="R254" s="5" t="n"/>
    </row>
    <row r="255">
      <c r="A255" s="2" t="inlineStr">
        <is>
          <t>EJ020523.TXT</t>
        </is>
      </c>
      <c r="B255" s="3" t="inlineStr">
        <is>
          <t>004790</t>
        </is>
      </c>
      <c r="C255" s="3" t="inlineStr">
        <is>
          <t>003815</t>
        </is>
      </c>
      <c r="D255" s="4" t="n">
        <v>45019</v>
      </c>
      <c r="E255" s="2" t="inlineStr">
        <is>
          <t>17:37</t>
        </is>
      </c>
      <c r="F255" s="5" t="n">
        <v>265.83</v>
      </c>
      <c r="G255" s="5" t="n"/>
      <c r="H255" s="5" t="n"/>
      <c r="I255" s="5" t="n"/>
      <c r="J255" s="5" t="n">
        <v>53.17</v>
      </c>
      <c r="K255" s="5" t="n"/>
      <c r="L255" s="5" t="n"/>
      <c r="M255" s="5" t="n"/>
      <c r="N255" s="5" t="n"/>
      <c r="O255" s="5" t="n">
        <v>319</v>
      </c>
      <c r="P255" s="5" t="n"/>
      <c r="Q255" s="5" t="n">
        <v>319</v>
      </c>
      <c r="R255" s="5" t="n"/>
    </row>
    <row r="256">
      <c r="A256" s="2" t="inlineStr">
        <is>
          <t>EJ020523.TXT</t>
        </is>
      </c>
      <c r="B256" s="3" t="inlineStr">
        <is>
          <t>004791</t>
        </is>
      </c>
      <c r="C256" s="3" t="inlineStr">
        <is>
          <t>003816</t>
        </is>
      </c>
      <c r="D256" s="4" t="n">
        <v>45019</v>
      </c>
      <c r="E256" s="2" t="inlineStr">
        <is>
          <t>17:37</t>
        </is>
      </c>
      <c r="F256" s="5" t="n">
        <v>531.67</v>
      </c>
      <c r="G256" s="5" t="n"/>
      <c r="H256" s="5" t="n"/>
      <c r="I256" s="5" t="n"/>
      <c r="J256" s="5" t="n">
        <v>106.33</v>
      </c>
      <c r="K256" s="5" t="n"/>
      <c r="L256" s="5" t="n"/>
      <c r="M256" s="5" t="n"/>
      <c r="N256" s="5" t="n"/>
      <c r="O256" s="5" t="n">
        <v>638</v>
      </c>
      <c r="P256" s="5" t="n"/>
      <c r="Q256" s="5" t="n">
        <v>638</v>
      </c>
      <c r="R256" s="5" t="n"/>
    </row>
    <row r="257">
      <c r="A257" s="2" t="inlineStr">
        <is>
          <t>EJ020523.TXT</t>
        </is>
      </c>
      <c r="B257" s="3" t="inlineStr">
        <is>
          <t>004792</t>
        </is>
      </c>
      <c r="C257" s="3" t="inlineStr">
        <is>
          <t>003817</t>
        </is>
      </c>
      <c r="D257" s="4" t="n">
        <v>45019</v>
      </c>
      <c r="E257" s="2" t="inlineStr">
        <is>
          <t>17:37</t>
        </is>
      </c>
      <c r="F257" s="5" t="n">
        <v>531.67</v>
      </c>
      <c r="G257" s="5" t="n"/>
      <c r="H257" s="5" t="n"/>
      <c r="I257" s="5" t="n"/>
      <c r="J257" s="5" t="n">
        <v>106.33</v>
      </c>
      <c r="K257" s="5" t="n"/>
      <c r="L257" s="5" t="n"/>
      <c r="M257" s="5" t="n"/>
      <c r="N257" s="5" t="n"/>
      <c r="O257" s="5" t="n">
        <v>638</v>
      </c>
      <c r="P257" s="5" t="n"/>
      <c r="Q257" s="5" t="n">
        <v>638</v>
      </c>
      <c r="R257" s="5" t="n"/>
    </row>
    <row r="258">
      <c r="A258" s="2" t="inlineStr">
        <is>
          <t>EJ020523.TXT</t>
        </is>
      </c>
      <c r="B258" s="3" t="inlineStr">
        <is>
          <t>004793</t>
        </is>
      </c>
      <c r="C258" s="3" t="inlineStr">
        <is>
          <t>003818</t>
        </is>
      </c>
      <c r="D258" s="4" t="n">
        <v>45019</v>
      </c>
      <c r="E258" s="2" t="inlineStr">
        <is>
          <t>17:38</t>
        </is>
      </c>
      <c r="F258" s="5" t="n">
        <v>797.5</v>
      </c>
      <c r="G258" s="5" t="n"/>
      <c r="H258" s="5" t="n"/>
      <c r="I258" s="5" t="n"/>
      <c r="J258" s="5" t="n">
        <v>159.5</v>
      </c>
      <c r="K258" s="5" t="n"/>
      <c r="L258" s="5" t="n"/>
      <c r="M258" s="5" t="n"/>
      <c r="N258" s="5" t="n"/>
      <c r="O258" s="5" t="n">
        <v>957</v>
      </c>
      <c r="P258" s="5" t="n"/>
      <c r="Q258" s="5" t="n">
        <v>957</v>
      </c>
      <c r="R258" s="5" t="n"/>
    </row>
    <row r="259">
      <c r="A259" s="2" t="inlineStr">
        <is>
          <t>EJ020523.TXT</t>
        </is>
      </c>
      <c r="B259" s="3" t="inlineStr">
        <is>
          <t>004794</t>
        </is>
      </c>
      <c r="C259" s="3" t="inlineStr">
        <is>
          <t>003819</t>
        </is>
      </c>
      <c r="D259" s="4" t="n">
        <v>45019</v>
      </c>
      <c r="E259" s="2" t="inlineStr">
        <is>
          <t>17:38</t>
        </is>
      </c>
      <c r="F259" s="5" t="n">
        <v>265.83</v>
      </c>
      <c r="G259" s="5" t="n"/>
      <c r="H259" s="5" t="n"/>
      <c r="I259" s="5" t="n"/>
      <c r="J259" s="5" t="n">
        <v>53.17</v>
      </c>
      <c r="K259" s="5" t="n"/>
      <c r="L259" s="5" t="n"/>
      <c r="M259" s="5" t="n"/>
      <c r="N259" s="5" t="n"/>
      <c r="O259" s="5" t="n">
        <v>319</v>
      </c>
      <c r="P259" s="5" t="n"/>
      <c r="Q259" s="5" t="n">
        <v>319</v>
      </c>
      <c r="R259" s="5" t="n"/>
    </row>
    <row r="260">
      <c r="A260" s="2" t="inlineStr">
        <is>
          <t>EJ020523.TXT</t>
        </is>
      </c>
      <c r="B260" s="3" t="inlineStr">
        <is>
          <t>004795</t>
        </is>
      </c>
      <c r="C260" s="3" t="inlineStr">
        <is>
          <t>003820</t>
        </is>
      </c>
      <c r="D260" s="4" t="n">
        <v>45019</v>
      </c>
      <c r="E260" s="2" t="inlineStr">
        <is>
          <t>17:39</t>
        </is>
      </c>
      <c r="F260" s="5" t="n">
        <v>265.83</v>
      </c>
      <c r="G260" s="5" t="n"/>
      <c r="H260" s="5" t="n"/>
      <c r="I260" s="5" t="n"/>
      <c r="J260" s="5" t="n">
        <v>53.17</v>
      </c>
      <c r="K260" s="5" t="n"/>
      <c r="L260" s="5" t="n"/>
      <c r="M260" s="5" t="n"/>
      <c r="N260" s="5" t="n"/>
      <c r="O260" s="5" t="n">
        <v>319</v>
      </c>
      <c r="P260" s="5" t="n"/>
      <c r="Q260" s="5" t="n">
        <v>319</v>
      </c>
      <c r="R260" s="5" t="n"/>
    </row>
    <row r="261">
      <c r="A261" s="2" t="inlineStr">
        <is>
          <t>EJ020523.TXT</t>
        </is>
      </c>
      <c r="B261" s="3" t="inlineStr">
        <is>
          <t>004796</t>
        </is>
      </c>
      <c r="C261" s="3" t="inlineStr">
        <is>
          <t>003821</t>
        </is>
      </c>
      <c r="D261" s="4" t="n">
        <v>45020</v>
      </c>
      <c r="E261" s="2" t="inlineStr">
        <is>
          <t>09:08</t>
        </is>
      </c>
      <c r="F261" s="5" t="n">
        <v>797.5</v>
      </c>
      <c r="G261" s="5" t="n"/>
      <c r="H261" s="5" t="n"/>
      <c r="I261" s="5" t="n"/>
      <c r="J261" s="5" t="n">
        <v>159.5</v>
      </c>
      <c r="K261" s="5" t="n"/>
      <c r="L261" s="5" t="n"/>
      <c r="M261" s="5" t="n"/>
      <c r="N261" s="5" t="n"/>
      <c r="O261" s="5" t="n">
        <v>957</v>
      </c>
      <c r="P261" s="5" t="n"/>
      <c r="Q261" s="5" t="n">
        <v>957</v>
      </c>
      <c r="R261" s="5" t="n"/>
    </row>
    <row r="262">
      <c r="A262" s="2" t="inlineStr">
        <is>
          <t>EJ020523.TXT</t>
        </is>
      </c>
      <c r="B262" s="3" t="inlineStr">
        <is>
          <t>004797</t>
        </is>
      </c>
      <c r="C262" s="3" t="inlineStr">
        <is>
          <t>003822</t>
        </is>
      </c>
      <c r="D262" s="4" t="n">
        <v>45020</v>
      </c>
      <c r="E262" s="2" t="inlineStr">
        <is>
          <t>09:08</t>
        </is>
      </c>
      <c r="F262" s="5" t="n">
        <v>797.5</v>
      </c>
      <c r="G262" s="5" t="n"/>
      <c r="H262" s="5" t="n"/>
      <c r="I262" s="5" t="n"/>
      <c r="J262" s="5" t="n">
        <v>159.5</v>
      </c>
      <c r="K262" s="5" t="n"/>
      <c r="L262" s="5" t="n"/>
      <c r="M262" s="5" t="n"/>
      <c r="N262" s="5" t="n"/>
      <c r="O262" s="5" t="n">
        <v>957</v>
      </c>
      <c r="P262" s="5" t="n"/>
      <c r="Q262" s="5" t="n">
        <v>957</v>
      </c>
      <c r="R262" s="5" t="n"/>
    </row>
    <row r="263">
      <c r="A263" s="2" t="inlineStr">
        <is>
          <t>EJ020523.TXT</t>
        </is>
      </c>
      <c r="B263" s="3" t="inlineStr">
        <is>
          <t>004798</t>
        </is>
      </c>
      <c r="C263" s="3" t="inlineStr">
        <is>
          <t>003823</t>
        </is>
      </c>
      <c r="D263" s="4" t="n">
        <v>45020</v>
      </c>
      <c r="E263" s="2" t="inlineStr">
        <is>
          <t>09:13</t>
        </is>
      </c>
      <c r="F263" s="5" t="n">
        <v>307.5</v>
      </c>
      <c r="G263" s="5" t="n"/>
      <c r="H263" s="5" t="n"/>
      <c r="I263" s="5" t="n"/>
      <c r="J263" s="5" t="n">
        <v>61.5</v>
      </c>
      <c r="K263" s="5" t="n"/>
      <c r="L263" s="5" t="n"/>
      <c r="M263" s="5" t="n"/>
      <c r="N263" s="5" t="n"/>
      <c r="O263" s="5" t="n">
        <v>369</v>
      </c>
      <c r="P263" s="5" t="n"/>
      <c r="Q263" s="5" t="n">
        <v>369</v>
      </c>
      <c r="R263" s="5" t="n"/>
    </row>
    <row r="264">
      <c r="A264" s="2" t="inlineStr">
        <is>
          <t>EJ020523.TXT</t>
        </is>
      </c>
      <c r="B264" s="3" t="inlineStr">
        <is>
          <t>004799</t>
        </is>
      </c>
      <c r="C264" s="3" t="inlineStr">
        <is>
          <t>003824</t>
        </is>
      </c>
      <c r="D264" s="4" t="n">
        <v>45020</v>
      </c>
      <c r="E264" s="2" t="inlineStr">
        <is>
          <t>10:50</t>
        </is>
      </c>
      <c r="F264" s="5" t="n">
        <v>822.5</v>
      </c>
      <c r="G264" s="5" t="n"/>
      <c r="H264" s="5" t="n"/>
      <c r="I264" s="5" t="n"/>
      <c r="J264" s="5" t="n">
        <v>164.5</v>
      </c>
      <c r="K264" s="5" t="n"/>
      <c r="L264" s="5" t="n"/>
      <c r="M264" s="5" t="n"/>
      <c r="N264" s="5" t="n"/>
      <c r="O264" s="5" t="n">
        <v>987</v>
      </c>
      <c r="P264" s="5" t="n"/>
      <c r="Q264" s="5" t="n">
        <v>987</v>
      </c>
      <c r="R264" s="5" t="n"/>
    </row>
    <row r="265">
      <c r="A265" s="2" t="inlineStr">
        <is>
          <t>EJ020523.TXT</t>
        </is>
      </c>
      <c r="B265" s="3" t="inlineStr">
        <is>
          <t>004800</t>
        </is>
      </c>
      <c r="C265" s="3" t="inlineStr">
        <is>
          <t>003825</t>
        </is>
      </c>
      <c r="D265" s="4" t="n">
        <v>45020</v>
      </c>
      <c r="E265" s="2" t="inlineStr">
        <is>
          <t>16:48</t>
        </is>
      </c>
      <c r="F265" s="5" t="n">
        <v>49.17</v>
      </c>
      <c r="G265" s="5" t="n"/>
      <c r="H265" s="5" t="n"/>
      <c r="I265" s="5" t="n"/>
      <c r="J265" s="5" t="n">
        <v>9.83</v>
      </c>
      <c r="K265" s="5" t="n"/>
      <c r="L265" s="5" t="n"/>
      <c r="M265" s="5" t="n"/>
      <c r="N265" s="5" t="n"/>
      <c r="O265" s="5" t="n">
        <v>59</v>
      </c>
      <c r="P265" s="5" t="n"/>
      <c r="Q265" s="5" t="n">
        <v>59</v>
      </c>
      <c r="R265" s="5" t="n"/>
    </row>
    <row r="266">
      <c r="A266" s="2" t="inlineStr">
        <is>
          <t>EJ020523.TXT</t>
        </is>
      </c>
      <c r="B266" s="3" t="inlineStr">
        <is>
          <t>004801</t>
        </is>
      </c>
      <c r="C266" s="3" t="inlineStr">
        <is>
          <t>003826</t>
        </is>
      </c>
      <c r="D266" s="4" t="n">
        <v>45020</v>
      </c>
      <c r="E266" s="2" t="inlineStr">
        <is>
          <t>17:05</t>
        </is>
      </c>
      <c r="F266" s="5" t="n">
        <v>240</v>
      </c>
      <c r="G266" s="5" t="n"/>
      <c r="H266" s="5" t="n"/>
      <c r="I266" s="5" t="n"/>
      <c r="J266" s="5" t="n">
        <v>48</v>
      </c>
      <c r="K266" s="5" t="n"/>
      <c r="L266" s="5" t="n"/>
      <c r="M266" s="5" t="n"/>
      <c r="N266" s="5" t="n"/>
      <c r="O266" s="5" t="n">
        <v>288</v>
      </c>
      <c r="P266" s="5" t="n"/>
      <c r="Q266" s="5" t="n">
        <v>288</v>
      </c>
      <c r="R266" s="5" t="n"/>
    </row>
    <row r="267">
      <c r="A267" s="2" t="inlineStr">
        <is>
          <t>EJ020523.TXT</t>
        </is>
      </c>
      <c r="B267" s="3" t="inlineStr">
        <is>
          <t>004802</t>
        </is>
      </c>
      <c r="C267" s="3" t="inlineStr">
        <is>
          <t>003827</t>
        </is>
      </c>
      <c r="D267" s="4" t="n">
        <v>45021</v>
      </c>
      <c r="E267" s="2" t="inlineStr">
        <is>
          <t>11:14</t>
        </is>
      </c>
      <c r="F267" s="5" t="n">
        <v>531.67</v>
      </c>
      <c r="G267" s="5" t="n"/>
      <c r="H267" s="5" t="n"/>
      <c r="I267" s="5" t="n"/>
      <c r="J267" s="5" t="n">
        <v>106.33</v>
      </c>
      <c r="K267" s="5" t="n"/>
      <c r="L267" s="5" t="n"/>
      <c r="M267" s="5" t="n"/>
      <c r="N267" s="5" t="n"/>
      <c r="O267" s="5" t="n">
        <v>638</v>
      </c>
      <c r="P267" s="5" t="n"/>
      <c r="Q267" s="5" t="n">
        <v>638</v>
      </c>
      <c r="R267" s="5" t="n"/>
    </row>
    <row r="268">
      <c r="A268" s="2" t="inlineStr">
        <is>
          <t>EJ020523.TXT</t>
        </is>
      </c>
      <c r="B268" s="3" t="inlineStr">
        <is>
          <t>004803</t>
        </is>
      </c>
      <c r="C268" s="3" t="inlineStr">
        <is>
          <t>003828</t>
        </is>
      </c>
      <c r="D268" s="4" t="n">
        <v>45021</v>
      </c>
      <c r="E268" s="2" t="inlineStr">
        <is>
          <t>11:15</t>
        </is>
      </c>
      <c r="F268" s="5" t="n">
        <v>175</v>
      </c>
      <c r="G268" s="5" t="n"/>
      <c r="H268" s="5" t="n"/>
      <c r="I268" s="5" t="n"/>
      <c r="J268" s="5" t="n">
        <v>35</v>
      </c>
      <c r="K268" s="5" t="n"/>
      <c r="L268" s="5" t="n"/>
      <c r="M268" s="5" t="n"/>
      <c r="N268" s="5" t="n"/>
      <c r="O268" s="5" t="n">
        <v>210</v>
      </c>
      <c r="P268" s="5" t="n"/>
      <c r="Q268" s="5" t="n">
        <v>210</v>
      </c>
      <c r="R268" s="5" t="n"/>
    </row>
    <row r="269">
      <c r="A269" s="2" t="inlineStr">
        <is>
          <t>EJ020523.TXT</t>
        </is>
      </c>
      <c r="B269" s="3" t="inlineStr">
        <is>
          <t>004804</t>
        </is>
      </c>
      <c r="C269" s="3" t="inlineStr">
        <is>
          <t>003829</t>
        </is>
      </c>
      <c r="D269" s="4" t="n">
        <v>45021</v>
      </c>
      <c r="E269" s="2" t="inlineStr">
        <is>
          <t>13:55</t>
        </is>
      </c>
      <c r="F269" s="5" t="n">
        <v>797.5</v>
      </c>
      <c r="G269" s="5" t="n"/>
      <c r="H269" s="5" t="n"/>
      <c r="I269" s="5" t="n"/>
      <c r="J269" s="5" t="n">
        <v>159.5</v>
      </c>
      <c r="K269" s="5" t="n"/>
      <c r="L269" s="5" t="n"/>
      <c r="M269" s="5" t="n"/>
      <c r="N269" s="5" t="n"/>
      <c r="O269" s="5" t="n">
        <v>957</v>
      </c>
      <c r="P269" s="5" t="n"/>
      <c r="Q269" s="5" t="n">
        <v>957</v>
      </c>
      <c r="R269" s="5" t="n"/>
    </row>
    <row r="270">
      <c r="A270" s="2" t="inlineStr">
        <is>
          <t>EJ020523.TXT</t>
        </is>
      </c>
      <c r="B270" s="3" t="inlineStr">
        <is>
          <t>004805</t>
        </is>
      </c>
      <c r="C270" s="3" t="inlineStr">
        <is>
          <t>003830</t>
        </is>
      </c>
      <c r="D270" s="4" t="n">
        <v>45021</v>
      </c>
      <c r="E270" s="2" t="inlineStr">
        <is>
          <t>13:55</t>
        </is>
      </c>
      <c r="F270" s="5" t="n">
        <v>797.5</v>
      </c>
      <c r="G270" s="5" t="n"/>
      <c r="H270" s="5" t="n"/>
      <c r="I270" s="5" t="n"/>
      <c r="J270" s="5" t="n">
        <v>159.5</v>
      </c>
      <c r="K270" s="5" t="n"/>
      <c r="L270" s="5" t="n"/>
      <c r="M270" s="5" t="n"/>
      <c r="N270" s="5" t="n"/>
      <c r="O270" s="5" t="n">
        <v>957</v>
      </c>
      <c r="P270" s="5" t="n"/>
      <c r="Q270" s="5" t="n">
        <v>957</v>
      </c>
      <c r="R270" s="5" t="n"/>
    </row>
    <row r="271">
      <c r="A271" s="2" t="inlineStr">
        <is>
          <t>EJ020523.TXT</t>
        </is>
      </c>
      <c r="B271" s="3" t="inlineStr">
        <is>
          <t>004806</t>
        </is>
      </c>
      <c r="C271" s="3" t="inlineStr">
        <is>
          <t>003831</t>
        </is>
      </c>
      <c r="D271" s="4" t="n">
        <v>45022</v>
      </c>
      <c r="E271" s="2" t="inlineStr">
        <is>
          <t>10:13</t>
        </is>
      </c>
      <c r="F271" s="5" t="n">
        <v>797.5</v>
      </c>
      <c r="G271" s="5" t="n"/>
      <c r="H271" s="5" t="n"/>
      <c r="I271" s="5" t="n"/>
      <c r="J271" s="5" t="n">
        <v>159.5</v>
      </c>
      <c r="K271" s="5" t="n"/>
      <c r="L271" s="5" t="n"/>
      <c r="M271" s="5" t="n"/>
      <c r="N271" s="5" t="n"/>
      <c r="O271" s="5" t="n">
        <v>957</v>
      </c>
      <c r="P271" s="5" t="n"/>
      <c r="Q271" s="5" t="n">
        <v>957</v>
      </c>
      <c r="R271" s="5" t="n"/>
    </row>
    <row r="272">
      <c r="A272" s="2" t="inlineStr">
        <is>
          <t>EJ020523.TXT</t>
        </is>
      </c>
      <c r="B272" s="3" t="inlineStr">
        <is>
          <t>004807</t>
        </is>
      </c>
      <c r="C272" s="3" t="inlineStr">
        <is>
          <t>003832</t>
        </is>
      </c>
      <c r="D272" s="4" t="n">
        <v>45022</v>
      </c>
      <c r="E272" s="2" t="inlineStr">
        <is>
          <t>10:14</t>
        </is>
      </c>
      <c r="F272" s="5" t="n">
        <v>797.5</v>
      </c>
      <c r="G272" s="5" t="n"/>
      <c r="H272" s="5" t="n"/>
      <c r="I272" s="5" t="n"/>
      <c r="J272" s="5" t="n">
        <v>159.5</v>
      </c>
      <c r="K272" s="5" t="n"/>
      <c r="L272" s="5" t="n"/>
      <c r="M272" s="5" t="n"/>
      <c r="N272" s="5" t="n"/>
      <c r="O272" s="5" t="n">
        <v>957</v>
      </c>
      <c r="P272" s="5" t="n"/>
      <c r="Q272" s="5" t="n">
        <v>957</v>
      </c>
      <c r="R272" s="5" t="n"/>
    </row>
    <row r="273">
      <c r="A273" s="2" t="inlineStr">
        <is>
          <t>EJ020523.TXT</t>
        </is>
      </c>
      <c r="B273" s="3" t="inlineStr">
        <is>
          <t>004808</t>
        </is>
      </c>
      <c r="C273" s="3" t="inlineStr">
        <is>
          <t>003833</t>
        </is>
      </c>
      <c r="D273" s="4" t="n">
        <v>45022</v>
      </c>
      <c r="E273" s="2" t="inlineStr">
        <is>
          <t>12:09</t>
        </is>
      </c>
      <c r="F273" s="5" t="n">
        <v>208.33</v>
      </c>
      <c r="G273" s="5" t="n"/>
      <c r="H273" s="5" t="n"/>
      <c r="I273" s="5" t="n"/>
      <c r="J273" s="5" t="n">
        <v>41.67</v>
      </c>
      <c r="K273" s="5" t="n"/>
      <c r="L273" s="5" t="n"/>
      <c r="M273" s="5" t="n"/>
      <c r="N273" s="5" t="n"/>
      <c r="O273" s="5" t="n">
        <v>250</v>
      </c>
      <c r="P273" s="5" t="n"/>
      <c r="Q273" s="5" t="n">
        <v>250</v>
      </c>
      <c r="R273" s="5" t="n"/>
    </row>
    <row r="274">
      <c r="A274" s="2" t="inlineStr">
        <is>
          <t>EJ020523.TXT</t>
        </is>
      </c>
      <c r="B274" s="3" t="inlineStr">
        <is>
          <t>004809</t>
        </is>
      </c>
      <c r="C274" s="3" t="inlineStr">
        <is>
          <t>003834</t>
        </is>
      </c>
      <c r="D274" s="4" t="n">
        <v>45022</v>
      </c>
      <c r="E274" s="2" t="inlineStr">
        <is>
          <t>14:09</t>
        </is>
      </c>
      <c r="F274" s="5" t="n">
        <v>208.33</v>
      </c>
      <c r="G274" s="5" t="n"/>
      <c r="H274" s="5" t="n"/>
      <c r="I274" s="5" t="n"/>
      <c r="J274" s="5" t="n">
        <v>41.67</v>
      </c>
      <c r="K274" s="5" t="n"/>
      <c r="L274" s="5" t="n"/>
      <c r="M274" s="5" t="n"/>
      <c r="N274" s="5" t="n"/>
      <c r="O274" s="5" t="n">
        <v>250</v>
      </c>
      <c r="P274" s="5" t="n"/>
      <c r="Q274" s="5" t="n">
        <v>250</v>
      </c>
      <c r="R274" s="5" t="n"/>
    </row>
    <row r="275">
      <c r="A275" s="2" t="inlineStr">
        <is>
          <t>EJ020523.TXT</t>
        </is>
      </c>
      <c r="B275" s="3" t="inlineStr">
        <is>
          <t>004810</t>
        </is>
      </c>
      <c r="C275" s="3" t="inlineStr">
        <is>
          <t>003835</t>
        </is>
      </c>
      <c r="D275" s="4" t="n">
        <v>45023</v>
      </c>
      <c r="E275" s="2" t="inlineStr">
        <is>
          <t>09:40</t>
        </is>
      </c>
      <c r="F275" s="5" t="n">
        <v>797.5</v>
      </c>
      <c r="G275" s="5" t="n"/>
      <c r="H275" s="5" t="n"/>
      <c r="I275" s="5" t="n"/>
      <c r="J275" s="5" t="n">
        <v>159.5</v>
      </c>
      <c r="K275" s="5" t="n"/>
      <c r="L275" s="5" t="n"/>
      <c r="M275" s="5" t="n"/>
      <c r="N275" s="5" t="n"/>
      <c r="O275" s="5" t="n">
        <v>957</v>
      </c>
      <c r="P275" s="5" t="n"/>
      <c r="Q275" s="5" t="n">
        <v>957</v>
      </c>
      <c r="R275" s="5" t="n"/>
    </row>
    <row r="276">
      <c r="A276" s="2" t="inlineStr">
        <is>
          <t>EJ020523.TXT</t>
        </is>
      </c>
      <c r="B276" s="3" t="inlineStr">
        <is>
          <t>004811</t>
        </is>
      </c>
      <c r="C276" s="3" t="inlineStr">
        <is>
          <t>003836</t>
        </is>
      </c>
      <c r="D276" s="4" t="n">
        <v>45023</v>
      </c>
      <c r="E276" s="2" t="inlineStr">
        <is>
          <t>13:34</t>
        </is>
      </c>
      <c r="F276" s="5" t="n">
        <v>98.33</v>
      </c>
      <c r="G276" s="5" t="n"/>
      <c r="H276" s="5" t="n"/>
      <c r="I276" s="5" t="n"/>
      <c r="J276" s="5" t="n">
        <v>19.67</v>
      </c>
      <c r="K276" s="5" t="n"/>
      <c r="L276" s="5" t="n"/>
      <c r="M276" s="5" t="n"/>
      <c r="N276" s="5" t="n"/>
      <c r="O276" s="5" t="n">
        <v>118</v>
      </c>
      <c r="P276" s="5" t="n">
        <v>118</v>
      </c>
      <c r="Q276" s="5" t="n"/>
      <c r="R276" s="5" t="n"/>
    </row>
    <row r="277">
      <c r="A277" s="2" t="inlineStr">
        <is>
          <t>EJ020523.TXT</t>
        </is>
      </c>
      <c r="B277" s="3" t="inlineStr">
        <is>
          <t>004812</t>
        </is>
      </c>
      <c r="C277" s="3" t="inlineStr">
        <is>
          <t>003837</t>
        </is>
      </c>
      <c r="D277" s="4" t="n">
        <v>45023</v>
      </c>
      <c r="E277" s="2" t="inlineStr">
        <is>
          <t>16:11</t>
        </is>
      </c>
      <c r="F277" s="5" t="n">
        <v>799.17</v>
      </c>
      <c r="G277" s="5" t="n"/>
      <c r="H277" s="5" t="n"/>
      <c r="I277" s="5" t="n"/>
      <c r="J277" s="5" t="n">
        <v>159.83</v>
      </c>
      <c r="K277" s="5" t="n"/>
      <c r="L277" s="5" t="n"/>
      <c r="M277" s="5" t="n"/>
      <c r="N277" s="5" t="n"/>
      <c r="O277" s="5" t="n">
        <v>959</v>
      </c>
      <c r="P277" s="5" t="n"/>
      <c r="Q277" s="5" t="n">
        <v>959</v>
      </c>
      <c r="R277" s="5" t="n"/>
    </row>
    <row r="278">
      <c r="A278" s="2" t="inlineStr">
        <is>
          <t>EJ020523.TXT</t>
        </is>
      </c>
      <c r="B278" s="3" t="inlineStr">
        <is>
          <t>004813</t>
        </is>
      </c>
      <c r="C278" s="3" t="inlineStr">
        <is>
          <t>003838</t>
        </is>
      </c>
      <c r="D278" s="4" t="n">
        <v>45023</v>
      </c>
      <c r="E278" s="2" t="inlineStr">
        <is>
          <t>16:17</t>
        </is>
      </c>
      <c r="F278" s="5" t="n">
        <v>208.33</v>
      </c>
      <c r="G278" s="5" t="n"/>
      <c r="H278" s="5" t="n"/>
      <c r="I278" s="5" t="n"/>
      <c r="J278" s="5" t="n">
        <v>41.67</v>
      </c>
      <c r="K278" s="5" t="n"/>
      <c r="L278" s="5" t="n"/>
      <c r="M278" s="5" t="n"/>
      <c r="N278" s="5" t="n"/>
      <c r="O278" s="5" t="n">
        <v>250</v>
      </c>
      <c r="P278" s="5" t="n"/>
      <c r="Q278" s="5" t="n">
        <v>250</v>
      </c>
      <c r="R278" s="5" t="n"/>
    </row>
    <row r="279">
      <c r="A279" s="2" t="inlineStr">
        <is>
          <t>EJ020523.TXT</t>
        </is>
      </c>
      <c r="B279" s="3" t="inlineStr">
        <is>
          <t>004814</t>
        </is>
      </c>
      <c r="C279" s="3" t="inlineStr">
        <is>
          <t>003839</t>
        </is>
      </c>
      <c r="D279" s="4" t="n">
        <v>45024</v>
      </c>
      <c r="E279" s="2" t="inlineStr">
        <is>
          <t>16:00</t>
        </is>
      </c>
      <c r="F279" s="5" t="n">
        <v>98.33</v>
      </c>
      <c r="G279" s="5" t="n"/>
      <c r="H279" s="5" t="n"/>
      <c r="I279" s="5" t="n"/>
      <c r="J279" s="5" t="n">
        <v>19.67</v>
      </c>
      <c r="K279" s="5" t="n"/>
      <c r="L279" s="5" t="n"/>
      <c r="M279" s="5" t="n"/>
      <c r="N279" s="5" t="n"/>
      <c r="O279" s="5" t="n">
        <v>118</v>
      </c>
      <c r="P279" s="5" t="n">
        <v>118</v>
      </c>
      <c r="Q279" s="5" t="n"/>
      <c r="R279" s="5" t="n"/>
    </row>
    <row r="280">
      <c r="A280" s="2" t="inlineStr">
        <is>
          <t>EJ020523.TXT</t>
        </is>
      </c>
      <c r="B280" s="3" t="inlineStr">
        <is>
          <t>004815</t>
        </is>
      </c>
      <c r="C280" s="3" t="inlineStr">
        <is>
          <t>003840</t>
        </is>
      </c>
      <c r="D280" s="4" t="n">
        <v>45027</v>
      </c>
      <c r="E280" s="2" t="inlineStr">
        <is>
          <t>09:52</t>
        </is>
      </c>
      <c r="F280" s="5" t="n">
        <v>797.5</v>
      </c>
      <c r="G280" s="5" t="n"/>
      <c r="H280" s="5" t="n"/>
      <c r="I280" s="5" t="n"/>
      <c r="J280" s="5" t="n">
        <v>159.5</v>
      </c>
      <c r="K280" s="5" t="n"/>
      <c r="L280" s="5" t="n"/>
      <c r="M280" s="5" t="n"/>
      <c r="N280" s="5" t="n"/>
      <c r="O280" s="5" t="n">
        <v>957</v>
      </c>
      <c r="P280" s="5" t="n"/>
      <c r="Q280" s="5" t="n">
        <v>957</v>
      </c>
      <c r="R280" s="5" t="n"/>
    </row>
    <row r="281">
      <c r="A281" s="2" t="inlineStr">
        <is>
          <t>EJ020523.TXT</t>
        </is>
      </c>
      <c r="B281" s="3" t="inlineStr">
        <is>
          <t>004816</t>
        </is>
      </c>
      <c r="C281" s="3" t="inlineStr">
        <is>
          <t>003841</t>
        </is>
      </c>
      <c r="D281" s="4" t="n">
        <v>45028</v>
      </c>
      <c r="E281" s="2" t="inlineStr">
        <is>
          <t>10:11</t>
        </is>
      </c>
      <c r="F281" s="5" t="n">
        <v>797.5</v>
      </c>
      <c r="G281" s="5" t="n"/>
      <c r="H281" s="5" t="n"/>
      <c r="I281" s="5" t="n"/>
      <c r="J281" s="5" t="n">
        <v>159.5</v>
      </c>
      <c r="K281" s="5" t="n"/>
      <c r="L281" s="5" t="n"/>
      <c r="M281" s="5" t="n"/>
      <c r="N281" s="5" t="n"/>
      <c r="O281" s="5" t="n">
        <v>957</v>
      </c>
      <c r="P281" s="5" t="n"/>
      <c r="Q281" s="5" t="n">
        <v>957</v>
      </c>
      <c r="R281" s="5" t="n"/>
    </row>
    <row r="282">
      <c r="A282" s="2" t="inlineStr">
        <is>
          <t>EJ020523.TXT</t>
        </is>
      </c>
      <c r="B282" s="3" t="inlineStr">
        <is>
          <t>004817</t>
        </is>
      </c>
      <c r="C282" s="3" t="inlineStr">
        <is>
          <t>003842</t>
        </is>
      </c>
      <c r="D282" s="4" t="n">
        <v>45028</v>
      </c>
      <c r="E282" s="2" t="inlineStr">
        <is>
          <t>11:28</t>
        </is>
      </c>
      <c r="F282" s="5" t="n">
        <v>263.33</v>
      </c>
      <c r="G282" s="5" t="n"/>
      <c r="H282" s="5" t="n"/>
      <c r="I282" s="5" t="n"/>
      <c r="J282" s="5" t="n">
        <v>52.67</v>
      </c>
      <c r="K282" s="5" t="n"/>
      <c r="L282" s="5" t="n"/>
      <c r="M282" s="5" t="n"/>
      <c r="N282" s="5" t="n"/>
      <c r="O282" s="5" t="n">
        <v>316</v>
      </c>
      <c r="P282" s="5" t="n">
        <v>316</v>
      </c>
      <c r="Q282" s="5" t="n"/>
      <c r="R282" s="5" t="n"/>
    </row>
    <row r="283">
      <c r="A283" s="2" t="inlineStr">
        <is>
          <t>EJ020523.TXT</t>
        </is>
      </c>
      <c r="B283" s="3" t="inlineStr">
        <is>
          <t>004818</t>
        </is>
      </c>
      <c r="C283" s="3" t="inlineStr">
        <is>
          <t>003843</t>
        </is>
      </c>
      <c r="D283" s="4" t="n">
        <v>45028</v>
      </c>
      <c r="E283" s="2" t="inlineStr">
        <is>
          <t>11:32</t>
        </is>
      </c>
      <c r="F283" s="5" t="n">
        <v>398.33</v>
      </c>
      <c r="G283" s="5" t="n"/>
      <c r="H283" s="5" t="n"/>
      <c r="I283" s="5" t="n"/>
      <c r="J283" s="5" t="n">
        <v>79.67</v>
      </c>
      <c r="K283" s="5" t="n"/>
      <c r="L283" s="5" t="n"/>
      <c r="M283" s="5" t="n"/>
      <c r="N283" s="5" t="n"/>
      <c r="O283" s="5" t="n">
        <v>478</v>
      </c>
      <c r="P283" s="5" t="n">
        <v>478</v>
      </c>
      <c r="Q283" s="5" t="n"/>
      <c r="R283" s="5" t="n"/>
    </row>
    <row r="284">
      <c r="A284" s="2" t="inlineStr">
        <is>
          <t>EJ020523.TXT</t>
        </is>
      </c>
      <c r="B284" s="3" t="inlineStr">
        <is>
          <t>004819</t>
        </is>
      </c>
      <c r="C284" s="3" t="inlineStr">
        <is>
          <t>003844</t>
        </is>
      </c>
      <c r="D284" s="4" t="n">
        <v>45028</v>
      </c>
      <c r="E284" s="2" t="inlineStr">
        <is>
          <t>16:03</t>
        </is>
      </c>
      <c r="F284" s="5" t="n">
        <v>250</v>
      </c>
      <c r="G284" s="5" t="n"/>
      <c r="H284" s="5" t="n"/>
      <c r="I284" s="5" t="n"/>
      <c r="J284" s="5" t="n">
        <v>50</v>
      </c>
      <c r="K284" s="5" t="n"/>
      <c r="L284" s="5" t="n"/>
      <c r="M284" s="5" t="n"/>
      <c r="N284" s="5" t="n"/>
      <c r="O284" s="5" t="n">
        <v>300</v>
      </c>
      <c r="P284" s="5" t="n"/>
      <c r="Q284" s="5" t="n">
        <v>300</v>
      </c>
      <c r="R284" s="5" t="n"/>
    </row>
    <row r="285">
      <c r="A285" s="2" t="inlineStr">
        <is>
          <t>EJ020523.TXT</t>
        </is>
      </c>
      <c r="B285" s="3" t="inlineStr">
        <is>
          <t>004820</t>
        </is>
      </c>
      <c r="C285" s="3" t="inlineStr">
        <is>
          <t>003845</t>
        </is>
      </c>
      <c r="D285" s="4" t="n">
        <v>45028</v>
      </c>
      <c r="E285" s="2" t="inlineStr">
        <is>
          <t>16:03</t>
        </is>
      </c>
      <c r="F285" s="5" t="n">
        <v>298.33</v>
      </c>
      <c r="G285" s="5" t="n"/>
      <c r="H285" s="5" t="n"/>
      <c r="I285" s="5" t="n"/>
      <c r="J285" s="5" t="n">
        <v>59.67</v>
      </c>
      <c r="K285" s="5" t="n"/>
      <c r="L285" s="5" t="n"/>
      <c r="M285" s="5" t="n"/>
      <c r="N285" s="5" t="n"/>
      <c r="O285" s="5" t="n">
        <v>358</v>
      </c>
      <c r="P285" s="5" t="n">
        <v>358</v>
      </c>
      <c r="Q285" s="5" t="n"/>
      <c r="R285" s="5" t="n"/>
    </row>
    <row r="286">
      <c r="A286" s="2" t="inlineStr">
        <is>
          <t>EJ020523.TXT</t>
        </is>
      </c>
      <c r="B286" s="3" t="inlineStr">
        <is>
          <t>004821</t>
        </is>
      </c>
      <c r="C286" s="3" t="inlineStr">
        <is>
          <t>003846</t>
        </is>
      </c>
      <c r="D286" s="4" t="n">
        <v>45029</v>
      </c>
      <c r="E286" s="2" t="inlineStr">
        <is>
          <t>09:52</t>
        </is>
      </c>
      <c r="F286" s="5" t="n">
        <v>797.5</v>
      </c>
      <c r="G286" s="5" t="n"/>
      <c r="H286" s="5" t="n"/>
      <c r="I286" s="5" t="n"/>
      <c r="J286" s="5" t="n">
        <v>159.5</v>
      </c>
      <c r="K286" s="5" t="n"/>
      <c r="L286" s="5" t="n"/>
      <c r="M286" s="5" t="n"/>
      <c r="N286" s="5" t="n"/>
      <c r="O286" s="5" t="n">
        <v>957</v>
      </c>
      <c r="P286" s="5" t="n"/>
      <c r="Q286" s="5" t="n">
        <v>957</v>
      </c>
      <c r="R286" s="5" t="n"/>
    </row>
    <row r="287">
      <c r="A287" s="2" t="inlineStr">
        <is>
          <t>EJ020523.TXT</t>
        </is>
      </c>
      <c r="B287" s="3" t="inlineStr">
        <is>
          <t>004822</t>
        </is>
      </c>
      <c r="C287" s="3" t="inlineStr">
        <is>
          <t>003847</t>
        </is>
      </c>
      <c r="D287" s="4" t="n">
        <v>45029</v>
      </c>
      <c r="E287" s="2" t="inlineStr">
        <is>
          <t>11:02</t>
        </is>
      </c>
      <c r="F287" s="5" t="n">
        <v>797.5</v>
      </c>
      <c r="G287" s="5" t="n"/>
      <c r="H287" s="5" t="n"/>
      <c r="I287" s="5" t="n"/>
      <c r="J287" s="5" t="n">
        <v>159.5</v>
      </c>
      <c r="K287" s="5" t="n"/>
      <c r="L287" s="5" t="n"/>
      <c r="M287" s="5" t="n"/>
      <c r="N287" s="5" t="n"/>
      <c r="O287" s="5" t="n">
        <v>957</v>
      </c>
      <c r="P287" s="5" t="n"/>
      <c r="Q287" s="5" t="n">
        <v>957</v>
      </c>
      <c r="R287" s="5" t="n"/>
    </row>
    <row r="288">
      <c r="A288" s="2" t="inlineStr">
        <is>
          <t>EJ020523.TXT</t>
        </is>
      </c>
      <c r="B288" s="3" t="inlineStr">
        <is>
          <t>004823</t>
        </is>
      </c>
      <c r="C288" s="3" t="inlineStr">
        <is>
          <t>003848</t>
        </is>
      </c>
      <c r="D288" s="4" t="n">
        <v>45031</v>
      </c>
      <c r="E288" s="2" t="inlineStr">
        <is>
          <t>15:38</t>
        </is>
      </c>
      <c r="F288" s="5" t="n">
        <v>582.5</v>
      </c>
      <c r="G288" s="5" t="n"/>
      <c r="H288" s="5" t="n"/>
      <c r="I288" s="5" t="n"/>
      <c r="J288" s="5" t="n">
        <v>116.5</v>
      </c>
      <c r="K288" s="5" t="n"/>
      <c r="L288" s="5" t="n"/>
      <c r="M288" s="5" t="n"/>
      <c r="N288" s="5" t="n"/>
      <c r="O288" s="5" t="n">
        <v>699</v>
      </c>
      <c r="P288" s="5" t="n">
        <v>699</v>
      </c>
      <c r="Q288" s="5" t="n"/>
      <c r="R288" s="5" t="n"/>
    </row>
    <row r="289">
      <c r="A289" s="2" t="inlineStr">
        <is>
          <t>EJ020523.TXT</t>
        </is>
      </c>
      <c r="B289" s="3" t="inlineStr">
        <is>
          <t>004824</t>
        </is>
      </c>
      <c r="C289" s="3" t="inlineStr">
        <is>
          <t>003849</t>
        </is>
      </c>
      <c r="D289" s="4" t="n">
        <v>45031</v>
      </c>
      <c r="E289" s="2" t="inlineStr">
        <is>
          <t>16:43</t>
        </is>
      </c>
      <c r="F289" s="5" t="n">
        <v>49.17</v>
      </c>
      <c r="G289" s="5" t="n"/>
      <c r="H289" s="5" t="n"/>
      <c r="I289" s="5" t="n"/>
      <c r="J289" s="5" t="n">
        <v>9.83</v>
      </c>
      <c r="K289" s="5" t="n"/>
      <c r="L289" s="5" t="n"/>
      <c r="M289" s="5" t="n"/>
      <c r="N289" s="5" t="n"/>
      <c r="O289" s="5" t="n">
        <v>59</v>
      </c>
      <c r="P289" s="5" t="n">
        <v>59</v>
      </c>
      <c r="Q289" s="5" t="n"/>
      <c r="R289" s="5" t="n"/>
    </row>
    <row r="290">
      <c r="A290" s="2" t="inlineStr">
        <is>
          <t>EJ020523.TXT</t>
        </is>
      </c>
      <c r="B290" s="3" t="inlineStr">
        <is>
          <t>004825</t>
        </is>
      </c>
      <c r="C290" s="3" t="inlineStr">
        <is>
          <t>003850</t>
        </is>
      </c>
      <c r="D290" s="4" t="n">
        <v>45033</v>
      </c>
      <c r="E290" s="2" t="inlineStr">
        <is>
          <t>17:37</t>
        </is>
      </c>
      <c r="F290" s="5" t="n">
        <v>582.5</v>
      </c>
      <c r="G290" s="5" t="n"/>
      <c r="H290" s="5" t="n"/>
      <c r="I290" s="5" t="n"/>
      <c r="J290" s="5" t="n">
        <v>116.5</v>
      </c>
      <c r="K290" s="5" t="n"/>
      <c r="L290" s="5" t="n"/>
      <c r="M290" s="5" t="n"/>
      <c r="N290" s="5" t="n"/>
      <c r="O290" s="5" t="n">
        <v>699</v>
      </c>
      <c r="P290" s="5" t="n"/>
      <c r="Q290" s="5" t="n">
        <v>699</v>
      </c>
      <c r="R290" s="5" t="n"/>
    </row>
    <row r="291">
      <c r="A291" s="2" t="inlineStr">
        <is>
          <t>EJ020523.TXT</t>
        </is>
      </c>
      <c r="B291" s="3" t="inlineStr">
        <is>
          <t>004826</t>
        </is>
      </c>
      <c r="C291" s="3" t="inlineStr">
        <is>
          <t>003851</t>
        </is>
      </c>
      <c r="D291" s="4" t="n">
        <v>45034</v>
      </c>
      <c r="E291" s="2" t="inlineStr">
        <is>
          <t>17:18</t>
        </is>
      </c>
      <c r="F291" s="5" t="n">
        <v>274.17</v>
      </c>
      <c r="G291" s="5" t="n"/>
      <c r="H291" s="5" t="n"/>
      <c r="I291" s="5" t="n"/>
      <c r="J291" s="5" t="n">
        <v>54.83</v>
      </c>
      <c r="K291" s="5" t="n"/>
      <c r="L291" s="5" t="n"/>
      <c r="M291" s="5" t="n"/>
      <c r="N291" s="5" t="n"/>
      <c r="O291" s="5" t="n">
        <v>329</v>
      </c>
      <c r="P291" s="5" t="n"/>
      <c r="Q291" s="5" t="n">
        <v>329</v>
      </c>
      <c r="R291" s="5" t="n"/>
    </row>
    <row r="292">
      <c r="A292" s="2" t="inlineStr">
        <is>
          <t>EJ020523.TXT</t>
        </is>
      </c>
      <c r="B292" s="3" t="inlineStr">
        <is>
          <t>004827</t>
        </is>
      </c>
      <c r="C292" s="3" t="inlineStr">
        <is>
          <t>003852</t>
        </is>
      </c>
      <c r="D292" s="4" t="n">
        <v>45035</v>
      </c>
      <c r="E292" s="2" t="inlineStr">
        <is>
          <t>14:47</t>
        </is>
      </c>
      <c r="F292" s="5" t="n">
        <v>83.33</v>
      </c>
      <c r="G292" s="5" t="n"/>
      <c r="H292" s="5" t="n"/>
      <c r="I292" s="5" t="n"/>
      <c r="J292" s="5" t="n">
        <v>16.67</v>
      </c>
      <c r="K292" s="5" t="n"/>
      <c r="L292" s="5" t="n"/>
      <c r="M292" s="5" t="n"/>
      <c r="N292" s="5" t="n"/>
      <c r="O292" s="5" t="n">
        <v>100</v>
      </c>
      <c r="P292" s="5" t="n"/>
      <c r="Q292" s="5" t="n">
        <v>100</v>
      </c>
      <c r="R292" s="5" t="n"/>
    </row>
    <row r="293">
      <c r="A293" s="2" t="inlineStr">
        <is>
          <t>EJ020523.TXT</t>
        </is>
      </c>
      <c r="B293" s="3" t="inlineStr">
        <is>
          <t>004828</t>
        </is>
      </c>
      <c r="C293" s="3" t="inlineStr">
        <is>
          <t>003853</t>
        </is>
      </c>
      <c r="D293" s="4" t="n">
        <v>45035</v>
      </c>
      <c r="E293" s="2" t="inlineStr">
        <is>
          <t>14:47</t>
        </is>
      </c>
      <c r="F293" s="5" t="n">
        <v>25</v>
      </c>
      <c r="G293" s="5" t="n"/>
      <c r="H293" s="5" t="n"/>
      <c r="I293" s="5" t="n"/>
      <c r="J293" s="5" t="n">
        <v>5</v>
      </c>
      <c r="K293" s="5" t="n"/>
      <c r="L293" s="5" t="n"/>
      <c r="M293" s="5" t="n"/>
      <c r="N293" s="5" t="n"/>
      <c r="O293" s="5" t="n">
        <v>30</v>
      </c>
      <c r="P293" s="5" t="n">
        <v>30</v>
      </c>
      <c r="Q293" s="5" t="n"/>
      <c r="R293" s="5" t="n"/>
    </row>
    <row r="294">
      <c r="A294" s="2" t="inlineStr">
        <is>
          <t>EJ020523.TXT</t>
        </is>
      </c>
      <c r="B294" s="3" t="inlineStr">
        <is>
          <t>004829</t>
        </is>
      </c>
      <c r="C294" s="3" t="inlineStr">
        <is>
          <t>003854</t>
        </is>
      </c>
      <c r="D294" s="4" t="n">
        <v>45036</v>
      </c>
      <c r="E294" s="2" t="inlineStr">
        <is>
          <t>13:53</t>
        </is>
      </c>
      <c r="F294" s="5" t="n">
        <v>650</v>
      </c>
      <c r="G294" s="5" t="n"/>
      <c r="H294" s="5" t="n"/>
      <c r="I294" s="5" t="n"/>
      <c r="J294" s="5" t="n">
        <v>130</v>
      </c>
      <c r="K294" s="5" t="n"/>
      <c r="L294" s="5" t="n"/>
      <c r="M294" s="5" t="n"/>
      <c r="N294" s="5" t="n"/>
      <c r="O294" s="5" t="n">
        <v>780</v>
      </c>
      <c r="P294" s="5" t="n"/>
      <c r="Q294" s="5" t="n">
        <v>780</v>
      </c>
      <c r="R294" s="5" t="n"/>
    </row>
    <row r="295">
      <c r="A295" s="2" t="inlineStr">
        <is>
          <t>EJ020523.TXT</t>
        </is>
      </c>
      <c r="B295" s="3" t="inlineStr">
        <is>
          <t>004830</t>
        </is>
      </c>
      <c r="C295" s="3" t="inlineStr">
        <is>
          <t>003855</t>
        </is>
      </c>
      <c r="D295" s="4" t="n">
        <v>45036</v>
      </c>
      <c r="E295" s="2" t="inlineStr">
        <is>
          <t>13:53</t>
        </is>
      </c>
      <c r="F295" s="5" t="n">
        <v>799.17</v>
      </c>
      <c r="G295" s="5" t="n"/>
      <c r="H295" s="5" t="n"/>
      <c r="I295" s="5" t="n"/>
      <c r="J295" s="5" t="n">
        <v>159.83</v>
      </c>
      <c r="K295" s="5" t="n"/>
      <c r="L295" s="5" t="n"/>
      <c r="M295" s="5" t="n"/>
      <c r="N295" s="5" t="n"/>
      <c r="O295" s="5" t="n">
        <v>959</v>
      </c>
      <c r="P295" s="5" t="n"/>
      <c r="Q295" s="5" t="n">
        <v>959</v>
      </c>
      <c r="R295" s="5" t="n"/>
    </row>
    <row r="296">
      <c r="A296" s="2" t="inlineStr">
        <is>
          <t>EJ020523.TXT</t>
        </is>
      </c>
      <c r="B296" s="3" t="inlineStr">
        <is>
          <t>004831</t>
        </is>
      </c>
      <c r="C296" s="3" t="inlineStr">
        <is>
          <t>003856</t>
        </is>
      </c>
      <c r="D296" s="4" t="n">
        <v>45036</v>
      </c>
      <c r="E296" s="2" t="inlineStr">
        <is>
          <t>15:06</t>
        </is>
      </c>
      <c r="F296" s="5" t="n">
        <v>548.33</v>
      </c>
      <c r="G296" s="5" t="n"/>
      <c r="H296" s="5" t="n"/>
      <c r="I296" s="5" t="n"/>
      <c r="J296" s="5" t="n">
        <v>109.67</v>
      </c>
      <c r="K296" s="5" t="n"/>
      <c r="L296" s="5" t="n"/>
      <c r="M296" s="5" t="n"/>
      <c r="N296" s="5" t="n"/>
      <c r="O296" s="5" t="n">
        <v>658</v>
      </c>
      <c r="P296" s="5" t="n">
        <v>658</v>
      </c>
      <c r="Q296" s="5" t="n"/>
      <c r="R296" s="5" t="n"/>
    </row>
    <row r="297">
      <c r="A297" s="2" t="inlineStr">
        <is>
          <t>EJ020523.TXT</t>
        </is>
      </c>
      <c r="B297" s="3" t="inlineStr">
        <is>
          <t>004832</t>
        </is>
      </c>
      <c r="C297" s="3" t="inlineStr">
        <is>
          <t>003857</t>
        </is>
      </c>
      <c r="D297" s="4" t="n">
        <v>45037</v>
      </c>
      <c r="E297" s="2" t="inlineStr">
        <is>
          <t>11:10</t>
        </is>
      </c>
      <c r="F297" s="5" t="n">
        <v>548.33</v>
      </c>
      <c r="G297" s="5" t="n"/>
      <c r="H297" s="5" t="n"/>
      <c r="I297" s="5" t="n"/>
      <c r="J297" s="5" t="n">
        <v>109.67</v>
      </c>
      <c r="K297" s="5" t="n"/>
      <c r="L297" s="5" t="n"/>
      <c r="M297" s="5" t="n"/>
      <c r="N297" s="5" t="n"/>
      <c r="O297" s="5" t="n">
        <v>658</v>
      </c>
      <c r="P297" s="5" t="n"/>
      <c r="Q297" s="5" t="n">
        <v>658</v>
      </c>
      <c r="R297" s="5" t="n"/>
    </row>
    <row r="298">
      <c r="A298" s="2" t="inlineStr">
        <is>
          <t>EJ020523.TXT</t>
        </is>
      </c>
      <c r="B298" s="3" t="inlineStr">
        <is>
          <t>004833</t>
        </is>
      </c>
      <c r="C298" s="3" t="inlineStr">
        <is>
          <t>003858</t>
        </is>
      </c>
      <c r="D298" s="4" t="n">
        <v>45037</v>
      </c>
      <c r="E298" s="2" t="inlineStr">
        <is>
          <t>15:13</t>
        </is>
      </c>
      <c r="F298" s="5" t="n">
        <v>548.33</v>
      </c>
      <c r="G298" s="5" t="n"/>
      <c r="H298" s="5" t="n"/>
      <c r="I298" s="5" t="n"/>
      <c r="J298" s="5" t="n">
        <v>109.67</v>
      </c>
      <c r="K298" s="5" t="n"/>
      <c r="L298" s="5" t="n"/>
      <c r="M298" s="5" t="n"/>
      <c r="N298" s="5" t="n"/>
      <c r="O298" s="5" t="n">
        <v>658</v>
      </c>
      <c r="P298" s="5" t="n">
        <v>658</v>
      </c>
      <c r="Q298" s="5" t="n"/>
      <c r="R298" s="5" t="n"/>
    </row>
    <row r="299">
      <c r="A299" s="2" t="inlineStr">
        <is>
          <t>EJ020523.TXT</t>
        </is>
      </c>
      <c r="B299" s="3" t="inlineStr">
        <is>
          <t>004834</t>
        </is>
      </c>
      <c r="C299" s="3" t="inlineStr">
        <is>
          <t>003859</t>
        </is>
      </c>
      <c r="D299" s="4" t="n">
        <v>45037</v>
      </c>
      <c r="E299" s="2" t="inlineStr">
        <is>
          <t>16:51</t>
        </is>
      </c>
      <c r="F299" s="5" t="n">
        <v>274.17</v>
      </c>
      <c r="G299" s="5" t="n"/>
      <c r="H299" s="5" t="n"/>
      <c r="I299" s="5" t="n"/>
      <c r="J299" s="5" t="n">
        <v>54.83</v>
      </c>
      <c r="K299" s="5" t="n"/>
      <c r="L299" s="5" t="n"/>
      <c r="M299" s="5" t="n"/>
      <c r="N299" s="5" t="n"/>
      <c r="O299" s="5" t="n">
        <v>329</v>
      </c>
      <c r="P299" s="5" t="n">
        <v>329</v>
      </c>
      <c r="Q299" s="5" t="n"/>
      <c r="R299" s="5" t="n"/>
    </row>
    <row r="300">
      <c r="A300" s="2" t="inlineStr">
        <is>
          <t>EJ020523.TXT</t>
        </is>
      </c>
      <c r="B300" s="3" t="inlineStr">
        <is>
          <t>004835</t>
        </is>
      </c>
      <c r="C300" s="3" t="inlineStr">
        <is>
          <t>003860</t>
        </is>
      </c>
      <c r="D300" s="4" t="n">
        <v>45038</v>
      </c>
      <c r="E300" s="2" t="inlineStr">
        <is>
          <t>15:51</t>
        </is>
      </c>
      <c r="F300" s="5" t="n">
        <v>548.33</v>
      </c>
      <c r="G300" s="5" t="n"/>
      <c r="H300" s="5" t="n"/>
      <c r="I300" s="5" t="n"/>
      <c r="J300" s="5" t="n">
        <v>109.67</v>
      </c>
      <c r="K300" s="5" t="n"/>
      <c r="L300" s="5" t="n"/>
      <c r="M300" s="5" t="n"/>
      <c r="N300" s="5" t="n"/>
      <c r="O300" s="5" t="n">
        <v>658</v>
      </c>
      <c r="P300" s="5" t="n">
        <v>658</v>
      </c>
      <c r="Q300" s="5" t="n"/>
      <c r="R300" s="5" t="n"/>
    </row>
    <row r="301">
      <c r="A301" s="2" t="inlineStr">
        <is>
          <t>EJ020523.TXT</t>
        </is>
      </c>
      <c r="B301" s="3" t="inlineStr">
        <is>
          <t>004836</t>
        </is>
      </c>
      <c r="C301" s="3" t="inlineStr">
        <is>
          <t>003861</t>
        </is>
      </c>
      <c r="D301" s="4" t="n">
        <v>45040</v>
      </c>
      <c r="E301" s="2" t="inlineStr">
        <is>
          <t>10:05</t>
        </is>
      </c>
      <c r="F301" s="5" t="n">
        <v>10400</v>
      </c>
      <c r="G301" s="5" t="n"/>
      <c r="H301" s="5" t="n"/>
      <c r="I301" s="5" t="n"/>
      <c r="J301" s="5" t="n">
        <v>2080</v>
      </c>
      <c r="K301" s="5" t="n"/>
      <c r="L301" s="5" t="n"/>
      <c r="M301" s="5" t="n"/>
      <c r="N301" s="5" t="n"/>
      <c r="O301" s="5" t="n">
        <v>12480</v>
      </c>
      <c r="P301" s="5" t="n">
        <v>12480</v>
      </c>
      <c r="Q301" s="5" t="n"/>
      <c r="R301" s="5" t="n"/>
    </row>
    <row r="302">
      <c r="A302" s="2" t="inlineStr">
        <is>
          <t>EJ020523.TXT</t>
        </is>
      </c>
      <c r="B302" s="3" t="inlineStr">
        <is>
          <t>004837</t>
        </is>
      </c>
      <c r="C302" s="3" t="inlineStr">
        <is>
          <t>003862</t>
        </is>
      </c>
      <c r="D302" s="4" t="n">
        <v>45040</v>
      </c>
      <c r="E302" s="2" t="inlineStr">
        <is>
          <t>15:56</t>
        </is>
      </c>
      <c r="F302" s="5" t="n">
        <v>274.17</v>
      </c>
      <c r="G302" s="5" t="n"/>
      <c r="H302" s="5" t="n"/>
      <c r="I302" s="5" t="n"/>
      <c r="J302" s="5" t="n">
        <v>54.83</v>
      </c>
      <c r="K302" s="5" t="n"/>
      <c r="L302" s="5" t="n"/>
      <c r="M302" s="5" t="n"/>
      <c r="N302" s="5" t="n"/>
      <c r="O302" s="5" t="n">
        <v>329</v>
      </c>
      <c r="P302" s="5" t="n">
        <v>329</v>
      </c>
      <c r="Q302" s="5" t="n"/>
      <c r="R302" s="5" t="n"/>
    </row>
    <row r="303">
      <c r="A303" s="2" t="inlineStr">
        <is>
          <t>EJ020523.TXT</t>
        </is>
      </c>
      <c r="B303" s="3" t="inlineStr">
        <is>
          <t>004838</t>
        </is>
      </c>
      <c r="C303" s="3" t="inlineStr">
        <is>
          <t>003863</t>
        </is>
      </c>
      <c r="D303" s="4" t="n">
        <v>45041</v>
      </c>
      <c r="E303" s="2" t="inlineStr">
        <is>
          <t>15:14</t>
        </is>
      </c>
      <c r="F303" s="5" t="n">
        <v>500</v>
      </c>
      <c r="G303" s="5" t="n"/>
      <c r="H303" s="5" t="n"/>
      <c r="I303" s="5" t="n"/>
      <c r="J303" s="5" t="n">
        <v>100</v>
      </c>
      <c r="K303" s="5" t="n"/>
      <c r="L303" s="5" t="n"/>
      <c r="M303" s="5" t="n"/>
      <c r="N303" s="5" t="n"/>
      <c r="O303" s="5" t="n">
        <v>600</v>
      </c>
      <c r="P303" s="5" t="n">
        <v>600</v>
      </c>
      <c r="Q303" s="5" t="n"/>
      <c r="R303" s="5" t="n"/>
    </row>
    <row r="304">
      <c r="A304" s="2" t="inlineStr">
        <is>
          <t>EJ020523.TXT</t>
        </is>
      </c>
      <c r="B304" s="3" t="inlineStr">
        <is>
          <t>004839</t>
        </is>
      </c>
      <c r="C304" s="3" t="inlineStr">
        <is>
          <t>003864</t>
        </is>
      </c>
      <c r="D304" s="4" t="n">
        <v>45041</v>
      </c>
      <c r="E304" s="2" t="inlineStr">
        <is>
          <t>17:15</t>
        </is>
      </c>
      <c r="F304" s="5" t="n">
        <v>548.33</v>
      </c>
      <c r="G304" s="5" t="n"/>
      <c r="H304" s="5" t="n"/>
      <c r="I304" s="5" t="n"/>
      <c r="J304" s="5" t="n">
        <v>109.67</v>
      </c>
      <c r="K304" s="5" t="n"/>
      <c r="L304" s="5" t="n"/>
      <c r="M304" s="5" t="n"/>
      <c r="N304" s="5" t="n"/>
      <c r="O304" s="5" t="n">
        <v>658</v>
      </c>
      <c r="P304" s="5" t="n">
        <v>658</v>
      </c>
      <c r="Q304" s="5" t="n"/>
      <c r="R304" s="5" t="n"/>
    </row>
    <row r="305">
      <c r="A305" s="2" t="inlineStr">
        <is>
          <t>EJ020523.TXT</t>
        </is>
      </c>
      <c r="B305" s="3" t="inlineStr">
        <is>
          <t>004840</t>
        </is>
      </c>
      <c r="C305" s="3" t="inlineStr">
        <is>
          <t>003865</t>
        </is>
      </c>
      <c r="D305" s="4" t="n">
        <v>45042</v>
      </c>
      <c r="E305" s="2" t="inlineStr">
        <is>
          <t>13:46</t>
        </is>
      </c>
      <c r="F305" s="5" t="n">
        <v>615</v>
      </c>
      <c r="G305" s="5" t="n"/>
      <c r="H305" s="5" t="n"/>
      <c r="I305" s="5" t="n"/>
      <c r="J305" s="5" t="n">
        <v>123</v>
      </c>
      <c r="K305" s="5" t="n"/>
      <c r="L305" s="5" t="n"/>
      <c r="M305" s="5" t="n"/>
      <c r="N305" s="5" t="n"/>
      <c r="O305" s="5" t="n">
        <v>738</v>
      </c>
      <c r="P305" s="5" t="n">
        <v>738</v>
      </c>
      <c r="Q305" s="5" t="n"/>
      <c r="R305" s="5" t="n"/>
    </row>
    <row r="306">
      <c r="A306" s="2" t="inlineStr">
        <is>
          <t>EJ020523.TXT</t>
        </is>
      </c>
      <c r="B306" s="3" t="inlineStr">
        <is>
          <t>004841</t>
        </is>
      </c>
      <c r="C306" s="3" t="inlineStr">
        <is>
          <t>003866</t>
        </is>
      </c>
      <c r="D306" s="4" t="n">
        <v>45042</v>
      </c>
      <c r="E306" s="2" t="inlineStr">
        <is>
          <t>15:19</t>
        </is>
      </c>
      <c r="F306" s="5" t="n">
        <v>548.33</v>
      </c>
      <c r="G306" s="5" t="n"/>
      <c r="H306" s="5" t="n"/>
      <c r="I306" s="5" t="n"/>
      <c r="J306" s="5" t="n">
        <v>109.67</v>
      </c>
      <c r="K306" s="5" t="n"/>
      <c r="L306" s="5" t="n"/>
      <c r="M306" s="5" t="n"/>
      <c r="N306" s="5" t="n"/>
      <c r="O306" s="5" t="n">
        <v>658</v>
      </c>
      <c r="P306" s="5" t="n">
        <v>658</v>
      </c>
      <c r="Q306" s="5" t="n"/>
      <c r="R306" s="5" t="n"/>
    </row>
    <row r="307">
      <c r="A307" s="2" t="inlineStr">
        <is>
          <t>EJ020523.TXT</t>
        </is>
      </c>
      <c r="B307" s="3" t="inlineStr">
        <is>
          <t>004842</t>
        </is>
      </c>
      <c r="C307" s="3" t="inlineStr">
        <is>
          <t>003867</t>
        </is>
      </c>
      <c r="D307" s="4" t="n">
        <v>45043</v>
      </c>
      <c r="E307" s="2" t="inlineStr">
        <is>
          <t>14:01</t>
        </is>
      </c>
      <c r="F307" s="5" t="n">
        <v>531.67</v>
      </c>
      <c r="G307" s="5" t="n"/>
      <c r="H307" s="5" t="n"/>
      <c r="I307" s="5" t="n"/>
      <c r="J307" s="5" t="n">
        <v>106.33</v>
      </c>
      <c r="K307" s="5" t="n"/>
      <c r="L307" s="5" t="n"/>
      <c r="M307" s="5" t="n"/>
      <c r="N307" s="5" t="n"/>
      <c r="O307" s="5" t="n">
        <v>638</v>
      </c>
      <c r="P307" s="5" t="n"/>
      <c r="Q307" s="5" t="n">
        <v>638</v>
      </c>
      <c r="R307" s="5" t="n"/>
    </row>
    <row r="308">
      <c r="A308" s="2" t="inlineStr">
        <is>
          <t>EJ020523.TXT</t>
        </is>
      </c>
      <c r="B308" s="3" t="inlineStr">
        <is>
          <t>004843</t>
        </is>
      </c>
      <c r="C308" s="3" t="inlineStr">
        <is>
          <t>003868</t>
        </is>
      </c>
      <c r="D308" s="4" t="n">
        <v>45043</v>
      </c>
      <c r="E308" s="2" t="inlineStr">
        <is>
          <t>14:11</t>
        </is>
      </c>
      <c r="F308" s="5" t="n">
        <v>274.17</v>
      </c>
      <c r="G308" s="5" t="n"/>
      <c r="H308" s="5" t="n"/>
      <c r="I308" s="5" t="n"/>
      <c r="J308" s="5" t="n">
        <v>54.83</v>
      </c>
      <c r="K308" s="5" t="n"/>
      <c r="L308" s="5" t="n"/>
      <c r="M308" s="5" t="n"/>
      <c r="N308" s="5" t="n"/>
      <c r="O308" s="5" t="n">
        <v>329</v>
      </c>
      <c r="P308" s="5" t="n">
        <v>329</v>
      </c>
      <c r="Q308" s="5" t="n"/>
      <c r="R308" s="5" t="n"/>
    </row>
    <row r="309">
      <c r="A309" s="2" t="inlineStr">
        <is>
          <t>EJ020523.TXT</t>
        </is>
      </c>
      <c r="B309" s="3" t="inlineStr">
        <is>
          <t>004844</t>
        </is>
      </c>
      <c r="C309" s="3" t="inlineStr">
        <is>
          <t>003869</t>
        </is>
      </c>
      <c r="D309" s="4" t="n">
        <v>45043</v>
      </c>
      <c r="E309" s="2" t="inlineStr">
        <is>
          <t>15:33</t>
        </is>
      </c>
      <c r="F309" s="5" t="n">
        <v>305</v>
      </c>
      <c r="G309" s="5" t="n"/>
      <c r="H309" s="5" t="n"/>
      <c r="I309" s="5" t="n"/>
      <c r="J309" s="5" t="n">
        <v>61</v>
      </c>
      <c r="K309" s="5" t="n"/>
      <c r="L309" s="5" t="n"/>
      <c r="M309" s="5" t="n"/>
      <c r="N309" s="5" t="n"/>
      <c r="O309" s="5" t="n">
        <v>366</v>
      </c>
      <c r="P309" s="5" t="n"/>
      <c r="Q309" s="5" t="n">
        <v>366</v>
      </c>
      <c r="R309" s="5" t="n"/>
    </row>
    <row r="310">
      <c r="A310" s="2" t="inlineStr">
        <is>
          <t>EJ020523.TXT</t>
        </is>
      </c>
      <c r="B310" s="3" t="inlineStr">
        <is>
          <t>004845</t>
        </is>
      </c>
      <c r="C310" s="3" t="inlineStr">
        <is>
          <t>003870</t>
        </is>
      </c>
      <c r="D310" s="4" t="n">
        <v>45044</v>
      </c>
      <c r="E310" s="2" t="inlineStr">
        <is>
          <t>10:40</t>
        </is>
      </c>
      <c r="F310" s="5" t="n">
        <v>822.5</v>
      </c>
      <c r="G310" s="5" t="n"/>
      <c r="H310" s="5" t="n"/>
      <c r="I310" s="5" t="n"/>
      <c r="J310" s="5" t="n">
        <v>164.5</v>
      </c>
      <c r="K310" s="5" t="n"/>
      <c r="L310" s="5" t="n"/>
      <c r="M310" s="5" t="n"/>
      <c r="N310" s="5" t="n"/>
      <c r="O310" s="5" t="n">
        <v>987</v>
      </c>
      <c r="P310" s="5" t="n"/>
      <c r="Q310" s="5" t="n">
        <v>987</v>
      </c>
      <c r="R310" s="5" t="n"/>
    </row>
    <row r="311">
      <c r="A311" s="2" t="inlineStr">
        <is>
          <t>EJ020523.TXT</t>
        </is>
      </c>
      <c r="B311" s="3" t="inlineStr">
        <is>
          <t>004846</t>
        </is>
      </c>
      <c r="C311" s="3" t="inlineStr">
        <is>
          <t>003871</t>
        </is>
      </c>
      <c r="D311" s="4" t="n">
        <v>45044</v>
      </c>
      <c r="E311" s="2" t="inlineStr">
        <is>
          <t>10:40</t>
        </is>
      </c>
      <c r="F311" s="5" t="n">
        <v>822.5</v>
      </c>
      <c r="G311" s="5" t="n"/>
      <c r="H311" s="5" t="n"/>
      <c r="I311" s="5" t="n"/>
      <c r="J311" s="5" t="n">
        <v>164.5</v>
      </c>
      <c r="K311" s="5" t="n"/>
      <c r="L311" s="5" t="n"/>
      <c r="M311" s="5" t="n"/>
      <c r="N311" s="5" t="n"/>
      <c r="O311" s="5" t="n">
        <v>987</v>
      </c>
      <c r="P311" s="5" t="n"/>
      <c r="Q311" s="5" t="n">
        <v>987</v>
      </c>
      <c r="R311" s="5" t="n"/>
    </row>
    <row r="312">
      <c r="A312" s="2" t="inlineStr">
        <is>
          <t>EJ020523.TXT</t>
        </is>
      </c>
      <c r="B312" s="3" t="inlineStr">
        <is>
          <t>004847</t>
        </is>
      </c>
      <c r="C312" s="3" t="inlineStr">
        <is>
          <t>003872</t>
        </is>
      </c>
      <c r="D312" s="4" t="n">
        <v>45044</v>
      </c>
      <c r="E312" s="2" t="inlineStr">
        <is>
          <t>14:42</t>
        </is>
      </c>
      <c r="F312" s="5" t="n">
        <v>582.5</v>
      </c>
      <c r="G312" s="5" t="n"/>
      <c r="H312" s="5" t="n"/>
      <c r="I312" s="5" t="n"/>
      <c r="J312" s="5" t="n">
        <v>116.5</v>
      </c>
      <c r="K312" s="5" t="n"/>
      <c r="L312" s="5" t="n"/>
      <c r="M312" s="5" t="n"/>
      <c r="N312" s="5" t="n"/>
      <c r="O312" s="5" t="n">
        <v>699</v>
      </c>
      <c r="P312" s="5" t="n"/>
      <c r="Q312" s="5" t="n">
        <v>699</v>
      </c>
      <c r="R312" s="5" t="n"/>
    </row>
    <row r="313">
      <c r="A313" s="2" t="inlineStr">
        <is>
          <t>EJ020523.TXT</t>
        </is>
      </c>
      <c r="B313" s="3" t="inlineStr">
        <is>
          <t>004848</t>
        </is>
      </c>
      <c r="C313" s="3" t="inlineStr">
        <is>
          <t>003873</t>
        </is>
      </c>
      <c r="D313" s="4" t="n">
        <v>45044</v>
      </c>
      <c r="E313" s="2" t="inlineStr">
        <is>
          <t>14:42</t>
        </is>
      </c>
      <c r="F313" s="5" t="n">
        <v>582.5</v>
      </c>
      <c r="G313" s="5" t="n"/>
      <c r="H313" s="5" t="n"/>
      <c r="I313" s="5" t="n"/>
      <c r="J313" s="5" t="n">
        <v>116.5</v>
      </c>
      <c r="K313" s="5" t="n"/>
      <c r="L313" s="5" t="n"/>
      <c r="M313" s="5" t="n"/>
      <c r="N313" s="5" t="n"/>
      <c r="O313" s="5" t="n">
        <v>699</v>
      </c>
      <c r="P313" s="5" t="n"/>
      <c r="Q313" s="5" t="n">
        <v>699</v>
      </c>
      <c r="R313" s="5" t="n"/>
    </row>
    <row r="314">
      <c r="A314" s="2" t="inlineStr">
        <is>
          <t>EJ020523.TXT</t>
        </is>
      </c>
      <c r="B314" s="3" t="inlineStr">
        <is>
          <t>004849</t>
        </is>
      </c>
      <c r="C314" s="3" t="inlineStr">
        <is>
          <t>003874</t>
        </is>
      </c>
      <c r="D314" s="4" t="n">
        <v>45044</v>
      </c>
      <c r="E314" s="2" t="inlineStr">
        <is>
          <t>14:42</t>
        </is>
      </c>
      <c r="F314" s="5" t="n">
        <v>650</v>
      </c>
      <c r="G314" s="5" t="n"/>
      <c r="H314" s="5" t="n"/>
      <c r="I314" s="5" t="n"/>
      <c r="J314" s="5" t="n">
        <v>130</v>
      </c>
      <c r="K314" s="5" t="n"/>
      <c r="L314" s="5" t="n"/>
      <c r="M314" s="5" t="n"/>
      <c r="N314" s="5" t="n"/>
      <c r="O314" s="5" t="n">
        <v>780</v>
      </c>
      <c r="P314" s="5" t="n"/>
      <c r="Q314" s="5" t="n">
        <v>780</v>
      </c>
      <c r="R314" s="5" t="n"/>
    </row>
    <row r="315">
      <c r="A315" s="2" t="inlineStr">
        <is>
          <t>EJ020523.TXT</t>
        </is>
      </c>
      <c r="B315" s="3" t="inlineStr">
        <is>
          <t>004850</t>
        </is>
      </c>
      <c r="C315" s="3" t="inlineStr">
        <is>
          <t>003875</t>
        </is>
      </c>
      <c r="D315" s="4" t="n">
        <v>45045</v>
      </c>
      <c r="E315" s="2" t="inlineStr">
        <is>
          <t>11:03</t>
        </is>
      </c>
      <c r="F315" s="5" t="n">
        <v>715.83</v>
      </c>
      <c r="G315" s="5" t="n"/>
      <c r="H315" s="5" t="n"/>
      <c r="I315" s="5" t="n"/>
      <c r="J315" s="5" t="n">
        <v>143.17</v>
      </c>
      <c r="K315" s="5" t="n"/>
      <c r="L315" s="5" t="n"/>
      <c r="M315" s="5" t="n"/>
      <c r="N315" s="5" t="n"/>
      <c r="O315" s="5" t="n">
        <v>859</v>
      </c>
      <c r="P315" s="5" t="n"/>
      <c r="Q315" s="5" t="n">
        <v>859</v>
      </c>
      <c r="R315" s="5" t="n"/>
    </row>
    <row r="316">
      <c r="A316" s="2" t="inlineStr">
        <is>
          <t>EJ020523.TXT</t>
        </is>
      </c>
      <c r="B316" s="3" t="inlineStr">
        <is>
          <t>004851</t>
        </is>
      </c>
      <c r="C316" s="3" t="inlineStr">
        <is>
          <t>003876</t>
        </is>
      </c>
      <c r="D316" s="4" t="n">
        <v>45045</v>
      </c>
      <c r="E316" s="2" t="inlineStr">
        <is>
          <t>11:04</t>
        </is>
      </c>
      <c r="F316" s="5" t="n">
        <v>650</v>
      </c>
      <c r="G316" s="5" t="n"/>
      <c r="H316" s="5" t="n"/>
      <c r="I316" s="5" t="n"/>
      <c r="J316" s="5" t="n">
        <v>130</v>
      </c>
      <c r="K316" s="5" t="n"/>
      <c r="L316" s="5" t="n"/>
      <c r="M316" s="5" t="n"/>
      <c r="N316" s="5" t="n"/>
      <c r="O316" s="5" t="n">
        <v>780</v>
      </c>
      <c r="P316" s="5" t="n"/>
      <c r="Q316" s="5" t="n">
        <v>780</v>
      </c>
      <c r="R316" s="5" t="n"/>
    </row>
    <row r="317">
      <c r="A317" s="2" t="inlineStr">
        <is>
          <t>EJ020523.TXT</t>
        </is>
      </c>
      <c r="B317" s="3" t="inlineStr">
        <is>
          <t>004852</t>
        </is>
      </c>
      <c r="C317" s="3" t="inlineStr">
        <is>
          <t>003877</t>
        </is>
      </c>
      <c r="D317" s="4" t="n">
        <v>45045</v>
      </c>
      <c r="E317" s="2" t="inlineStr">
        <is>
          <t>11:05</t>
        </is>
      </c>
      <c r="F317" s="5" t="n">
        <v>715.83</v>
      </c>
      <c r="G317" s="5" t="n"/>
      <c r="H317" s="5" t="n"/>
      <c r="I317" s="5" t="n"/>
      <c r="J317" s="5" t="n">
        <v>143.17</v>
      </c>
      <c r="K317" s="5" t="n"/>
      <c r="L317" s="5" t="n"/>
      <c r="M317" s="5" t="n"/>
      <c r="N317" s="5" t="n"/>
      <c r="O317" s="5" t="n">
        <v>859</v>
      </c>
      <c r="P317" s="5" t="n"/>
      <c r="Q317" s="5" t="n">
        <v>859</v>
      </c>
      <c r="R317" s="5" t="n"/>
    </row>
    <row r="318">
      <c r="A318" s="2" t="inlineStr">
        <is>
          <t>EJ020523.TXT</t>
        </is>
      </c>
      <c r="B318" s="3" t="inlineStr">
        <is>
          <t>004853</t>
        </is>
      </c>
      <c r="C318" s="3" t="inlineStr">
        <is>
          <t>003878</t>
        </is>
      </c>
      <c r="D318" s="4" t="n">
        <v>45045</v>
      </c>
      <c r="E318" s="2" t="inlineStr">
        <is>
          <t>16:36</t>
        </is>
      </c>
      <c r="F318" s="5" t="n">
        <v>655.83</v>
      </c>
      <c r="G318" s="5" t="n"/>
      <c r="H318" s="5" t="n"/>
      <c r="I318" s="5" t="n"/>
      <c r="J318" s="5" t="n">
        <v>131.17</v>
      </c>
      <c r="K318" s="5" t="n"/>
      <c r="L318" s="5" t="n"/>
      <c r="M318" s="5" t="n"/>
      <c r="N318" s="5" t="n"/>
      <c r="O318" s="5" t="n">
        <v>787</v>
      </c>
      <c r="P318" s="5" t="n"/>
      <c r="Q318" s="5" t="n">
        <v>787</v>
      </c>
      <c r="R318" s="5" t="n"/>
    </row>
    <row r="319">
      <c r="A319" s="2" t="inlineStr">
        <is>
          <t>EJ020523.TXT</t>
        </is>
      </c>
      <c r="B319" s="3" t="inlineStr">
        <is>
          <t>004854</t>
        </is>
      </c>
      <c r="C319" s="3" t="inlineStr">
        <is>
          <t>003879</t>
        </is>
      </c>
      <c r="D319" s="4" t="n">
        <v>45045</v>
      </c>
      <c r="E319" s="2" t="inlineStr">
        <is>
          <t>16:37</t>
        </is>
      </c>
      <c r="F319" s="5" t="n">
        <v>739.17</v>
      </c>
      <c r="G319" s="5" t="n"/>
      <c r="H319" s="5" t="n"/>
      <c r="I319" s="5" t="n"/>
      <c r="J319" s="5" t="n">
        <v>147.83</v>
      </c>
      <c r="K319" s="5" t="n"/>
      <c r="L319" s="5" t="n"/>
      <c r="M319" s="5" t="n"/>
      <c r="N319" s="5" t="n"/>
      <c r="O319" s="5" t="n">
        <v>887</v>
      </c>
      <c r="P319" s="5" t="n"/>
      <c r="Q319" s="5" t="n">
        <v>887</v>
      </c>
      <c r="R319" s="5" t="n"/>
    </row>
    <row r="320">
      <c r="A320" s="2" t="inlineStr">
        <is>
          <t>EJ010623.TXT</t>
        </is>
      </c>
      <c r="B320" s="3" t="inlineStr">
        <is>
          <t>004862</t>
        </is>
      </c>
      <c r="C320" s="3" t="inlineStr">
        <is>
          <t>003880</t>
        </is>
      </c>
      <c r="D320" s="4" t="n">
        <v>45048</v>
      </c>
      <c r="E320" s="2" t="inlineStr">
        <is>
          <t>14:20</t>
        </is>
      </c>
      <c r="F320" s="5" t="n">
        <v>3190</v>
      </c>
      <c r="G320" s="5" t="n"/>
      <c r="H320" s="5" t="n"/>
      <c r="I320" s="5" t="n"/>
      <c r="J320" s="5" t="n">
        <v>638</v>
      </c>
      <c r="K320" s="5" t="n"/>
      <c r="L320" s="5" t="n"/>
      <c r="M320" s="5" t="n"/>
      <c r="N320" s="5" t="n"/>
      <c r="O320" s="5" t="n">
        <v>3828</v>
      </c>
      <c r="P320" s="5" t="n">
        <v>3828</v>
      </c>
      <c r="Q320" s="5" t="n"/>
      <c r="R320" s="5" t="n"/>
    </row>
    <row r="321">
      <c r="A321" s="2" t="inlineStr">
        <is>
          <t>EJ010623.TXT</t>
        </is>
      </c>
      <c r="B321" s="3" t="inlineStr">
        <is>
          <t>004863</t>
        </is>
      </c>
      <c r="C321" s="3" t="inlineStr">
        <is>
          <t>003881</t>
        </is>
      </c>
      <c r="D321" s="4" t="n">
        <v>45048</v>
      </c>
      <c r="E321" s="2" t="inlineStr">
        <is>
          <t>14:22</t>
        </is>
      </c>
      <c r="F321" s="5" t="n">
        <v>822.5</v>
      </c>
      <c r="G321" s="5" t="n"/>
      <c r="H321" s="5" t="n"/>
      <c r="I321" s="5" t="n"/>
      <c r="J321" s="5" t="n">
        <v>164.5</v>
      </c>
      <c r="K321" s="5" t="n"/>
      <c r="L321" s="5" t="n"/>
      <c r="M321" s="5" t="n"/>
      <c r="N321" s="5" t="n"/>
      <c r="O321" s="5" t="n">
        <v>987</v>
      </c>
      <c r="P321" s="5" t="n"/>
      <c r="Q321" s="5" t="n">
        <v>987</v>
      </c>
      <c r="R321" s="5" t="n"/>
    </row>
    <row r="322">
      <c r="A322" s="2" t="inlineStr">
        <is>
          <t>EJ010623.TXT</t>
        </is>
      </c>
      <c r="B322" s="3" t="inlineStr">
        <is>
          <t>004864</t>
        </is>
      </c>
      <c r="C322" s="3" t="inlineStr">
        <is>
          <t>003882</t>
        </is>
      </c>
      <c r="D322" s="4" t="n">
        <v>45048</v>
      </c>
      <c r="E322" s="2" t="inlineStr">
        <is>
          <t>14:23</t>
        </is>
      </c>
      <c r="F322" s="5" t="n">
        <v>822.5</v>
      </c>
      <c r="G322" s="5" t="n"/>
      <c r="H322" s="5" t="n"/>
      <c r="I322" s="5" t="n"/>
      <c r="J322" s="5" t="n">
        <v>164.5</v>
      </c>
      <c r="K322" s="5" t="n"/>
      <c r="L322" s="5" t="n"/>
      <c r="M322" s="5" t="n"/>
      <c r="N322" s="5" t="n"/>
      <c r="O322" s="5" t="n">
        <v>987</v>
      </c>
      <c r="P322" s="5" t="n"/>
      <c r="Q322" s="5" t="n">
        <v>987</v>
      </c>
      <c r="R322" s="5" t="n"/>
    </row>
    <row r="323">
      <c r="A323" s="2" t="inlineStr">
        <is>
          <t>EJ010623.TXT</t>
        </is>
      </c>
      <c r="B323" s="3" t="inlineStr">
        <is>
          <t>004865</t>
        </is>
      </c>
      <c r="C323" s="3" t="inlineStr">
        <is>
          <t>003883</t>
        </is>
      </c>
      <c r="D323" s="4" t="n">
        <v>45048</v>
      </c>
      <c r="E323" s="2" t="inlineStr">
        <is>
          <t>15:25</t>
        </is>
      </c>
      <c r="F323" s="5" t="n">
        <v>822.5</v>
      </c>
      <c r="G323" s="5" t="n"/>
      <c r="H323" s="5" t="n"/>
      <c r="I323" s="5" t="n"/>
      <c r="J323" s="5" t="n">
        <v>164.5</v>
      </c>
      <c r="K323" s="5" t="n"/>
      <c r="L323" s="5" t="n"/>
      <c r="M323" s="5" t="n"/>
      <c r="N323" s="5" t="n"/>
      <c r="O323" s="5" t="n">
        <v>987</v>
      </c>
      <c r="P323" s="5" t="n"/>
      <c r="Q323" s="5" t="n">
        <v>987</v>
      </c>
      <c r="R323" s="5" t="n"/>
    </row>
    <row r="324">
      <c r="A324" s="2" t="inlineStr">
        <is>
          <t>EJ010623.TXT</t>
        </is>
      </c>
      <c r="B324" s="3" t="inlineStr">
        <is>
          <t>004866</t>
        </is>
      </c>
      <c r="C324" s="3" t="inlineStr">
        <is>
          <t>003884</t>
        </is>
      </c>
      <c r="D324" s="4" t="n">
        <v>45048</v>
      </c>
      <c r="E324" s="2" t="inlineStr">
        <is>
          <t>15:27</t>
        </is>
      </c>
      <c r="F324" s="5" t="n">
        <v>822.5</v>
      </c>
      <c r="G324" s="5" t="n"/>
      <c r="H324" s="5" t="n"/>
      <c r="I324" s="5" t="n"/>
      <c r="J324" s="5" t="n">
        <v>164.5</v>
      </c>
      <c r="K324" s="5" t="n"/>
      <c r="L324" s="5" t="n"/>
      <c r="M324" s="5" t="n"/>
      <c r="N324" s="5" t="n"/>
      <c r="O324" s="5" t="n">
        <v>987</v>
      </c>
      <c r="P324" s="5" t="n"/>
      <c r="Q324" s="5" t="n">
        <v>987</v>
      </c>
      <c r="R324" s="5" t="n"/>
    </row>
    <row r="325">
      <c r="A325" s="2" t="inlineStr">
        <is>
          <t>EJ010623.TXT</t>
        </is>
      </c>
      <c r="B325" s="3" t="inlineStr">
        <is>
          <t>004867</t>
        </is>
      </c>
      <c r="C325" s="3" t="inlineStr">
        <is>
          <t>003885</t>
        </is>
      </c>
      <c r="D325" s="4" t="n">
        <v>45048</v>
      </c>
      <c r="E325" s="2" t="inlineStr">
        <is>
          <t>17:20</t>
        </is>
      </c>
      <c r="F325" s="5" t="n">
        <v>83.33</v>
      </c>
      <c r="G325" s="5" t="n"/>
      <c r="H325" s="5" t="n"/>
      <c r="I325" s="5" t="n"/>
      <c r="J325" s="5" t="n">
        <v>16.67</v>
      </c>
      <c r="K325" s="5" t="n"/>
      <c r="L325" s="5" t="n"/>
      <c r="M325" s="5" t="n"/>
      <c r="N325" s="5" t="n"/>
      <c r="O325" s="5" t="n">
        <v>100</v>
      </c>
      <c r="P325" s="5" t="n">
        <v>100</v>
      </c>
      <c r="Q325" s="5" t="n"/>
      <c r="R325" s="5" t="n"/>
    </row>
    <row r="326">
      <c r="A326" s="2" t="inlineStr">
        <is>
          <t>EJ010623.TXT</t>
        </is>
      </c>
      <c r="B326" s="3" t="inlineStr">
        <is>
          <t>004868</t>
        </is>
      </c>
      <c r="C326" s="3" t="inlineStr">
        <is>
          <t>003886</t>
        </is>
      </c>
      <c r="D326" s="4" t="n">
        <v>45051</v>
      </c>
      <c r="E326" s="2" t="inlineStr">
        <is>
          <t>10:55</t>
        </is>
      </c>
      <c r="F326" s="5" t="n">
        <v>822.5</v>
      </c>
      <c r="G326" s="5" t="n"/>
      <c r="H326" s="5" t="n"/>
      <c r="I326" s="5" t="n"/>
      <c r="J326" s="5" t="n">
        <v>164.5</v>
      </c>
      <c r="K326" s="5" t="n"/>
      <c r="L326" s="5" t="n"/>
      <c r="M326" s="5" t="n"/>
      <c r="N326" s="5" t="n"/>
      <c r="O326" s="5" t="n">
        <v>987</v>
      </c>
      <c r="P326" s="5" t="n">
        <v>987</v>
      </c>
      <c r="Q326" s="5" t="n"/>
      <c r="R326" s="5" t="n"/>
    </row>
    <row r="327">
      <c r="A327" s="2" t="inlineStr">
        <is>
          <t>EJ010623.TXT</t>
        </is>
      </c>
      <c r="B327" s="3" t="inlineStr">
        <is>
          <t>004869</t>
        </is>
      </c>
      <c r="C327" s="3" t="inlineStr">
        <is>
          <t>003887</t>
        </is>
      </c>
      <c r="D327" s="4" t="n">
        <v>45051</v>
      </c>
      <c r="E327" s="2" t="inlineStr">
        <is>
          <t>15:45</t>
        </is>
      </c>
      <c r="F327" s="5" t="n">
        <v>265.83</v>
      </c>
      <c r="G327" s="5" t="n"/>
      <c r="H327" s="5" t="n"/>
      <c r="I327" s="5" t="n"/>
      <c r="J327" s="5" t="n">
        <v>53.17</v>
      </c>
      <c r="K327" s="5" t="n"/>
      <c r="L327" s="5" t="n"/>
      <c r="M327" s="5" t="n"/>
      <c r="N327" s="5" t="n"/>
      <c r="O327" s="5" t="n">
        <v>319</v>
      </c>
      <c r="P327" s="5" t="n"/>
      <c r="Q327" s="5" t="n">
        <v>319</v>
      </c>
      <c r="R327" s="5" t="n"/>
    </row>
    <row r="328">
      <c r="A328" s="2" t="inlineStr">
        <is>
          <t>EJ010623.TXT</t>
        </is>
      </c>
      <c r="B328" s="3" t="inlineStr">
        <is>
          <t>004870</t>
        </is>
      </c>
      <c r="C328" s="3" t="inlineStr">
        <is>
          <t>003888</t>
        </is>
      </c>
      <c r="D328" s="4" t="n">
        <v>45052</v>
      </c>
      <c r="E328" s="2" t="inlineStr">
        <is>
          <t>16:48</t>
        </is>
      </c>
      <c r="F328" s="5" t="n">
        <v>274.17</v>
      </c>
      <c r="G328" s="5" t="n"/>
      <c r="H328" s="5" t="n"/>
      <c r="I328" s="5" t="n"/>
      <c r="J328" s="5" t="n">
        <v>54.83</v>
      </c>
      <c r="K328" s="5" t="n"/>
      <c r="L328" s="5" t="n"/>
      <c r="M328" s="5" t="n"/>
      <c r="N328" s="5" t="n"/>
      <c r="O328" s="5" t="n">
        <v>329</v>
      </c>
      <c r="P328" s="5" t="n"/>
      <c r="Q328" s="5" t="n">
        <v>329</v>
      </c>
      <c r="R328" s="5" t="n"/>
    </row>
    <row r="329">
      <c r="A329" s="2" t="inlineStr">
        <is>
          <t>EJ010623.TXT</t>
        </is>
      </c>
      <c r="B329" s="3" t="inlineStr">
        <is>
          <t>004871</t>
        </is>
      </c>
      <c r="C329" s="3" t="inlineStr">
        <is>
          <t>003889</t>
        </is>
      </c>
      <c r="D329" s="4" t="n">
        <v>45055</v>
      </c>
      <c r="E329" s="2" t="inlineStr">
        <is>
          <t>11:11</t>
        </is>
      </c>
      <c r="F329" s="5" t="n">
        <v>822.5</v>
      </c>
      <c r="G329" s="5" t="n"/>
      <c r="H329" s="5" t="n"/>
      <c r="I329" s="5" t="n"/>
      <c r="J329" s="5" t="n">
        <v>164.5</v>
      </c>
      <c r="K329" s="5" t="n"/>
      <c r="L329" s="5" t="n"/>
      <c r="M329" s="5" t="n"/>
      <c r="N329" s="5" t="n"/>
      <c r="O329" s="5" t="n">
        <v>987</v>
      </c>
      <c r="P329" s="5" t="n"/>
      <c r="Q329" s="5" t="n">
        <v>987</v>
      </c>
      <c r="R329" s="5" t="n"/>
    </row>
    <row r="330">
      <c r="A330" s="2" t="inlineStr">
        <is>
          <t>EJ010623.TXT</t>
        </is>
      </c>
      <c r="B330" s="3" t="inlineStr">
        <is>
          <t>004872</t>
        </is>
      </c>
      <c r="C330" s="3" t="inlineStr">
        <is>
          <t>003890</t>
        </is>
      </c>
      <c r="D330" s="4" t="n">
        <v>45055</v>
      </c>
      <c r="E330" s="2" t="inlineStr">
        <is>
          <t>16:33</t>
        </is>
      </c>
      <c r="F330" s="5" t="n">
        <v>175</v>
      </c>
      <c r="G330" s="5" t="n"/>
      <c r="H330" s="5" t="n"/>
      <c r="I330" s="5" t="n"/>
      <c r="J330" s="5" t="n">
        <v>35</v>
      </c>
      <c r="K330" s="5" t="n"/>
      <c r="L330" s="5" t="n"/>
      <c r="M330" s="5" t="n"/>
      <c r="N330" s="5" t="n"/>
      <c r="O330" s="5" t="n">
        <v>210</v>
      </c>
      <c r="P330" s="5" t="n"/>
      <c r="Q330" s="5" t="n">
        <v>210</v>
      </c>
      <c r="R330" s="5" t="n"/>
    </row>
    <row r="331">
      <c r="A331" s="2" t="inlineStr">
        <is>
          <t>EJ010623.TXT</t>
        </is>
      </c>
      <c r="B331" s="3" t="inlineStr">
        <is>
          <t>004873</t>
        </is>
      </c>
      <c r="C331" s="3" t="inlineStr">
        <is>
          <t>003891</t>
        </is>
      </c>
      <c r="D331" s="4" t="n">
        <v>45056</v>
      </c>
      <c r="E331" s="2" t="inlineStr">
        <is>
          <t>13:39</t>
        </is>
      </c>
      <c r="F331" s="5" t="n">
        <v>1845</v>
      </c>
      <c r="G331" s="5" t="n"/>
      <c r="H331" s="5" t="n"/>
      <c r="I331" s="5" t="n"/>
      <c r="J331" s="5" t="n">
        <v>369</v>
      </c>
      <c r="K331" s="5" t="n"/>
      <c r="L331" s="5" t="n"/>
      <c r="M331" s="5" t="n"/>
      <c r="N331" s="5" t="n"/>
      <c r="O331" s="5" t="n">
        <v>2214</v>
      </c>
      <c r="P331" s="5" t="n">
        <v>2214</v>
      </c>
      <c r="Q331" s="5" t="n"/>
      <c r="R331" s="5" t="n"/>
    </row>
    <row r="332">
      <c r="A332" s="2" t="inlineStr">
        <is>
          <t>EJ010623.TXT</t>
        </is>
      </c>
      <c r="B332" s="3" t="inlineStr">
        <is>
          <t>004874</t>
        </is>
      </c>
      <c r="C332" s="3" t="inlineStr">
        <is>
          <t>003892</t>
        </is>
      </c>
      <c r="D332" s="4" t="n">
        <v>45056</v>
      </c>
      <c r="E332" s="2" t="inlineStr">
        <is>
          <t>15:57</t>
        </is>
      </c>
      <c r="F332" s="5" t="n">
        <v>208.33</v>
      </c>
      <c r="G332" s="5" t="n"/>
      <c r="H332" s="5" t="n"/>
      <c r="I332" s="5" t="n"/>
      <c r="J332" s="5" t="n">
        <v>41.67</v>
      </c>
      <c r="K332" s="5" t="n"/>
      <c r="L332" s="5" t="n"/>
      <c r="M332" s="5" t="n"/>
      <c r="N332" s="5" t="n"/>
      <c r="O332" s="5" t="n">
        <v>250</v>
      </c>
      <c r="P332" s="5" t="n"/>
      <c r="Q332" s="5" t="n">
        <v>250</v>
      </c>
      <c r="R332" s="5" t="n"/>
    </row>
    <row r="333">
      <c r="A333" s="2" t="inlineStr">
        <is>
          <t>EJ010623.TXT</t>
        </is>
      </c>
      <c r="B333" s="3" t="inlineStr">
        <is>
          <t>004875</t>
        </is>
      </c>
      <c r="C333" s="3" t="inlineStr">
        <is>
          <t>003893</t>
        </is>
      </c>
      <c r="D333" s="4" t="n">
        <v>45057</v>
      </c>
      <c r="E333" s="2" t="inlineStr">
        <is>
          <t>14:08</t>
        </is>
      </c>
      <c r="F333" s="5" t="n">
        <v>797.5</v>
      </c>
      <c r="G333" s="5" t="n"/>
      <c r="H333" s="5" t="n"/>
      <c r="I333" s="5" t="n"/>
      <c r="J333" s="5" t="n">
        <v>159.5</v>
      </c>
      <c r="K333" s="5" t="n"/>
      <c r="L333" s="5" t="n"/>
      <c r="M333" s="5" t="n"/>
      <c r="N333" s="5" t="n"/>
      <c r="O333" s="5" t="n">
        <v>957</v>
      </c>
      <c r="P333" s="5" t="n"/>
      <c r="Q333" s="5" t="n">
        <v>957</v>
      </c>
      <c r="R333" s="5" t="n"/>
    </row>
    <row r="334">
      <c r="A334" s="2" t="inlineStr">
        <is>
          <t>EJ010623.TXT</t>
        </is>
      </c>
      <c r="B334" s="3" t="inlineStr">
        <is>
          <t>004876</t>
        </is>
      </c>
      <c r="C334" s="3" t="inlineStr">
        <is>
          <t>003894</t>
        </is>
      </c>
      <c r="D334" s="4" t="n">
        <v>45057</v>
      </c>
      <c r="E334" s="2" t="inlineStr">
        <is>
          <t>14:11</t>
        </is>
      </c>
      <c r="F334" s="5" t="n">
        <v>797.5</v>
      </c>
      <c r="G334" s="5" t="n"/>
      <c r="H334" s="5" t="n"/>
      <c r="I334" s="5" t="n"/>
      <c r="J334" s="5" t="n">
        <v>159.5</v>
      </c>
      <c r="K334" s="5" t="n"/>
      <c r="L334" s="5" t="n"/>
      <c r="M334" s="5" t="n"/>
      <c r="N334" s="5" t="n"/>
      <c r="O334" s="5" t="n">
        <v>957</v>
      </c>
      <c r="P334" s="5" t="n"/>
      <c r="Q334" s="5" t="n">
        <v>957</v>
      </c>
      <c r="R334" s="5" t="n"/>
    </row>
    <row r="335">
      <c r="A335" s="2" t="inlineStr">
        <is>
          <t>EJ010623.TXT</t>
        </is>
      </c>
      <c r="B335" s="3" t="inlineStr">
        <is>
          <t>004877</t>
        </is>
      </c>
      <c r="C335" s="3" t="inlineStr">
        <is>
          <t>003895</t>
        </is>
      </c>
      <c r="D335" s="4" t="n">
        <v>45057</v>
      </c>
      <c r="E335" s="2" t="inlineStr">
        <is>
          <t>14:53</t>
        </is>
      </c>
      <c r="F335" s="5" t="n">
        <v>199.17</v>
      </c>
      <c r="G335" s="5" t="n"/>
      <c r="H335" s="5" t="n"/>
      <c r="I335" s="5" t="n"/>
      <c r="J335" s="5" t="n">
        <v>39.83</v>
      </c>
      <c r="K335" s="5" t="n"/>
      <c r="L335" s="5" t="n"/>
      <c r="M335" s="5" t="n"/>
      <c r="N335" s="5" t="n"/>
      <c r="O335" s="5" t="n">
        <v>239</v>
      </c>
      <c r="P335" s="5" t="n">
        <v>239</v>
      </c>
      <c r="Q335" s="5" t="n"/>
      <c r="R335" s="5" t="n"/>
    </row>
    <row r="336">
      <c r="A336" s="2" t="inlineStr">
        <is>
          <t>EJ010623.TXT</t>
        </is>
      </c>
      <c r="B336" s="3" t="inlineStr">
        <is>
          <t>004878</t>
        </is>
      </c>
      <c r="C336" s="3" t="inlineStr">
        <is>
          <t>003896</t>
        </is>
      </c>
      <c r="D336" s="4" t="n">
        <v>45058</v>
      </c>
      <c r="E336" s="2" t="inlineStr">
        <is>
          <t>13:40</t>
        </is>
      </c>
      <c r="F336" s="5" t="n">
        <v>1645</v>
      </c>
      <c r="G336" s="5" t="n"/>
      <c r="H336" s="5" t="n"/>
      <c r="I336" s="5" t="n"/>
      <c r="J336" s="5" t="n">
        <v>329</v>
      </c>
      <c r="K336" s="5" t="n"/>
      <c r="L336" s="5" t="n"/>
      <c r="M336" s="5" t="n"/>
      <c r="N336" s="5" t="n"/>
      <c r="O336" s="5" t="n">
        <v>1974</v>
      </c>
      <c r="P336" s="5" t="n">
        <v>1974</v>
      </c>
      <c r="Q336" s="5" t="n"/>
      <c r="R336" s="5" t="n"/>
    </row>
    <row r="337">
      <c r="A337" s="2" t="inlineStr">
        <is>
          <t>EJ010623.TXT</t>
        </is>
      </c>
      <c r="B337" s="3" t="inlineStr">
        <is>
          <t>004879</t>
        </is>
      </c>
      <c r="C337" s="3" t="inlineStr">
        <is>
          <t>003897</t>
        </is>
      </c>
      <c r="D337" s="4" t="n">
        <v>45058</v>
      </c>
      <c r="E337" s="2" t="inlineStr">
        <is>
          <t>15:50</t>
        </is>
      </c>
      <c r="F337" s="5" t="n">
        <v>307.5</v>
      </c>
      <c r="G337" s="5" t="n"/>
      <c r="H337" s="5" t="n"/>
      <c r="I337" s="5" t="n"/>
      <c r="J337" s="5" t="n">
        <v>61.5</v>
      </c>
      <c r="K337" s="5" t="n"/>
      <c r="L337" s="5" t="n"/>
      <c r="M337" s="5" t="n"/>
      <c r="N337" s="5" t="n"/>
      <c r="O337" s="5" t="n">
        <v>369</v>
      </c>
      <c r="P337" s="5" t="n"/>
      <c r="Q337" s="5" t="n">
        <v>369</v>
      </c>
      <c r="R337" s="5" t="n"/>
    </row>
    <row r="338">
      <c r="A338" s="2" t="inlineStr">
        <is>
          <t>EJ010623.TXT</t>
        </is>
      </c>
      <c r="B338" s="3" t="inlineStr">
        <is>
          <t>004880</t>
        </is>
      </c>
      <c r="C338" s="3" t="inlineStr">
        <is>
          <t>003898</t>
        </is>
      </c>
      <c r="D338" s="4" t="n">
        <v>45059</v>
      </c>
      <c r="E338" s="2" t="inlineStr">
        <is>
          <t>14:10</t>
        </is>
      </c>
      <c r="F338" s="5" t="n">
        <v>274.17</v>
      </c>
      <c r="G338" s="5" t="n"/>
      <c r="H338" s="5" t="n"/>
      <c r="I338" s="5" t="n"/>
      <c r="J338" s="5" t="n">
        <v>54.83</v>
      </c>
      <c r="K338" s="5" t="n"/>
      <c r="L338" s="5" t="n"/>
      <c r="M338" s="5" t="n"/>
      <c r="N338" s="5" t="n"/>
      <c r="O338" s="5" t="n">
        <v>329</v>
      </c>
      <c r="P338" s="5" t="n"/>
      <c r="Q338" s="5" t="n">
        <v>329</v>
      </c>
      <c r="R338" s="5" t="n"/>
    </row>
    <row r="339">
      <c r="A339" s="2" t="inlineStr">
        <is>
          <t>EJ010623.TXT</t>
        </is>
      </c>
      <c r="B339" s="3" t="inlineStr">
        <is>
          <t>004881</t>
        </is>
      </c>
      <c r="C339" s="3" t="inlineStr">
        <is>
          <t>003899</t>
        </is>
      </c>
      <c r="D339" s="4" t="n">
        <v>45059</v>
      </c>
      <c r="E339" s="2" t="inlineStr">
        <is>
          <t>15:44</t>
        </is>
      </c>
      <c r="F339" s="5" t="n">
        <v>3240</v>
      </c>
      <c r="G339" s="5" t="n"/>
      <c r="H339" s="5" t="n"/>
      <c r="I339" s="5" t="n"/>
      <c r="J339" s="5" t="n">
        <v>648</v>
      </c>
      <c r="K339" s="5" t="n"/>
      <c r="L339" s="5" t="n"/>
      <c r="M339" s="5" t="n"/>
      <c r="N339" s="5" t="n"/>
      <c r="O339" s="5" t="n">
        <v>3888</v>
      </c>
      <c r="P339" s="5" t="n">
        <v>3888</v>
      </c>
      <c r="Q339" s="5" t="n"/>
      <c r="R339" s="5" t="n"/>
    </row>
    <row r="340">
      <c r="A340" s="2" t="inlineStr">
        <is>
          <t>EJ010623.TXT</t>
        </is>
      </c>
      <c r="B340" s="3" t="inlineStr">
        <is>
          <t>004882</t>
        </is>
      </c>
      <c r="C340" s="3" t="inlineStr">
        <is>
          <t>003900</t>
        </is>
      </c>
      <c r="D340" s="4" t="n">
        <v>45059</v>
      </c>
      <c r="E340" s="2" t="inlineStr">
        <is>
          <t>16:20</t>
        </is>
      </c>
      <c r="F340" s="5" t="n">
        <v>597.5</v>
      </c>
      <c r="G340" s="5" t="n"/>
      <c r="H340" s="5" t="n"/>
      <c r="I340" s="5" t="n"/>
      <c r="J340" s="5" t="n">
        <v>119.5</v>
      </c>
      <c r="K340" s="5" t="n"/>
      <c r="L340" s="5" t="n"/>
      <c r="M340" s="5" t="n"/>
      <c r="N340" s="5" t="n"/>
      <c r="O340" s="5" t="n">
        <v>717</v>
      </c>
      <c r="P340" s="5" t="n">
        <v>717</v>
      </c>
      <c r="Q340" s="5" t="n"/>
      <c r="R340" s="5" t="n"/>
    </row>
    <row r="341">
      <c r="A341" s="2" t="inlineStr">
        <is>
          <t>EJ010623.TXT</t>
        </is>
      </c>
      <c r="B341" s="3" t="inlineStr">
        <is>
          <t>004883</t>
        </is>
      </c>
      <c r="C341" s="3" t="inlineStr">
        <is>
          <t>003901</t>
        </is>
      </c>
      <c r="D341" s="4" t="n">
        <v>45061</v>
      </c>
      <c r="E341" s="2" t="inlineStr">
        <is>
          <t>09:23</t>
        </is>
      </c>
      <c r="F341" s="5" t="n">
        <v>548.33</v>
      </c>
      <c r="G341" s="5" t="n"/>
      <c r="H341" s="5" t="n"/>
      <c r="I341" s="5" t="n"/>
      <c r="J341" s="5" t="n">
        <v>109.67</v>
      </c>
      <c r="K341" s="5" t="n"/>
      <c r="L341" s="5" t="n"/>
      <c r="M341" s="5" t="n"/>
      <c r="N341" s="5" t="n"/>
      <c r="O341" s="5" t="n">
        <v>658</v>
      </c>
      <c r="P341" s="5" t="n">
        <v>658</v>
      </c>
      <c r="Q341" s="5" t="n"/>
      <c r="R341" s="5" t="n"/>
    </row>
    <row r="342">
      <c r="A342" s="2" t="inlineStr">
        <is>
          <t>EJ010623.TXT</t>
        </is>
      </c>
      <c r="B342" s="3" t="inlineStr">
        <is>
          <t>004884</t>
        </is>
      </c>
      <c r="C342" s="3" t="inlineStr">
        <is>
          <t>003902</t>
        </is>
      </c>
      <c r="D342" s="4" t="n">
        <v>45062</v>
      </c>
      <c r="E342" s="2" t="inlineStr">
        <is>
          <t>13:55</t>
        </is>
      </c>
      <c r="F342" s="5" t="n">
        <v>208.33</v>
      </c>
      <c r="G342" s="5" t="n"/>
      <c r="H342" s="5" t="n"/>
      <c r="I342" s="5" t="n"/>
      <c r="J342" s="5" t="n">
        <v>41.67</v>
      </c>
      <c r="K342" s="5" t="n"/>
      <c r="L342" s="5" t="n"/>
      <c r="M342" s="5" t="n"/>
      <c r="N342" s="5" t="n"/>
      <c r="O342" s="5" t="n">
        <v>250</v>
      </c>
      <c r="P342" s="5" t="n"/>
      <c r="Q342" s="5" t="n">
        <v>250</v>
      </c>
      <c r="R342" s="5" t="n"/>
    </row>
    <row r="343">
      <c r="A343" s="2" t="inlineStr">
        <is>
          <t>EJ010623.TXT</t>
        </is>
      </c>
      <c r="B343" s="3" t="inlineStr">
        <is>
          <t>004885</t>
        </is>
      </c>
      <c r="C343" s="3" t="inlineStr">
        <is>
          <t>003903</t>
        </is>
      </c>
      <c r="D343" s="4" t="n">
        <v>45065</v>
      </c>
      <c r="E343" s="2" t="inlineStr">
        <is>
          <t>11:05</t>
        </is>
      </c>
      <c r="F343" s="5" t="n">
        <v>24.17</v>
      </c>
      <c r="G343" s="5" t="n"/>
      <c r="H343" s="5" t="n"/>
      <c r="I343" s="5" t="n"/>
      <c r="J343" s="5" t="n">
        <v>4.83</v>
      </c>
      <c r="K343" s="5" t="n"/>
      <c r="L343" s="5" t="n"/>
      <c r="M343" s="5" t="n"/>
      <c r="N343" s="5" t="n"/>
      <c r="O343" s="5" t="n">
        <v>29</v>
      </c>
      <c r="P343" s="5" t="n">
        <v>29</v>
      </c>
      <c r="Q343" s="5" t="n"/>
      <c r="R343" s="5" t="n"/>
    </row>
    <row r="344">
      <c r="A344" s="2" t="inlineStr">
        <is>
          <t>EJ010623.TXT</t>
        </is>
      </c>
      <c r="B344" s="3" t="inlineStr">
        <is>
          <t>004886</t>
        </is>
      </c>
      <c r="C344" s="3" t="inlineStr">
        <is>
          <t>003904</t>
        </is>
      </c>
      <c r="D344" s="4" t="n">
        <v>45065</v>
      </c>
      <c r="E344" s="2" t="inlineStr">
        <is>
          <t>11:05</t>
        </is>
      </c>
      <c r="F344" s="5" t="n">
        <v>166.67</v>
      </c>
      <c r="G344" s="5" t="n"/>
      <c r="H344" s="5" t="n"/>
      <c r="I344" s="5" t="n"/>
      <c r="J344" s="5" t="n">
        <v>33.33</v>
      </c>
      <c r="K344" s="5" t="n"/>
      <c r="L344" s="5" t="n"/>
      <c r="M344" s="5" t="n"/>
      <c r="N344" s="5" t="n"/>
      <c r="O344" s="5" t="n">
        <v>200</v>
      </c>
      <c r="P344" s="5" t="n">
        <v>200</v>
      </c>
      <c r="Q344" s="5" t="n"/>
      <c r="R344" s="5" t="n"/>
    </row>
    <row r="345">
      <c r="A345" s="2" t="inlineStr">
        <is>
          <t>EJ010623.TXT</t>
        </is>
      </c>
      <c r="B345" s="3" t="inlineStr">
        <is>
          <t>004887</t>
        </is>
      </c>
      <c r="C345" s="3" t="inlineStr">
        <is>
          <t>003905</t>
        </is>
      </c>
      <c r="D345" s="4" t="n">
        <v>45065</v>
      </c>
      <c r="E345" s="2" t="inlineStr">
        <is>
          <t>16:50</t>
        </is>
      </c>
      <c r="F345" s="5" t="n">
        <v>165</v>
      </c>
      <c r="G345" s="5" t="n"/>
      <c r="H345" s="5" t="n"/>
      <c r="I345" s="5" t="n"/>
      <c r="J345" s="5" t="n">
        <v>33</v>
      </c>
      <c r="K345" s="5" t="n"/>
      <c r="L345" s="5" t="n"/>
      <c r="M345" s="5" t="n"/>
      <c r="N345" s="5" t="n"/>
      <c r="O345" s="5" t="n">
        <v>198</v>
      </c>
      <c r="P345" s="5" t="n"/>
      <c r="Q345" s="5" t="n">
        <v>198</v>
      </c>
      <c r="R345" s="5" t="n"/>
    </row>
    <row r="346">
      <c r="A346" s="2" t="inlineStr">
        <is>
          <t>EJ010623.TXT</t>
        </is>
      </c>
      <c r="B346" s="3" t="inlineStr">
        <is>
          <t>004888</t>
        </is>
      </c>
      <c r="C346" s="3" t="inlineStr">
        <is>
          <t>003906</t>
        </is>
      </c>
      <c r="D346" s="4" t="n">
        <v>45065</v>
      </c>
      <c r="E346" s="2" t="inlineStr">
        <is>
          <t>17:23</t>
        </is>
      </c>
      <c r="F346" s="5" t="n">
        <v>531.67</v>
      </c>
      <c r="G346" s="5" t="n"/>
      <c r="H346" s="5" t="n"/>
      <c r="I346" s="5" t="n"/>
      <c r="J346" s="5" t="n">
        <v>106.33</v>
      </c>
      <c r="K346" s="5" t="n"/>
      <c r="L346" s="5" t="n"/>
      <c r="M346" s="5" t="n"/>
      <c r="N346" s="5" t="n"/>
      <c r="O346" s="5" t="n">
        <v>638</v>
      </c>
      <c r="P346" s="5" t="n"/>
      <c r="Q346" s="5" t="n">
        <v>638</v>
      </c>
      <c r="R346" s="5" t="n"/>
    </row>
    <row r="347">
      <c r="A347" s="2" t="inlineStr">
        <is>
          <t>EJ010623.TXT</t>
        </is>
      </c>
      <c r="B347" s="3" t="inlineStr">
        <is>
          <t>004889</t>
        </is>
      </c>
      <c r="C347" s="3" t="inlineStr">
        <is>
          <t>003907</t>
        </is>
      </c>
      <c r="D347" s="4" t="n">
        <v>45066</v>
      </c>
      <c r="E347" s="2" t="inlineStr">
        <is>
          <t>14:27</t>
        </is>
      </c>
      <c r="F347" s="5" t="n">
        <v>797.5</v>
      </c>
      <c r="G347" s="5" t="n"/>
      <c r="H347" s="5" t="n"/>
      <c r="I347" s="5" t="n"/>
      <c r="J347" s="5" t="n">
        <v>159.5</v>
      </c>
      <c r="K347" s="5" t="n"/>
      <c r="L347" s="5" t="n"/>
      <c r="M347" s="5" t="n"/>
      <c r="N347" s="5" t="n"/>
      <c r="O347" s="5" t="n">
        <v>957</v>
      </c>
      <c r="P347" s="5" t="n"/>
      <c r="Q347" s="5" t="n">
        <v>957</v>
      </c>
      <c r="R347" s="5" t="n"/>
    </row>
    <row r="348">
      <c r="A348" s="2" t="inlineStr">
        <is>
          <t>EJ010623.TXT</t>
        </is>
      </c>
      <c r="B348" s="3" t="inlineStr">
        <is>
          <t>004890</t>
        </is>
      </c>
      <c r="C348" s="3" t="inlineStr">
        <is>
          <t>003908</t>
        </is>
      </c>
      <c r="D348" s="4" t="n">
        <v>45066</v>
      </c>
      <c r="E348" s="2" t="inlineStr">
        <is>
          <t>14:27</t>
        </is>
      </c>
      <c r="F348" s="5" t="n">
        <v>797.5</v>
      </c>
      <c r="G348" s="5" t="n"/>
      <c r="H348" s="5" t="n"/>
      <c r="I348" s="5" t="n"/>
      <c r="J348" s="5" t="n">
        <v>159.5</v>
      </c>
      <c r="K348" s="5" t="n"/>
      <c r="L348" s="5" t="n"/>
      <c r="M348" s="5" t="n"/>
      <c r="N348" s="5" t="n"/>
      <c r="O348" s="5" t="n">
        <v>957</v>
      </c>
      <c r="P348" s="5" t="n"/>
      <c r="Q348" s="5" t="n">
        <v>957</v>
      </c>
      <c r="R348" s="5" t="n"/>
    </row>
    <row r="349">
      <c r="A349" s="2" t="inlineStr">
        <is>
          <t>EJ010623.TXT</t>
        </is>
      </c>
      <c r="B349" s="3" t="inlineStr">
        <is>
          <t>004891</t>
        </is>
      </c>
      <c r="C349" s="3" t="inlineStr">
        <is>
          <t>003909</t>
        </is>
      </c>
      <c r="D349" s="4" t="n">
        <v>45066</v>
      </c>
      <c r="E349" s="2" t="inlineStr">
        <is>
          <t>14:28</t>
        </is>
      </c>
      <c r="F349" s="5" t="n">
        <v>531.67</v>
      </c>
      <c r="G349" s="5" t="n"/>
      <c r="H349" s="5" t="n"/>
      <c r="I349" s="5" t="n"/>
      <c r="J349" s="5" t="n">
        <v>106.33</v>
      </c>
      <c r="K349" s="5" t="n"/>
      <c r="L349" s="5" t="n"/>
      <c r="M349" s="5" t="n"/>
      <c r="N349" s="5" t="n"/>
      <c r="O349" s="5" t="n">
        <v>638</v>
      </c>
      <c r="P349" s="5" t="n">
        <v>638</v>
      </c>
      <c r="Q349" s="5" t="n"/>
      <c r="R349" s="5" t="n"/>
    </row>
    <row r="350">
      <c r="A350" s="2" t="inlineStr">
        <is>
          <t>EJ010623.TXT</t>
        </is>
      </c>
      <c r="B350" s="3" t="inlineStr">
        <is>
          <t>004892</t>
        </is>
      </c>
      <c r="C350" s="3" t="inlineStr">
        <is>
          <t>003910</t>
        </is>
      </c>
      <c r="D350" s="4" t="n">
        <v>45066</v>
      </c>
      <c r="E350" s="2" t="inlineStr">
        <is>
          <t>14:50</t>
        </is>
      </c>
      <c r="F350" s="5" t="n">
        <v>582.5</v>
      </c>
      <c r="G350" s="5" t="n"/>
      <c r="H350" s="5" t="n"/>
      <c r="I350" s="5" t="n"/>
      <c r="J350" s="5" t="n">
        <v>116.5</v>
      </c>
      <c r="K350" s="5" t="n"/>
      <c r="L350" s="5" t="n"/>
      <c r="M350" s="5" t="n"/>
      <c r="N350" s="5" t="n"/>
      <c r="O350" s="5" t="n">
        <v>699</v>
      </c>
      <c r="P350" s="5" t="n"/>
      <c r="Q350" s="5" t="n">
        <v>699</v>
      </c>
      <c r="R350" s="5" t="n"/>
    </row>
    <row r="351">
      <c r="A351" s="2" t="inlineStr">
        <is>
          <t>EJ010623.TXT</t>
        </is>
      </c>
      <c r="B351" s="3" t="inlineStr">
        <is>
          <t>004893</t>
        </is>
      </c>
      <c r="C351" s="3" t="inlineStr">
        <is>
          <t>003911</t>
        </is>
      </c>
      <c r="D351" s="4" t="n">
        <v>45066</v>
      </c>
      <c r="E351" s="2" t="inlineStr">
        <is>
          <t>14:51</t>
        </is>
      </c>
      <c r="F351" s="5" t="n">
        <v>3495</v>
      </c>
      <c r="G351" s="5" t="n"/>
      <c r="H351" s="5" t="n"/>
      <c r="I351" s="5" t="n"/>
      <c r="J351" s="5" t="n">
        <v>699</v>
      </c>
      <c r="K351" s="5" t="n"/>
      <c r="L351" s="5" t="n"/>
      <c r="M351" s="5" t="n"/>
      <c r="N351" s="5" t="n"/>
      <c r="O351" s="5" t="n">
        <v>4194</v>
      </c>
      <c r="P351" s="5" t="n">
        <v>4194</v>
      </c>
      <c r="Q351" s="5" t="n"/>
      <c r="R351" s="5" t="n"/>
    </row>
    <row r="352">
      <c r="A352" s="2" t="inlineStr">
        <is>
          <t>EJ010623.TXT</t>
        </is>
      </c>
      <c r="B352" s="3" t="inlineStr">
        <is>
          <t>004894</t>
        </is>
      </c>
      <c r="C352" s="3" t="inlineStr">
        <is>
          <t>003912</t>
        </is>
      </c>
      <c r="D352" s="4" t="n">
        <v>45066</v>
      </c>
      <c r="E352" s="2" t="inlineStr">
        <is>
          <t>14:52</t>
        </is>
      </c>
      <c r="F352" s="5" t="n">
        <v>582.5</v>
      </c>
      <c r="G352" s="5" t="n"/>
      <c r="H352" s="5" t="n"/>
      <c r="I352" s="5" t="n"/>
      <c r="J352" s="5" t="n">
        <v>116.5</v>
      </c>
      <c r="K352" s="5" t="n"/>
      <c r="L352" s="5" t="n"/>
      <c r="M352" s="5" t="n"/>
      <c r="N352" s="5" t="n"/>
      <c r="O352" s="5" t="n">
        <v>699</v>
      </c>
      <c r="P352" s="5" t="n"/>
      <c r="Q352" s="5" t="n">
        <v>699</v>
      </c>
      <c r="R352" s="5" t="n"/>
    </row>
    <row r="353">
      <c r="A353" s="2" t="inlineStr">
        <is>
          <t>EJ010623.TXT</t>
        </is>
      </c>
      <c r="B353" s="3" t="inlineStr">
        <is>
          <t>004895</t>
        </is>
      </c>
      <c r="C353" s="3" t="inlineStr">
        <is>
          <t>003913</t>
        </is>
      </c>
      <c r="D353" s="4" t="n">
        <v>45066</v>
      </c>
      <c r="E353" s="2" t="inlineStr">
        <is>
          <t>14:59</t>
        </is>
      </c>
      <c r="F353" s="5" t="n">
        <v>548.33</v>
      </c>
      <c r="G353" s="5" t="n"/>
      <c r="H353" s="5" t="n"/>
      <c r="I353" s="5" t="n"/>
      <c r="J353" s="5" t="n">
        <v>109.67</v>
      </c>
      <c r="K353" s="5" t="n"/>
      <c r="L353" s="5" t="n"/>
      <c r="M353" s="5" t="n"/>
      <c r="N353" s="5" t="n"/>
      <c r="O353" s="5" t="n">
        <v>658</v>
      </c>
      <c r="P353" s="5" t="n">
        <v>658</v>
      </c>
      <c r="Q353" s="5" t="n"/>
      <c r="R353" s="5" t="n"/>
    </row>
    <row r="354">
      <c r="A354" s="2" t="inlineStr">
        <is>
          <t>EJ010623.TXT</t>
        </is>
      </c>
      <c r="B354" s="3" t="inlineStr">
        <is>
          <t>004896</t>
        </is>
      </c>
      <c r="C354" s="3" t="inlineStr">
        <is>
          <t>003914</t>
        </is>
      </c>
      <c r="D354" s="4" t="n">
        <v>45069</v>
      </c>
      <c r="E354" s="2" t="inlineStr">
        <is>
          <t>15:25</t>
        </is>
      </c>
      <c r="F354" s="5" t="n">
        <v>548.33</v>
      </c>
      <c r="G354" s="5" t="n"/>
      <c r="H354" s="5" t="n"/>
      <c r="I354" s="5" t="n"/>
      <c r="J354" s="5" t="n">
        <v>109.67</v>
      </c>
      <c r="K354" s="5" t="n"/>
      <c r="L354" s="5" t="n"/>
      <c r="M354" s="5" t="n"/>
      <c r="N354" s="5" t="n"/>
      <c r="O354" s="5" t="n">
        <v>658</v>
      </c>
      <c r="P354" s="5" t="n"/>
      <c r="Q354" s="5" t="n">
        <v>658</v>
      </c>
      <c r="R354" s="5" t="n"/>
    </row>
    <row r="355">
      <c r="A355" s="2" t="inlineStr">
        <is>
          <t>EJ010623.TXT</t>
        </is>
      </c>
      <c r="B355" s="3" t="inlineStr">
        <is>
          <t>004897</t>
        </is>
      </c>
      <c r="C355" s="3" t="inlineStr">
        <is>
          <t>003915</t>
        </is>
      </c>
      <c r="D355" s="4" t="n">
        <v>45070</v>
      </c>
      <c r="E355" s="2" t="inlineStr">
        <is>
          <t>10:19</t>
        </is>
      </c>
      <c r="F355" s="5" t="n">
        <v>822.5</v>
      </c>
      <c r="G355" s="5" t="n"/>
      <c r="H355" s="5" t="n"/>
      <c r="I355" s="5" t="n"/>
      <c r="J355" s="5" t="n">
        <v>164.5</v>
      </c>
      <c r="K355" s="5" t="n"/>
      <c r="L355" s="5" t="n"/>
      <c r="M355" s="5" t="n"/>
      <c r="N355" s="5" t="n"/>
      <c r="O355" s="5" t="n">
        <v>987</v>
      </c>
      <c r="P355" s="5" t="n"/>
      <c r="Q355" s="5" t="n">
        <v>987</v>
      </c>
      <c r="R355" s="5" t="n"/>
    </row>
    <row r="356">
      <c r="A356" s="2" t="inlineStr">
        <is>
          <t>EJ010623.TXT</t>
        </is>
      </c>
      <c r="B356" s="3" t="inlineStr">
        <is>
          <t>004898</t>
        </is>
      </c>
      <c r="C356" s="3" t="inlineStr">
        <is>
          <t>003916</t>
        </is>
      </c>
      <c r="D356" s="4" t="n">
        <v>45070</v>
      </c>
      <c r="E356" s="2" t="inlineStr">
        <is>
          <t>10:40</t>
        </is>
      </c>
      <c r="F356" s="5" t="n">
        <v>190.83</v>
      </c>
      <c r="G356" s="5" t="n"/>
      <c r="H356" s="5" t="n"/>
      <c r="I356" s="5" t="n"/>
      <c r="J356" s="5" t="n">
        <v>38.17</v>
      </c>
      <c r="K356" s="5" t="n"/>
      <c r="L356" s="5" t="n"/>
      <c r="M356" s="5" t="n"/>
      <c r="N356" s="5" t="n"/>
      <c r="O356" s="5" t="n">
        <v>229</v>
      </c>
      <c r="P356" s="5" t="n"/>
      <c r="Q356" s="5" t="n">
        <v>229</v>
      </c>
      <c r="R356" s="5" t="n"/>
    </row>
    <row r="357">
      <c r="A357" s="2" t="inlineStr">
        <is>
          <t>EJ010623.TXT</t>
        </is>
      </c>
      <c r="B357" s="3" t="inlineStr">
        <is>
          <t>004899</t>
        </is>
      </c>
      <c r="C357" s="3" t="inlineStr">
        <is>
          <t>003917</t>
        </is>
      </c>
      <c r="D357" s="4" t="n">
        <v>45070</v>
      </c>
      <c r="E357" s="2" t="inlineStr">
        <is>
          <t>11:38</t>
        </is>
      </c>
      <c r="F357" s="5" t="n">
        <v>73.33</v>
      </c>
      <c r="G357" s="5" t="n"/>
      <c r="H357" s="5" t="n"/>
      <c r="I357" s="5" t="n"/>
      <c r="J357" s="5" t="n">
        <v>14.67</v>
      </c>
      <c r="K357" s="5" t="n"/>
      <c r="L357" s="5" t="n"/>
      <c r="M357" s="5" t="n"/>
      <c r="N357" s="5" t="n"/>
      <c r="O357" s="5" t="n">
        <v>88</v>
      </c>
      <c r="P357" s="5" t="n">
        <v>88</v>
      </c>
      <c r="Q357" s="5" t="n"/>
      <c r="R357" s="5" t="n"/>
    </row>
    <row r="358">
      <c r="A358" s="2" t="inlineStr">
        <is>
          <t>EJ010623.TXT</t>
        </is>
      </c>
      <c r="B358" s="3" t="inlineStr">
        <is>
          <t>004900</t>
        </is>
      </c>
      <c r="C358" s="3" t="inlineStr">
        <is>
          <t>003918</t>
        </is>
      </c>
      <c r="D358" s="4" t="n">
        <v>45071</v>
      </c>
      <c r="E358" s="2" t="inlineStr">
        <is>
          <t>09:11</t>
        </is>
      </c>
      <c r="F358" s="5" t="n">
        <v>274.17</v>
      </c>
      <c r="G358" s="5" t="n"/>
      <c r="H358" s="5" t="n"/>
      <c r="I358" s="5" t="n"/>
      <c r="J358" s="5" t="n">
        <v>54.83</v>
      </c>
      <c r="K358" s="5" t="n"/>
      <c r="L358" s="5" t="n"/>
      <c r="M358" s="5" t="n"/>
      <c r="N358" s="5" t="n"/>
      <c r="O358" s="5" t="n">
        <v>329</v>
      </c>
      <c r="P358" s="5" t="n">
        <v>329</v>
      </c>
      <c r="Q358" s="5" t="n"/>
      <c r="R358" s="5" t="n"/>
    </row>
    <row r="359">
      <c r="A359" s="2" t="inlineStr">
        <is>
          <t>EJ010623.TXT</t>
        </is>
      </c>
      <c r="B359" s="3" t="inlineStr">
        <is>
          <t>004901</t>
        </is>
      </c>
      <c r="C359" s="3" t="inlineStr">
        <is>
          <t>003919</t>
        </is>
      </c>
      <c r="D359" s="4" t="n">
        <v>45071</v>
      </c>
      <c r="E359" s="2" t="inlineStr">
        <is>
          <t>15:56</t>
        </is>
      </c>
      <c r="F359" s="5" t="n">
        <v>548.33</v>
      </c>
      <c r="G359" s="5" t="n"/>
      <c r="H359" s="5" t="n"/>
      <c r="I359" s="5" t="n"/>
      <c r="J359" s="5" t="n">
        <v>109.67</v>
      </c>
      <c r="K359" s="5" t="n"/>
      <c r="L359" s="5" t="n"/>
      <c r="M359" s="5" t="n"/>
      <c r="N359" s="5" t="n"/>
      <c r="O359" s="5" t="n">
        <v>658</v>
      </c>
      <c r="P359" s="5" t="n"/>
      <c r="Q359" s="5" t="n">
        <v>658</v>
      </c>
      <c r="R359" s="5" t="n"/>
    </row>
    <row r="360">
      <c r="A360" s="2" t="inlineStr">
        <is>
          <t>EJ010623.TXT</t>
        </is>
      </c>
      <c r="B360" s="3" t="inlineStr">
        <is>
          <t>004902</t>
        </is>
      </c>
      <c r="C360" s="3" t="inlineStr">
        <is>
          <t>003920</t>
        </is>
      </c>
      <c r="D360" s="4" t="n">
        <v>45072</v>
      </c>
      <c r="E360" s="2" t="inlineStr">
        <is>
          <t>09:13</t>
        </is>
      </c>
      <c r="F360" s="5" t="n">
        <v>548.33</v>
      </c>
      <c r="G360" s="5" t="n"/>
      <c r="H360" s="5" t="n"/>
      <c r="I360" s="5" t="n"/>
      <c r="J360" s="5" t="n">
        <v>109.67</v>
      </c>
      <c r="K360" s="5" t="n"/>
      <c r="L360" s="5" t="n"/>
      <c r="M360" s="5" t="n"/>
      <c r="N360" s="5" t="n"/>
      <c r="O360" s="5" t="n">
        <v>658</v>
      </c>
      <c r="P360" s="5" t="n">
        <v>658</v>
      </c>
      <c r="Q360" s="5" t="n"/>
      <c r="R360" s="5" t="n"/>
    </row>
    <row r="361">
      <c r="A361" s="2" t="inlineStr">
        <is>
          <t>EJ010623.TXT</t>
        </is>
      </c>
      <c r="B361" s="3" t="inlineStr">
        <is>
          <t>004903</t>
        </is>
      </c>
      <c r="C361" s="3" t="inlineStr">
        <is>
          <t>003921</t>
        </is>
      </c>
      <c r="D361" s="4" t="n">
        <v>45072</v>
      </c>
      <c r="E361" s="2" t="inlineStr">
        <is>
          <t>10:11</t>
        </is>
      </c>
      <c r="F361" s="5" t="n">
        <v>350</v>
      </c>
      <c r="G361" s="5" t="n"/>
      <c r="H361" s="5" t="n"/>
      <c r="I361" s="5" t="n"/>
      <c r="J361" s="5" t="n">
        <v>70</v>
      </c>
      <c r="K361" s="5" t="n"/>
      <c r="L361" s="5" t="n"/>
      <c r="M361" s="5" t="n"/>
      <c r="N361" s="5" t="n"/>
      <c r="O361" s="5" t="n">
        <v>420</v>
      </c>
      <c r="P361" s="5" t="n"/>
      <c r="Q361" s="5" t="n">
        <v>420</v>
      </c>
      <c r="R361" s="5" t="n"/>
    </row>
    <row r="362">
      <c r="A362" s="2" t="inlineStr">
        <is>
          <t>EJ010623.TXT</t>
        </is>
      </c>
      <c r="B362" s="3" t="inlineStr">
        <is>
          <t>004904</t>
        </is>
      </c>
      <c r="C362" s="3" t="inlineStr">
        <is>
          <t>003922</t>
        </is>
      </c>
      <c r="D362" s="4" t="n">
        <v>45073</v>
      </c>
      <c r="E362" s="2" t="inlineStr">
        <is>
          <t>14:23</t>
        </is>
      </c>
      <c r="F362" s="5" t="n">
        <v>98.33</v>
      </c>
      <c r="G362" s="5" t="n"/>
      <c r="H362" s="5" t="n"/>
      <c r="I362" s="5" t="n"/>
      <c r="J362" s="5" t="n">
        <v>19.67</v>
      </c>
      <c r="K362" s="5" t="n"/>
      <c r="L362" s="5" t="n"/>
      <c r="M362" s="5" t="n"/>
      <c r="N362" s="5" t="n"/>
      <c r="O362" s="5" t="n">
        <v>118</v>
      </c>
      <c r="P362" s="5" t="n"/>
      <c r="Q362" s="5" t="n">
        <v>118</v>
      </c>
      <c r="R362" s="5" t="n"/>
    </row>
    <row r="363">
      <c r="A363" s="2" t="inlineStr">
        <is>
          <t>EJ010623.TXT</t>
        </is>
      </c>
      <c r="B363" s="3" t="inlineStr">
        <is>
          <t>004905</t>
        </is>
      </c>
      <c r="C363" s="3" t="inlineStr">
        <is>
          <t>003923</t>
        </is>
      </c>
      <c r="D363" s="4" t="n">
        <v>45073</v>
      </c>
      <c r="E363" s="2" t="inlineStr">
        <is>
          <t>17:42</t>
        </is>
      </c>
      <c r="F363" s="5" t="n">
        <v>274.17</v>
      </c>
      <c r="G363" s="5" t="n"/>
      <c r="H363" s="5" t="n"/>
      <c r="I363" s="5" t="n"/>
      <c r="J363" s="5" t="n">
        <v>54.83</v>
      </c>
      <c r="K363" s="5" t="n"/>
      <c r="L363" s="5" t="n"/>
      <c r="M363" s="5" t="n"/>
      <c r="N363" s="5" t="n"/>
      <c r="O363" s="5" t="n">
        <v>329</v>
      </c>
      <c r="P363" s="5" t="n"/>
      <c r="Q363" s="5" t="n">
        <v>329</v>
      </c>
      <c r="R363" s="5" t="n"/>
    </row>
    <row r="364">
      <c r="A364" s="2" t="inlineStr">
        <is>
          <t>EJ010623.TXT</t>
        </is>
      </c>
      <c r="B364" s="3" t="inlineStr">
        <is>
          <t>004906</t>
        </is>
      </c>
      <c r="C364" s="3" t="inlineStr">
        <is>
          <t>003924</t>
        </is>
      </c>
      <c r="D364" s="4" t="n">
        <v>45075</v>
      </c>
      <c r="E364" s="2" t="inlineStr">
        <is>
          <t>15:18</t>
        </is>
      </c>
      <c r="F364" s="5" t="n">
        <v>381.67</v>
      </c>
      <c r="G364" s="5" t="n"/>
      <c r="H364" s="5" t="n"/>
      <c r="I364" s="5" t="n"/>
      <c r="J364" s="5" t="n">
        <v>76.33</v>
      </c>
      <c r="K364" s="5" t="n"/>
      <c r="L364" s="5" t="n"/>
      <c r="M364" s="5" t="n"/>
      <c r="N364" s="5" t="n"/>
      <c r="O364" s="5" t="n">
        <v>458</v>
      </c>
      <c r="P364" s="5" t="n"/>
      <c r="Q364" s="5" t="n">
        <v>458</v>
      </c>
      <c r="R364" s="5" t="n"/>
    </row>
    <row r="365">
      <c r="A365" s="2" t="inlineStr">
        <is>
          <t>EJ010623.TXT</t>
        </is>
      </c>
      <c r="B365" s="3" t="inlineStr">
        <is>
          <t>004907</t>
        </is>
      </c>
      <c r="C365" s="3" t="inlineStr">
        <is>
          <t>003925</t>
        </is>
      </c>
      <c r="D365" s="4" t="n">
        <v>45075</v>
      </c>
      <c r="E365" s="2" t="inlineStr">
        <is>
          <t>16:05</t>
        </is>
      </c>
      <c r="F365" s="5" t="n">
        <v>65.83</v>
      </c>
      <c r="G365" s="5" t="n"/>
      <c r="H365" s="5" t="n"/>
      <c r="I365" s="5" t="n"/>
      <c r="J365" s="5" t="n">
        <v>13.17</v>
      </c>
      <c r="K365" s="5" t="n"/>
      <c r="L365" s="5" t="n"/>
      <c r="M365" s="5" t="n"/>
      <c r="N365" s="5" t="n"/>
      <c r="O365" s="5" t="n">
        <v>79</v>
      </c>
      <c r="P365" s="5" t="n">
        <v>79</v>
      </c>
      <c r="Q365" s="5" t="n"/>
      <c r="R365" s="5" t="n"/>
    </row>
    <row r="366">
      <c r="A366" s="2" t="inlineStr">
        <is>
          <t>EJ010623.TXT</t>
        </is>
      </c>
      <c r="B366" s="3" t="inlineStr">
        <is>
          <t>004908</t>
        </is>
      </c>
      <c r="C366" s="3" t="inlineStr">
        <is>
          <t>003926</t>
        </is>
      </c>
      <c r="D366" s="4" t="n">
        <v>45077</v>
      </c>
      <c r="E366" s="2" t="inlineStr">
        <is>
          <t>11:07</t>
        </is>
      </c>
      <c r="F366" s="5" t="n">
        <v>1645</v>
      </c>
      <c r="G366" s="5" t="n"/>
      <c r="H366" s="5" t="n"/>
      <c r="I366" s="5" t="n"/>
      <c r="J366" s="5" t="n">
        <v>329</v>
      </c>
      <c r="K366" s="5" t="n"/>
      <c r="L366" s="5" t="n"/>
      <c r="M366" s="5" t="n"/>
      <c r="N366" s="5" t="n"/>
      <c r="O366" s="5" t="n">
        <v>1974</v>
      </c>
      <c r="P366" s="5" t="n">
        <v>1974</v>
      </c>
      <c r="Q366" s="5" t="n"/>
      <c r="R366" s="5" t="n"/>
    </row>
    <row r="367">
      <c r="A367" s="2" t="inlineStr">
        <is>
          <t>EJ010723.TXT</t>
        </is>
      </c>
      <c r="B367" s="3" t="inlineStr">
        <is>
          <t>004916</t>
        </is>
      </c>
      <c r="C367" s="3" t="inlineStr">
        <is>
          <t>003927</t>
        </is>
      </c>
      <c r="D367" s="4" t="n">
        <v>45078</v>
      </c>
      <c r="E367" s="2" t="inlineStr">
        <is>
          <t>10:44</t>
        </is>
      </c>
      <c r="F367" s="5" t="n">
        <v>822.5</v>
      </c>
      <c r="G367" s="5" t="n"/>
      <c r="H367" s="5" t="n"/>
      <c r="I367" s="5" t="n"/>
      <c r="J367" s="5" t="n">
        <v>164.5</v>
      </c>
      <c r="K367" s="5" t="n"/>
      <c r="L367" s="5" t="n"/>
      <c r="M367" s="5" t="n"/>
      <c r="N367" s="5" t="n"/>
      <c r="O367" s="5" t="n">
        <v>987</v>
      </c>
      <c r="P367" s="5" t="n"/>
      <c r="Q367" s="5" t="n">
        <v>987</v>
      </c>
      <c r="R367" s="5" t="n"/>
    </row>
    <row r="368">
      <c r="A368" s="2" t="inlineStr">
        <is>
          <t>EJ010723.TXT</t>
        </is>
      </c>
      <c r="B368" s="3" t="inlineStr">
        <is>
          <t>004917</t>
        </is>
      </c>
      <c r="C368" s="3" t="inlineStr">
        <is>
          <t>003928</t>
        </is>
      </c>
      <c r="D368" s="4" t="n">
        <v>45078</v>
      </c>
      <c r="E368" s="2" t="inlineStr">
        <is>
          <t>10:44</t>
        </is>
      </c>
      <c r="F368" s="5" t="n">
        <v>548.33</v>
      </c>
      <c r="G368" s="5" t="n"/>
      <c r="H368" s="5" t="n"/>
      <c r="I368" s="5" t="n"/>
      <c r="J368" s="5" t="n">
        <v>109.67</v>
      </c>
      <c r="K368" s="5" t="n"/>
      <c r="L368" s="5" t="n"/>
      <c r="M368" s="5" t="n"/>
      <c r="N368" s="5" t="n"/>
      <c r="O368" s="5" t="n">
        <v>658</v>
      </c>
      <c r="P368" s="5" t="n"/>
      <c r="Q368" s="5" t="n">
        <v>658</v>
      </c>
      <c r="R368" s="5" t="n"/>
    </row>
    <row r="369">
      <c r="A369" s="2" t="inlineStr">
        <is>
          <t>EJ010723.TXT</t>
        </is>
      </c>
      <c r="B369" s="3" t="inlineStr">
        <is>
          <t>004918</t>
        </is>
      </c>
      <c r="C369" s="3" t="inlineStr">
        <is>
          <t>003929</t>
        </is>
      </c>
      <c r="D369" s="4" t="n">
        <v>45078</v>
      </c>
      <c r="E369" s="2" t="inlineStr">
        <is>
          <t>10:48</t>
        </is>
      </c>
      <c r="F369" s="5" t="n">
        <v>131.67</v>
      </c>
      <c r="G369" s="5" t="n"/>
      <c r="H369" s="5" t="n"/>
      <c r="I369" s="5" t="n"/>
      <c r="J369" s="5" t="n">
        <v>26.33</v>
      </c>
      <c r="K369" s="5" t="n"/>
      <c r="L369" s="5" t="n"/>
      <c r="M369" s="5" t="n"/>
      <c r="N369" s="5" t="n"/>
      <c r="O369" s="5" t="n">
        <v>158</v>
      </c>
      <c r="P369" s="5" t="n"/>
      <c r="Q369" s="5" t="n">
        <v>158</v>
      </c>
      <c r="R369" s="5" t="n"/>
    </row>
    <row r="370">
      <c r="A370" s="2" t="inlineStr">
        <is>
          <t>EJ010723.TXT</t>
        </is>
      </c>
      <c r="B370" s="3" t="inlineStr">
        <is>
          <t>004919</t>
        </is>
      </c>
      <c r="C370" s="3" t="inlineStr">
        <is>
          <t>003930</t>
        </is>
      </c>
      <c r="D370" s="4" t="n">
        <v>45078</v>
      </c>
      <c r="E370" s="2" t="inlineStr">
        <is>
          <t>15:15</t>
        </is>
      </c>
      <c r="F370" s="5" t="n">
        <v>208.33</v>
      </c>
      <c r="G370" s="5" t="n"/>
      <c r="H370" s="5" t="n"/>
      <c r="I370" s="5" t="n"/>
      <c r="J370" s="5" t="n">
        <v>41.67</v>
      </c>
      <c r="K370" s="5" t="n"/>
      <c r="L370" s="5" t="n"/>
      <c r="M370" s="5" t="n"/>
      <c r="N370" s="5" t="n"/>
      <c r="O370" s="5" t="n">
        <v>250</v>
      </c>
      <c r="P370" s="5" t="n"/>
      <c r="Q370" s="5" t="n">
        <v>250</v>
      </c>
      <c r="R370" s="5" t="n"/>
    </row>
    <row r="371">
      <c r="A371" s="2" t="inlineStr">
        <is>
          <t>EJ010723.TXT</t>
        </is>
      </c>
      <c r="B371" s="3" t="inlineStr">
        <is>
          <t>004920</t>
        </is>
      </c>
      <c r="C371" s="3" t="inlineStr">
        <is>
          <t>003931</t>
        </is>
      </c>
      <c r="D371" s="4" t="n">
        <v>45080</v>
      </c>
      <c r="E371" s="2" t="inlineStr">
        <is>
          <t>14:59</t>
        </is>
      </c>
      <c r="F371" s="5" t="n">
        <v>274.17</v>
      </c>
      <c r="G371" s="5" t="n"/>
      <c r="H371" s="5" t="n"/>
      <c r="I371" s="5" t="n"/>
      <c r="J371" s="5" t="n">
        <v>54.83</v>
      </c>
      <c r="K371" s="5" t="n"/>
      <c r="L371" s="5" t="n"/>
      <c r="M371" s="5" t="n"/>
      <c r="N371" s="5" t="n"/>
      <c r="O371" s="5" t="n">
        <v>329</v>
      </c>
      <c r="P371" s="5" t="n"/>
      <c r="Q371" s="5" t="n">
        <v>329</v>
      </c>
      <c r="R371" s="5" t="n"/>
    </row>
    <row r="372">
      <c r="A372" s="2" t="inlineStr">
        <is>
          <t>EJ010723.TXT</t>
        </is>
      </c>
      <c r="B372" s="3" t="inlineStr">
        <is>
          <t>004921</t>
        </is>
      </c>
      <c r="C372" s="3" t="inlineStr">
        <is>
          <t>003932</t>
        </is>
      </c>
      <c r="D372" s="4" t="n">
        <v>45080</v>
      </c>
      <c r="E372" s="2" t="inlineStr">
        <is>
          <t>15:54</t>
        </is>
      </c>
      <c r="F372" s="5" t="n">
        <v>190.83</v>
      </c>
      <c r="G372" s="5" t="n"/>
      <c r="H372" s="5" t="n"/>
      <c r="I372" s="5" t="n"/>
      <c r="J372" s="5" t="n">
        <v>38.17</v>
      </c>
      <c r="K372" s="5" t="n"/>
      <c r="L372" s="5" t="n"/>
      <c r="M372" s="5" t="n"/>
      <c r="N372" s="5" t="n"/>
      <c r="O372" s="5" t="n">
        <v>229</v>
      </c>
      <c r="P372" s="5" t="n">
        <v>229</v>
      </c>
      <c r="Q372" s="5" t="n"/>
      <c r="R372" s="5" t="n"/>
    </row>
    <row r="373">
      <c r="A373" s="2" t="inlineStr">
        <is>
          <t>EJ010723.TXT</t>
        </is>
      </c>
      <c r="B373" s="3" t="inlineStr">
        <is>
          <t>004922</t>
        </is>
      </c>
      <c r="C373" s="3" t="inlineStr">
        <is>
          <t>003933</t>
        </is>
      </c>
      <c r="D373" s="4" t="n">
        <v>45080</v>
      </c>
      <c r="E373" s="2" t="inlineStr">
        <is>
          <t>16:42</t>
        </is>
      </c>
      <c r="F373" s="5" t="n">
        <v>822.5</v>
      </c>
      <c r="G373" s="5" t="n"/>
      <c r="H373" s="5" t="n"/>
      <c r="I373" s="5" t="n"/>
      <c r="J373" s="5" t="n">
        <v>164.5</v>
      </c>
      <c r="K373" s="5" t="n"/>
      <c r="L373" s="5" t="n"/>
      <c r="M373" s="5" t="n"/>
      <c r="N373" s="5" t="n"/>
      <c r="O373" s="5" t="n">
        <v>987</v>
      </c>
      <c r="P373" s="5" t="n"/>
      <c r="Q373" s="5" t="n">
        <v>987</v>
      </c>
      <c r="R373" s="5" t="n"/>
    </row>
    <row r="374">
      <c r="A374" s="2" t="inlineStr">
        <is>
          <t>EJ010723.TXT</t>
        </is>
      </c>
      <c r="B374" s="3" t="inlineStr">
        <is>
          <t>004923</t>
        </is>
      </c>
      <c r="C374" s="3" t="inlineStr">
        <is>
          <t>003934</t>
        </is>
      </c>
      <c r="D374" s="4" t="n">
        <v>45080</v>
      </c>
      <c r="E374" s="2" t="inlineStr">
        <is>
          <t>16:42</t>
        </is>
      </c>
      <c r="F374" s="5" t="n">
        <v>667.5</v>
      </c>
      <c r="G374" s="5" t="n"/>
      <c r="H374" s="5" t="n"/>
      <c r="I374" s="5" t="n"/>
      <c r="J374" s="5" t="n">
        <v>133.5</v>
      </c>
      <c r="K374" s="5" t="n"/>
      <c r="L374" s="5" t="n"/>
      <c r="M374" s="5" t="n"/>
      <c r="N374" s="5" t="n"/>
      <c r="O374" s="5" t="n">
        <v>801</v>
      </c>
      <c r="P374" s="5" t="n"/>
      <c r="Q374" s="5" t="n">
        <v>801</v>
      </c>
      <c r="R374" s="5" t="n"/>
    </row>
    <row r="375">
      <c r="A375" s="2" t="inlineStr">
        <is>
          <t>EJ010723.TXT</t>
        </is>
      </c>
      <c r="B375" s="3" t="inlineStr">
        <is>
          <t>004924</t>
        </is>
      </c>
      <c r="C375" s="3" t="inlineStr">
        <is>
          <t>003935</t>
        </is>
      </c>
      <c r="D375" s="4" t="n">
        <v>45080</v>
      </c>
      <c r="E375" s="2" t="inlineStr">
        <is>
          <t>16:52</t>
        </is>
      </c>
      <c r="F375" s="5" t="n">
        <v>274.17</v>
      </c>
      <c r="G375" s="5" t="n"/>
      <c r="H375" s="5" t="n"/>
      <c r="I375" s="5" t="n"/>
      <c r="J375" s="5" t="n">
        <v>54.83</v>
      </c>
      <c r="K375" s="5" t="n"/>
      <c r="L375" s="5" t="n"/>
      <c r="M375" s="5" t="n"/>
      <c r="N375" s="5" t="n"/>
      <c r="O375" s="5" t="n">
        <v>329</v>
      </c>
      <c r="P375" s="5" t="n"/>
      <c r="Q375" s="5" t="n">
        <v>329</v>
      </c>
      <c r="R375" s="5" t="n"/>
    </row>
    <row r="376">
      <c r="A376" s="2" t="inlineStr">
        <is>
          <t>EJ010723.TXT</t>
        </is>
      </c>
      <c r="B376" s="3" t="inlineStr">
        <is>
          <t>004925</t>
        </is>
      </c>
      <c r="C376" s="3" t="inlineStr">
        <is>
          <t>003936</t>
        </is>
      </c>
      <c r="D376" s="4" t="n">
        <v>45080</v>
      </c>
      <c r="E376" s="2" t="inlineStr">
        <is>
          <t>18:06</t>
        </is>
      </c>
      <c r="F376" s="5" t="n">
        <v>465</v>
      </c>
      <c r="G376" s="5" t="n"/>
      <c r="H376" s="5" t="n"/>
      <c r="I376" s="5" t="n"/>
      <c r="J376" s="5" t="n">
        <v>93</v>
      </c>
      <c r="K376" s="5" t="n"/>
      <c r="L376" s="5" t="n"/>
      <c r="M376" s="5" t="n"/>
      <c r="N376" s="5" t="n"/>
      <c r="O376" s="5" t="n">
        <v>558</v>
      </c>
      <c r="P376" s="5" t="n">
        <v>558</v>
      </c>
      <c r="Q376" s="5" t="n"/>
      <c r="R376" s="5" t="n"/>
    </row>
    <row r="377">
      <c r="A377" s="2" t="inlineStr">
        <is>
          <t>EJ010723.TXT</t>
        </is>
      </c>
      <c r="B377" s="3" t="inlineStr">
        <is>
          <t>004926</t>
        </is>
      </c>
      <c r="C377" s="3" t="inlineStr">
        <is>
          <t>003937</t>
        </is>
      </c>
      <c r="D377" s="4" t="n">
        <v>45082</v>
      </c>
      <c r="E377" s="2" t="inlineStr">
        <is>
          <t>15:27</t>
        </is>
      </c>
      <c r="F377" s="5" t="n">
        <v>822.5</v>
      </c>
      <c r="G377" s="5" t="n"/>
      <c r="H377" s="5" t="n"/>
      <c r="I377" s="5" t="n"/>
      <c r="J377" s="5" t="n">
        <v>164.5</v>
      </c>
      <c r="K377" s="5" t="n"/>
      <c r="L377" s="5" t="n"/>
      <c r="M377" s="5" t="n"/>
      <c r="N377" s="5" t="n"/>
      <c r="O377" s="5" t="n">
        <v>987</v>
      </c>
      <c r="P377" s="5" t="n"/>
      <c r="Q377" s="5" t="n">
        <v>987</v>
      </c>
      <c r="R377" s="5" t="n"/>
    </row>
    <row r="378">
      <c r="A378" s="2" t="inlineStr">
        <is>
          <t>EJ010723.TXT</t>
        </is>
      </c>
      <c r="B378" s="3" t="inlineStr">
        <is>
          <t>004927</t>
        </is>
      </c>
      <c r="C378" s="3" t="inlineStr">
        <is>
          <t>003938</t>
        </is>
      </c>
      <c r="D378" s="4" t="n">
        <v>45082</v>
      </c>
      <c r="E378" s="2" t="inlineStr">
        <is>
          <t>15:31</t>
        </is>
      </c>
      <c r="F378" s="5" t="n">
        <v>175</v>
      </c>
      <c r="G378" s="5" t="n"/>
      <c r="H378" s="5" t="n"/>
      <c r="I378" s="5" t="n"/>
      <c r="J378" s="5" t="n">
        <v>35</v>
      </c>
      <c r="K378" s="5" t="n"/>
      <c r="L378" s="5" t="n"/>
      <c r="M378" s="5" t="n"/>
      <c r="N378" s="5" t="n"/>
      <c r="O378" s="5" t="n">
        <v>210</v>
      </c>
      <c r="P378" s="5" t="n"/>
      <c r="Q378" s="5" t="n">
        <v>210</v>
      </c>
      <c r="R378" s="5" t="n"/>
    </row>
    <row r="379">
      <c r="A379" s="2" t="inlineStr">
        <is>
          <t>EJ010723.TXT</t>
        </is>
      </c>
      <c r="B379" s="3" t="inlineStr">
        <is>
          <t>004928</t>
        </is>
      </c>
      <c r="C379" s="3" t="inlineStr">
        <is>
          <t>003939</t>
        </is>
      </c>
      <c r="D379" s="4" t="n">
        <v>45083</v>
      </c>
      <c r="E379" s="2" t="inlineStr">
        <is>
          <t>10:02</t>
        </is>
      </c>
      <c r="F379" s="5" t="n">
        <v>274.17</v>
      </c>
      <c r="G379" s="5" t="n"/>
      <c r="H379" s="5" t="n"/>
      <c r="I379" s="5" t="n"/>
      <c r="J379" s="5" t="n">
        <v>54.83</v>
      </c>
      <c r="K379" s="5" t="n"/>
      <c r="L379" s="5" t="n"/>
      <c r="M379" s="5" t="n"/>
      <c r="N379" s="5" t="n"/>
      <c r="O379" s="5" t="n">
        <v>329</v>
      </c>
      <c r="P379" s="5" t="n">
        <v>329</v>
      </c>
      <c r="Q379" s="5" t="n"/>
      <c r="R379" s="5" t="n"/>
    </row>
    <row r="380">
      <c r="A380" s="2" t="inlineStr">
        <is>
          <t>EJ010723.TXT</t>
        </is>
      </c>
      <c r="B380" s="3" t="inlineStr">
        <is>
          <t>004929</t>
        </is>
      </c>
      <c r="C380" s="3" t="inlineStr">
        <is>
          <t>003940</t>
        </is>
      </c>
      <c r="D380" s="4" t="n">
        <v>45083</v>
      </c>
      <c r="E380" s="2" t="inlineStr">
        <is>
          <t>17:43</t>
        </is>
      </c>
      <c r="F380" s="5" t="n">
        <v>548.33</v>
      </c>
      <c r="G380" s="5" t="n"/>
      <c r="H380" s="5" t="n"/>
      <c r="I380" s="5" t="n"/>
      <c r="J380" s="5" t="n">
        <v>109.67</v>
      </c>
      <c r="K380" s="5" t="n"/>
      <c r="L380" s="5" t="n"/>
      <c r="M380" s="5" t="n"/>
      <c r="N380" s="5" t="n"/>
      <c r="O380" s="5" t="n">
        <v>658</v>
      </c>
      <c r="P380" s="5" t="n">
        <v>658</v>
      </c>
      <c r="Q380" s="5" t="n"/>
      <c r="R380" s="5" t="n"/>
    </row>
    <row r="381">
      <c r="A381" s="2" t="inlineStr">
        <is>
          <t>EJ010723.TXT</t>
        </is>
      </c>
      <c r="B381" s="3" t="inlineStr">
        <is>
          <t>004930</t>
        </is>
      </c>
      <c r="C381" s="3" t="inlineStr">
        <is>
          <t>003941</t>
        </is>
      </c>
      <c r="D381" s="4" t="n">
        <v>45084</v>
      </c>
      <c r="E381" s="2" t="inlineStr">
        <is>
          <t>10:00</t>
        </is>
      </c>
      <c r="F381" s="5" t="n">
        <v>797.5</v>
      </c>
      <c r="G381" s="5" t="n"/>
      <c r="H381" s="5" t="n"/>
      <c r="I381" s="5" t="n"/>
      <c r="J381" s="5" t="n">
        <v>159.5</v>
      </c>
      <c r="K381" s="5" t="n"/>
      <c r="L381" s="5" t="n"/>
      <c r="M381" s="5" t="n"/>
      <c r="N381" s="5" t="n"/>
      <c r="O381" s="5" t="n">
        <v>957</v>
      </c>
      <c r="P381" s="5" t="n"/>
      <c r="Q381" s="5" t="n">
        <v>957</v>
      </c>
      <c r="R381" s="5" t="n"/>
    </row>
    <row r="382">
      <c r="A382" s="2" t="inlineStr">
        <is>
          <t>EJ010723.TXT</t>
        </is>
      </c>
      <c r="B382" s="3" t="inlineStr">
        <is>
          <t>004931</t>
        </is>
      </c>
      <c r="C382" s="3" t="inlineStr">
        <is>
          <t>003942</t>
        </is>
      </c>
      <c r="D382" s="4" t="n">
        <v>45084</v>
      </c>
      <c r="E382" s="2" t="inlineStr">
        <is>
          <t>10:00</t>
        </is>
      </c>
      <c r="F382" s="5" t="n">
        <v>797.5</v>
      </c>
      <c r="G382" s="5" t="n"/>
      <c r="H382" s="5" t="n"/>
      <c r="I382" s="5" t="n"/>
      <c r="J382" s="5" t="n">
        <v>159.5</v>
      </c>
      <c r="K382" s="5" t="n"/>
      <c r="L382" s="5" t="n"/>
      <c r="M382" s="5" t="n"/>
      <c r="N382" s="5" t="n"/>
      <c r="O382" s="5" t="n">
        <v>957</v>
      </c>
      <c r="P382" s="5" t="n"/>
      <c r="Q382" s="5" t="n">
        <v>957</v>
      </c>
      <c r="R382" s="5" t="n"/>
    </row>
    <row r="383">
      <c r="A383" s="2" t="inlineStr">
        <is>
          <t>EJ010723.TXT</t>
        </is>
      </c>
      <c r="B383" s="3" t="inlineStr">
        <is>
          <t>004932</t>
        </is>
      </c>
      <c r="C383" s="3" t="inlineStr">
        <is>
          <t>003943</t>
        </is>
      </c>
      <c r="D383" s="4" t="n">
        <v>45090</v>
      </c>
      <c r="E383" s="2" t="inlineStr">
        <is>
          <t>14:33</t>
        </is>
      </c>
      <c r="F383" s="5" t="n">
        <v>548.33</v>
      </c>
      <c r="G383" s="5" t="n"/>
      <c r="H383" s="5" t="n"/>
      <c r="I383" s="5" t="n"/>
      <c r="J383" s="5" t="n">
        <v>109.67</v>
      </c>
      <c r="K383" s="5" t="n"/>
      <c r="L383" s="5" t="n"/>
      <c r="M383" s="5" t="n"/>
      <c r="N383" s="5" t="n"/>
      <c r="O383" s="5" t="n">
        <v>658</v>
      </c>
      <c r="P383" s="5" t="n"/>
      <c r="Q383" s="5" t="n">
        <v>658</v>
      </c>
      <c r="R383" s="5" t="n"/>
    </row>
    <row r="384">
      <c r="A384" s="2" t="inlineStr">
        <is>
          <t>EJ010723.TXT</t>
        </is>
      </c>
      <c r="B384" s="3" t="inlineStr">
        <is>
          <t>004933</t>
        </is>
      </c>
      <c r="C384" s="3" t="inlineStr">
        <is>
          <t>003944</t>
        </is>
      </c>
      <c r="D384" s="4" t="n">
        <v>45091</v>
      </c>
      <c r="E384" s="2" t="inlineStr">
        <is>
          <t>15:01</t>
        </is>
      </c>
      <c r="F384" s="5" t="n">
        <v>548.33</v>
      </c>
      <c r="G384" s="5" t="n"/>
      <c r="H384" s="5" t="n"/>
      <c r="I384" s="5" t="n"/>
      <c r="J384" s="5" t="n">
        <v>109.67</v>
      </c>
      <c r="K384" s="5" t="n"/>
      <c r="L384" s="5" t="n"/>
      <c r="M384" s="5" t="n"/>
      <c r="N384" s="5" t="n"/>
      <c r="O384" s="5" t="n">
        <v>658</v>
      </c>
      <c r="P384" s="5" t="n">
        <v>658</v>
      </c>
      <c r="Q384" s="5" t="n"/>
      <c r="R384" s="5" t="n"/>
    </row>
    <row r="385">
      <c r="A385" s="2" t="inlineStr">
        <is>
          <t>EJ010723.TXT</t>
        </is>
      </c>
      <c r="B385" s="3" t="inlineStr">
        <is>
          <t>004934</t>
        </is>
      </c>
      <c r="C385" s="3" t="inlineStr">
        <is>
          <t>003945</t>
        </is>
      </c>
      <c r="D385" s="4" t="n">
        <v>45094</v>
      </c>
      <c r="E385" s="2" t="inlineStr">
        <is>
          <t>16:58</t>
        </is>
      </c>
      <c r="F385" s="5" t="n">
        <v>548.33</v>
      </c>
      <c r="G385" s="5" t="n"/>
      <c r="H385" s="5" t="n"/>
      <c r="I385" s="5" t="n"/>
      <c r="J385" s="5" t="n">
        <v>109.67</v>
      </c>
      <c r="K385" s="5" t="n"/>
      <c r="L385" s="5" t="n"/>
      <c r="M385" s="5" t="n"/>
      <c r="N385" s="5" t="n"/>
      <c r="O385" s="5" t="n">
        <v>658</v>
      </c>
      <c r="P385" s="5" t="n">
        <v>658</v>
      </c>
      <c r="Q385" s="5" t="n"/>
      <c r="R385" s="5" t="n"/>
    </row>
    <row r="386">
      <c r="A386" s="2" t="inlineStr">
        <is>
          <t>EJ010723.TXT</t>
        </is>
      </c>
      <c r="B386" s="3" t="inlineStr">
        <is>
          <t>004935</t>
        </is>
      </c>
      <c r="C386" s="3" t="inlineStr">
        <is>
          <t>003946</t>
        </is>
      </c>
      <c r="D386" s="4" t="n">
        <v>45096</v>
      </c>
      <c r="E386" s="2" t="inlineStr">
        <is>
          <t>12:41</t>
        </is>
      </c>
      <c r="F386" s="5" t="n">
        <v>822.5</v>
      </c>
      <c r="G386" s="5" t="n"/>
      <c r="H386" s="5" t="n"/>
      <c r="I386" s="5" t="n"/>
      <c r="J386" s="5" t="n">
        <v>164.5</v>
      </c>
      <c r="K386" s="5" t="n"/>
      <c r="L386" s="5" t="n"/>
      <c r="M386" s="5" t="n"/>
      <c r="N386" s="5" t="n"/>
      <c r="O386" s="5" t="n">
        <v>987</v>
      </c>
      <c r="P386" s="5" t="n"/>
      <c r="Q386" s="5" t="n">
        <v>987</v>
      </c>
      <c r="R386" s="5" t="n"/>
    </row>
    <row r="387">
      <c r="A387" s="2" t="inlineStr">
        <is>
          <t>EJ010723.TXT</t>
        </is>
      </c>
      <c r="B387" s="3" t="inlineStr">
        <is>
          <t>004936</t>
        </is>
      </c>
      <c r="C387" s="3" t="inlineStr">
        <is>
          <t>003947</t>
        </is>
      </c>
      <c r="D387" s="4" t="n">
        <v>45096</v>
      </c>
      <c r="E387" s="2" t="inlineStr">
        <is>
          <t>12:41</t>
        </is>
      </c>
      <c r="F387" s="5" t="n">
        <v>548.33</v>
      </c>
      <c r="G387" s="5" t="n"/>
      <c r="H387" s="5" t="n"/>
      <c r="I387" s="5" t="n"/>
      <c r="J387" s="5" t="n">
        <v>109.67</v>
      </c>
      <c r="K387" s="5" t="n"/>
      <c r="L387" s="5" t="n"/>
      <c r="M387" s="5" t="n"/>
      <c r="N387" s="5" t="n"/>
      <c r="O387" s="5" t="n">
        <v>658</v>
      </c>
      <c r="P387" s="5" t="n"/>
      <c r="Q387" s="5" t="n">
        <v>658</v>
      </c>
      <c r="R387" s="5" t="n"/>
    </row>
    <row r="388">
      <c r="A388" s="2" t="inlineStr">
        <is>
          <t>EJ010723.TXT</t>
        </is>
      </c>
      <c r="B388" s="3" t="inlineStr">
        <is>
          <t>004937</t>
        </is>
      </c>
      <c r="C388" s="3" t="inlineStr">
        <is>
          <t>003948</t>
        </is>
      </c>
      <c r="D388" s="4" t="n">
        <v>45096</v>
      </c>
      <c r="E388" s="2" t="inlineStr">
        <is>
          <t>12:42</t>
        </is>
      </c>
      <c r="F388" s="5" t="n">
        <v>274.17</v>
      </c>
      <c r="G388" s="5" t="n"/>
      <c r="H388" s="5" t="n"/>
      <c r="I388" s="5" t="n"/>
      <c r="J388" s="5" t="n">
        <v>54.83</v>
      </c>
      <c r="K388" s="5" t="n"/>
      <c r="L388" s="5" t="n"/>
      <c r="M388" s="5" t="n"/>
      <c r="N388" s="5" t="n"/>
      <c r="O388" s="5" t="n">
        <v>329</v>
      </c>
      <c r="P388" s="5" t="n"/>
      <c r="Q388" s="5" t="n">
        <v>329</v>
      </c>
      <c r="R388" s="5" t="n"/>
    </row>
    <row r="389">
      <c r="A389" s="2" t="inlineStr">
        <is>
          <t>EJ010723.TXT</t>
        </is>
      </c>
      <c r="B389" s="3" t="inlineStr">
        <is>
          <t>004938</t>
        </is>
      </c>
      <c r="C389" s="3" t="inlineStr">
        <is>
          <t>003949</t>
        </is>
      </c>
      <c r="D389" s="4" t="n">
        <v>45096</v>
      </c>
      <c r="E389" s="2" t="inlineStr">
        <is>
          <t>12:42</t>
        </is>
      </c>
      <c r="F389" s="5" t="n">
        <v>548.33</v>
      </c>
      <c r="G389" s="5" t="n"/>
      <c r="H389" s="5" t="n"/>
      <c r="I389" s="5" t="n"/>
      <c r="J389" s="5" t="n">
        <v>109.67</v>
      </c>
      <c r="K389" s="5" t="n"/>
      <c r="L389" s="5" t="n"/>
      <c r="M389" s="5" t="n"/>
      <c r="N389" s="5" t="n"/>
      <c r="O389" s="5" t="n">
        <v>658</v>
      </c>
      <c r="P389" s="5" t="n"/>
      <c r="Q389" s="5" t="n">
        <v>658</v>
      </c>
      <c r="R389" s="5" t="n"/>
    </row>
    <row r="390">
      <c r="A390" s="2" t="inlineStr">
        <is>
          <t>EJ010723.TXT</t>
        </is>
      </c>
      <c r="B390" s="3" t="inlineStr">
        <is>
          <t>004939</t>
        </is>
      </c>
      <c r="C390" s="3" t="inlineStr">
        <is>
          <t>003950</t>
        </is>
      </c>
      <c r="D390" s="4" t="n">
        <v>45096</v>
      </c>
      <c r="E390" s="2" t="inlineStr">
        <is>
          <t>12:42</t>
        </is>
      </c>
      <c r="F390" s="5" t="n">
        <v>274.17</v>
      </c>
      <c r="G390" s="5" t="n"/>
      <c r="H390" s="5" t="n"/>
      <c r="I390" s="5" t="n"/>
      <c r="J390" s="5" t="n">
        <v>54.83</v>
      </c>
      <c r="K390" s="5" t="n"/>
      <c r="L390" s="5" t="n"/>
      <c r="M390" s="5" t="n"/>
      <c r="N390" s="5" t="n"/>
      <c r="O390" s="5" t="n">
        <v>329</v>
      </c>
      <c r="P390" s="5" t="n"/>
      <c r="Q390" s="5" t="n">
        <v>329</v>
      </c>
      <c r="R390" s="5" t="n"/>
    </row>
    <row r="391">
      <c r="A391" s="2" t="inlineStr">
        <is>
          <t>EJ010723.TXT</t>
        </is>
      </c>
      <c r="B391" s="3" t="inlineStr">
        <is>
          <t>004940</t>
        </is>
      </c>
      <c r="C391" s="3" t="inlineStr">
        <is>
          <t>003951</t>
        </is>
      </c>
      <c r="D391" s="4" t="n">
        <v>45096</v>
      </c>
      <c r="E391" s="2" t="inlineStr">
        <is>
          <t>12:42</t>
        </is>
      </c>
      <c r="F391" s="5" t="n">
        <v>822.5</v>
      </c>
      <c r="G391" s="5" t="n"/>
      <c r="H391" s="5" t="n"/>
      <c r="I391" s="5" t="n"/>
      <c r="J391" s="5" t="n">
        <v>164.5</v>
      </c>
      <c r="K391" s="5" t="n"/>
      <c r="L391" s="5" t="n"/>
      <c r="M391" s="5" t="n"/>
      <c r="N391" s="5" t="n"/>
      <c r="O391" s="5" t="n">
        <v>987</v>
      </c>
      <c r="P391" s="5" t="n"/>
      <c r="Q391" s="5" t="n">
        <v>987</v>
      </c>
      <c r="R391" s="5" t="n"/>
    </row>
    <row r="392">
      <c r="A392" s="2" t="inlineStr">
        <is>
          <t>EJ010723.TXT</t>
        </is>
      </c>
      <c r="B392" s="3" t="inlineStr">
        <is>
          <t>004941</t>
        </is>
      </c>
      <c r="C392" s="3" t="inlineStr">
        <is>
          <t>003952</t>
        </is>
      </c>
      <c r="D392" s="4" t="n">
        <v>45096</v>
      </c>
      <c r="E392" s="2" t="inlineStr">
        <is>
          <t>16:23</t>
        </is>
      </c>
      <c r="F392" s="5" t="n">
        <v>190.83</v>
      </c>
      <c r="G392" s="5" t="n"/>
      <c r="H392" s="5" t="n"/>
      <c r="I392" s="5" t="n"/>
      <c r="J392" s="5" t="n">
        <v>38.17</v>
      </c>
      <c r="K392" s="5" t="n"/>
      <c r="L392" s="5" t="n"/>
      <c r="M392" s="5" t="n"/>
      <c r="N392" s="5" t="n"/>
      <c r="O392" s="5" t="n">
        <v>229</v>
      </c>
      <c r="P392" s="5" t="n">
        <v>229</v>
      </c>
      <c r="Q392" s="5" t="n"/>
      <c r="R392" s="5" t="n"/>
    </row>
    <row r="393">
      <c r="A393" s="2" t="inlineStr">
        <is>
          <t>EJ010723.TXT</t>
        </is>
      </c>
      <c r="B393" s="3" t="inlineStr">
        <is>
          <t>004942</t>
        </is>
      </c>
      <c r="C393" s="3" t="inlineStr">
        <is>
          <t>003953</t>
        </is>
      </c>
      <c r="D393" s="4" t="n">
        <v>45096</v>
      </c>
      <c r="E393" s="2" t="inlineStr">
        <is>
          <t>16:25</t>
        </is>
      </c>
      <c r="F393" s="5" t="n">
        <v>307.5</v>
      </c>
      <c r="G393" s="5" t="n"/>
      <c r="H393" s="5" t="n"/>
      <c r="I393" s="5" t="n"/>
      <c r="J393" s="5" t="n">
        <v>61.5</v>
      </c>
      <c r="K393" s="5" t="n"/>
      <c r="L393" s="5" t="n"/>
      <c r="M393" s="5" t="n"/>
      <c r="N393" s="5" t="n"/>
      <c r="O393" s="5" t="n">
        <v>369</v>
      </c>
      <c r="P393" s="5" t="n">
        <v>369</v>
      </c>
      <c r="Q393" s="5" t="n"/>
      <c r="R393" s="5" t="n"/>
    </row>
    <row r="394">
      <c r="A394" s="2" t="inlineStr">
        <is>
          <t>EJ010723.TXT</t>
        </is>
      </c>
      <c r="B394" s="3" t="inlineStr">
        <is>
          <t>004943</t>
        </is>
      </c>
      <c r="C394" s="3" t="inlineStr">
        <is>
          <t>003954</t>
        </is>
      </c>
      <c r="D394" s="4" t="n">
        <v>45097</v>
      </c>
      <c r="E394" s="2" t="inlineStr">
        <is>
          <t>09:50</t>
        </is>
      </c>
      <c r="F394" s="5" t="n">
        <v>797.5</v>
      </c>
      <c r="G394" s="5" t="n"/>
      <c r="H394" s="5" t="n"/>
      <c r="I394" s="5" t="n"/>
      <c r="J394" s="5" t="n">
        <v>159.5</v>
      </c>
      <c r="K394" s="5" t="n"/>
      <c r="L394" s="5" t="n"/>
      <c r="M394" s="5" t="n"/>
      <c r="N394" s="5" t="n"/>
      <c r="O394" s="5" t="n">
        <v>957</v>
      </c>
      <c r="P394" s="5" t="n"/>
      <c r="Q394" s="5" t="n">
        <v>957</v>
      </c>
      <c r="R394" s="5" t="n"/>
    </row>
    <row r="395">
      <c r="A395" s="2" t="inlineStr">
        <is>
          <t>EJ010723.TXT</t>
        </is>
      </c>
      <c r="B395" s="3" t="inlineStr">
        <is>
          <t>004944</t>
        </is>
      </c>
      <c r="C395" s="3" t="inlineStr">
        <is>
          <t>003955</t>
        </is>
      </c>
      <c r="D395" s="4" t="n">
        <v>45097</v>
      </c>
      <c r="E395" s="2" t="inlineStr">
        <is>
          <t>14:24</t>
        </is>
      </c>
      <c r="F395" s="5" t="n">
        <v>274.17</v>
      </c>
      <c r="G395" s="5" t="n"/>
      <c r="H395" s="5" t="n"/>
      <c r="I395" s="5" t="n"/>
      <c r="J395" s="5" t="n">
        <v>54.83</v>
      </c>
      <c r="K395" s="5" t="n"/>
      <c r="L395" s="5" t="n"/>
      <c r="M395" s="5" t="n"/>
      <c r="N395" s="5" t="n"/>
      <c r="O395" s="5" t="n">
        <v>329</v>
      </c>
      <c r="P395" s="5" t="n">
        <v>329</v>
      </c>
      <c r="Q395" s="5" t="n"/>
      <c r="R395" s="5" t="n"/>
    </row>
    <row r="396">
      <c r="A396" s="2" t="inlineStr">
        <is>
          <t>EJ010723.TXT</t>
        </is>
      </c>
      <c r="B396" s="3" t="inlineStr">
        <is>
          <t>004945</t>
        </is>
      </c>
      <c r="C396" s="3" t="inlineStr">
        <is>
          <t>003956</t>
        </is>
      </c>
      <c r="D396" s="4" t="n">
        <v>45097</v>
      </c>
      <c r="E396" s="2" t="inlineStr">
        <is>
          <t>15:04</t>
        </is>
      </c>
      <c r="F396" s="5" t="n">
        <v>65.83</v>
      </c>
      <c r="G396" s="5" t="n"/>
      <c r="H396" s="5" t="n"/>
      <c r="I396" s="5" t="n"/>
      <c r="J396" s="5" t="n">
        <v>13.17</v>
      </c>
      <c r="K396" s="5" t="n"/>
      <c r="L396" s="5" t="n"/>
      <c r="M396" s="5" t="n"/>
      <c r="N396" s="5" t="n"/>
      <c r="O396" s="5" t="n">
        <v>79</v>
      </c>
      <c r="P396" s="5" t="n">
        <v>79</v>
      </c>
      <c r="Q396" s="5" t="n"/>
      <c r="R396" s="5" t="n"/>
    </row>
    <row r="397">
      <c r="A397" s="2" t="inlineStr">
        <is>
          <t>EJ010723.TXT</t>
        </is>
      </c>
      <c r="B397" s="3" t="inlineStr">
        <is>
          <t>004946</t>
        </is>
      </c>
      <c r="C397" s="3" t="inlineStr">
        <is>
          <t>003957</t>
        </is>
      </c>
      <c r="D397" s="4" t="n">
        <v>45098</v>
      </c>
      <c r="E397" s="2" t="inlineStr">
        <is>
          <t>09:24</t>
        </is>
      </c>
      <c r="F397" s="5" t="n">
        <v>208.33</v>
      </c>
      <c r="G397" s="5" t="n"/>
      <c r="H397" s="5" t="n"/>
      <c r="I397" s="5" t="n"/>
      <c r="J397" s="5" t="n">
        <v>41.67</v>
      </c>
      <c r="K397" s="5" t="n"/>
      <c r="L397" s="5" t="n"/>
      <c r="M397" s="5" t="n"/>
      <c r="N397" s="5" t="n"/>
      <c r="O397" s="5" t="n">
        <v>250</v>
      </c>
      <c r="P397" s="5" t="n"/>
      <c r="Q397" s="5" t="n">
        <v>250</v>
      </c>
      <c r="R397" s="5" t="n"/>
    </row>
    <row r="398">
      <c r="A398" s="2" t="inlineStr">
        <is>
          <t>EJ010723.TXT</t>
        </is>
      </c>
      <c r="B398" s="3" t="inlineStr">
        <is>
          <t>004947</t>
        </is>
      </c>
      <c r="C398" s="3" t="inlineStr">
        <is>
          <t>003958</t>
        </is>
      </c>
      <c r="D398" s="4" t="n">
        <v>45098</v>
      </c>
      <c r="E398" s="2" t="inlineStr">
        <is>
          <t>10:16</t>
        </is>
      </c>
      <c r="F398" s="5" t="n">
        <v>125</v>
      </c>
      <c r="G398" s="5" t="n"/>
      <c r="H398" s="5" t="n"/>
      <c r="I398" s="5" t="n"/>
      <c r="J398" s="5" t="n">
        <v>25</v>
      </c>
      <c r="K398" s="5" t="n"/>
      <c r="L398" s="5" t="n"/>
      <c r="M398" s="5" t="n"/>
      <c r="N398" s="5" t="n"/>
      <c r="O398" s="5" t="n">
        <v>150</v>
      </c>
      <c r="P398" s="5" t="n"/>
      <c r="Q398" s="5" t="n">
        <v>150</v>
      </c>
      <c r="R398" s="5" t="n"/>
    </row>
    <row r="399">
      <c r="A399" s="2" t="inlineStr">
        <is>
          <t>EJ010723.TXT</t>
        </is>
      </c>
      <c r="B399" s="3" t="inlineStr">
        <is>
          <t>004948</t>
        </is>
      </c>
      <c r="C399" s="3" t="inlineStr">
        <is>
          <t>003959</t>
        </is>
      </c>
      <c r="D399" s="4" t="n">
        <v>45098</v>
      </c>
      <c r="E399" s="2" t="inlineStr">
        <is>
          <t>10:17</t>
        </is>
      </c>
      <c r="F399" s="5" t="n">
        <v>65.83</v>
      </c>
      <c r="G399" s="5" t="n"/>
      <c r="H399" s="5" t="n"/>
      <c r="I399" s="5" t="n"/>
      <c r="J399" s="5" t="n">
        <v>13.17</v>
      </c>
      <c r="K399" s="5" t="n"/>
      <c r="L399" s="5" t="n"/>
      <c r="M399" s="5" t="n"/>
      <c r="N399" s="5" t="n"/>
      <c r="O399" s="5" t="n">
        <v>79</v>
      </c>
      <c r="P399" s="5" t="n">
        <v>79</v>
      </c>
      <c r="Q399" s="5" t="n"/>
      <c r="R399" s="5" t="n"/>
    </row>
    <row r="400">
      <c r="A400" s="2" t="inlineStr">
        <is>
          <t>EJ010723.TXT</t>
        </is>
      </c>
      <c r="B400" s="3" t="inlineStr">
        <is>
          <t>004949</t>
        </is>
      </c>
      <c r="C400" s="3" t="inlineStr">
        <is>
          <t>003960</t>
        </is>
      </c>
      <c r="D400" s="4" t="n">
        <v>45098</v>
      </c>
      <c r="E400" s="2" t="inlineStr">
        <is>
          <t>12:06</t>
        </is>
      </c>
      <c r="F400" s="5" t="n">
        <v>500</v>
      </c>
      <c r="G400" s="5" t="n"/>
      <c r="H400" s="5" t="n"/>
      <c r="I400" s="5" t="n"/>
      <c r="J400" s="5" t="n">
        <v>100</v>
      </c>
      <c r="K400" s="5" t="n"/>
      <c r="L400" s="5" t="n"/>
      <c r="M400" s="5" t="n"/>
      <c r="N400" s="5" t="n"/>
      <c r="O400" s="5" t="n">
        <v>600</v>
      </c>
      <c r="P400" s="5" t="n">
        <v>600</v>
      </c>
      <c r="Q400" s="5" t="n"/>
      <c r="R400" s="5" t="n"/>
    </row>
    <row r="401">
      <c r="A401" s="2" t="inlineStr">
        <is>
          <t>EJ010723.TXT</t>
        </is>
      </c>
      <c r="B401" s="3" t="inlineStr">
        <is>
          <t>004950</t>
        </is>
      </c>
      <c r="C401" s="3" t="inlineStr">
        <is>
          <t>003961</t>
        </is>
      </c>
      <c r="D401" s="4" t="n">
        <v>45099</v>
      </c>
      <c r="E401" s="2" t="inlineStr">
        <is>
          <t>09:51</t>
        </is>
      </c>
      <c r="F401" s="5" t="n">
        <v>65.83</v>
      </c>
      <c r="G401" s="5" t="n"/>
      <c r="H401" s="5" t="n"/>
      <c r="I401" s="5" t="n"/>
      <c r="J401" s="5" t="n">
        <v>13.17</v>
      </c>
      <c r="K401" s="5" t="n"/>
      <c r="L401" s="5" t="n"/>
      <c r="M401" s="5" t="n"/>
      <c r="N401" s="5" t="n"/>
      <c r="O401" s="5" t="n">
        <v>79</v>
      </c>
      <c r="P401" s="5" t="n">
        <v>79</v>
      </c>
      <c r="Q401" s="5" t="n"/>
      <c r="R401" s="5" t="n"/>
    </row>
    <row r="402">
      <c r="A402" s="2" t="inlineStr">
        <is>
          <t>EJ010723.TXT</t>
        </is>
      </c>
      <c r="B402" s="3" t="inlineStr">
        <is>
          <t>004951</t>
        </is>
      </c>
      <c r="C402" s="3" t="inlineStr">
        <is>
          <t>003962</t>
        </is>
      </c>
      <c r="D402" s="4" t="n">
        <v>45103</v>
      </c>
      <c r="E402" s="2" t="inlineStr">
        <is>
          <t>11:49</t>
        </is>
      </c>
      <c r="F402" s="5" t="n">
        <v>548.33</v>
      </c>
      <c r="G402" s="5" t="n"/>
      <c r="H402" s="5" t="n"/>
      <c r="I402" s="5" t="n"/>
      <c r="J402" s="5" t="n">
        <v>109.67</v>
      </c>
      <c r="K402" s="5" t="n"/>
      <c r="L402" s="5" t="n"/>
      <c r="M402" s="5" t="n"/>
      <c r="N402" s="5" t="n"/>
      <c r="O402" s="5" t="n">
        <v>658</v>
      </c>
      <c r="P402" s="5" t="n">
        <v>658</v>
      </c>
      <c r="Q402" s="5" t="n"/>
      <c r="R402" s="5" t="n"/>
    </row>
    <row r="403">
      <c r="A403" s="2" t="inlineStr">
        <is>
          <t>EJ010723.TXT</t>
        </is>
      </c>
      <c r="B403" s="3" t="inlineStr">
        <is>
          <t>004952</t>
        </is>
      </c>
      <c r="C403" s="3" t="inlineStr">
        <is>
          <t>003963</t>
        </is>
      </c>
      <c r="D403" s="4" t="n">
        <v>45104</v>
      </c>
      <c r="E403" s="2" t="inlineStr">
        <is>
          <t>10:14</t>
        </is>
      </c>
      <c r="F403" s="5" t="n">
        <v>548.33</v>
      </c>
      <c r="G403" s="5" t="n"/>
      <c r="H403" s="5" t="n"/>
      <c r="I403" s="5" t="n"/>
      <c r="J403" s="5" t="n">
        <v>109.67</v>
      </c>
      <c r="K403" s="5" t="n"/>
      <c r="L403" s="5" t="n"/>
      <c r="M403" s="5" t="n"/>
      <c r="N403" s="5" t="n"/>
      <c r="O403" s="5" t="n">
        <v>658</v>
      </c>
      <c r="P403" s="5" t="n"/>
      <c r="Q403" s="5" t="n">
        <v>658</v>
      </c>
      <c r="R403" s="5" t="n"/>
    </row>
    <row r="404">
      <c r="A404" s="2" t="inlineStr">
        <is>
          <t>EJ010723.TXT</t>
        </is>
      </c>
      <c r="B404" s="3" t="inlineStr">
        <is>
          <t>004953</t>
        </is>
      </c>
      <c r="C404" s="3" t="inlineStr">
        <is>
          <t>003964</t>
        </is>
      </c>
      <c r="D404" s="4" t="n">
        <v>45104</v>
      </c>
      <c r="E404" s="2" t="inlineStr">
        <is>
          <t>10:15</t>
        </is>
      </c>
      <c r="F404" s="5" t="n">
        <v>548.33</v>
      </c>
      <c r="G404" s="5" t="n"/>
      <c r="H404" s="5" t="n"/>
      <c r="I404" s="5" t="n"/>
      <c r="J404" s="5" t="n">
        <v>109.67</v>
      </c>
      <c r="K404" s="5" t="n"/>
      <c r="L404" s="5" t="n"/>
      <c r="M404" s="5" t="n"/>
      <c r="N404" s="5" t="n"/>
      <c r="O404" s="5" t="n">
        <v>658</v>
      </c>
      <c r="P404" s="5" t="n"/>
      <c r="Q404" s="5" t="n">
        <v>658</v>
      </c>
      <c r="R404" s="5" t="n"/>
    </row>
    <row r="405">
      <c r="A405" s="2" t="inlineStr">
        <is>
          <t>EJ010723.TXT</t>
        </is>
      </c>
      <c r="B405" s="3" t="inlineStr">
        <is>
          <t>004954</t>
        </is>
      </c>
      <c r="C405" s="3" t="inlineStr">
        <is>
          <t>003965</t>
        </is>
      </c>
      <c r="D405" s="4" t="n">
        <v>45104</v>
      </c>
      <c r="E405" s="2" t="inlineStr">
        <is>
          <t>10:56</t>
        </is>
      </c>
      <c r="F405" s="5" t="n">
        <v>822.5</v>
      </c>
      <c r="G405" s="5" t="n"/>
      <c r="H405" s="5" t="n"/>
      <c r="I405" s="5" t="n"/>
      <c r="J405" s="5" t="n">
        <v>164.5</v>
      </c>
      <c r="K405" s="5" t="n"/>
      <c r="L405" s="5" t="n"/>
      <c r="M405" s="5" t="n"/>
      <c r="N405" s="5" t="n"/>
      <c r="O405" s="5" t="n">
        <v>987</v>
      </c>
      <c r="P405" s="5" t="n"/>
      <c r="Q405" s="5" t="n">
        <v>987</v>
      </c>
      <c r="R405" s="5" t="n"/>
    </row>
    <row r="406">
      <c r="A406" s="2" t="inlineStr">
        <is>
          <t>EJ010723.TXT</t>
        </is>
      </c>
      <c r="B406" s="3" t="inlineStr">
        <is>
          <t>004955</t>
        </is>
      </c>
      <c r="C406" s="3" t="inlineStr">
        <is>
          <t>003966</t>
        </is>
      </c>
      <c r="D406" s="4" t="n">
        <v>45104</v>
      </c>
      <c r="E406" s="2" t="inlineStr">
        <is>
          <t>11:04</t>
        </is>
      </c>
      <c r="F406" s="5" t="n">
        <v>822.5</v>
      </c>
      <c r="G406" s="5" t="n"/>
      <c r="H406" s="5" t="n"/>
      <c r="I406" s="5" t="n"/>
      <c r="J406" s="5" t="n">
        <v>164.5</v>
      </c>
      <c r="K406" s="5" t="n"/>
      <c r="L406" s="5" t="n"/>
      <c r="M406" s="5" t="n"/>
      <c r="N406" s="5" t="n"/>
      <c r="O406" s="5" t="n">
        <v>987</v>
      </c>
      <c r="P406" s="5" t="n"/>
      <c r="Q406" s="5" t="n">
        <v>987</v>
      </c>
      <c r="R406" s="5" t="n"/>
    </row>
    <row r="407">
      <c r="A407" s="2" t="inlineStr">
        <is>
          <t>EJ010723.TXT</t>
        </is>
      </c>
      <c r="B407" s="3" t="inlineStr">
        <is>
          <t>004956</t>
        </is>
      </c>
      <c r="C407" s="3" t="inlineStr">
        <is>
          <t>003967</t>
        </is>
      </c>
      <c r="D407" s="4" t="n">
        <v>45104</v>
      </c>
      <c r="E407" s="2" t="inlineStr">
        <is>
          <t>11:04</t>
        </is>
      </c>
      <c r="F407" s="5" t="n">
        <v>822.5</v>
      </c>
      <c r="G407" s="5" t="n"/>
      <c r="H407" s="5" t="n"/>
      <c r="I407" s="5" t="n"/>
      <c r="J407" s="5" t="n">
        <v>164.5</v>
      </c>
      <c r="K407" s="5" t="n"/>
      <c r="L407" s="5" t="n"/>
      <c r="M407" s="5" t="n"/>
      <c r="N407" s="5" t="n"/>
      <c r="O407" s="5" t="n">
        <v>987</v>
      </c>
      <c r="P407" s="5" t="n"/>
      <c r="Q407" s="5" t="n">
        <v>987</v>
      </c>
      <c r="R407" s="5" t="n"/>
    </row>
    <row r="408">
      <c r="A408" s="2" t="inlineStr">
        <is>
          <t>EJ010723.TXT</t>
        </is>
      </c>
      <c r="B408" s="3" t="inlineStr">
        <is>
          <t>004957</t>
        </is>
      </c>
      <c r="C408" s="3" t="inlineStr">
        <is>
          <t>003968</t>
        </is>
      </c>
      <c r="D408" s="4" t="n">
        <v>45104</v>
      </c>
      <c r="E408" s="2" t="inlineStr">
        <is>
          <t>11:05</t>
        </is>
      </c>
      <c r="F408" s="5" t="n">
        <v>822.5</v>
      </c>
      <c r="G408" s="5" t="n"/>
      <c r="H408" s="5" t="n"/>
      <c r="I408" s="5" t="n"/>
      <c r="J408" s="5" t="n">
        <v>164.5</v>
      </c>
      <c r="K408" s="5" t="n"/>
      <c r="L408" s="5" t="n"/>
      <c r="M408" s="5" t="n"/>
      <c r="N408" s="5" t="n"/>
      <c r="O408" s="5" t="n">
        <v>987</v>
      </c>
      <c r="P408" s="5" t="n"/>
      <c r="Q408" s="5" t="n">
        <v>987</v>
      </c>
      <c r="R408" s="5" t="n"/>
    </row>
    <row r="409">
      <c r="A409" s="2" t="inlineStr">
        <is>
          <t>EJ010723.TXT</t>
        </is>
      </c>
      <c r="B409" s="3" t="inlineStr">
        <is>
          <t>004958</t>
        </is>
      </c>
      <c r="C409" s="3" t="inlineStr">
        <is>
          <t>003969</t>
        </is>
      </c>
      <c r="D409" s="4" t="n">
        <v>45104</v>
      </c>
      <c r="E409" s="2" t="inlineStr">
        <is>
          <t>11:05</t>
        </is>
      </c>
      <c r="F409" s="5" t="n">
        <v>822.5</v>
      </c>
      <c r="G409" s="5" t="n"/>
      <c r="H409" s="5" t="n"/>
      <c r="I409" s="5" t="n"/>
      <c r="J409" s="5" t="n">
        <v>164.5</v>
      </c>
      <c r="K409" s="5" t="n"/>
      <c r="L409" s="5" t="n"/>
      <c r="M409" s="5" t="n"/>
      <c r="N409" s="5" t="n"/>
      <c r="O409" s="5" t="n">
        <v>987</v>
      </c>
      <c r="P409" s="5" t="n"/>
      <c r="Q409" s="5" t="n">
        <v>987</v>
      </c>
      <c r="R409" s="5" t="n"/>
    </row>
    <row r="410">
      <c r="A410" s="2" t="inlineStr">
        <is>
          <t>EJ010723.TXT</t>
        </is>
      </c>
      <c r="B410" s="3" t="inlineStr">
        <is>
          <t>004959</t>
        </is>
      </c>
      <c r="C410" s="3" t="inlineStr">
        <is>
          <t>003970</t>
        </is>
      </c>
      <c r="D410" s="4" t="n">
        <v>45104</v>
      </c>
      <c r="E410" s="2" t="inlineStr">
        <is>
          <t>11:12</t>
        </is>
      </c>
      <c r="F410" s="5" t="n">
        <v>208.33</v>
      </c>
      <c r="G410" s="5" t="n"/>
      <c r="H410" s="5" t="n"/>
      <c r="I410" s="5" t="n"/>
      <c r="J410" s="5" t="n">
        <v>41.67</v>
      </c>
      <c r="K410" s="5" t="n"/>
      <c r="L410" s="5" t="n"/>
      <c r="M410" s="5" t="n"/>
      <c r="N410" s="5" t="n"/>
      <c r="O410" s="5" t="n">
        <v>250</v>
      </c>
      <c r="P410" s="5" t="n"/>
      <c r="Q410" s="5" t="n">
        <v>250</v>
      </c>
      <c r="R410" s="5" t="n"/>
    </row>
    <row r="411">
      <c r="A411" s="2" t="inlineStr">
        <is>
          <t>EJ010723.TXT</t>
        </is>
      </c>
      <c r="B411" s="3" t="inlineStr">
        <is>
          <t>004960</t>
        </is>
      </c>
      <c r="C411" s="3" t="inlineStr">
        <is>
          <t>003971</t>
        </is>
      </c>
      <c r="D411" s="4" t="n">
        <v>45107</v>
      </c>
      <c r="E411" s="2" t="inlineStr">
        <is>
          <t>13:37</t>
        </is>
      </c>
      <c r="F411" s="5" t="n">
        <v>49.17</v>
      </c>
      <c r="G411" s="5" t="n"/>
      <c r="H411" s="5" t="n"/>
      <c r="I411" s="5" t="n"/>
      <c r="J411" s="5" t="n">
        <v>9.83</v>
      </c>
      <c r="K411" s="5" t="n"/>
      <c r="L411" s="5" t="n"/>
      <c r="M411" s="5" t="n"/>
      <c r="N411" s="5" t="n"/>
      <c r="O411" s="5" t="n">
        <v>59</v>
      </c>
      <c r="P411" s="5" t="n"/>
      <c r="Q411" s="5" t="n">
        <v>59</v>
      </c>
      <c r="R411" s="5" t="n"/>
    </row>
    <row r="412">
      <c r="A412" s="2" t="inlineStr">
        <is>
          <t>EJ010723.TXT</t>
        </is>
      </c>
      <c r="B412" s="3" t="inlineStr">
        <is>
          <t>004961</t>
        </is>
      </c>
      <c r="C412" s="3" t="inlineStr">
        <is>
          <t>003972</t>
        </is>
      </c>
      <c r="D412" s="4" t="n">
        <v>45107</v>
      </c>
      <c r="E412" s="2" t="inlineStr">
        <is>
          <t>13:38</t>
        </is>
      </c>
      <c r="F412" s="5" t="n">
        <v>49.17</v>
      </c>
      <c r="G412" s="5" t="n"/>
      <c r="H412" s="5" t="n"/>
      <c r="I412" s="5" t="n"/>
      <c r="J412" s="5" t="n">
        <v>9.83</v>
      </c>
      <c r="K412" s="5" t="n"/>
      <c r="L412" s="5" t="n"/>
      <c r="M412" s="5" t="n"/>
      <c r="N412" s="5" t="n"/>
      <c r="O412" s="5" t="n">
        <v>59</v>
      </c>
      <c r="P412" s="5" t="n"/>
      <c r="Q412" s="5" t="n">
        <v>59</v>
      </c>
      <c r="R412" s="5" t="n"/>
    </row>
    <row r="413">
      <c r="A413" s="2" t="inlineStr">
        <is>
          <t>EJ010723.TXT</t>
        </is>
      </c>
      <c r="B413" s="3" t="inlineStr">
        <is>
          <t>004962</t>
        </is>
      </c>
      <c r="C413" s="3" t="inlineStr">
        <is>
          <t>003973</t>
        </is>
      </c>
      <c r="D413" s="4" t="n">
        <v>45108</v>
      </c>
      <c r="E413" s="2" t="inlineStr">
        <is>
          <t>14:46</t>
        </is>
      </c>
      <c r="F413" s="5" t="n">
        <v>822.5</v>
      </c>
      <c r="G413" s="5" t="n"/>
      <c r="H413" s="5" t="n"/>
      <c r="I413" s="5" t="n"/>
      <c r="J413" s="5" t="n">
        <v>164.5</v>
      </c>
      <c r="K413" s="5" t="n"/>
      <c r="L413" s="5" t="n"/>
      <c r="M413" s="5" t="n"/>
      <c r="N413" s="5" t="n"/>
      <c r="O413" s="5" t="n">
        <v>987</v>
      </c>
      <c r="P413" s="5" t="n">
        <v>987</v>
      </c>
      <c r="Q413" s="5" t="n"/>
      <c r="R413" s="5" t="n"/>
    </row>
    <row r="414">
      <c r="A414" s="2" t="inlineStr">
        <is>
          <t>EJ010823.TXT</t>
        </is>
      </c>
      <c r="B414" s="3" t="inlineStr">
        <is>
          <t>004970</t>
        </is>
      </c>
      <c r="C414" s="3" t="inlineStr">
        <is>
          <t>003974</t>
        </is>
      </c>
      <c r="D414" s="4" t="n">
        <v>45108</v>
      </c>
      <c r="E414" s="2" t="inlineStr">
        <is>
          <t>16:34</t>
        </is>
      </c>
      <c r="F414" s="5" t="n">
        <v>822.5</v>
      </c>
      <c r="G414" s="5" t="n"/>
      <c r="H414" s="5" t="n"/>
      <c r="I414" s="5" t="n"/>
      <c r="J414" s="5" t="n">
        <v>164.5</v>
      </c>
      <c r="K414" s="5" t="n"/>
      <c r="L414" s="5" t="n"/>
      <c r="M414" s="5" t="n"/>
      <c r="N414" s="5" t="n"/>
      <c r="O414" s="5" t="n">
        <v>987</v>
      </c>
      <c r="P414" s="5" t="n">
        <v>987</v>
      </c>
      <c r="Q414" s="5" t="n"/>
      <c r="R414" s="5" t="n"/>
    </row>
    <row r="415">
      <c r="A415" s="2" t="inlineStr">
        <is>
          <t>EJ010823.TXT</t>
        </is>
      </c>
      <c r="B415" s="3" t="inlineStr">
        <is>
          <t>004971</t>
        </is>
      </c>
      <c r="C415" s="3" t="inlineStr">
        <is>
          <t>003975</t>
        </is>
      </c>
      <c r="D415" s="4" t="n">
        <v>45110</v>
      </c>
      <c r="E415" s="2" t="inlineStr">
        <is>
          <t>15:51</t>
        </is>
      </c>
      <c r="F415" s="5" t="n">
        <v>274.17</v>
      </c>
      <c r="G415" s="5" t="n"/>
      <c r="H415" s="5" t="n"/>
      <c r="I415" s="5" t="n"/>
      <c r="J415" s="5" t="n">
        <v>54.83</v>
      </c>
      <c r="K415" s="5" t="n"/>
      <c r="L415" s="5" t="n"/>
      <c r="M415" s="5" t="n"/>
      <c r="N415" s="5" t="n"/>
      <c r="O415" s="5" t="n">
        <v>329</v>
      </c>
      <c r="P415" s="5" t="n"/>
      <c r="Q415" s="5" t="n">
        <v>329</v>
      </c>
      <c r="R415" s="5" t="n"/>
    </row>
    <row r="416">
      <c r="A416" s="2" t="inlineStr">
        <is>
          <t>EJ010823.TXT</t>
        </is>
      </c>
      <c r="B416" s="3" t="inlineStr">
        <is>
          <t>004972</t>
        </is>
      </c>
      <c r="C416" s="3" t="inlineStr">
        <is>
          <t>003976</t>
        </is>
      </c>
      <c r="D416" s="4" t="n">
        <v>45111</v>
      </c>
      <c r="E416" s="2" t="inlineStr">
        <is>
          <t>15:19</t>
        </is>
      </c>
      <c r="F416" s="5" t="n">
        <v>822.5</v>
      </c>
      <c r="G416" s="5" t="n"/>
      <c r="H416" s="5" t="n"/>
      <c r="I416" s="5" t="n"/>
      <c r="J416" s="5" t="n">
        <v>164.5</v>
      </c>
      <c r="K416" s="5" t="n"/>
      <c r="L416" s="5" t="n"/>
      <c r="M416" s="5" t="n"/>
      <c r="N416" s="5" t="n"/>
      <c r="O416" s="5" t="n">
        <v>987</v>
      </c>
      <c r="P416" s="5" t="n"/>
      <c r="Q416" s="5" t="n">
        <v>987</v>
      </c>
      <c r="R416" s="5" t="n"/>
    </row>
    <row r="417">
      <c r="A417" s="2" t="inlineStr">
        <is>
          <t>EJ010823.TXT</t>
        </is>
      </c>
      <c r="B417" s="3" t="inlineStr">
        <is>
          <t>004973</t>
        </is>
      </c>
      <c r="C417" s="3" t="inlineStr">
        <is>
          <t>003977</t>
        </is>
      </c>
      <c r="D417" s="4" t="n">
        <v>45113</v>
      </c>
      <c r="E417" s="2" t="inlineStr">
        <is>
          <t>10:21</t>
        </is>
      </c>
      <c r="F417" s="5" t="n">
        <v>739.17</v>
      </c>
      <c r="G417" s="5" t="n"/>
      <c r="H417" s="5" t="n"/>
      <c r="I417" s="5" t="n"/>
      <c r="J417" s="5" t="n">
        <v>147.83</v>
      </c>
      <c r="K417" s="5" t="n"/>
      <c r="L417" s="5" t="n"/>
      <c r="M417" s="5" t="n"/>
      <c r="N417" s="5" t="n"/>
      <c r="O417" s="5" t="n">
        <v>887</v>
      </c>
      <c r="P417" s="5" t="n">
        <v>887</v>
      </c>
      <c r="Q417" s="5" t="n"/>
      <c r="R417" s="5" t="n"/>
    </row>
    <row r="418">
      <c r="A418" s="2" t="inlineStr">
        <is>
          <t>EJ010823.TXT</t>
        </is>
      </c>
      <c r="B418" s="3" t="inlineStr">
        <is>
          <t>004974</t>
        </is>
      </c>
      <c r="C418" s="3" t="inlineStr">
        <is>
          <t>003978</t>
        </is>
      </c>
      <c r="D418" s="4" t="n">
        <v>45113</v>
      </c>
      <c r="E418" s="2" t="inlineStr">
        <is>
          <t>12:21</t>
        </is>
      </c>
      <c r="F418" s="5" t="n">
        <v>274.17</v>
      </c>
      <c r="G418" s="5" t="n"/>
      <c r="H418" s="5" t="n"/>
      <c r="I418" s="5" t="n"/>
      <c r="J418" s="5" t="n">
        <v>54.83</v>
      </c>
      <c r="K418" s="5" t="n"/>
      <c r="L418" s="5" t="n"/>
      <c r="M418" s="5" t="n"/>
      <c r="N418" s="5" t="n"/>
      <c r="O418" s="5" t="n">
        <v>329</v>
      </c>
      <c r="P418" s="5" t="n"/>
      <c r="Q418" s="5" t="n">
        <v>329</v>
      </c>
      <c r="R418" s="5" t="n"/>
    </row>
    <row r="419">
      <c r="A419" s="2" t="inlineStr">
        <is>
          <t>EJ010823.TXT</t>
        </is>
      </c>
      <c r="B419" s="3" t="inlineStr">
        <is>
          <t>004975</t>
        </is>
      </c>
      <c r="C419" s="3" t="inlineStr">
        <is>
          <t>003979</t>
        </is>
      </c>
      <c r="D419" s="4" t="n">
        <v>45113</v>
      </c>
      <c r="E419" s="2" t="inlineStr">
        <is>
          <t>16:59</t>
        </is>
      </c>
      <c r="F419" s="5" t="n">
        <v>208.33</v>
      </c>
      <c r="G419" s="5" t="n"/>
      <c r="H419" s="5" t="n"/>
      <c r="I419" s="5" t="n"/>
      <c r="J419" s="5" t="n">
        <v>41.67</v>
      </c>
      <c r="K419" s="5" t="n"/>
      <c r="L419" s="5" t="n"/>
      <c r="M419" s="5" t="n"/>
      <c r="N419" s="5" t="n"/>
      <c r="O419" s="5" t="n">
        <v>250</v>
      </c>
      <c r="P419" s="5" t="n"/>
      <c r="Q419" s="5" t="n">
        <v>250</v>
      </c>
      <c r="R419" s="5" t="n"/>
    </row>
    <row r="420">
      <c r="A420" s="2" t="inlineStr">
        <is>
          <t>EJ010823.TXT</t>
        </is>
      </c>
      <c r="B420" s="3" t="inlineStr">
        <is>
          <t>004976</t>
        </is>
      </c>
      <c r="C420" s="3" t="inlineStr">
        <is>
          <t>003980</t>
        </is>
      </c>
      <c r="D420" s="4" t="n">
        <v>45114</v>
      </c>
      <c r="E420" s="2" t="inlineStr">
        <is>
          <t>13:41</t>
        </is>
      </c>
      <c r="F420" s="5" t="n">
        <v>822.5</v>
      </c>
      <c r="G420" s="5" t="n"/>
      <c r="H420" s="5" t="n"/>
      <c r="I420" s="5" t="n"/>
      <c r="J420" s="5" t="n">
        <v>164.5</v>
      </c>
      <c r="K420" s="5" t="n"/>
      <c r="L420" s="5" t="n"/>
      <c r="M420" s="5" t="n"/>
      <c r="N420" s="5" t="n"/>
      <c r="O420" s="5" t="n">
        <v>987</v>
      </c>
      <c r="P420" s="5" t="n">
        <v>987</v>
      </c>
      <c r="Q420" s="5" t="n"/>
      <c r="R420" s="5" t="n"/>
    </row>
    <row r="421">
      <c r="A421" s="2" t="inlineStr">
        <is>
          <t>EJ010823.TXT</t>
        </is>
      </c>
      <c r="B421" s="3" t="inlineStr">
        <is>
          <t>004977</t>
        </is>
      </c>
      <c r="C421" s="3" t="inlineStr">
        <is>
          <t>003981</t>
        </is>
      </c>
      <c r="D421" s="4" t="n">
        <v>45115</v>
      </c>
      <c r="E421" s="2" t="inlineStr">
        <is>
          <t>15:51</t>
        </is>
      </c>
      <c r="F421" s="5" t="n">
        <v>1063.33</v>
      </c>
      <c r="G421" s="5" t="n"/>
      <c r="H421" s="5" t="n"/>
      <c r="I421" s="5" t="n"/>
      <c r="J421" s="5" t="n">
        <v>212.67</v>
      </c>
      <c r="K421" s="5" t="n"/>
      <c r="L421" s="5" t="n"/>
      <c r="M421" s="5" t="n"/>
      <c r="N421" s="5" t="n"/>
      <c r="O421" s="5" t="n">
        <v>1276</v>
      </c>
      <c r="P421" s="5" t="n">
        <v>1276</v>
      </c>
      <c r="Q421" s="5" t="n"/>
      <c r="R421" s="5" t="n"/>
    </row>
    <row r="422">
      <c r="A422" s="2" t="inlineStr">
        <is>
          <t>EJ010823.TXT</t>
        </is>
      </c>
      <c r="B422" s="3" t="inlineStr">
        <is>
          <t>004978</t>
        </is>
      </c>
      <c r="C422" s="3" t="inlineStr">
        <is>
          <t>003982</t>
        </is>
      </c>
      <c r="D422" s="4" t="n">
        <v>45117</v>
      </c>
      <c r="E422" s="2" t="inlineStr">
        <is>
          <t>09:45</t>
        </is>
      </c>
      <c r="F422" s="5" t="n">
        <v>548.33</v>
      </c>
      <c r="G422" s="5" t="n"/>
      <c r="H422" s="5" t="n"/>
      <c r="I422" s="5" t="n"/>
      <c r="J422" s="5" t="n">
        <v>109.67</v>
      </c>
      <c r="K422" s="5" t="n"/>
      <c r="L422" s="5" t="n"/>
      <c r="M422" s="5" t="n"/>
      <c r="N422" s="5" t="n"/>
      <c r="O422" s="5" t="n">
        <v>658</v>
      </c>
      <c r="P422" s="5" t="n"/>
      <c r="Q422" s="5" t="n">
        <v>658</v>
      </c>
      <c r="R422" s="5" t="n"/>
    </row>
    <row r="423">
      <c r="A423" s="2" t="inlineStr">
        <is>
          <t>EJ010823.TXT</t>
        </is>
      </c>
      <c r="B423" s="3" t="inlineStr">
        <is>
          <t>004979</t>
        </is>
      </c>
      <c r="C423" s="3" t="inlineStr">
        <is>
          <t>003983</t>
        </is>
      </c>
      <c r="D423" s="4" t="n">
        <v>45117</v>
      </c>
      <c r="E423" s="2" t="inlineStr">
        <is>
          <t>11:59</t>
        </is>
      </c>
      <c r="F423" s="5" t="n">
        <v>548.33</v>
      </c>
      <c r="G423" s="5" t="n"/>
      <c r="H423" s="5" t="n"/>
      <c r="I423" s="5" t="n"/>
      <c r="J423" s="5" t="n">
        <v>109.67</v>
      </c>
      <c r="K423" s="5" t="n"/>
      <c r="L423" s="5" t="n"/>
      <c r="M423" s="5" t="n"/>
      <c r="N423" s="5" t="n"/>
      <c r="O423" s="5" t="n">
        <v>658</v>
      </c>
      <c r="P423" s="5" t="n">
        <v>658</v>
      </c>
      <c r="Q423" s="5" t="n"/>
      <c r="R423" s="5" t="n"/>
    </row>
    <row r="424">
      <c r="A424" s="2" t="inlineStr">
        <is>
          <t>EJ010823.TXT</t>
        </is>
      </c>
      <c r="B424" s="3" t="inlineStr">
        <is>
          <t>004980</t>
        </is>
      </c>
      <c r="C424" s="3" t="inlineStr">
        <is>
          <t>003984</t>
        </is>
      </c>
      <c r="D424" s="4" t="n">
        <v>45117</v>
      </c>
      <c r="E424" s="2" t="inlineStr">
        <is>
          <t>14:42</t>
        </is>
      </c>
      <c r="F424" s="5" t="n">
        <v>274.17</v>
      </c>
      <c r="G424" s="5" t="n"/>
      <c r="H424" s="5" t="n"/>
      <c r="I424" s="5" t="n"/>
      <c r="J424" s="5" t="n">
        <v>54.83</v>
      </c>
      <c r="K424" s="5" t="n"/>
      <c r="L424" s="5" t="n"/>
      <c r="M424" s="5" t="n"/>
      <c r="N424" s="5" t="n"/>
      <c r="O424" s="5" t="n">
        <v>329</v>
      </c>
      <c r="P424" s="5" t="n">
        <v>329</v>
      </c>
      <c r="Q424" s="5" t="n"/>
      <c r="R424" s="5" t="n"/>
    </row>
    <row r="425">
      <c r="A425" s="2" t="inlineStr">
        <is>
          <t>EJ010823.TXT</t>
        </is>
      </c>
      <c r="B425" s="3" t="inlineStr">
        <is>
          <t>004981</t>
        </is>
      </c>
      <c r="C425" s="3" t="inlineStr">
        <is>
          <t>003985</t>
        </is>
      </c>
      <c r="D425" s="4" t="n">
        <v>45117</v>
      </c>
      <c r="E425" s="2" t="inlineStr">
        <is>
          <t>15:00</t>
        </is>
      </c>
      <c r="F425" s="5" t="n">
        <v>723.33</v>
      </c>
      <c r="G425" s="5" t="n"/>
      <c r="H425" s="5" t="n"/>
      <c r="I425" s="5" t="n"/>
      <c r="J425" s="5" t="n">
        <v>144.67</v>
      </c>
      <c r="K425" s="5" t="n"/>
      <c r="L425" s="5" t="n"/>
      <c r="M425" s="5" t="n"/>
      <c r="N425" s="5" t="n"/>
      <c r="O425" s="5" t="n">
        <v>868</v>
      </c>
      <c r="P425" s="5" t="n"/>
      <c r="Q425" s="5" t="n">
        <v>868</v>
      </c>
      <c r="R425" s="5" t="n"/>
    </row>
    <row r="426">
      <c r="A426" s="2" t="inlineStr">
        <is>
          <t>EJ010823.TXT</t>
        </is>
      </c>
      <c r="B426" s="3" t="inlineStr">
        <is>
          <t>004982</t>
        </is>
      </c>
      <c r="C426" s="3" t="inlineStr">
        <is>
          <t>003986</t>
        </is>
      </c>
      <c r="D426" s="4" t="n">
        <v>45124</v>
      </c>
      <c r="E426" s="2" t="inlineStr">
        <is>
          <t>15:20</t>
        </is>
      </c>
      <c r="F426" s="5" t="n">
        <v>822.5</v>
      </c>
      <c r="G426" s="5" t="n"/>
      <c r="H426" s="5" t="n"/>
      <c r="I426" s="5" t="n"/>
      <c r="J426" s="5" t="n">
        <v>164.5</v>
      </c>
      <c r="K426" s="5" t="n"/>
      <c r="L426" s="5" t="n"/>
      <c r="M426" s="5" t="n"/>
      <c r="N426" s="5" t="n"/>
      <c r="O426" s="5" t="n">
        <v>987</v>
      </c>
      <c r="P426" s="5" t="n"/>
      <c r="Q426" s="5" t="n">
        <v>987</v>
      </c>
      <c r="R426" s="5" t="n"/>
    </row>
    <row r="427">
      <c r="A427" s="2" t="inlineStr">
        <is>
          <t>EJ010823.TXT</t>
        </is>
      </c>
      <c r="B427" s="3" t="inlineStr">
        <is>
          <t>004983</t>
        </is>
      </c>
      <c r="C427" s="3" t="inlineStr">
        <is>
          <t>003987</t>
        </is>
      </c>
      <c r="D427" s="4" t="n">
        <v>45125</v>
      </c>
      <c r="E427" s="2" t="inlineStr">
        <is>
          <t>16:07</t>
        </is>
      </c>
      <c r="F427" s="5" t="n">
        <v>822.5</v>
      </c>
      <c r="G427" s="5" t="n"/>
      <c r="H427" s="5" t="n"/>
      <c r="I427" s="5" t="n"/>
      <c r="J427" s="5" t="n">
        <v>164.5</v>
      </c>
      <c r="K427" s="5" t="n"/>
      <c r="L427" s="5" t="n"/>
      <c r="M427" s="5" t="n"/>
      <c r="N427" s="5" t="n"/>
      <c r="O427" s="5" t="n">
        <v>987</v>
      </c>
      <c r="P427" s="5" t="n"/>
      <c r="Q427" s="5" t="n">
        <v>987</v>
      </c>
      <c r="R427" s="5" t="n"/>
    </row>
    <row r="428">
      <c r="A428" s="2" t="inlineStr">
        <is>
          <t>EJ010823.TXT</t>
        </is>
      </c>
      <c r="B428" s="3" t="inlineStr">
        <is>
          <t>004984</t>
        </is>
      </c>
      <c r="C428" s="3" t="inlineStr">
        <is>
          <t>003988</t>
        </is>
      </c>
      <c r="D428" s="4" t="n">
        <v>45125</v>
      </c>
      <c r="E428" s="2" t="inlineStr">
        <is>
          <t>16:07</t>
        </is>
      </c>
      <c r="F428" s="5" t="n">
        <v>822.5</v>
      </c>
      <c r="G428" s="5" t="n"/>
      <c r="H428" s="5" t="n"/>
      <c r="I428" s="5" t="n"/>
      <c r="J428" s="5" t="n">
        <v>164.5</v>
      </c>
      <c r="K428" s="5" t="n"/>
      <c r="L428" s="5" t="n"/>
      <c r="M428" s="5" t="n"/>
      <c r="N428" s="5" t="n"/>
      <c r="O428" s="5" t="n">
        <v>987</v>
      </c>
      <c r="P428" s="5" t="n"/>
      <c r="Q428" s="5" t="n">
        <v>987</v>
      </c>
      <c r="R428" s="5" t="n"/>
    </row>
    <row r="429">
      <c r="A429" s="2" t="inlineStr">
        <is>
          <t>EJ010823.TXT</t>
        </is>
      </c>
      <c r="B429" s="3" t="inlineStr">
        <is>
          <t>004985</t>
        </is>
      </c>
      <c r="C429" s="3" t="inlineStr">
        <is>
          <t>003989</t>
        </is>
      </c>
      <c r="D429" s="4" t="n">
        <v>45126</v>
      </c>
      <c r="E429" s="2" t="inlineStr">
        <is>
          <t>10:33</t>
        </is>
      </c>
      <c r="F429" s="5" t="n">
        <v>548.33</v>
      </c>
      <c r="G429" s="5" t="n"/>
      <c r="H429" s="5" t="n"/>
      <c r="I429" s="5" t="n"/>
      <c r="J429" s="5" t="n">
        <v>109.67</v>
      </c>
      <c r="K429" s="5" t="n"/>
      <c r="L429" s="5" t="n"/>
      <c r="M429" s="5" t="n"/>
      <c r="N429" s="5" t="n"/>
      <c r="O429" s="5" t="n">
        <v>658</v>
      </c>
      <c r="P429" s="5" t="n"/>
      <c r="Q429" s="5" t="n">
        <v>658</v>
      </c>
      <c r="R429" s="5" t="n"/>
    </row>
    <row r="430">
      <c r="A430" s="2" t="inlineStr">
        <is>
          <t>EJ010823.TXT</t>
        </is>
      </c>
      <c r="B430" s="3" t="inlineStr">
        <is>
          <t>004986</t>
        </is>
      </c>
      <c r="C430" s="3" t="inlineStr">
        <is>
          <t>003990</t>
        </is>
      </c>
      <c r="D430" s="4" t="n">
        <v>45126</v>
      </c>
      <c r="E430" s="2" t="inlineStr">
        <is>
          <t>11:23</t>
        </is>
      </c>
      <c r="F430" s="5" t="n">
        <v>822.5</v>
      </c>
      <c r="G430" s="5" t="n"/>
      <c r="H430" s="5" t="n"/>
      <c r="I430" s="5" t="n"/>
      <c r="J430" s="5" t="n">
        <v>164.5</v>
      </c>
      <c r="K430" s="5" t="n"/>
      <c r="L430" s="5" t="n"/>
      <c r="M430" s="5" t="n"/>
      <c r="N430" s="5" t="n"/>
      <c r="O430" s="5" t="n">
        <v>987</v>
      </c>
      <c r="P430" s="5" t="n"/>
      <c r="Q430" s="5" t="n">
        <v>987</v>
      </c>
      <c r="R430" s="5" t="n"/>
    </row>
    <row r="431">
      <c r="A431" s="2" t="inlineStr">
        <is>
          <t>EJ010823.TXT</t>
        </is>
      </c>
      <c r="B431" s="3" t="inlineStr">
        <is>
          <t>004987</t>
        </is>
      </c>
      <c r="C431" s="3" t="inlineStr">
        <is>
          <t>003991</t>
        </is>
      </c>
      <c r="D431" s="4" t="n">
        <v>45126</v>
      </c>
      <c r="E431" s="2" t="inlineStr">
        <is>
          <t>11:23</t>
        </is>
      </c>
      <c r="F431" s="5" t="n">
        <v>822.5</v>
      </c>
      <c r="G431" s="5" t="n"/>
      <c r="H431" s="5" t="n"/>
      <c r="I431" s="5" t="n"/>
      <c r="J431" s="5" t="n">
        <v>164.5</v>
      </c>
      <c r="K431" s="5" t="n"/>
      <c r="L431" s="5" t="n"/>
      <c r="M431" s="5" t="n"/>
      <c r="N431" s="5" t="n"/>
      <c r="O431" s="5" t="n">
        <v>987</v>
      </c>
      <c r="P431" s="5" t="n"/>
      <c r="Q431" s="5" t="n">
        <v>987</v>
      </c>
      <c r="R431" s="5" t="n"/>
    </row>
    <row r="432">
      <c r="A432" s="2" t="inlineStr">
        <is>
          <t>EJ010823.TXT</t>
        </is>
      </c>
      <c r="B432" s="3" t="inlineStr">
        <is>
          <t>004988</t>
        </is>
      </c>
      <c r="C432" s="3" t="inlineStr">
        <is>
          <t>003992</t>
        </is>
      </c>
      <c r="D432" s="4" t="n">
        <v>45126</v>
      </c>
      <c r="E432" s="2" t="inlineStr">
        <is>
          <t>13:53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</row>
    <row r="433">
      <c r="A433" s="2" t="inlineStr">
        <is>
          <t>EJ010823.TXT</t>
        </is>
      </c>
      <c r="B433" s="3" t="inlineStr">
        <is>
          <t>004989</t>
        </is>
      </c>
      <c r="C433" s="3" t="inlineStr">
        <is>
          <t>003993</t>
        </is>
      </c>
      <c r="D433" s="4" t="n">
        <v>45128</v>
      </c>
      <c r="E433" s="2" t="inlineStr">
        <is>
          <t>15:09</t>
        </is>
      </c>
      <c r="F433" s="5" t="n">
        <v>825</v>
      </c>
      <c r="G433" s="5" t="n"/>
      <c r="H433" s="5" t="n"/>
      <c r="I433" s="5" t="n"/>
      <c r="J433" s="5" t="n">
        <v>165</v>
      </c>
      <c r="K433" s="5" t="n"/>
      <c r="L433" s="5" t="n"/>
      <c r="M433" s="5" t="n"/>
      <c r="N433" s="5" t="n"/>
      <c r="O433" s="5" t="n">
        <v>990</v>
      </c>
      <c r="P433" s="5" t="n"/>
      <c r="Q433" s="5" t="n">
        <v>990</v>
      </c>
      <c r="R433" s="5" t="n"/>
    </row>
    <row r="434">
      <c r="A434" s="2" t="inlineStr">
        <is>
          <t>EJ010823.TXT</t>
        </is>
      </c>
      <c r="B434" s="3" t="inlineStr">
        <is>
          <t>004990</t>
        </is>
      </c>
      <c r="C434" s="3" t="inlineStr">
        <is>
          <t>003994</t>
        </is>
      </c>
      <c r="D434" s="4" t="n">
        <v>45128</v>
      </c>
      <c r="E434" s="2" t="inlineStr">
        <is>
          <t>15:15</t>
        </is>
      </c>
      <c r="F434" s="5" t="n">
        <v>548.33</v>
      </c>
      <c r="G434" s="5" t="n"/>
      <c r="H434" s="5" t="n"/>
      <c r="I434" s="5" t="n"/>
      <c r="J434" s="5" t="n">
        <v>109.67</v>
      </c>
      <c r="K434" s="5" t="n"/>
      <c r="L434" s="5" t="n"/>
      <c r="M434" s="5" t="n"/>
      <c r="N434" s="5" t="n"/>
      <c r="O434" s="5" t="n">
        <v>658</v>
      </c>
      <c r="P434" s="5" t="n"/>
      <c r="Q434" s="5" t="n">
        <v>658</v>
      </c>
      <c r="R434" s="5" t="n"/>
    </row>
    <row r="435">
      <c r="A435" s="2" t="inlineStr">
        <is>
          <t>EJ010823.TXT</t>
        </is>
      </c>
      <c r="B435" s="3" t="inlineStr">
        <is>
          <t>004991</t>
        </is>
      </c>
      <c r="C435" s="3" t="inlineStr">
        <is>
          <t>003995</t>
        </is>
      </c>
      <c r="D435" s="4" t="n">
        <v>45131</v>
      </c>
      <c r="E435" s="2" t="inlineStr">
        <is>
          <t>09:30</t>
        </is>
      </c>
      <c r="F435" s="5" t="n">
        <v>548.33</v>
      </c>
      <c r="G435" s="5" t="n"/>
      <c r="H435" s="5" t="n"/>
      <c r="I435" s="5" t="n"/>
      <c r="J435" s="5" t="n">
        <v>109.67</v>
      </c>
      <c r="K435" s="5" t="n"/>
      <c r="L435" s="5" t="n"/>
      <c r="M435" s="5" t="n"/>
      <c r="N435" s="5" t="n"/>
      <c r="O435" s="5" t="n">
        <v>658</v>
      </c>
      <c r="P435" s="5" t="n"/>
      <c r="Q435" s="5" t="n">
        <v>658</v>
      </c>
      <c r="R435" s="5" t="n"/>
    </row>
    <row r="436">
      <c r="A436" s="2" t="inlineStr">
        <is>
          <t>EJ010823.TXT</t>
        </is>
      </c>
      <c r="B436" s="3" t="inlineStr">
        <is>
          <t>004992</t>
        </is>
      </c>
      <c r="C436" s="3" t="inlineStr">
        <is>
          <t>003996</t>
        </is>
      </c>
      <c r="D436" s="4" t="n">
        <v>45131</v>
      </c>
      <c r="E436" s="2" t="inlineStr">
        <is>
          <t>17:10</t>
        </is>
      </c>
      <c r="F436" s="5" t="n">
        <v>2261.67</v>
      </c>
      <c r="G436" s="5" t="n"/>
      <c r="H436" s="5" t="n"/>
      <c r="I436" s="5" t="n"/>
      <c r="J436" s="5" t="n">
        <v>452.33</v>
      </c>
      <c r="K436" s="5" t="n"/>
      <c r="L436" s="5" t="n"/>
      <c r="M436" s="5" t="n"/>
      <c r="N436" s="5" t="n"/>
      <c r="O436" s="5" t="n">
        <v>2714</v>
      </c>
      <c r="P436" s="5" t="n">
        <v>2714</v>
      </c>
      <c r="Q436" s="5" t="n"/>
      <c r="R436" s="5" t="n"/>
    </row>
    <row r="437">
      <c r="A437" s="2" t="inlineStr">
        <is>
          <t>EJ010823.TXT</t>
        </is>
      </c>
      <c r="B437" s="3" t="inlineStr">
        <is>
          <t>004993</t>
        </is>
      </c>
      <c r="C437" s="3" t="inlineStr">
        <is>
          <t>003997</t>
        </is>
      </c>
      <c r="D437" s="4" t="n">
        <v>45132</v>
      </c>
      <c r="E437" s="2" t="inlineStr">
        <is>
          <t>11:14</t>
        </is>
      </c>
      <c r="F437" s="5" t="n">
        <v>208.33</v>
      </c>
      <c r="G437" s="5" t="n"/>
      <c r="H437" s="5" t="n"/>
      <c r="I437" s="5" t="n"/>
      <c r="J437" s="5" t="n">
        <v>41.67</v>
      </c>
      <c r="K437" s="5" t="n"/>
      <c r="L437" s="5" t="n"/>
      <c r="M437" s="5" t="n"/>
      <c r="N437" s="5" t="n"/>
      <c r="O437" s="5" t="n">
        <v>250</v>
      </c>
      <c r="P437" s="5" t="n"/>
      <c r="Q437" s="5" t="n">
        <v>250</v>
      </c>
      <c r="R437" s="5" t="n"/>
    </row>
    <row r="438">
      <c r="A438" s="2" t="inlineStr">
        <is>
          <t>EJ010823.TXT</t>
        </is>
      </c>
      <c r="B438" s="3" t="inlineStr">
        <is>
          <t>004994</t>
        </is>
      </c>
      <c r="C438" s="3" t="inlineStr">
        <is>
          <t>003998</t>
        </is>
      </c>
      <c r="D438" s="4" t="n">
        <v>45132</v>
      </c>
      <c r="E438" s="2" t="inlineStr">
        <is>
          <t>15:16</t>
        </is>
      </c>
      <c r="F438" s="5" t="n">
        <v>208.33</v>
      </c>
      <c r="G438" s="5" t="n"/>
      <c r="H438" s="5" t="n"/>
      <c r="I438" s="5" t="n"/>
      <c r="J438" s="5" t="n">
        <v>41.67</v>
      </c>
      <c r="K438" s="5" t="n"/>
      <c r="L438" s="5" t="n"/>
      <c r="M438" s="5" t="n"/>
      <c r="N438" s="5" t="n"/>
      <c r="O438" s="5" t="n">
        <v>250</v>
      </c>
      <c r="P438" s="5" t="n"/>
      <c r="Q438" s="5" t="n">
        <v>250</v>
      </c>
      <c r="R438" s="5" t="n"/>
    </row>
    <row r="439">
      <c r="A439" s="2" t="inlineStr">
        <is>
          <t>EJ010823.TXT</t>
        </is>
      </c>
      <c r="B439" s="3" t="inlineStr">
        <is>
          <t>004995</t>
        </is>
      </c>
      <c r="C439" s="3" t="inlineStr">
        <is>
          <t>003999</t>
        </is>
      </c>
      <c r="D439" s="4" t="n">
        <v>45134</v>
      </c>
      <c r="E439" s="2" t="inlineStr">
        <is>
          <t>14:18</t>
        </is>
      </c>
      <c r="F439" s="5" t="n">
        <v>822.5</v>
      </c>
      <c r="G439" s="5" t="n"/>
      <c r="H439" s="5" t="n"/>
      <c r="I439" s="5" t="n"/>
      <c r="J439" s="5" t="n">
        <v>164.5</v>
      </c>
      <c r="K439" s="5" t="n"/>
      <c r="L439" s="5" t="n"/>
      <c r="M439" s="5" t="n"/>
      <c r="N439" s="5" t="n"/>
      <c r="O439" s="5" t="n">
        <v>987</v>
      </c>
      <c r="P439" s="5" t="n"/>
      <c r="Q439" s="5" t="n">
        <v>987</v>
      </c>
      <c r="R439" s="5" t="n"/>
    </row>
    <row r="440">
      <c r="A440" s="2" t="inlineStr">
        <is>
          <t>EJ010823.TXT</t>
        </is>
      </c>
      <c r="B440" s="3" t="inlineStr">
        <is>
          <t>004996</t>
        </is>
      </c>
      <c r="C440" s="3" t="inlineStr">
        <is>
          <t>004000</t>
        </is>
      </c>
      <c r="D440" s="4" t="n">
        <v>45134</v>
      </c>
      <c r="E440" s="2" t="inlineStr">
        <is>
          <t>14:20</t>
        </is>
      </c>
      <c r="F440" s="5" t="n">
        <v>797.5</v>
      </c>
      <c r="G440" s="5" t="n"/>
      <c r="H440" s="5" t="n"/>
      <c r="I440" s="5" t="n"/>
      <c r="J440" s="5" t="n">
        <v>159.5</v>
      </c>
      <c r="K440" s="5" t="n"/>
      <c r="L440" s="5" t="n"/>
      <c r="M440" s="5" t="n"/>
      <c r="N440" s="5" t="n"/>
      <c r="O440" s="5" t="n">
        <v>957</v>
      </c>
      <c r="P440" s="5" t="n"/>
      <c r="Q440" s="5" t="n">
        <v>957</v>
      </c>
      <c r="R440" s="5" t="n"/>
    </row>
    <row r="441">
      <c r="A441" s="2" t="inlineStr">
        <is>
          <t>EJ010823.TXT</t>
        </is>
      </c>
      <c r="B441" s="3" t="inlineStr">
        <is>
          <t>004997</t>
        </is>
      </c>
      <c r="C441" s="3" t="inlineStr">
        <is>
          <t>004001</t>
        </is>
      </c>
      <c r="D441" s="4" t="n">
        <v>45134</v>
      </c>
      <c r="E441" s="2" t="inlineStr">
        <is>
          <t>14:21</t>
        </is>
      </c>
      <c r="F441" s="5" t="n">
        <v>797.5</v>
      </c>
      <c r="G441" s="5" t="n"/>
      <c r="H441" s="5" t="n"/>
      <c r="I441" s="5" t="n"/>
      <c r="J441" s="5" t="n">
        <v>159.5</v>
      </c>
      <c r="K441" s="5" t="n"/>
      <c r="L441" s="5" t="n"/>
      <c r="M441" s="5" t="n"/>
      <c r="N441" s="5" t="n"/>
      <c r="O441" s="5" t="n">
        <v>957</v>
      </c>
      <c r="P441" s="5" t="n"/>
      <c r="Q441" s="5" t="n">
        <v>957</v>
      </c>
      <c r="R441" s="5" t="n"/>
    </row>
    <row r="442">
      <c r="A442" s="2" t="inlineStr">
        <is>
          <t>EJ010823.TXT</t>
        </is>
      </c>
      <c r="B442" s="3" t="inlineStr">
        <is>
          <t>004998</t>
        </is>
      </c>
      <c r="C442" s="3" t="inlineStr">
        <is>
          <t>004002</t>
        </is>
      </c>
      <c r="D442" s="4" t="n">
        <v>45134</v>
      </c>
      <c r="E442" s="2" t="inlineStr">
        <is>
          <t>15:42</t>
        </is>
      </c>
      <c r="F442" s="5" t="n">
        <v>1096.67</v>
      </c>
      <c r="G442" s="5" t="n"/>
      <c r="H442" s="5" t="n"/>
      <c r="I442" s="5" t="n"/>
      <c r="J442" s="5" t="n">
        <v>219.33</v>
      </c>
      <c r="K442" s="5" t="n"/>
      <c r="L442" s="5" t="n"/>
      <c r="M442" s="5" t="n"/>
      <c r="N442" s="5" t="n"/>
      <c r="O442" s="5" t="n">
        <v>1316</v>
      </c>
      <c r="P442" s="5" t="n">
        <v>1316</v>
      </c>
      <c r="Q442" s="5" t="n"/>
      <c r="R442" s="5" t="n"/>
    </row>
    <row r="443">
      <c r="A443" s="2" t="inlineStr">
        <is>
          <t>EJ010823.TXT</t>
        </is>
      </c>
      <c r="B443" s="3" t="inlineStr">
        <is>
          <t>004999</t>
        </is>
      </c>
      <c r="C443" s="3" t="inlineStr">
        <is>
          <t>004003</t>
        </is>
      </c>
      <c r="D443" s="4" t="n">
        <v>45136</v>
      </c>
      <c r="E443" s="2" t="inlineStr">
        <is>
          <t>11:01</t>
        </is>
      </c>
      <c r="F443" s="5" t="n">
        <v>649.17</v>
      </c>
      <c r="G443" s="5" t="n"/>
      <c r="H443" s="5" t="n"/>
      <c r="I443" s="5" t="n"/>
      <c r="J443" s="5" t="n">
        <v>129.83</v>
      </c>
      <c r="K443" s="5" t="n"/>
      <c r="L443" s="5" t="n"/>
      <c r="M443" s="5" t="n"/>
      <c r="N443" s="5" t="n"/>
      <c r="O443" s="5" t="n">
        <v>779</v>
      </c>
      <c r="P443" s="5" t="n"/>
      <c r="Q443" s="5" t="n">
        <v>779</v>
      </c>
      <c r="R443" s="5" t="n"/>
    </row>
    <row r="444">
      <c r="A444" s="2" t="inlineStr">
        <is>
          <t>EJ010823.TXT</t>
        </is>
      </c>
      <c r="B444" s="3" t="inlineStr">
        <is>
          <t>005000</t>
        </is>
      </c>
      <c r="C444" s="3" t="inlineStr">
        <is>
          <t>004004</t>
        </is>
      </c>
      <c r="D444" s="4" t="n">
        <v>45136</v>
      </c>
      <c r="E444" s="2" t="inlineStr">
        <is>
          <t>11:04</t>
        </is>
      </c>
      <c r="F444" s="5" t="n">
        <v>797.5</v>
      </c>
      <c r="G444" s="5" t="n"/>
      <c r="H444" s="5" t="n"/>
      <c r="I444" s="5" t="n"/>
      <c r="J444" s="5" t="n">
        <v>159.5</v>
      </c>
      <c r="K444" s="5" t="n"/>
      <c r="L444" s="5" t="n"/>
      <c r="M444" s="5" t="n"/>
      <c r="N444" s="5" t="n"/>
      <c r="O444" s="5" t="n">
        <v>957</v>
      </c>
      <c r="P444" s="5" t="n"/>
      <c r="Q444" s="5" t="n">
        <v>957</v>
      </c>
      <c r="R444" s="5" t="n"/>
    </row>
    <row r="445">
      <c r="A445" s="2" t="inlineStr">
        <is>
          <t>EJ010823.TXT</t>
        </is>
      </c>
      <c r="B445" s="3" t="inlineStr">
        <is>
          <t>005001</t>
        </is>
      </c>
      <c r="C445" s="3" t="inlineStr">
        <is>
          <t>004005</t>
        </is>
      </c>
      <c r="D445" s="4" t="n">
        <v>45136</v>
      </c>
      <c r="E445" s="2" t="inlineStr">
        <is>
          <t>11:05</t>
        </is>
      </c>
      <c r="F445" s="5" t="n">
        <v>797.5</v>
      </c>
      <c r="G445" s="5" t="n"/>
      <c r="H445" s="5" t="n"/>
      <c r="I445" s="5" t="n"/>
      <c r="J445" s="5" t="n">
        <v>159.5</v>
      </c>
      <c r="K445" s="5" t="n"/>
      <c r="L445" s="5" t="n"/>
      <c r="M445" s="5" t="n"/>
      <c r="N445" s="5" t="n"/>
      <c r="O445" s="5" t="n">
        <v>957</v>
      </c>
      <c r="P445" s="5" t="n"/>
      <c r="Q445" s="5" t="n">
        <v>957</v>
      </c>
      <c r="R445" s="5" t="n"/>
    </row>
    <row r="446">
      <c r="A446" s="2" t="inlineStr">
        <is>
          <t>EJ010823.TXT</t>
        </is>
      </c>
      <c r="B446" s="3" t="inlineStr">
        <is>
          <t>005002</t>
        </is>
      </c>
      <c r="C446" s="3" t="inlineStr">
        <is>
          <t>004006</t>
        </is>
      </c>
      <c r="D446" s="4" t="n">
        <v>45136</v>
      </c>
      <c r="E446" s="2" t="inlineStr">
        <is>
          <t>11:23</t>
        </is>
      </c>
      <c r="F446" s="5" t="n">
        <v>1096.67</v>
      </c>
      <c r="G446" s="5" t="n"/>
      <c r="H446" s="5" t="n"/>
      <c r="I446" s="5" t="n"/>
      <c r="J446" s="5" t="n">
        <v>219.33</v>
      </c>
      <c r="K446" s="5" t="n"/>
      <c r="L446" s="5" t="n"/>
      <c r="M446" s="5" t="n"/>
      <c r="N446" s="5" t="n"/>
      <c r="O446" s="5" t="n">
        <v>1316</v>
      </c>
      <c r="P446" s="5" t="n">
        <v>1316</v>
      </c>
      <c r="Q446" s="5" t="n"/>
      <c r="R446" s="5" t="n"/>
    </row>
    <row r="447">
      <c r="A447" s="2" t="inlineStr">
        <is>
          <t>EJ010823.TXT</t>
        </is>
      </c>
      <c r="B447" s="3" t="inlineStr">
        <is>
          <t>005003</t>
        </is>
      </c>
      <c r="C447" s="3" t="inlineStr">
        <is>
          <t>004007</t>
        </is>
      </c>
      <c r="D447" s="4" t="n">
        <v>45136</v>
      </c>
      <c r="E447" s="2" t="inlineStr">
        <is>
          <t>11:24</t>
        </is>
      </c>
      <c r="F447" s="5" t="n">
        <v>1096.67</v>
      </c>
      <c r="G447" s="5" t="n"/>
      <c r="H447" s="5" t="n"/>
      <c r="I447" s="5" t="n"/>
      <c r="J447" s="5" t="n">
        <v>219.33</v>
      </c>
      <c r="K447" s="5" t="n"/>
      <c r="L447" s="5" t="n"/>
      <c r="M447" s="5" t="n"/>
      <c r="N447" s="5" t="n"/>
      <c r="O447" s="5" t="n">
        <v>1316</v>
      </c>
      <c r="P447" s="5" t="n">
        <v>1316</v>
      </c>
      <c r="Q447" s="5" t="n"/>
      <c r="R447" s="5" t="n"/>
    </row>
    <row r="448">
      <c r="A448" s="2" t="inlineStr">
        <is>
          <t>EJ010823.TXT</t>
        </is>
      </c>
      <c r="B448" s="3" t="inlineStr">
        <is>
          <t>005004</t>
        </is>
      </c>
      <c r="C448" s="3" t="inlineStr">
        <is>
          <t>004008</t>
        </is>
      </c>
      <c r="D448" s="4" t="n">
        <v>45136</v>
      </c>
      <c r="E448" s="2" t="inlineStr">
        <is>
          <t>16:15</t>
        </is>
      </c>
      <c r="F448" s="5" t="n">
        <v>274.17</v>
      </c>
      <c r="G448" s="5" t="n"/>
      <c r="H448" s="5" t="n"/>
      <c r="I448" s="5" t="n"/>
      <c r="J448" s="5" t="n">
        <v>54.83</v>
      </c>
      <c r="K448" s="5" t="n"/>
      <c r="L448" s="5" t="n"/>
      <c r="M448" s="5" t="n"/>
      <c r="N448" s="5" t="n"/>
      <c r="O448" s="5" t="n">
        <v>329</v>
      </c>
      <c r="P448" s="5" t="n">
        <v>329</v>
      </c>
      <c r="Q448" s="5" t="n"/>
      <c r="R448" s="5" t="n"/>
    </row>
    <row r="449">
      <c r="A449" s="2" t="inlineStr">
        <is>
          <t>EJ010823.TXT</t>
        </is>
      </c>
      <c r="B449" s="3" t="inlineStr">
        <is>
          <t>005005</t>
        </is>
      </c>
      <c r="C449" s="3" t="inlineStr">
        <is>
          <t>004009</t>
        </is>
      </c>
      <c r="D449" s="4" t="n">
        <v>45136</v>
      </c>
      <c r="E449" s="2" t="inlineStr">
        <is>
          <t>17:17</t>
        </is>
      </c>
      <c r="F449" s="5" t="n">
        <v>274.17</v>
      </c>
      <c r="G449" s="5" t="n"/>
      <c r="H449" s="5" t="n"/>
      <c r="I449" s="5" t="n"/>
      <c r="J449" s="5" t="n">
        <v>54.83</v>
      </c>
      <c r="K449" s="5" t="n"/>
      <c r="L449" s="5" t="n"/>
      <c r="M449" s="5" t="n"/>
      <c r="N449" s="5" t="n"/>
      <c r="O449" s="5" t="n">
        <v>329</v>
      </c>
      <c r="P449" s="5" t="n"/>
      <c r="Q449" s="5" t="n">
        <v>329</v>
      </c>
      <c r="R449" s="5" t="n"/>
    </row>
    <row r="450">
      <c r="A450" s="2" t="inlineStr">
        <is>
          <t>EJ010823.TXT</t>
        </is>
      </c>
      <c r="B450" s="3" t="inlineStr">
        <is>
          <t>005006</t>
        </is>
      </c>
      <c r="C450" s="3" t="inlineStr">
        <is>
          <t>004010</t>
        </is>
      </c>
      <c r="D450" s="4" t="n">
        <v>45138</v>
      </c>
      <c r="E450" s="2" t="inlineStr">
        <is>
          <t>15:27</t>
        </is>
      </c>
      <c r="F450" s="5" t="n">
        <v>381.67</v>
      </c>
      <c r="G450" s="5" t="n"/>
      <c r="H450" s="5" t="n"/>
      <c r="I450" s="5" t="n"/>
      <c r="J450" s="5" t="n">
        <v>76.33</v>
      </c>
      <c r="K450" s="5" t="n"/>
      <c r="L450" s="5" t="n"/>
      <c r="M450" s="5" t="n"/>
      <c r="N450" s="5" t="n"/>
      <c r="O450" s="5" t="n">
        <v>458</v>
      </c>
      <c r="P450" s="5" t="n"/>
      <c r="Q450" s="5" t="n">
        <v>458</v>
      </c>
      <c r="R450" s="5" t="n"/>
    </row>
    <row r="451">
      <c r="A451" s="2" t="inlineStr">
        <is>
          <t>EJ010823.TXT</t>
        </is>
      </c>
      <c r="B451" s="3" t="inlineStr">
        <is>
          <t>005007</t>
        </is>
      </c>
      <c r="C451" s="3" t="inlineStr">
        <is>
          <t>004011</t>
        </is>
      </c>
      <c r="D451" s="4" t="n">
        <v>45138</v>
      </c>
      <c r="E451" s="2" t="inlineStr">
        <is>
          <t>15:28</t>
        </is>
      </c>
      <c r="F451" s="5" t="n">
        <v>381.67</v>
      </c>
      <c r="G451" s="5" t="n"/>
      <c r="H451" s="5" t="n"/>
      <c r="I451" s="5" t="n"/>
      <c r="J451" s="5" t="n">
        <v>76.33</v>
      </c>
      <c r="K451" s="5" t="n"/>
      <c r="L451" s="5" t="n"/>
      <c r="M451" s="5" t="n"/>
      <c r="N451" s="5" t="n"/>
      <c r="O451" s="5" t="n">
        <v>458</v>
      </c>
      <c r="P451" s="5" t="n"/>
      <c r="Q451" s="5" t="n">
        <v>458</v>
      </c>
      <c r="R451" s="5" t="n"/>
    </row>
    <row r="452">
      <c r="A452" s="2" t="inlineStr">
        <is>
          <t>EJ010923.TXT</t>
        </is>
      </c>
      <c r="B452" s="3" t="inlineStr">
        <is>
          <t>005015</t>
        </is>
      </c>
      <c r="C452" s="3" t="inlineStr">
        <is>
          <t>004012</t>
        </is>
      </c>
      <c r="D452" s="4" t="n">
        <v>45140</v>
      </c>
      <c r="E452" s="2" t="inlineStr">
        <is>
          <t>13:41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/>
      <c r="Q452" s="5" t="n">
        <v>658</v>
      </c>
      <c r="R452" s="5" t="n"/>
    </row>
    <row r="453">
      <c r="A453" s="2" t="inlineStr">
        <is>
          <t>EJ010923.TXT</t>
        </is>
      </c>
      <c r="B453" s="3" t="inlineStr">
        <is>
          <t>005016</t>
        </is>
      </c>
      <c r="C453" s="3" t="inlineStr">
        <is>
          <t>004013</t>
        </is>
      </c>
      <c r="D453" s="4" t="n">
        <v>45142</v>
      </c>
      <c r="E453" s="2" t="inlineStr">
        <is>
          <t>16:38</t>
        </is>
      </c>
      <c r="F453" s="5" t="n">
        <v>740</v>
      </c>
      <c r="G453" s="5" t="n"/>
      <c r="H453" s="5" t="n"/>
      <c r="I453" s="5" t="n"/>
      <c r="J453" s="5" t="n">
        <v>148</v>
      </c>
      <c r="K453" s="5" t="n"/>
      <c r="L453" s="5" t="n"/>
      <c r="M453" s="5" t="n"/>
      <c r="N453" s="5" t="n"/>
      <c r="O453" s="5" t="n">
        <v>888</v>
      </c>
      <c r="P453" s="5" t="n"/>
      <c r="Q453" s="5" t="n">
        <v>888</v>
      </c>
      <c r="R453" s="5" t="n"/>
    </row>
    <row r="454">
      <c r="A454" s="2" t="inlineStr">
        <is>
          <t>EJ010923.TXT</t>
        </is>
      </c>
      <c r="B454" s="3" t="inlineStr">
        <is>
          <t>005017</t>
        </is>
      </c>
      <c r="C454" s="3" t="inlineStr">
        <is>
          <t>004014</t>
        </is>
      </c>
      <c r="D454" s="4" t="n">
        <v>45142</v>
      </c>
      <c r="E454" s="2" t="inlineStr">
        <is>
          <t>16:38</t>
        </is>
      </c>
      <c r="F454" s="5" t="n">
        <v>816.67</v>
      </c>
      <c r="G454" s="5" t="n"/>
      <c r="H454" s="5" t="n"/>
      <c r="I454" s="5" t="n"/>
      <c r="J454" s="5" t="n">
        <v>163.33</v>
      </c>
      <c r="K454" s="5" t="n"/>
      <c r="L454" s="5" t="n"/>
      <c r="M454" s="5" t="n"/>
      <c r="N454" s="5" t="n"/>
      <c r="O454" s="5" t="n">
        <v>980</v>
      </c>
      <c r="P454" s="5" t="n"/>
      <c r="Q454" s="5" t="n">
        <v>980</v>
      </c>
      <c r="R454" s="5" t="n"/>
    </row>
    <row r="455">
      <c r="A455" s="2" t="inlineStr">
        <is>
          <t>EJ010923.TXT</t>
        </is>
      </c>
      <c r="B455" s="3" t="inlineStr">
        <is>
          <t>005018</t>
        </is>
      </c>
      <c r="C455" s="3" t="inlineStr">
        <is>
          <t>004015</t>
        </is>
      </c>
      <c r="D455" s="4" t="n">
        <v>45142</v>
      </c>
      <c r="E455" s="2" t="inlineStr">
        <is>
          <t>16:38</t>
        </is>
      </c>
      <c r="F455" s="5" t="n">
        <v>574.17</v>
      </c>
      <c r="G455" s="5" t="n"/>
      <c r="H455" s="5" t="n"/>
      <c r="I455" s="5" t="n"/>
      <c r="J455" s="5" t="n">
        <v>114.83</v>
      </c>
      <c r="K455" s="5" t="n"/>
      <c r="L455" s="5" t="n"/>
      <c r="M455" s="5" t="n"/>
      <c r="N455" s="5" t="n"/>
      <c r="O455" s="5" t="n">
        <v>689</v>
      </c>
      <c r="P455" s="5" t="n"/>
      <c r="Q455" s="5" t="n">
        <v>689</v>
      </c>
      <c r="R455" s="5" t="n"/>
    </row>
    <row r="456">
      <c r="A456" s="2" t="inlineStr">
        <is>
          <t>EJ010923.TXT</t>
        </is>
      </c>
      <c r="B456" s="3" t="inlineStr">
        <is>
          <t>005019</t>
        </is>
      </c>
      <c r="C456" s="3" t="inlineStr">
        <is>
          <t>004016</t>
        </is>
      </c>
      <c r="D456" s="4" t="n">
        <v>45143</v>
      </c>
      <c r="E456" s="2" t="inlineStr">
        <is>
          <t>15:09</t>
        </is>
      </c>
      <c r="F456" s="5" t="n">
        <v>208.33</v>
      </c>
      <c r="G456" s="5" t="n"/>
      <c r="H456" s="5" t="n"/>
      <c r="I456" s="5" t="n"/>
      <c r="J456" s="5" t="n">
        <v>41.67</v>
      </c>
      <c r="K456" s="5" t="n"/>
      <c r="L456" s="5" t="n"/>
      <c r="M456" s="5" t="n"/>
      <c r="N456" s="5" t="n"/>
      <c r="O456" s="5" t="n">
        <v>250</v>
      </c>
      <c r="P456" s="5" t="n"/>
      <c r="Q456" s="5" t="n">
        <v>250</v>
      </c>
      <c r="R456" s="5" t="n"/>
    </row>
    <row r="457">
      <c r="A457" s="2" t="inlineStr">
        <is>
          <t>EJ010923.TXT</t>
        </is>
      </c>
      <c r="B457" s="3" t="inlineStr">
        <is>
          <t>005020</t>
        </is>
      </c>
      <c r="C457" s="3" t="inlineStr">
        <is>
          <t>004017</t>
        </is>
      </c>
      <c r="D457" s="4" t="n">
        <v>45143</v>
      </c>
      <c r="E457" s="2" t="inlineStr">
        <is>
          <t>16:10</t>
        </is>
      </c>
      <c r="F457" s="5" t="n">
        <v>548.33</v>
      </c>
      <c r="G457" s="5" t="n"/>
      <c r="H457" s="5" t="n"/>
      <c r="I457" s="5" t="n"/>
      <c r="J457" s="5" t="n">
        <v>109.67</v>
      </c>
      <c r="K457" s="5" t="n"/>
      <c r="L457" s="5" t="n"/>
      <c r="M457" s="5" t="n"/>
      <c r="N457" s="5" t="n"/>
      <c r="O457" s="5" t="n">
        <v>658</v>
      </c>
      <c r="P457" s="5" t="n"/>
      <c r="Q457" s="5" t="n">
        <v>658</v>
      </c>
      <c r="R457" s="5" t="n"/>
    </row>
    <row r="458">
      <c r="A458" s="2" t="inlineStr">
        <is>
          <t>EJ010923.TXT</t>
        </is>
      </c>
      <c r="B458" s="3" t="inlineStr">
        <is>
          <t>005021</t>
        </is>
      </c>
      <c r="C458" s="3" t="inlineStr">
        <is>
          <t>004018</t>
        </is>
      </c>
      <c r="D458" s="4" t="n">
        <v>45146</v>
      </c>
      <c r="E458" s="2" t="inlineStr">
        <is>
          <t>13:43</t>
        </is>
      </c>
      <c r="F458" s="5" t="n">
        <v>548.33</v>
      </c>
      <c r="G458" s="5" t="n"/>
      <c r="H458" s="5" t="n"/>
      <c r="I458" s="5" t="n"/>
      <c r="J458" s="5" t="n">
        <v>109.67</v>
      </c>
      <c r="K458" s="5" t="n"/>
      <c r="L458" s="5" t="n"/>
      <c r="M458" s="5" t="n"/>
      <c r="N458" s="5" t="n"/>
      <c r="O458" s="5" t="n">
        <v>658</v>
      </c>
      <c r="P458" s="5" t="n"/>
      <c r="Q458" s="5" t="n">
        <v>658</v>
      </c>
      <c r="R458" s="5" t="n"/>
    </row>
    <row r="459">
      <c r="A459" s="2" t="inlineStr">
        <is>
          <t>EJ010923.TXT</t>
        </is>
      </c>
      <c r="B459" s="3" t="inlineStr">
        <is>
          <t>005022</t>
        </is>
      </c>
      <c r="C459" s="3" t="inlineStr">
        <is>
          <t>004019</t>
        </is>
      </c>
      <c r="D459" s="4" t="n">
        <v>45147</v>
      </c>
      <c r="E459" s="2" t="inlineStr">
        <is>
          <t>10:47</t>
        </is>
      </c>
      <c r="F459" s="5" t="n">
        <v>208.33</v>
      </c>
      <c r="G459" s="5" t="n"/>
      <c r="H459" s="5" t="n"/>
      <c r="I459" s="5" t="n"/>
      <c r="J459" s="5" t="n">
        <v>41.67</v>
      </c>
      <c r="K459" s="5" t="n"/>
      <c r="L459" s="5" t="n"/>
      <c r="M459" s="5" t="n"/>
      <c r="N459" s="5" t="n"/>
      <c r="O459" s="5" t="n">
        <v>250</v>
      </c>
      <c r="P459" s="5" t="n"/>
      <c r="Q459" s="5" t="n">
        <v>250</v>
      </c>
      <c r="R459" s="5" t="n"/>
    </row>
    <row r="460">
      <c r="A460" s="2" t="inlineStr">
        <is>
          <t>EJ010923.TXT</t>
        </is>
      </c>
      <c r="B460" s="3" t="inlineStr">
        <is>
          <t>005023</t>
        </is>
      </c>
      <c r="C460" s="3" t="inlineStr">
        <is>
          <t>004020</t>
        </is>
      </c>
      <c r="D460" s="4" t="n">
        <v>45148</v>
      </c>
      <c r="E460" s="2" t="inlineStr">
        <is>
          <t>12:05</t>
        </is>
      </c>
      <c r="F460" s="5" t="n">
        <v>822.5</v>
      </c>
      <c r="G460" s="5" t="n"/>
      <c r="H460" s="5" t="n"/>
      <c r="I460" s="5" t="n"/>
      <c r="J460" s="5" t="n">
        <v>164.5</v>
      </c>
      <c r="K460" s="5" t="n"/>
      <c r="L460" s="5" t="n"/>
      <c r="M460" s="5" t="n"/>
      <c r="N460" s="5" t="n"/>
      <c r="O460" s="5" t="n">
        <v>987</v>
      </c>
      <c r="P460" s="5" t="n"/>
      <c r="Q460" s="5" t="n">
        <v>987</v>
      </c>
      <c r="R460" s="5" t="n"/>
    </row>
    <row r="461">
      <c r="A461" s="2" t="inlineStr">
        <is>
          <t>EJ010923.TXT</t>
        </is>
      </c>
      <c r="B461" s="3" t="inlineStr">
        <is>
          <t>005024</t>
        </is>
      </c>
      <c r="C461" s="3" t="inlineStr">
        <is>
          <t>004021</t>
        </is>
      </c>
      <c r="D461" s="4" t="n">
        <v>45148</v>
      </c>
      <c r="E461" s="2" t="inlineStr">
        <is>
          <t>12:05</t>
        </is>
      </c>
      <c r="F461" s="5" t="n">
        <v>822.5</v>
      </c>
      <c r="G461" s="5" t="n"/>
      <c r="H461" s="5" t="n"/>
      <c r="I461" s="5" t="n"/>
      <c r="J461" s="5" t="n">
        <v>164.5</v>
      </c>
      <c r="K461" s="5" t="n"/>
      <c r="L461" s="5" t="n"/>
      <c r="M461" s="5" t="n"/>
      <c r="N461" s="5" t="n"/>
      <c r="O461" s="5" t="n">
        <v>987</v>
      </c>
      <c r="P461" s="5" t="n"/>
      <c r="Q461" s="5" t="n">
        <v>987</v>
      </c>
      <c r="R461" s="5" t="n"/>
    </row>
    <row r="462">
      <c r="A462" s="2" t="inlineStr">
        <is>
          <t>EJ010923.TXT</t>
        </is>
      </c>
      <c r="B462" s="3" t="inlineStr">
        <is>
          <t>005025</t>
        </is>
      </c>
      <c r="C462" s="3" t="inlineStr">
        <is>
          <t>004022</t>
        </is>
      </c>
      <c r="D462" s="4" t="n">
        <v>45150</v>
      </c>
      <c r="E462" s="2" t="inlineStr">
        <is>
          <t>16:34</t>
        </is>
      </c>
      <c r="F462" s="5" t="n">
        <v>548.33</v>
      </c>
      <c r="G462" s="5" t="n"/>
      <c r="H462" s="5" t="n"/>
      <c r="I462" s="5" t="n"/>
      <c r="J462" s="5" t="n">
        <v>109.67</v>
      </c>
      <c r="K462" s="5" t="n"/>
      <c r="L462" s="5" t="n"/>
      <c r="M462" s="5" t="n"/>
      <c r="N462" s="5" t="n"/>
      <c r="O462" s="5" t="n">
        <v>658</v>
      </c>
      <c r="P462" s="5" t="n">
        <v>658</v>
      </c>
      <c r="Q462" s="5" t="n"/>
      <c r="R462" s="5" t="n"/>
    </row>
    <row r="463">
      <c r="A463" s="2" t="inlineStr">
        <is>
          <t>EJ010923.TXT</t>
        </is>
      </c>
      <c r="B463" s="3" t="inlineStr">
        <is>
          <t>005026</t>
        </is>
      </c>
      <c r="C463" s="3" t="inlineStr">
        <is>
          <t>004023</t>
        </is>
      </c>
      <c r="D463" s="4" t="n">
        <v>45152</v>
      </c>
      <c r="E463" s="2" t="inlineStr">
        <is>
          <t>15:37</t>
        </is>
      </c>
      <c r="F463" s="5" t="n">
        <v>274.17</v>
      </c>
      <c r="G463" s="5" t="n"/>
      <c r="H463" s="5" t="n"/>
      <c r="I463" s="5" t="n"/>
      <c r="J463" s="5" t="n">
        <v>54.83</v>
      </c>
      <c r="K463" s="5" t="n"/>
      <c r="L463" s="5" t="n"/>
      <c r="M463" s="5" t="n"/>
      <c r="N463" s="5" t="n"/>
      <c r="O463" s="5" t="n">
        <v>329</v>
      </c>
      <c r="P463" s="5" t="n"/>
      <c r="Q463" s="5" t="n">
        <v>329</v>
      </c>
      <c r="R463" s="5" t="n"/>
    </row>
    <row r="464">
      <c r="A464" s="2" t="inlineStr">
        <is>
          <t>EJ010923.TXT</t>
        </is>
      </c>
      <c r="B464" s="3" t="inlineStr">
        <is>
          <t>005027</t>
        </is>
      </c>
      <c r="C464" s="3" t="inlineStr">
        <is>
          <t>004024</t>
        </is>
      </c>
      <c r="D464" s="4" t="n">
        <v>45154</v>
      </c>
      <c r="E464" s="2" t="inlineStr">
        <is>
          <t>11:32</t>
        </is>
      </c>
      <c r="F464" s="5" t="n">
        <v>148.33</v>
      </c>
      <c r="G464" s="5" t="n"/>
      <c r="H464" s="5" t="n"/>
      <c r="I464" s="5" t="n"/>
      <c r="J464" s="5" t="n">
        <v>29.67</v>
      </c>
      <c r="K464" s="5" t="n"/>
      <c r="L464" s="5" t="n"/>
      <c r="M464" s="5" t="n"/>
      <c r="N464" s="5" t="n"/>
      <c r="O464" s="5" t="n">
        <v>178</v>
      </c>
      <c r="P464" s="5" t="n">
        <v>178</v>
      </c>
      <c r="Q464" s="5" t="n"/>
      <c r="R464" s="5" t="n"/>
    </row>
    <row r="465">
      <c r="A465" s="2" t="inlineStr">
        <is>
          <t>EJ010923.TXT</t>
        </is>
      </c>
      <c r="B465" s="3" t="inlineStr">
        <is>
          <t>005028</t>
        </is>
      </c>
      <c r="C465" s="3" t="inlineStr">
        <is>
          <t>004025</t>
        </is>
      </c>
      <c r="D465" s="4" t="n">
        <v>45154</v>
      </c>
      <c r="E465" s="2" t="inlineStr">
        <is>
          <t>17:21</t>
        </is>
      </c>
      <c r="F465" s="5" t="n">
        <v>156.67</v>
      </c>
      <c r="G465" s="5" t="n"/>
      <c r="H465" s="5" t="n"/>
      <c r="I465" s="5" t="n"/>
      <c r="J465" s="5" t="n">
        <v>31.33</v>
      </c>
      <c r="K465" s="5" t="n"/>
      <c r="L465" s="5" t="n"/>
      <c r="M465" s="5" t="n"/>
      <c r="N465" s="5" t="n"/>
      <c r="O465" s="5" t="n">
        <v>188</v>
      </c>
      <c r="P465" s="5" t="n"/>
      <c r="Q465" s="5" t="n">
        <v>188</v>
      </c>
      <c r="R465" s="5" t="n"/>
    </row>
    <row r="466">
      <c r="A466" s="2" t="inlineStr">
        <is>
          <t>EJ010923.TXT</t>
        </is>
      </c>
      <c r="B466" s="3" t="inlineStr">
        <is>
          <t>005029</t>
        </is>
      </c>
      <c r="C466" s="3" t="inlineStr">
        <is>
          <t>004026</t>
        </is>
      </c>
      <c r="D466" s="4" t="n">
        <v>45156</v>
      </c>
      <c r="E466" s="2" t="inlineStr">
        <is>
          <t>14:19</t>
        </is>
      </c>
      <c r="F466" s="5" t="n">
        <v>274.17</v>
      </c>
      <c r="G466" s="5" t="n"/>
      <c r="H466" s="5" t="n"/>
      <c r="I466" s="5" t="n"/>
      <c r="J466" s="5" t="n">
        <v>54.83</v>
      </c>
      <c r="K466" s="5" t="n"/>
      <c r="L466" s="5" t="n"/>
      <c r="M466" s="5" t="n"/>
      <c r="N466" s="5" t="n"/>
      <c r="O466" s="5" t="n">
        <v>329</v>
      </c>
      <c r="P466" s="5" t="n">
        <v>329</v>
      </c>
      <c r="Q466" s="5" t="n"/>
      <c r="R466" s="5" t="n"/>
    </row>
    <row r="467">
      <c r="A467" s="2" t="inlineStr">
        <is>
          <t>EJ010923.TXT</t>
        </is>
      </c>
      <c r="B467" s="3" t="inlineStr">
        <is>
          <t>005030</t>
        </is>
      </c>
      <c r="C467" s="3" t="inlineStr">
        <is>
          <t>004027</t>
        </is>
      </c>
      <c r="D467" s="4" t="n">
        <v>45159</v>
      </c>
      <c r="E467" s="2" t="inlineStr">
        <is>
          <t>10:03</t>
        </is>
      </c>
      <c r="F467" s="5" t="n">
        <v>1645</v>
      </c>
      <c r="G467" s="5" t="n"/>
      <c r="H467" s="5" t="n"/>
      <c r="I467" s="5" t="n"/>
      <c r="J467" s="5" t="n">
        <v>329</v>
      </c>
      <c r="K467" s="5" t="n"/>
      <c r="L467" s="5" t="n"/>
      <c r="M467" s="5" t="n"/>
      <c r="N467" s="5" t="n"/>
      <c r="O467" s="5" t="n">
        <v>1974</v>
      </c>
      <c r="P467" s="5" t="n">
        <v>1974</v>
      </c>
      <c r="Q467" s="5" t="n"/>
      <c r="R467" s="5" t="n"/>
    </row>
    <row r="468">
      <c r="A468" s="2" t="inlineStr">
        <is>
          <t>EJ010923.TXT</t>
        </is>
      </c>
      <c r="B468" s="3" t="inlineStr">
        <is>
          <t>005031</t>
        </is>
      </c>
      <c r="C468" s="3" t="inlineStr">
        <is>
          <t>004028</t>
        </is>
      </c>
      <c r="D468" s="4" t="n">
        <v>45160</v>
      </c>
      <c r="E468" s="2" t="inlineStr">
        <is>
          <t>16:54</t>
        </is>
      </c>
      <c r="F468" s="5" t="n">
        <v>733.33</v>
      </c>
      <c r="G468" s="5" t="n"/>
      <c r="H468" s="5" t="n"/>
      <c r="I468" s="5" t="n"/>
      <c r="J468" s="5" t="n">
        <v>146.67</v>
      </c>
      <c r="K468" s="5" t="n"/>
      <c r="L468" s="5" t="n"/>
      <c r="M468" s="5" t="n"/>
      <c r="N468" s="5" t="n"/>
      <c r="O468" s="5" t="n">
        <v>880</v>
      </c>
      <c r="P468" s="5" t="n"/>
      <c r="Q468" s="5" t="n">
        <v>880</v>
      </c>
      <c r="R468" s="5" t="n"/>
    </row>
    <row r="469">
      <c r="A469" s="2" t="inlineStr">
        <is>
          <t>EJ010923.TXT</t>
        </is>
      </c>
      <c r="B469" s="3" t="inlineStr">
        <is>
          <t>005032</t>
        </is>
      </c>
      <c r="C469" s="3" t="inlineStr">
        <is>
          <t>004029</t>
        </is>
      </c>
      <c r="D469" s="4" t="n">
        <v>45160</v>
      </c>
      <c r="E469" s="2" t="inlineStr">
        <is>
          <t>16:55</t>
        </is>
      </c>
      <c r="F469" s="5" t="n">
        <v>832.5</v>
      </c>
      <c r="G469" s="5" t="n"/>
      <c r="H469" s="5" t="n"/>
      <c r="I469" s="5" t="n"/>
      <c r="J469" s="5" t="n">
        <v>166.5</v>
      </c>
      <c r="K469" s="5" t="n"/>
      <c r="L469" s="5" t="n"/>
      <c r="M469" s="5" t="n"/>
      <c r="N469" s="5" t="n"/>
      <c r="O469" s="5" t="n">
        <v>999</v>
      </c>
      <c r="P469" s="5" t="n"/>
      <c r="Q469" s="5" t="n">
        <v>999</v>
      </c>
      <c r="R469" s="5" t="n"/>
    </row>
    <row r="470">
      <c r="A470" s="2" t="inlineStr">
        <is>
          <t>EJ010923.TXT</t>
        </is>
      </c>
      <c r="B470" s="3" t="inlineStr">
        <is>
          <t>005033</t>
        </is>
      </c>
      <c r="C470" s="3" t="inlineStr">
        <is>
          <t>004030</t>
        </is>
      </c>
      <c r="D470" s="4" t="n">
        <v>45161</v>
      </c>
      <c r="E470" s="2" t="inlineStr">
        <is>
          <t>10:16</t>
        </is>
      </c>
      <c r="F470" s="5" t="n">
        <v>648.33</v>
      </c>
      <c r="G470" s="5" t="n"/>
      <c r="H470" s="5" t="n"/>
      <c r="I470" s="5" t="n"/>
      <c r="J470" s="5" t="n">
        <v>129.67</v>
      </c>
      <c r="K470" s="5" t="n"/>
      <c r="L470" s="5" t="n"/>
      <c r="M470" s="5" t="n"/>
      <c r="N470" s="5" t="n"/>
      <c r="O470" s="5" t="n">
        <v>778</v>
      </c>
      <c r="P470" s="5" t="n"/>
      <c r="Q470" s="5" t="n">
        <v>778</v>
      </c>
      <c r="R470" s="5" t="n"/>
    </row>
    <row r="471">
      <c r="A471" s="2" t="inlineStr">
        <is>
          <t>EJ010923.TXT</t>
        </is>
      </c>
      <c r="B471" s="3" t="inlineStr">
        <is>
          <t>005034</t>
        </is>
      </c>
      <c r="C471" s="3" t="inlineStr">
        <is>
          <t>004031</t>
        </is>
      </c>
      <c r="D471" s="4" t="n">
        <v>45161</v>
      </c>
      <c r="E471" s="2" t="inlineStr">
        <is>
          <t>16:41</t>
        </is>
      </c>
      <c r="F471" s="5" t="n">
        <v>274.17</v>
      </c>
      <c r="G471" s="5" t="n"/>
      <c r="H471" s="5" t="n"/>
      <c r="I471" s="5" t="n"/>
      <c r="J471" s="5" t="n">
        <v>54.83</v>
      </c>
      <c r="K471" s="5" t="n"/>
      <c r="L471" s="5" t="n"/>
      <c r="M471" s="5" t="n"/>
      <c r="N471" s="5" t="n"/>
      <c r="O471" s="5" t="n">
        <v>329</v>
      </c>
      <c r="P471" s="5" t="n"/>
      <c r="Q471" s="5" t="n">
        <v>329</v>
      </c>
      <c r="R471" s="5" t="n"/>
    </row>
    <row r="472">
      <c r="A472" s="2" t="inlineStr">
        <is>
          <t>EJ010923.TXT</t>
        </is>
      </c>
      <c r="B472" s="3" t="inlineStr">
        <is>
          <t>005035</t>
        </is>
      </c>
      <c r="C472" s="3" t="inlineStr">
        <is>
          <t>004032</t>
        </is>
      </c>
      <c r="D472" s="4" t="n">
        <v>45163</v>
      </c>
      <c r="E472" s="2" t="inlineStr">
        <is>
          <t>14:40</t>
        </is>
      </c>
      <c r="F472" s="5" t="n">
        <v>208.33</v>
      </c>
      <c r="G472" s="5" t="n"/>
      <c r="H472" s="5" t="n"/>
      <c r="I472" s="5" t="n"/>
      <c r="J472" s="5" t="n">
        <v>41.67</v>
      </c>
      <c r="K472" s="5" t="n"/>
      <c r="L472" s="5" t="n"/>
      <c r="M472" s="5" t="n"/>
      <c r="N472" s="5" t="n"/>
      <c r="O472" s="5" t="n">
        <v>250</v>
      </c>
      <c r="P472" s="5" t="n"/>
      <c r="Q472" s="5" t="n">
        <v>250</v>
      </c>
      <c r="R472" s="5" t="n"/>
    </row>
    <row r="473">
      <c r="A473" s="2" t="inlineStr">
        <is>
          <t>EJ010923.TXT</t>
        </is>
      </c>
      <c r="B473" s="3" t="inlineStr">
        <is>
          <t>005036</t>
        </is>
      </c>
      <c r="C473" s="3" t="inlineStr">
        <is>
          <t>004033</t>
        </is>
      </c>
      <c r="D473" s="4" t="n">
        <v>45163</v>
      </c>
      <c r="E473" s="2" t="inlineStr">
        <is>
          <t>16:32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>
        <v>658</v>
      </c>
      <c r="Q473" s="5" t="n"/>
      <c r="R473" s="5" t="n"/>
    </row>
    <row r="474">
      <c r="A474" s="2" t="inlineStr">
        <is>
          <t>EJ010923.TXT</t>
        </is>
      </c>
      <c r="B474" s="3" t="inlineStr">
        <is>
          <t>005037</t>
        </is>
      </c>
      <c r="C474" s="3" t="inlineStr">
        <is>
          <t>004034</t>
        </is>
      </c>
      <c r="D474" s="4" t="n">
        <v>45166</v>
      </c>
      <c r="E474" s="2" t="inlineStr">
        <is>
          <t>11:45</t>
        </is>
      </c>
      <c r="F474" s="5" t="n">
        <v>398.33</v>
      </c>
      <c r="G474" s="5" t="n"/>
      <c r="H474" s="5" t="n"/>
      <c r="I474" s="5" t="n"/>
      <c r="J474" s="5" t="n">
        <v>79.67</v>
      </c>
      <c r="K474" s="5" t="n"/>
      <c r="L474" s="5" t="n"/>
      <c r="M474" s="5" t="n"/>
      <c r="N474" s="5" t="n"/>
      <c r="O474" s="5" t="n">
        <v>478</v>
      </c>
      <c r="P474" s="5" t="n">
        <v>478</v>
      </c>
      <c r="Q474" s="5" t="n"/>
      <c r="R474" s="5" t="n"/>
    </row>
    <row r="475">
      <c r="A475" s="2" t="inlineStr">
        <is>
          <t>EJ010923.TXT</t>
        </is>
      </c>
      <c r="B475" s="3" t="inlineStr">
        <is>
          <t>005038</t>
        </is>
      </c>
      <c r="C475" s="3" t="inlineStr">
        <is>
          <t>004035</t>
        </is>
      </c>
      <c r="D475" s="4" t="n">
        <v>45167</v>
      </c>
      <c r="E475" s="2" t="inlineStr">
        <is>
          <t>14:18</t>
        </is>
      </c>
      <c r="F475" s="5" t="n">
        <v>208.33</v>
      </c>
      <c r="G475" s="5" t="n"/>
      <c r="H475" s="5" t="n"/>
      <c r="I475" s="5" t="n"/>
      <c r="J475" s="5" t="n">
        <v>41.67</v>
      </c>
      <c r="K475" s="5" t="n"/>
      <c r="L475" s="5" t="n"/>
      <c r="M475" s="5" t="n"/>
      <c r="N475" s="5" t="n"/>
      <c r="O475" s="5" t="n">
        <v>250</v>
      </c>
      <c r="P475" s="5" t="n"/>
      <c r="Q475" s="5" t="n">
        <v>250</v>
      </c>
      <c r="R475" s="5" t="n"/>
    </row>
    <row r="476">
      <c r="A476" s="2" t="inlineStr">
        <is>
          <t>EJ010923.TXT</t>
        </is>
      </c>
      <c r="B476" s="3" t="inlineStr">
        <is>
          <t>005039</t>
        </is>
      </c>
      <c r="C476" s="3" t="inlineStr">
        <is>
          <t>004036</t>
        </is>
      </c>
      <c r="D476" s="4" t="n">
        <v>45167</v>
      </c>
      <c r="E476" s="2" t="inlineStr">
        <is>
          <t>14:45</t>
        </is>
      </c>
      <c r="F476" s="5" t="n">
        <v>581.67</v>
      </c>
      <c r="G476" s="5" t="n"/>
      <c r="H476" s="5" t="n"/>
      <c r="I476" s="5" t="n"/>
      <c r="J476" s="5" t="n">
        <v>116.33</v>
      </c>
      <c r="K476" s="5" t="n"/>
      <c r="L476" s="5" t="n"/>
      <c r="M476" s="5" t="n"/>
      <c r="N476" s="5" t="n"/>
      <c r="O476" s="5" t="n">
        <v>698</v>
      </c>
      <c r="P476" s="5" t="n"/>
      <c r="Q476" s="5" t="n">
        <v>698</v>
      </c>
      <c r="R476" s="5" t="n"/>
    </row>
    <row r="477">
      <c r="A477" s="2" t="inlineStr">
        <is>
          <t>EJ010923.TXT</t>
        </is>
      </c>
      <c r="B477" s="3" t="inlineStr">
        <is>
          <t>005040</t>
        </is>
      </c>
      <c r="C477" s="3" t="inlineStr">
        <is>
          <t>004037</t>
        </is>
      </c>
      <c r="D477" s="4" t="n">
        <v>45167</v>
      </c>
      <c r="E477" s="2" t="inlineStr">
        <is>
          <t>14:46</t>
        </is>
      </c>
      <c r="F477" s="5" t="n">
        <v>581.67</v>
      </c>
      <c r="G477" s="5" t="n"/>
      <c r="H477" s="5" t="n"/>
      <c r="I477" s="5" t="n"/>
      <c r="J477" s="5" t="n">
        <v>116.33</v>
      </c>
      <c r="K477" s="5" t="n"/>
      <c r="L477" s="5" t="n"/>
      <c r="M477" s="5" t="n"/>
      <c r="N477" s="5" t="n"/>
      <c r="O477" s="5" t="n">
        <v>698</v>
      </c>
      <c r="P477" s="5" t="n"/>
      <c r="Q477" s="5" t="n">
        <v>698</v>
      </c>
      <c r="R477" s="5" t="n"/>
    </row>
    <row r="478">
      <c r="A478" s="2" t="inlineStr">
        <is>
          <t>EJ010923.TXT</t>
        </is>
      </c>
      <c r="B478" s="3" t="inlineStr">
        <is>
          <t>005041</t>
        </is>
      </c>
      <c r="C478" s="3" t="inlineStr">
        <is>
          <t>004038</t>
        </is>
      </c>
      <c r="D478" s="4" t="n">
        <v>45167</v>
      </c>
      <c r="E478" s="2" t="inlineStr">
        <is>
          <t>14:47</t>
        </is>
      </c>
      <c r="F478" s="5" t="n">
        <v>581.67</v>
      </c>
      <c r="G478" s="5" t="n"/>
      <c r="H478" s="5" t="n"/>
      <c r="I478" s="5" t="n"/>
      <c r="J478" s="5" t="n">
        <v>116.33</v>
      </c>
      <c r="K478" s="5" t="n"/>
      <c r="L478" s="5" t="n"/>
      <c r="M478" s="5" t="n"/>
      <c r="N478" s="5" t="n"/>
      <c r="O478" s="5" t="n">
        <v>698</v>
      </c>
      <c r="P478" s="5" t="n"/>
      <c r="Q478" s="5" t="n">
        <v>698</v>
      </c>
      <c r="R478" s="5" t="n"/>
    </row>
    <row r="479">
      <c r="A479" s="2" t="inlineStr">
        <is>
          <t>EJ010923.TXT</t>
        </is>
      </c>
      <c r="B479" s="3" t="inlineStr">
        <is>
          <t>005042</t>
        </is>
      </c>
      <c r="C479" s="3" t="inlineStr">
        <is>
          <t>004039</t>
        </is>
      </c>
      <c r="D479" s="4" t="n">
        <v>45167</v>
      </c>
      <c r="E479" s="2" t="inlineStr">
        <is>
          <t>15:32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/>
      <c r="Q479" s="5" t="n">
        <v>658</v>
      </c>
      <c r="R479" s="5" t="n"/>
    </row>
    <row r="480">
      <c r="A480" s="2" t="inlineStr">
        <is>
          <t>EJ010923.TXT</t>
        </is>
      </c>
      <c r="B480" s="3" t="inlineStr">
        <is>
          <t>005043</t>
        </is>
      </c>
      <c r="C480" s="3" t="inlineStr">
        <is>
          <t>004040</t>
        </is>
      </c>
      <c r="D480" s="4" t="n">
        <v>45167</v>
      </c>
      <c r="E480" s="2" t="inlineStr">
        <is>
          <t>15:58</t>
        </is>
      </c>
      <c r="F480" s="5" t="n">
        <v>822.5</v>
      </c>
      <c r="G480" s="5" t="n"/>
      <c r="H480" s="5" t="n"/>
      <c r="I480" s="5" t="n"/>
      <c r="J480" s="5" t="n">
        <v>164.5</v>
      </c>
      <c r="K480" s="5" t="n"/>
      <c r="L480" s="5" t="n"/>
      <c r="M480" s="5" t="n"/>
      <c r="N480" s="5" t="n"/>
      <c r="O480" s="5" t="n">
        <v>987</v>
      </c>
      <c r="P480" s="5" t="n"/>
      <c r="Q480" s="5" t="n">
        <v>987</v>
      </c>
      <c r="R480" s="5" t="n"/>
    </row>
    <row r="481">
      <c r="A481" s="2" t="inlineStr">
        <is>
          <t>EJ010923.TXT</t>
        </is>
      </c>
      <c r="B481" s="3" t="inlineStr">
        <is>
          <t>005044</t>
        </is>
      </c>
      <c r="C481" s="3" t="inlineStr">
        <is>
          <t>004041</t>
        </is>
      </c>
      <c r="D481" s="4" t="n">
        <v>45167</v>
      </c>
      <c r="E481" s="2" t="inlineStr">
        <is>
          <t>15:58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</row>
    <row r="482">
      <c r="A482" s="2" t="inlineStr">
        <is>
          <t>EJ010923.TXT</t>
        </is>
      </c>
      <c r="B482" s="3" t="inlineStr">
        <is>
          <t>005045</t>
        </is>
      </c>
      <c r="C482" s="3" t="inlineStr">
        <is>
          <t>004042</t>
        </is>
      </c>
      <c r="D482" s="4" t="n">
        <v>45167</v>
      </c>
      <c r="E482" s="2" t="inlineStr">
        <is>
          <t>16:11</t>
        </is>
      </c>
      <c r="F482" s="5" t="n">
        <v>648.33</v>
      </c>
      <c r="G482" s="5" t="n"/>
      <c r="H482" s="5" t="n"/>
      <c r="I482" s="5" t="n"/>
      <c r="J482" s="5" t="n">
        <v>129.67</v>
      </c>
      <c r="K482" s="5" t="n"/>
      <c r="L482" s="5" t="n"/>
      <c r="M482" s="5" t="n"/>
      <c r="N482" s="5" t="n"/>
      <c r="O482" s="5" t="n">
        <v>778</v>
      </c>
      <c r="P482" s="5" t="n"/>
      <c r="Q482" s="5" t="n">
        <v>778</v>
      </c>
      <c r="R482" s="5" t="n"/>
    </row>
    <row r="483">
      <c r="A483" s="2" t="inlineStr">
        <is>
          <t>EJ010923.TXT</t>
        </is>
      </c>
      <c r="B483" s="3" t="inlineStr">
        <is>
          <t>005046</t>
        </is>
      </c>
      <c r="C483" s="3" t="inlineStr">
        <is>
          <t>004043</t>
        </is>
      </c>
      <c r="D483" s="4" t="n">
        <v>45167</v>
      </c>
      <c r="E483" s="2" t="inlineStr">
        <is>
          <t>16:11</t>
        </is>
      </c>
      <c r="F483" s="5" t="n">
        <v>648.33</v>
      </c>
      <c r="G483" s="5" t="n"/>
      <c r="H483" s="5" t="n"/>
      <c r="I483" s="5" t="n"/>
      <c r="J483" s="5" t="n">
        <v>129.67</v>
      </c>
      <c r="K483" s="5" t="n"/>
      <c r="L483" s="5" t="n"/>
      <c r="M483" s="5" t="n"/>
      <c r="N483" s="5" t="n"/>
      <c r="O483" s="5" t="n">
        <v>778</v>
      </c>
      <c r="P483" s="5" t="n"/>
      <c r="Q483" s="5" t="n">
        <v>778</v>
      </c>
      <c r="R483" s="5" t="n"/>
    </row>
    <row r="484">
      <c r="A484" s="2" t="inlineStr">
        <is>
          <t>EJ010923.TXT</t>
        </is>
      </c>
      <c r="B484" s="3" t="inlineStr">
        <is>
          <t>005047</t>
        </is>
      </c>
      <c r="C484" s="3" t="inlineStr">
        <is>
          <t>004044</t>
        </is>
      </c>
      <c r="D484" s="4" t="n">
        <v>45168</v>
      </c>
      <c r="E484" s="2" t="inlineStr">
        <is>
          <t>15:04</t>
        </is>
      </c>
      <c r="F484" s="5" t="n">
        <v>548.33</v>
      </c>
      <c r="G484" s="5" t="n"/>
      <c r="H484" s="5" t="n"/>
      <c r="I484" s="5" t="n"/>
      <c r="J484" s="5" t="n">
        <v>109.67</v>
      </c>
      <c r="K484" s="5" t="n"/>
      <c r="L484" s="5" t="n"/>
      <c r="M484" s="5" t="n"/>
      <c r="N484" s="5" t="n"/>
      <c r="O484" s="5" t="n">
        <v>658</v>
      </c>
      <c r="P484" s="5" t="n"/>
      <c r="Q484" s="5" t="n">
        <v>658</v>
      </c>
      <c r="R484" s="5" t="n"/>
    </row>
    <row r="485">
      <c r="A485" s="2" t="inlineStr">
        <is>
          <t>EJ010923.TXT</t>
        </is>
      </c>
      <c r="B485" s="3" t="inlineStr">
        <is>
          <t>005048</t>
        </is>
      </c>
      <c r="C485" s="3" t="inlineStr">
        <is>
          <t>004045</t>
        </is>
      </c>
      <c r="D485" s="4" t="n">
        <v>45169</v>
      </c>
      <c r="E485" s="2" t="inlineStr">
        <is>
          <t>15:52</t>
        </is>
      </c>
      <c r="F485" s="5" t="n">
        <v>866.67</v>
      </c>
      <c r="G485" s="5" t="n"/>
      <c r="H485" s="5" t="n"/>
      <c r="I485" s="5" t="n"/>
      <c r="J485" s="5" t="n">
        <v>173.33</v>
      </c>
      <c r="K485" s="5" t="n"/>
      <c r="L485" s="5" t="n"/>
      <c r="M485" s="5" t="n"/>
      <c r="N485" s="5" t="n"/>
      <c r="O485" s="5" t="n">
        <v>1040</v>
      </c>
      <c r="P485" s="5" t="n">
        <v>1040</v>
      </c>
      <c r="Q485" s="5" t="n"/>
      <c r="R485" s="5" t="n"/>
    </row>
    <row r="486">
      <c r="A486" s="2" t="inlineStr">
        <is>
          <t>EJ010923.TXT</t>
        </is>
      </c>
      <c r="B486" s="3" t="inlineStr">
        <is>
          <t>005049</t>
        </is>
      </c>
      <c r="C486" s="3" t="inlineStr">
        <is>
          <t>004046</t>
        </is>
      </c>
      <c r="D486" s="4" t="n">
        <v>45169</v>
      </c>
      <c r="E486" s="2" t="inlineStr">
        <is>
          <t>16:18</t>
        </is>
      </c>
      <c r="F486" s="5" t="n">
        <v>822.5</v>
      </c>
      <c r="G486" s="5" t="n"/>
      <c r="H486" s="5" t="n"/>
      <c r="I486" s="5" t="n"/>
      <c r="J486" s="5" t="n">
        <v>164.5</v>
      </c>
      <c r="K486" s="5" t="n"/>
      <c r="L486" s="5" t="n"/>
      <c r="M486" s="5" t="n"/>
      <c r="N486" s="5" t="n"/>
      <c r="O486" s="5" t="n">
        <v>987</v>
      </c>
      <c r="P486" s="5" t="n"/>
      <c r="Q486" s="5" t="n">
        <v>987</v>
      </c>
      <c r="R486" s="5" t="n"/>
    </row>
    <row r="487">
      <c r="A487" s="2" t="inlineStr">
        <is>
          <t>EJ010923.TXT</t>
        </is>
      </c>
      <c r="B487" s="3" t="inlineStr">
        <is>
          <t>005050</t>
        </is>
      </c>
      <c r="C487" s="3" t="inlineStr">
        <is>
          <t>004047</t>
        </is>
      </c>
      <c r="D487" s="4" t="n">
        <v>45169</v>
      </c>
      <c r="E487" s="2" t="inlineStr">
        <is>
          <t>16:19</t>
        </is>
      </c>
      <c r="F487" s="5" t="n">
        <v>822.5</v>
      </c>
      <c r="G487" s="5" t="n"/>
      <c r="H487" s="5" t="n"/>
      <c r="I487" s="5" t="n"/>
      <c r="J487" s="5" t="n">
        <v>164.5</v>
      </c>
      <c r="K487" s="5" t="n"/>
      <c r="L487" s="5" t="n"/>
      <c r="M487" s="5" t="n"/>
      <c r="N487" s="5" t="n"/>
      <c r="O487" s="5" t="n">
        <v>987</v>
      </c>
      <c r="P487" s="5" t="n"/>
      <c r="Q487" s="5" t="n">
        <v>987</v>
      </c>
      <c r="R487" s="5" t="n"/>
    </row>
    <row r="488">
      <c r="A488" s="2" t="inlineStr">
        <is>
          <t>EJ010923.TXT</t>
        </is>
      </c>
      <c r="B488" s="3" t="inlineStr">
        <is>
          <t>005051</t>
        </is>
      </c>
      <c r="C488" s="3" t="inlineStr">
        <is>
          <t>004048</t>
        </is>
      </c>
      <c r="D488" s="4" t="n">
        <v>45169</v>
      </c>
      <c r="E488" s="2" t="inlineStr">
        <is>
          <t>17:12</t>
        </is>
      </c>
      <c r="F488" s="5" t="n">
        <v>822.5</v>
      </c>
      <c r="G488" s="5" t="n"/>
      <c r="H488" s="5" t="n"/>
      <c r="I488" s="5" t="n"/>
      <c r="J488" s="5" t="n">
        <v>164.5</v>
      </c>
      <c r="K488" s="5" t="n"/>
      <c r="L488" s="5" t="n"/>
      <c r="M488" s="5" t="n"/>
      <c r="N488" s="5" t="n"/>
      <c r="O488" s="5" t="n">
        <v>987</v>
      </c>
      <c r="P488" s="5" t="n"/>
      <c r="Q488" s="5" t="n">
        <v>987</v>
      </c>
      <c r="R488" s="5" t="n"/>
    </row>
    <row r="489">
      <c r="A489" s="2" t="inlineStr">
        <is>
          <t>EJ010923.TXT</t>
        </is>
      </c>
      <c r="B489" s="3" t="inlineStr">
        <is>
          <t>005052</t>
        </is>
      </c>
      <c r="C489" s="3" t="inlineStr">
        <is>
          <t>004049</t>
        </is>
      </c>
      <c r="D489" s="4" t="n">
        <v>45169</v>
      </c>
      <c r="E489" s="2" t="inlineStr">
        <is>
          <t>17:13</t>
        </is>
      </c>
      <c r="F489" s="5" t="n">
        <v>274.17</v>
      </c>
      <c r="G489" s="5" t="n"/>
      <c r="H489" s="5" t="n"/>
      <c r="I489" s="5" t="n"/>
      <c r="J489" s="5" t="n">
        <v>54.83</v>
      </c>
      <c r="K489" s="5" t="n"/>
      <c r="L489" s="5" t="n"/>
      <c r="M489" s="5" t="n"/>
      <c r="N489" s="5" t="n"/>
      <c r="O489" s="5" t="n">
        <v>329</v>
      </c>
      <c r="P489" s="5" t="n"/>
      <c r="Q489" s="5" t="n">
        <v>329</v>
      </c>
      <c r="R489" s="5" t="n"/>
    </row>
    <row r="490">
      <c r="A490" s="2" t="inlineStr">
        <is>
          <t>EJ010923.TXT</t>
        </is>
      </c>
      <c r="B490" s="3" t="inlineStr">
        <is>
          <t>005053</t>
        </is>
      </c>
      <c r="C490" s="3" t="inlineStr">
        <is>
          <t>004050</t>
        </is>
      </c>
      <c r="D490" s="4" t="n">
        <v>45170</v>
      </c>
      <c r="E490" s="2" t="inlineStr">
        <is>
          <t>17:41</t>
        </is>
      </c>
      <c r="F490" s="5" t="n">
        <v>274.17</v>
      </c>
      <c r="G490" s="5" t="n"/>
      <c r="H490" s="5" t="n"/>
      <c r="I490" s="5" t="n"/>
      <c r="J490" s="5" t="n">
        <v>54.83</v>
      </c>
      <c r="K490" s="5" t="n"/>
      <c r="L490" s="5" t="n"/>
      <c r="M490" s="5" t="n"/>
      <c r="N490" s="5" t="n"/>
      <c r="O490" s="5" t="n">
        <v>329</v>
      </c>
      <c r="P490" s="5" t="n"/>
      <c r="Q490" s="5" t="n">
        <v>329</v>
      </c>
      <c r="R490" s="5" t="n"/>
    </row>
    <row r="491">
      <c r="A491" s="2" t="inlineStr">
        <is>
          <t>EJ011023.TXT</t>
        </is>
      </c>
      <c r="B491" s="3" t="inlineStr">
        <is>
          <t>005061</t>
        </is>
      </c>
      <c r="C491" s="3" t="inlineStr">
        <is>
          <t>004051</t>
        </is>
      </c>
      <c r="D491" s="4" t="n">
        <v>45170</v>
      </c>
      <c r="E491" s="2" t="inlineStr">
        <is>
          <t>19:18</t>
        </is>
      </c>
      <c r="F491" s="5" t="n">
        <v>0.83</v>
      </c>
      <c r="G491" s="5" t="n"/>
      <c r="H491" s="5" t="n"/>
      <c r="I491" s="5" t="n"/>
      <c r="J491" s="5" t="n">
        <v>0.17</v>
      </c>
      <c r="K491" s="5" t="n"/>
      <c r="L491" s="5" t="n"/>
      <c r="M491" s="5" t="n"/>
      <c r="N491" s="5" t="n"/>
      <c r="O491" s="5" t="n">
        <v>1</v>
      </c>
      <c r="P491" s="5" t="n"/>
      <c r="Q491" s="5" t="n">
        <v>1</v>
      </c>
      <c r="R491" s="5" t="n"/>
    </row>
    <row r="492">
      <c r="A492" s="2" t="inlineStr">
        <is>
          <t>EJ011023.TXT</t>
        </is>
      </c>
      <c r="B492" s="3" t="inlineStr">
        <is>
          <t>005062</t>
        </is>
      </c>
      <c r="C492" s="3" t="inlineStr">
        <is>
          <t>004052</t>
        </is>
      </c>
      <c r="D492" s="4" t="n">
        <v>45171</v>
      </c>
      <c r="E492" s="2" t="inlineStr">
        <is>
          <t>14:54</t>
        </is>
      </c>
      <c r="F492" s="5" t="n">
        <v>274.17</v>
      </c>
      <c r="G492" s="5" t="n"/>
      <c r="H492" s="5" t="n"/>
      <c r="I492" s="5" t="n"/>
      <c r="J492" s="5" t="n">
        <v>54.83</v>
      </c>
      <c r="K492" s="5" t="n"/>
      <c r="L492" s="5" t="n"/>
      <c r="M492" s="5" t="n"/>
      <c r="N492" s="5" t="n"/>
      <c r="O492" s="5" t="n">
        <v>329</v>
      </c>
      <c r="P492" s="5" t="n">
        <v>329</v>
      </c>
      <c r="Q492" s="5" t="n"/>
      <c r="R492" s="5" t="n"/>
    </row>
    <row r="493">
      <c r="A493" s="2" t="inlineStr">
        <is>
          <t>EJ011023.TXT</t>
        </is>
      </c>
      <c r="B493" s="3" t="inlineStr">
        <is>
          <t>005063</t>
        </is>
      </c>
      <c r="C493" s="3" t="inlineStr">
        <is>
          <t>004053</t>
        </is>
      </c>
      <c r="D493" s="4" t="n">
        <v>45171</v>
      </c>
      <c r="E493" s="2" t="inlineStr">
        <is>
          <t>15:37</t>
        </is>
      </c>
      <c r="F493" s="5" t="n">
        <v>274.17</v>
      </c>
      <c r="G493" s="5" t="n"/>
      <c r="H493" s="5" t="n"/>
      <c r="I493" s="5" t="n"/>
      <c r="J493" s="5" t="n">
        <v>54.83</v>
      </c>
      <c r="K493" s="5" t="n"/>
      <c r="L493" s="5" t="n"/>
      <c r="M493" s="5" t="n"/>
      <c r="N493" s="5" t="n"/>
      <c r="O493" s="5" t="n">
        <v>329</v>
      </c>
      <c r="P493" s="5" t="n"/>
      <c r="Q493" s="5" t="n">
        <v>329</v>
      </c>
      <c r="R493" s="5" t="n"/>
    </row>
    <row r="494">
      <c r="A494" s="2" t="inlineStr">
        <is>
          <t>EJ011023.TXT</t>
        </is>
      </c>
      <c r="B494" s="3" t="inlineStr">
        <is>
          <t>005064</t>
        </is>
      </c>
      <c r="C494" s="3" t="inlineStr">
        <is>
          <t>004054</t>
        </is>
      </c>
      <c r="D494" s="4" t="n">
        <v>45171</v>
      </c>
      <c r="E494" s="2" t="inlineStr">
        <is>
          <t>17:12</t>
        </is>
      </c>
      <c r="F494" s="5" t="n">
        <v>548.33</v>
      </c>
      <c r="G494" s="5" t="n"/>
      <c r="H494" s="5" t="n"/>
      <c r="I494" s="5" t="n"/>
      <c r="J494" s="5" t="n">
        <v>109.67</v>
      </c>
      <c r="K494" s="5" t="n"/>
      <c r="L494" s="5" t="n"/>
      <c r="M494" s="5" t="n"/>
      <c r="N494" s="5" t="n"/>
      <c r="O494" s="5" t="n">
        <v>658</v>
      </c>
      <c r="P494" s="5" t="n">
        <v>658</v>
      </c>
      <c r="Q494" s="5" t="n"/>
      <c r="R494" s="5" t="n"/>
    </row>
    <row r="495">
      <c r="A495" s="2" t="inlineStr">
        <is>
          <t>EJ011023.TXT</t>
        </is>
      </c>
      <c r="B495" s="3" t="inlineStr">
        <is>
          <t>005065</t>
        </is>
      </c>
      <c r="C495" s="3" t="inlineStr">
        <is>
          <t>004055</t>
        </is>
      </c>
      <c r="D495" s="4" t="n">
        <v>45173</v>
      </c>
      <c r="E495" s="2" t="inlineStr">
        <is>
          <t>14:00</t>
        </is>
      </c>
      <c r="F495" s="5" t="n">
        <v>124.17</v>
      </c>
      <c r="G495" s="5" t="n"/>
      <c r="H495" s="5" t="n"/>
      <c r="I495" s="5" t="n"/>
      <c r="J495" s="5" t="n">
        <v>24.83</v>
      </c>
      <c r="K495" s="5" t="n"/>
      <c r="L495" s="5" t="n"/>
      <c r="M495" s="5" t="n"/>
      <c r="N495" s="5" t="n"/>
      <c r="O495" s="5" t="n">
        <v>149</v>
      </c>
      <c r="P495" s="5" t="n"/>
      <c r="Q495" s="5" t="n">
        <v>149</v>
      </c>
      <c r="R495" s="5" t="n"/>
    </row>
    <row r="496">
      <c r="A496" s="2" t="inlineStr">
        <is>
          <t>EJ011023.TXT</t>
        </is>
      </c>
      <c r="B496" s="3" t="inlineStr">
        <is>
          <t>005066</t>
        </is>
      </c>
      <c r="C496" s="3" t="inlineStr">
        <is>
          <t>004056</t>
        </is>
      </c>
      <c r="D496" s="4" t="n">
        <v>45174</v>
      </c>
      <c r="E496" s="2" t="inlineStr">
        <is>
          <t>17:27</t>
        </is>
      </c>
      <c r="F496" s="5" t="n">
        <v>646.67</v>
      </c>
      <c r="G496" s="5" t="n"/>
      <c r="H496" s="5" t="n"/>
      <c r="I496" s="5" t="n"/>
      <c r="J496" s="5" t="n">
        <v>129.33</v>
      </c>
      <c r="K496" s="5" t="n"/>
      <c r="L496" s="5" t="n"/>
      <c r="M496" s="5" t="n"/>
      <c r="N496" s="5" t="n"/>
      <c r="O496" s="5" t="n">
        <v>776</v>
      </c>
      <c r="P496" s="5" t="n">
        <v>776</v>
      </c>
      <c r="Q496" s="5" t="n"/>
      <c r="R496" s="5" t="n"/>
    </row>
    <row r="497">
      <c r="A497" s="2" t="inlineStr">
        <is>
          <t>EJ011023.TXT</t>
        </is>
      </c>
      <c r="B497" s="3" t="inlineStr">
        <is>
          <t>005067</t>
        </is>
      </c>
      <c r="C497" s="3" t="inlineStr">
        <is>
          <t>004057</t>
        </is>
      </c>
      <c r="D497" s="4" t="n">
        <v>45175</v>
      </c>
      <c r="E497" s="2" t="inlineStr">
        <is>
          <t>14:21</t>
        </is>
      </c>
      <c r="F497" s="5" t="n">
        <v>1595</v>
      </c>
      <c r="G497" s="5" t="n"/>
      <c r="H497" s="5" t="n"/>
      <c r="I497" s="5" t="n"/>
      <c r="J497" s="5" t="n">
        <v>319</v>
      </c>
      <c r="K497" s="5" t="n"/>
      <c r="L497" s="5" t="n"/>
      <c r="M497" s="5" t="n"/>
      <c r="N497" s="5" t="n"/>
      <c r="O497" s="5" t="n">
        <v>1914</v>
      </c>
      <c r="P497" s="5" t="n">
        <v>1914</v>
      </c>
      <c r="Q497" s="5" t="n"/>
      <c r="R497" s="5" t="n"/>
    </row>
    <row r="498">
      <c r="A498" s="2" t="inlineStr">
        <is>
          <t>EJ011023.TXT</t>
        </is>
      </c>
      <c r="B498" s="3" t="inlineStr">
        <is>
          <t>005068</t>
        </is>
      </c>
      <c r="C498" s="3" t="inlineStr">
        <is>
          <t>004058</t>
        </is>
      </c>
      <c r="D498" s="4" t="n">
        <v>45175</v>
      </c>
      <c r="E498" s="2" t="inlineStr">
        <is>
          <t>14:23</t>
        </is>
      </c>
      <c r="F498" s="5" t="n">
        <v>822.5</v>
      </c>
      <c r="G498" s="5" t="n"/>
      <c r="H498" s="5" t="n"/>
      <c r="I498" s="5" t="n"/>
      <c r="J498" s="5" t="n">
        <v>164.5</v>
      </c>
      <c r="K498" s="5" t="n"/>
      <c r="L498" s="5" t="n"/>
      <c r="M498" s="5" t="n"/>
      <c r="N498" s="5" t="n"/>
      <c r="O498" s="5" t="n">
        <v>987</v>
      </c>
      <c r="P498" s="5" t="n"/>
      <c r="Q498" s="5" t="n">
        <v>987</v>
      </c>
      <c r="R498" s="5" t="n"/>
    </row>
    <row r="499">
      <c r="A499" s="2" t="inlineStr">
        <is>
          <t>EJ011023.TXT</t>
        </is>
      </c>
      <c r="B499" s="3" t="inlineStr">
        <is>
          <t>005069</t>
        </is>
      </c>
      <c r="C499" s="3" t="inlineStr">
        <is>
          <t>004059</t>
        </is>
      </c>
      <c r="D499" s="4" t="n">
        <v>45175</v>
      </c>
      <c r="E499" s="2" t="inlineStr">
        <is>
          <t>14:23</t>
        </is>
      </c>
      <c r="F499" s="5" t="n">
        <v>274.17</v>
      </c>
      <c r="G499" s="5" t="n"/>
      <c r="H499" s="5" t="n"/>
      <c r="I499" s="5" t="n"/>
      <c r="J499" s="5" t="n">
        <v>54.83</v>
      </c>
      <c r="K499" s="5" t="n"/>
      <c r="L499" s="5" t="n"/>
      <c r="M499" s="5" t="n"/>
      <c r="N499" s="5" t="n"/>
      <c r="O499" s="5" t="n">
        <v>329</v>
      </c>
      <c r="P499" s="5" t="n"/>
      <c r="Q499" s="5" t="n">
        <v>329</v>
      </c>
      <c r="R499" s="5" t="n"/>
    </row>
    <row r="500">
      <c r="A500" s="2" t="inlineStr">
        <is>
          <t>EJ011023.TXT</t>
        </is>
      </c>
      <c r="B500" s="3" t="inlineStr">
        <is>
          <t>005070</t>
        </is>
      </c>
      <c r="C500" s="3" t="inlineStr">
        <is>
          <t>004060</t>
        </is>
      </c>
      <c r="D500" s="4" t="n">
        <v>45176</v>
      </c>
      <c r="E500" s="2" t="inlineStr">
        <is>
          <t>10:21</t>
        </is>
      </c>
      <c r="F500" s="5" t="n">
        <v>531.67</v>
      </c>
      <c r="G500" s="5" t="n"/>
      <c r="H500" s="5" t="n"/>
      <c r="I500" s="5" t="n"/>
      <c r="J500" s="5" t="n">
        <v>106.33</v>
      </c>
      <c r="K500" s="5" t="n"/>
      <c r="L500" s="5" t="n"/>
      <c r="M500" s="5" t="n"/>
      <c r="N500" s="5" t="n"/>
      <c r="O500" s="5" t="n">
        <v>638</v>
      </c>
      <c r="P500" s="5" t="n"/>
      <c r="Q500" s="5" t="n">
        <v>638</v>
      </c>
      <c r="R500" s="5" t="n"/>
    </row>
    <row r="501">
      <c r="A501" s="2" t="inlineStr">
        <is>
          <t>EJ011023.TXT</t>
        </is>
      </c>
      <c r="B501" s="3" t="inlineStr">
        <is>
          <t>005071</t>
        </is>
      </c>
      <c r="C501" s="3" t="inlineStr">
        <is>
          <t>004061</t>
        </is>
      </c>
      <c r="D501" s="4" t="n">
        <v>45177</v>
      </c>
      <c r="E501" s="2" t="inlineStr">
        <is>
          <t>09:54</t>
        </is>
      </c>
      <c r="F501" s="5" t="n">
        <v>414.17</v>
      </c>
      <c r="G501" s="5" t="n"/>
      <c r="H501" s="5" t="n"/>
      <c r="I501" s="5" t="n"/>
      <c r="J501" s="5" t="n">
        <v>82.83</v>
      </c>
      <c r="K501" s="5" t="n"/>
      <c r="L501" s="5" t="n"/>
      <c r="M501" s="5" t="n"/>
      <c r="N501" s="5" t="n"/>
      <c r="O501" s="5" t="n">
        <v>497</v>
      </c>
      <c r="P501" s="5" t="n">
        <v>497</v>
      </c>
      <c r="Q501" s="5" t="n"/>
      <c r="R501" s="5" t="n"/>
    </row>
    <row r="502">
      <c r="A502" s="2" t="inlineStr">
        <is>
          <t>EJ011023.TXT</t>
        </is>
      </c>
      <c r="B502" s="3" t="inlineStr">
        <is>
          <t>005072</t>
        </is>
      </c>
      <c r="C502" s="3" t="inlineStr">
        <is>
          <t>004062</t>
        </is>
      </c>
      <c r="D502" s="4" t="n">
        <v>45178</v>
      </c>
      <c r="E502" s="2" t="inlineStr">
        <is>
          <t>13:44</t>
        </is>
      </c>
      <c r="F502" s="5" t="n">
        <v>199.17</v>
      </c>
      <c r="G502" s="5" t="n"/>
      <c r="H502" s="5" t="n"/>
      <c r="I502" s="5" t="n"/>
      <c r="J502" s="5" t="n">
        <v>39.83</v>
      </c>
      <c r="K502" s="5" t="n"/>
      <c r="L502" s="5" t="n"/>
      <c r="M502" s="5" t="n"/>
      <c r="N502" s="5" t="n"/>
      <c r="O502" s="5" t="n">
        <v>239</v>
      </c>
      <c r="P502" s="5" t="n">
        <v>239</v>
      </c>
      <c r="Q502" s="5" t="n"/>
      <c r="R502" s="5" t="n"/>
    </row>
    <row r="503">
      <c r="A503" s="2" t="inlineStr">
        <is>
          <t>EJ011023.TXT</t>
        </is>
      </c>
      <c r="B503" s="3" t="inlineStr">
        <is>
          <t>005073</t>
        </is>
      </c>
      <c r="C503" s="3" t="inlineStr">
        <is>
          <t>004063</t>
        </is>
      </c>
      <c r="D503" s="4" t="n">
        <v>45180</v>
      </c>
      <c r="E503" s="2" t="inlineStr">
        <is>
          <t>16:23</t>
        </is>
      </c>
      <c r="F503" s="5" t="n">
        <v>1595</v>
      </c>
      <c r="G503" s="5" t="n"/>
      <c r="H503" s="5" t="n"/>
      <c r="I503" s="5" t="n"/>
      <c r="J503" s="5" t="n">
        <v>319</v>
      </c>
      <c r="K503" s="5" t="n"/>
      <c r="L503" s="5" t="n"/>
      <c r="M503" s="5" t="n"/>
      <c r="N503" s="5" t="n"/>
      <c r="O503" s="5" t="n">
        <v>1914</v>
      </c>
      <c r="P503" s="5" t="n">
        <v>1914</v>
      </c>
      <c r="Q503" s="5" t="n"/>
      <c r="R503" s="5" t="n"/>
    </row>
    <row r="504">
      <c r="A504" s="2" t="inlineStr">
        <is>
          <t>EJ011023.TXT</t>
        </is>
      </c>
      <c r="B504" s="3" t="inlineStr">
        <is>
          <t>005074</t>
        </is>
      </c>
      <c r="C504" s="3" t="inlineStr">
        <is>
          <t>004064</t>
        </is>
      </c>
      <c r="D504" s="4" t="n">
        <v>45180</v>
      </c>
      <c r="E504" s="2" t="inlineStr">
        <is>
          <t>16:24</t>
        </is>
      </c>
      <c r="F504" s="5" t="n">
        <v>822.5</v>
      </c>
      <c r="G504" s="5" t="n"/>
      <c r="H504" s="5" t="n"/>
      <c r="I504" s="5" t="n"/>
      <c r="J504" s="5" t="n">
        <v>164.5</v>
      </c>
      <c r="K504" s="5" t="n"/>
      <c r="L504" s="5" t="n"/>
      <c r="M504" s="5" t="n"/>
      <c r="N504" s="5" t="n"/>
      <c r="O504" s="5" t="n">
        <v>987</v>
      </c>
      <c r="P504" s="5" t="n"/>
      <c r="Q504" s="5" t="n">
        <v>987</v>
      </c>
      <c r="R504" s="5" t="n"/>
    </row>
    <row r="505">
      <c r="A505" s="2" t="inlineStr">
        <is>
          <t>EJ011023.TXT</t>
        </is>
      </c>
      <c r="B505" s="3" t="inlineStr">
        <is>
          <t>005075</t>
        </is>
      </c>
      <c r="C505" s="3" t="inlineStr">
        <is>
          <t>004065</t>
        </is>
      </c>
      <c r="D505" s="4" t="n">
        <v>45180</v>
      </c>
      <c r="E505" s="2" t="inlineStr">
        <is>
          <t>16:25</t>
        </is>
      </c>
      <c r="F505" s="5" t="n">
        <v>822.5</v>
      </c>
      <c r="G505" s="5" t="n"/>
      <c r="H505" s="5" t="n"/>
      <c r="I505" s="5" t="n"/>
      <c r="J505" s="5" t="n">
        <v>164.5</v>
      </c>
      <c r="K505" s="5" t="n"/>
      <c r="L505" s="5" t="n"/>
      <c r="M505" s="5" t="n"/>
      <c r="N505" s="5" t="n"/>
      <c r="O505" s="5" t="n">
        <v>987</v>
      </c>
      <c r="P505" s="5" t="n"/>
      <c r="Q505" s="5" t="n">
        <v>987</v>
      </c>
      <c r="R505" s="5" t="n"/>
    </row>
    <row r="506">
      <c r="A506" s="2" t="inlineStr">
        <is>
          <t>EJ011023.TXT</t>
        </is>
      </c>
      <c r="B506" s="3" t="inlineStr">
        <is>
          <t>005076</t>
        </is>
      </c>
      <c r="C506" s="3" t="inlineStr">
        <is>
          <t>004066</t>
        </is>
      </c>
      <c r="D506" s="4" t="n">
        <v>45181</v>
      </c>
      <c r="E506" s="2" t="inlineStr">
        <is>
          <t>15:03</t>
        </is>
      </c>
      <c r="F506" s="5" t="n">
        <v>274.17</v>
      </c>
      <c r="G506" s="5" t="n"/>
      <c r="H506" s="5" t="n"/>
      <c r="I506" s="5" t="n"/>
      <c r="J506" s="5" t="n">
        <v>54.83</v>
      </c>
      <c r="K506" s="5" t="n"/>
      <c r="L506" s="5" t="n"/>
      <c r="M506" s="5" t="n"/>
      <c r="N506" s="5" t="n"/>
      <c r="O506" s="5" t="n">
        <v>329</v>
      </c>
      <c r="P506" s="5" t="n"/>
      <c r="Q506" s="5" t="n">
        <v>329</v>
      </c>
      <c r="R506" s="5" t="n"/>
    </row>
    <row r="507">
      <c r="A507" s="2" t="inlineStr">
        <is>
          <t>EJ011023.TXT</t>
        </is>
      </c>
      <c r="B507" s="3" t="inlineStr">
        <is>
          <t>005077</t>
        </is>
      </c>
      <c r="C507" s="3" t="inlineStr">
        <is>
          <t>004067</t>
        </is>
      </c>
      <c r="D507" s="4" t="n">
        <v>45181</v>
      </c>
      <c r="E507" s="2" t="inlineStr">
        <is>
          <t>15:25</t>
        </is>
      </c>
      <c r="F507" s="5" t="n">
        <v>190.83</v>
      </c>
      <c r="G507" s="5" t="n"/>
      <c r="H507" s="5" t="n"/>
      <c r="I507" s="5" t="n"/>
      <c r="J507" s="5" t="n">
        <v>38.17</v>
      </c>
      <c r="K507" s="5" t="n"/>
      <c r="L507" s="5" t="n"/>
      <c r="M507" s="5" t="n"/>
      <c r="N507" s="5" t="n"/>
      <c r="O507" s="5" t="n">
        <v>229</v>
      </c>
      <c r="P507" s="5" t="n">
        <v>229</v>
      </c>
      <c r="Q507" s="5" t="n"/>
      <c r="R507" s="5" t="n"/>
    </row>
    <row r="508">
      <c r="A508" s="2" t="inlineStr">
        <is>
          <t>EJ011023.TXT</t>
        </is>
      </c>
      <c r="B508" s="3" t="inlineStr">
        <is>
          <t>005078</t>
        </is>
      </c>
      <c r="C508" s="3" t="inlineStr">
        <is>
          <t>004068</t>
        </is>
      </c>
      <c r="D508" s="4" t="n">
        <v>45182</v>
      </c>
      <c r="E508" s="2" t="inlineStr">
        <is>
          <t>13:42</t>
        </is>
      </c>
      <c r="F508" s="5" t="n">
        <v>313.33</v>
      </c>
      <c r="G508" s="5" t="n"/>
      <c r="H508" s="5" t="n"/>
      <c r="I508" s="5" t="n"/>
      <c r="J508" s="5" t="n">
        <v>62.67</v>
      </c>
      <c r="K508" s="5" t="n"/>
      <c r="L508" s="5" t="n"/>
      <c r="M508" s="5" t="n"/>
      <c r="N508" s="5" t="n"/>
      <c r="O508" s="5" t="n">
        <v>376</v>
      </c>
      <c r="P508" s="5" t="n"/>
      <c r="Q508" s="5" t="n">
        <v>376</v>
      </c>
      <c r="R508" s="5" t="n"/>
    </row>
    <row r="509">
      <c r="A509" s="2" t="inlineStr">
        <is>
          <t>EJ011023.TXT</t>
        </is>
      </c>
      <c r="B509" s="3" t="inlineStr">
        <is>
          <t>005079</t>
        </is>
      </c>
      <c r="C509" s="3" t="inlineStr">
        <is>
          <t>004069</t>
        </is>
      </c>
      <c r="D509" s="4" t="n">
        <v>45182</v>
      </c>
      <c r="E509" s="2" t="inlineStr">
        <is>
          <t>16:36</t>
        </is>
      </c>
      <c r="F509" s="5" t="n">
        <v>156.67</v>
      </c>
      <c r="G509" s="5" t="n"/>
      <c r="H509" s="5" t="n"/>
      <c r="I509" s="5" t="n"/>
      <c r="J509" s="5" t="n">
        <v>31.33</v>
      </c>
      <c r="K509" s="5" t="n"/>
      <c r="L509" s="5" t="n"/>
      <c r="M509" s="5" t="n"/>
      <c r="N509" s="5" t="n"/>
      <c r="O509" s="5" t="n">
        <v>188</v>
      </c>
      <c r="P509" s="5" t="n"/>
      <c r="Q509" s="5" t="n">
        <v>188</v>
      </c>
      <c r="R509" s="5" t="n"/>
    </row>
    <row r="510">
      <c r="A510" s="2" t="inlineStr">
        <is>
          <t>EJ011023.TXT</t>
        </is>
      </c>
      <c r="B510" s="3" t="inlineStr">
        <is>
          <t>005080</t>
        </is>
      </c>
      <c r="C510" s="3" t="inlineStr">
        <is>
          <t>004070</t>
        </is>
      </c>
      <c r="D510" s="4" t="n">
        <v>45183</v>
      </c>
      <c r="E510" s="2" t="inlineStr">
        <is>
          <t>10:07</t>
        </is>
      </c>
      <c r="F510" s="5" t="n">
        <v>208.33</v>
      </c>
      <c r="G510" s="5" t="n"/>
      <c r="H510" s="5" t="n"/>
      <c r="I510" s="5" t="n"/>
      <c r="J510" s="5" t="n">
        <v>41.67</v>
      </c>
      <c r="K510" s="5" t="n"/>
      <c r="L510" s="5" t="n"/>
      <c r="M510" s="5" t="n"/>
      <c r="N510" s="5" t="n"/>
      <c r="O510" s="5" t="n">
        <v>250</v>
      </c>
      <c r="P510" s="5" t="n"/>
      <c r="Q510" s="5" t="n">
        <v>250</v>
      </c>
      <c r="R510" s="5" t="n"/>
    </row>
    <row r="511">
      <c r="A511" s="2" t="inlineStr">
        <is>
          <t>EJ011023.TXT</t>
        </is>
      </c>
      <c r="B511" s="3" t="inlineStr">
        <is>
          <t>005081</t>
        </is>
      </c>
      <c r="C511" s="3" t="inlineStr">
        <is>
          <t>004071</t>
        </is>
      </c>
      <c r="D511" s="4" t="n">
        <v>45183</v>
      </c>
      <c r="E511" s="2" t="inlineStr">
        <is>
          <t>10:34</t>
        </is>
      </c>
      <c r="F511" s="5" t="n">
        <v>232.42</v>
      </c>
      <c r="G511" s="5" t="n"/>
      <c r="H511" s="5" t="n"/>
      <c r="I511" s="5" t="n"/>
      <c r="J511" s="5" t="n">
        <v>46.48</v>
      </c>
      <c r="K511" s="5" t="n"/>
      <c r="L511" s="5" t="n"/>
      <c r="M511" s="5" t="n"/>
      <c r="N511" s="5" t="n"/>
      <c r="O511" s="5" t="n">
        <v>278.9</v>
      </c>
      <c r="P511" s="5" t="n"/>
      <c r="Q511" s="5" t="n">
        <v>278.9</v>
      </c>
      <c r="R511" s="5" t="n"/>
    </row>
    <row r="512">
      <c r="A512" s="2" t="inlineStr">
        <is>
          <t>EJ011023.TXT</t>
        </is>
      </c>
      <c r="B512" s="3" t="inlineStr">
        <is>
          <t>005082</t>
        </is>
      </c>
      <c r="C512" s="3" t="inlineStr">
        <is>
          <t>004072</t>
        </is>
      </c>
      <c r="D512" s="4" t="n">
        <v>45183</v>
      </c>
      <c r="E512" s="2" t="inlineStr">
        <is>
          <t>10:41</t>
        </is>
      </c>
      <c r="F512" s="5" t="n">
        <v>199.17</v>
      </c>
      <c r="G512" s="5" t="n"/>
      <c r="H512" s="5" t="n"/>
      <c r="I512" s="5" t="n"/>
      <c r="J512" s="5" t="n">
        <v>39.83</v>
      </c>
      <c r="K512" s="5" t="n"/>
      <c r="L512" s="5" t="n"/>
      <c r="M512" s="5" t="n"/>
      <c r="N512" s="5" t="n"/>
      <c r="O512" s="5" t="n">
        <v>239</v>
      </c>
      <c r="P512" s="5" t="n"/>
      <c r="Q512" s="5" t="n">
        <v>239</v>
      </c>
      <c r="R512" s="5" t="n"/>
    </row>
    <row r="513">
      <c r="A513" s="2" t="inlineStr">
        <is>
          <t>EJ011023.TXT</t>
        </is>
      </c>
      <c r="B513" s="3" t="inlineStr">
        <is>
          <t>005083</t>
        </is>
      </c>
      <c r="C513" s="3" t="inlineStr">
        <is>
          <t>004073</t>
        </is>
      </c>
      <c r="D513" s="4" t="n">
        <v>45184</v>
      </c>
      <c r="E513" s="2" t="inlineStr">
        <is>
          <t>09:30</t>
        </is>
      </c>
      <c r="F513" s="5" t="n">
        <v>797.5</v>
      </c>
      <c r="G513" s="5" t="n"/>
      <c r="H513" s="5" t="n"/>
      <c r="I513" s="5" t="n"/>
      <c r="J513" s="5" t="n">
        <v>159.5</v>
      </c>
      <c r="K513" s="5" t="n"/>
      <c r="L513" s="5" t="n"/>
      <c r="M513" s="5" t="n"/>
      <c r="N513" s="5" t="n"/>
      <c r="O513" s="5" t="n">
        <v>957</v>
      </c>
      <c r="P513" s="5" t="n"/>
      <c r="Q513" s="5" t="n">
        <v>957</v>
      </c>
      <c r="R513" s="5" t="n"/>
    </row>
    <row r="514">
      <c r="A514" s="2" t="inlineStr">
        <is>
          <t>EJ011023.TXT</t>
        </is>
      </c>
      <c r="B514" s="3" t="inlineStr">
        <is>
          <t>005084</t>
        </is>
      </c>
      <c r="C514" s="3" t="inlineStr">
        <is>
          <t>004074</t>
        </is>
      </c>
      <c r="D514" s="4" t="n">
        <v>45184</v>
      </c>
      <c r="E514" s="2" t="inlineStr">
        <is>
          <t>09:54</t>
        </is>
      </c>
      <c r="F514" s="5" t="n">
        <v>787.5</v>
      </c>
      <c r="G514" s="5" t="n"/>
      <c r="H514" s="5" t="n"/>
      <c r="I514" s="5" t="n"/>
      <c r="J514" s="5" t="n">
        <v>157.5</v>
      </c>
      <c r="K514" s="5" t="n"/>
      <c r="L514" s="5" t="n"/>
      <c r="M514" s="5" t="n"/>
      <c r="N514" s="5" t="n"/>
      <c r="O514" s="5" t="n">
        <v>945</v>
      </c>
      <c r="P514" s="5" t="n"/>
      <c r="Q514" s="5" t="n">
        <v>945</v>
      </c>
      <c r="R514" s="5" t="n"/>
    </row>
    <row r="515">
      <c r="A515" s="2" t="inlineStr">
        <is>
          <t>EJ011023.TXT</t>
        </is>
      </c>
      <c r="B515" s="3" t="inlineStr">
        <is>
          <t>005085</t>
        </is>
      </c>
      <c r="C515" s="3" t="inlineStr">
        <is>
          <t>004075</t>
        </is>
      </c>
      <c r="D515" s="4" t="n">
        <v>45184</v>
      </c>
      <c r="E515" s="2" t="inlineStr">
        <is>
          <t>09:55</t>
        </is>
      </c>
      <c r="F515" s="5" t="n">
        <v>787.5</v>
      </c>
      <c r="G515" s="5" t="n"/>
      <c r="H515" s="5" t="n"/>
      <c r="I515" s="5" t="n"/>
      <c r="J515" s="5" t="n">
        <v>157.5</v>
      </c>
      <c r="K515" s="5" t="n"/>
      <c r="L515" s="5" t="n"/>
      <c r="M515" s="5" t="n"/>
      <c r="N515" s="5" t="n"/>
      <c r="O515" s="5" t="n">
        <v>945</v>
      </c>
      <c r="P515" s="5" t="n"/>
      <c r="Q515" s="5" t="n">
        <v>945</v>
      </c>
      <c r="R515" s="5" t="n"/>
    </row>
    <row r="516">
      <c r="A516" s="2" t="inlineStr">
        <is>
          <t>EJ011023.TXT</t>
        </is>
      </c>
      <c r="B516" s="3" t="inlineStr">
        <is>
          <t>005086</t>
        </is>
      </c>
      <c r="C516" s="3" t="inlineStr">
        <is>
          <t>004076</t>
        </is>
      </c>
      <c r="D516" s="4" t="n">
        <v>45184</v>
      </c>
      <c r="E516" s="2" t="inlineStr">
        <is>
          <t>10:05</t>
        </is>
      </c>
      <c r="F516" s="5" t="n">
        <v>495</v>
      </c>
      <c r="G516" s="5" t="n"/>
      <c r="H516" s="5" t="n"/>
      <c r="I516" s="5" t="n"/>
      <c r="J516" s="5" t="n">
        <v>99</v>
      </c>
      <c r="K516" s="5" t="n"/>
      <c r="L516" s="5" t="n"/>
      <c r="M516" s="5" t="n"/>
      <c r="N516" s="5" t="n"/>
      <c r="O516" s="5" t="n">
        <v>594</v>
      </c>
      <c r="P516" s="5" t="n"/>
      <c r="Q516" s="5" t="n">
        <v>594</v>
      </c>
      <c r="R516" s="5" t="n"/>
    </row>
    <row r="517">
      <c r="A517" s="2" t="inlineStr">
        <is>
          <t>EJ011023.TXT</t>
        </is>
      </c>
      <c r="B517" s="3" t="inlineStr">
        <is>
          <t>005087</t>
        </is>
      </c>
      <c r="C517" s="3" t="inlineStr">
        <is>
          <t>004077</t>
        </is>
      </c>
      <c r="D517" s="4" t="n">
        <v>45185</v>
      </c>
      <c r="E517" s="2" t="inlineStr">
        <is>
          <t>16:14</t>
        </is>
      </c>
      <c r="F517" s="5" t="n">
        <v>531.67</v>
      </c>
      <c r="G517" s="5" t="n"/>
      <c r="H517" s="5" t="n"/>
      <c r="I517" s="5" t="n"/>
      <c r="J517" s="5" t="n">
        <v>106.33</v>
      </c>
      <c r="K517" s="5" t="n"/>
      <c r="L517" s="5" t="n"/>
      <c r="M517" s="5" t="n"/>
      <c r="N517" s="5" t="n"/>
      <c r="O517" s="5" t="n">
        <v>638</v>
      </c>
      <c r="P517" s="5" t="n">
        <v>638</v>
      </c>
      <c r="Q517" s="5" t="n"/>
      <c r="R517" s="5" t="n"/>
    </row>
    <row r="518">
      <c r="A518" s="2" t="inlineStr">
        <is>
          <t>EJ011023.TXT</t>
        </is>
      </c>
      <c r="B518" s="3" t="inlineStr">
        <is>
          <t>005088</t>
        </is>
      </c>
      <c r="C518" s="3" t="inlineStr">
        <is>
          <t>004078</t>
        </is>
      </c>
      <c r="D518" s="4" t="n">
        <v>45187</v>
      </c>
      <c r="E518" s="2" t="inlineStr">
        <is>
          <t>11:07</t>
        </is>
      </c>
      <c r="F518" s="5" t="n">
        <v>66.33</v>
      </c>
      <c r="G518" s="5" t="n"/>
      <c r="H518" s="5" t="n"/>
      <c r="I518" s="5" t="n"/>
      <c r="J518" s="5" t="n">
        <v>13.27</v>
      </c>
      <c r="K518" s="5" t="n"/>
      <c r="L518" s="5" t="n"/>
      <c r="M518" s="5" t="n"/>
      <c r="N518" s="5" t="n"/>
      <c r="O518" s="5" t="n">
        <v>79.59999999999999</v>
      </c>
      <c r="P518" s="5" t="n"/>
      <c r="Q518" s="5" t="n">
        <v>79.59999999999999</v>
      </c>
      <c r="R518" s="5" t="n"/>
    </row>
    <row r="519">
      <c r="A519" s="2" t="inlineStr">
        <is>
          <t>EJ011023.TXT</t>
        </is>
      </c>
      <c r="B519" s="3" t="inlineStr">
        <is>
          <t>005089</t>
        </is>
      </c>
      <c r="C519" s="3" t="inlineStr">
        <is>
          <t>004079</t>
        </is>
      </c>
      <c r="D519" s="4" t="n">
        <v>45187</v>
      </c>
      <c r="E519" s="2" t="inlineStr">
        <is>
          <t>14:18</t>
        </is>
      </c>
      <c r="F519" s="5" t="n">
        <v>548.33</v>
      </c>
      <c r="G519" s="5" t="n"/>
      <c r="H519" s="5" t="n"/>
      <c r="I519" s="5" t="n"/>
      <c r="J519" s="5" t="n">
        <v>109.67</v>
      </c>
      <c r="K519" s="5" t="n"/>
      <c r="L519" s="5" t="n"/>
      <c r="M519" s="5" t="n"/>
      <c r="N519" s="5" t="n"/>
      <c r="O519" s="5" t="n">
        <v>658</v>
      </c>
      <c r="P519" s="5" t="n">
        <v>658</v>
      </c>
      <c r="Q519" s="5" t="n"/>
      <c r="R519" s="5" t="n"/>
    </row>
    <row r="520">
      <c r="A520" s="2" t="inlineStr">
        <is>
          <t>EJ011023.TXT</t>
        </is>
      </c>
      <c r="B520" s="3" t="inlineStr">
        <is>
          <t>005090</t>
        </is>
      </c>
      <c r="C520" s="3" t="inlineStr">
        <is>
          <t>004080</t>
        </is>
      </c>
      <c r="D520" s="4" t="n">
        <v>45187</v>
      </c>
      <c r="E520" s="2" t="inlineStr">
        <is>
          <t>15:58</t>
        </is>
      </c>
      <c r="F520" s="5" t="n">
        <v>274.17</v>
      </c>
      <c r="G520" s="5" t="n"/>
      <c r="H520" s="5" t="n"/>
      <c r="I520" s="5" t="n"/>
      <c r="J520" s="5" t="n">
        <v>54.83</v>
      </c>
      <c r="K520" s="5" t="n"/>
      <c r="L520" s="5" t="n"/>
      <c r="M520" s="5" t="n"/>
      <c r="N520" s="5" t="n"/>
      <c r="O520" s="5" t="n">
        <v>329</v>
      </c>
      <c r="P520" s="5" t="n"/>
      <c r="Q520" s="5" t="n">
        <v>329</v>
      </c>
      <c r="R520" s="5" t="n"/>
    </row>
    <row r="521">
      <c r="A521" s="2" t="inlineStr">
        <is>
          <t>EJ011023.TXT</t>
        </is>
      </c>
      <c r="B521" s="3" t="inlineStr">
        <is>
          <t>005091</t>
        </is>
      </c>
      <c r="C521" s="3" t="inlineStr">
        <is>
          <t>004081</t>
        </is>
      </c>
      <c r="D521" s="4" t="n">
        <v>45188</v>
      </c>
      <c r="E521" s="2" t="inlineStr">
        <is>
          <t>10:54</t>
        </is>
      </c>
      <c r="F521" s="5" t="n">
        <v>473.75</v>
      </c>
      <c r="G521" s="5" t="n"/>
      <c r="H521" s="5" t="n"/>
      <c r="I521" s="5" t="n"/>
      <c r="J521" s="5" t="n">
        <v>94.75</v>
      </c>
      <c r="K521" s="5" t="n"/>
      <c r="L521" s="5" t="n"/>
      <c r="M521" s="5" t="n"/>
      <c r="N521" s="5" t="n"/>
      <c r="O521" s="5" t="n">
        <v>568.5</v>
      </c>
      <c r="P521" s="5" t="n"/>
      <c r="Q521" s="5" t="n">
        <v>568.5</v>
      </c>
      <c r="R521" s="5" t="n"/>
    </row>
    <row r="522">
      <c r="A522" s="2" t="inlineStr">
        <is>
          <t>EJ011023.TXT</t>
        </is>
      </c>
      <c r="B522" s="3" t="inlineStr">
        <is>
          <t>005092</t>
        </is>
      </c>
      <c r="C522" s="3" t="inlineStr">
        <is>
          <t>004082</t>
        </is>
      </c>
      <c r="D522" s="4" t="n">
        <v>45188</v>
      </c>
      <c r="E522" s="2" t="inlineStr">
        <is>
          <t>10:54</t>
        </is>
      </c>
      <c r="F522" s="5" t="n">
        <v>473.75</v>
      </c>
      <c r="G522" s="5" t="n"/>
      <c r="H522" s="5" t="n"/>
      <c r="I522" s="5" t="n"/>
      <c r="J522" s="5" t="n">
        <v>94.75</v>
      </c>
      <c r="K522" s="5" t="n"/>
      <c r="L522" s="5" t="n"/>
      <c r="M522" s="5" t="n"/>
      <c r="N522" s="5" t="n"/>
      <c r="O522" s="5" t="n">
        <v>568.5</v>
      </c>
      <c r="P522" s="5" t="n"/>
      <c r="Q522" s="5" t="n">
        <v>568.5</v>
      </c>
      <c r="R522" s="5" t="n"/>
    </row>
    <row r="523">
      <c r="A523" s="2" t="inlineStr">
        <is>
          <t>EJ011023.TXT</t>
        </is>
      </c>
      <c r="B523" s="3" t="inlineStr">
        <is>
          <t>005093</t>
        </is>
      </c>
      <c r="C523" s="3" t="inlineStr">
        <is>
          <t>004083</t>
        </is>
      </c>
      <c r="D523" s="4" t="n">
        <v>45188</v>
      </c>
      <c r="E523" s="2" t="inlineStr">
        <is>
          <t>14:00</t>
        </is>
      </c>
      <c r="F523" s="5" t="n">
        <v>266.67</v>
      </c>
      <c r="G523" s="5" t="n"/>
      <c r="H523" s="5" t="n"/>
      <c r="I523" s="5" t="n"/>
      <c r="J523" s="5" t="n">
        <v>53.33</v>
      </c>
      <c r="K523" s="5" t="n"/>
      <c r="L523" s="5" t="n"/>
      <c r="M523" s="5" t="n"/>
      <c r="N523" s="5" t="n"/>
      <c r="O523" s="5" t="n">
        <v>320</v>
      </c>
      <c r="P523" s="5" t="n">
        <v>320</v>
      </c>
      <c r="Q523" s="5" t="n"/>
      <c r="R523" s="5" t="n"/>
    </row>
    <row r="524">
      <c r="A524" s="2" t="inlineStr">
        <is>
          <t>EJ011023.TXT</t>
        </is>
      </c>
      <c r="B524" s="3" t="inlineStr">
        <is>
          <t>005094</t>
        </is>
      </c>
      <c r="C524" s="3" t="inlineStr">
        <is>
          <t>004084</t>
        </is>
      </c>
      <c r="D524" s="4" t="n">
        <v>45188</v>
      </c>
      <c r="E524" s="2" t="inlineStr">
        <is>
          <t>16:46</t>
        </is>
      </c>
      <c r="F524" s="5" t="n">
        <v>231.67</v>
      </c>
      <c r="G524" s="5" t="n"/>
      <c r="H524" s="5" t="n"/>
      <c r="I524" s="5" t="n"/>
      <c r="J524" s="5" t="n">
        <v>46.33</v>
      </c>
      <c r="K524" s="5" t="n"/>
      <c r="L524" s="5" t="n"/>
      <c r="M524" s="5" t="n"/>
      <c r="N524" s="5" t="n"/>
      <c r="O524" s="5" t="n">
        <v>278</v>
      </c>
      <c r="P524" s="5" t="n">
        <v>278</v>
      </c>
      <c r="Q524" s="5" t="n"/>
      <c r="R524" s="5" t="n"/>
    </row>
    <row r="525">
      <c r="A525" s="2" t="inlineStr">
        <is>
          <t>EJ011023.TXT</t>
        </is>
      </c>
      <c r="B525" s="3" t="inlineStr">
        <is>
          <t>005095</t>
        </is>
      </c>
      <c r="C525" s="3" t="inlineStr">
        <is>
          <t>004085</t>
        </is>
      </c>
      <c r="D525" s="4" t="n">
        <v>45191</v>
      </c>
      <c r="E525" s="2" t="inlineStr">
        <is>
          <t>14:36</t>
        </is>
      </c>
      <c r="F525" s="5" t="n">
        <v>324.17</v>
      </c>
      <c r="G525" s="5" t="n"/>
      <c r="H525" s="5" t="n"/>
      <c r="I525" s="5" t="n"/>
      <c r="J525" s="5" t="n">
        <v>64.83</v>
      </c>
      <c r="K525" s="5" t="n"/>
      <c r="L525" s="5" t="n"/>
      <c r="M525" s="5" t="n"/>
      <c r="N525" s="5" t="n"/>
      <c r="O525" s="5" t="n">
        <v>389</v>
      </c>
      <c r="P525" s="5" t="n">
        <v>389</v>
      </c>
      <c r="Q525" s="5" t="n"/>
      <c r="R525" s="5" t="n"/>
    </row>
    <row r="526">
      <c r="A526" s="2" t="inlineStr">
        <is>
          <t>EJ011023.TXT</t>
        </is>
      </c>
      <c r="B526" s="3" t="inlineStr">
        <is>
          <t>005096</t>
        </is>
      </c>
      <c r="C526" s="3" t="inlineStr">
        <is>
          <t>004086</t>
        </is>
      </c>
      <c r="D526" s="4" t="n">
        <v>45192</v>
      </c>
      <c r="E526" s="2" t="inlineStr">
        <is>
          <t>15:35</t>
        </is>
      </c>
      <c r="F526" s="5" t="n">
        <v>548.33</v>
      </c>
      <c r="G526" s="5" t="n"/>
      <c r="H526" s="5" t="n"/>
      <c r="I526" s="5" t="n"/>
      <c r="J526" s="5" t="n">
        <v>109.67</v>
      </c>
      <c r="K526" s="5" t="n"/>
      <c r="L526" s="5" t="n"/>
      <c r="M526" s="5" t="n"/>
      <c r="N526" s="5" t="n"/>
      <c r="O526" s="5" t="n">
        <v>658</v>
      </c>
      <c r="P526" s="5" t="n"/>
      <c r="Q526" s="5" t="n">
        <v>658</v>
      </c>
      <c r="R526" s="5" t="n"/>
    </row>
    <row r="527">
      <c r="A527" s="2" t="inlineStr">
        <is>
          <t>EJ011023.TXT</t>
        </is>
      </c>
      <c r="B527" s="3" t="inlineStr">
        <is>
          <t>005097</t>
        </is>
      </c>
      <c r="C527" s="3" t="inlineStr">
        <is>
          <t>004087</t>
        </is>
      </c>
      <c r="D527" s="4" t="n">
        <v>45194</v>
      </c>
      <c r="E527" s="2" t="inlineStr">
        <is>
          <t>10:14</t>
        </is>
      </c>
      <c r="F527" s="5" t="n">
        <v>208.33</v>
      </c>
      <c r="G527" s="5" t="n"/>
      <c r="H527" s="5" t="n"/>
      <c r="I527" s="5" t="n"/>
      <c r="J527" s="5" t="n">
        <v>41.67</v>
      </c>
      <c r="K527" s="5" t="n"/>
      <c r="L527" s="5" t="n"/>
      <c r="M527" s="5" t="n"/>
      <c r="N527" s="5" t="n"/>
      <c r="O527" s="5" t="n">
        <v>250</v>
      </c>
      <c r="P527" s="5" t="n"/>
      <c r="Q527" s="5" t="n">
        <v>250</v>
      </c>
      <c r="R527" s="5" t="n"/>
    </row>
    <row r="528">
      <c r="A528" s="2" t="inlineStr">
        <is>
          <t>EJ011023.TXT</t>
        </is>
      </c>
      <c r="B528" s="3" t="inlineStr">
        <is>
          <t>005098</t>
        </is>
      </c>
      <c r="C528" s="3" t="inlineStr">
        <is>
          <t>004088</t>
        </is>
      </c>
      <c r="D528" s="4" t="n">
        <v>45194</v>
      </c>
      <c r="E528" s="2" t="inlineStr">
        <is>
          <t>11:41</t>
        </is>
      </c>
      <c r="F528" s="5" t="n">
        <v>208.33</v>
      </c>
      <c r="G528" s="5" t="n"/>
      <c r="H528" s="5" t="n"/>
      <c r="I528" s="5" t="n"/>
      <c r="J528" s="5" t="n">
        <v>41.67</v>
      </c>
      <c r="K528" s="5" t="n"/>
      <c r="L528" s="5" t="n"/>
      <c r="M528" s="5" t="n"/>
      <c r="N528" s="5" t="n"/>
      <c r="O528" s="5" t="n">
        <v>250</v>
      </c>
      <c r="P528" s="5" t="n"/>
      <c r="Q528" s="5" t="n">
        <v>250</v>
      </c>
      <c r="R528" s="5" t="n"/>
    </row>
    <row r="529">
      <c r="A529" s="2" t="inlineStr">
        <is>
          <t>EJ011023.TXT</t>
        </is>
      </c>
      <c r="B529" s="3" t="inlineStr">
        <is>
          <t>005099</t>
        </is>
      </c>
      <c r="C529" s="3" t="inlineStr">
        <is>
          <t>004089</t>
        </is>
      </c>
      <c r="D529" s="4" t="n">
        <v>45194</v>
      </c>
      <c r="E529" s="2" t="inlineStr">
        <is>
          <t>14:03</t>
        </is>
      </c>
      <c r="F529" s="5" t="n">
        <v>274.17</v>
      </c>
      <c r="G529" s="5" t="n"/>
      <c r="H529" s="5" t="n"/>
      <c r="I529" s="5" t="n"/>
      <c r="J529" s="5" t="n">
        <v>54.83</v>
      </c>
      <c r="K529" s="5" t="n"/>
      <c r="L529" s="5" t="n"/>
      <c r="M529" s="5" t="n"/>
      <c r="N529" s="5" t="n"/>
      <c r="O529" s="5" t="n">
        <v>329</v>
      </c>
      <c r="P529" s="5" t="n">
        <v>329</v>
      </c>
      <c r="Q529" s="5" t="n"/>
      <c r="R529" s="5" t="n"/>
    </row>
    <row r="530">
      <c r="A530" s="2" t="inlineStr">
        <is>
          <t>EJ011023.TXT</t>
        </is>
      </c>
      <c r="B530" s="3" t="inlineStr">
        <is>
          <t>005100</t>
        </is>
      </c>
      <c r="C530" s="3" t="inlineStr">
        <is>
          <t>004090</t>
        </is>
      </c>
      <c r="D530" s="4" t="n">
        <v>45194</v>
      </c>
      <c r="E530" s="2" t="inlineStr">
        <is>
          <t>16:20</t>
        </is>
      </c>
      <c r="F530" s="5" t="n">
        <v>548.33</v>
      </c>
      <c r="G530" s="5" t="n"/>
      <c r="H530" s="5" t="n"/>
      <c r="I530" s="5" t="n"/>
      <c r="J530" s="5" t="n">
        <v>109.67</v>
      </c>
      <c r="K530" s="5" t="n"/>
      <c r="L530" s="5" t="n"/>
      <c r="M530" s="5" t="n"/>
      <c r="N530" s="5" t="n"/>
      <c r="O530" s="5" t="n">
        <v>658</v>
      </c>
      <c r="P530" s="5" t="n">
        <v>658</v>
      </c>
      <c r="Q530" s="5" t="n"/>
      <c r="R530" s="5" t="n"/>
    </row>
    <row r="531">
      <c r="A531" s="2" t="inlineStr">
        <is>
          <t>EJ011023.TXT</t>
        </is>
      </c>
      <c r="B531" s="3" t="inlineStr">
        <is>
          <t>005101</t>
        </is>
      </c>
      <c r="C531" s="3" t="inlineStr">
        <is>
          <t>004091</t>
        </is>
      </c>
      <c r="D531" s="4" t="n">
        <v>45195</v>
      </c>
      <c r="E531" s="2" t="inlineStr">
        <is>
          <t>11:11</t>
        </is>
      </c>
      <c r="F531" s="5" t="n">
        <v>274.17</v>
      </c>
      <c r="G531" s="5" t="n"/>
      <c r="H531" s="5" t="n"/>
      <c r="I531" s="5" t="n"/>
      <c r="J531" s="5" t="n">
        <v>54.83</v>
      </c>
      <c r="K531" s="5" t="n"/>
      <c r="L531" s="5" t="n"/>
      <c r="M531" s="5" t="n"/>
      <c r="N531" s="5" t="n"/>
      <c r="O531" s="5" t="n">
        <v>329</v>
      </c>
      <c r="P531" s="5" t="n">
        <v>329</v>
      </c>
      <c r="Q531" s="5" t="n"/>
      <c r="R531" s="5" t="n"/>
    </row>
    <row r="532">
      <c r="A532" s="2" t="inlineStr">
        <is>
          <t>EJ011023.TXT</t>
        </is>
      </c>
      <c r="B532" s="3" t="inlineStr">
        <is>
          <t>005102</t>
        </is>
      </c>
      <c r="C532" s="3" t="inlineStr">
        <is>
          <t>004092</t>
        </is>
      </c>
      <c r="D532" s="4" t="n">
        <v>45196</v>
      </c>
      <c r="E532" s="2" t="inlineStr">
        <is>
          <t>10:34</t>
        </is>
      </c>
      <c r="F532" s="5" t="n">
        <v>548.33</v>
      </c>
      <c r="G532" s="5" t="n"/>
      <c r="H532" s="5" t="n"/>
      <c r="I532" s="5" t="n"/>
      <c r="J532" s="5" t="n">
        <v>109.67</v>
      </c>
      <c r="K532" s="5" t="n"/>
      <c r="L532" s="5" t="n"/>
      <c r="M532" s="5" t="n"/>
      <c r="N532" s="5" t="n"/>
      <c r="O532" s="5" t="n">
        <v>658</v>
      </c>
      <c r="P532" s="5" t="n">
        <v>658</v>
      </c>
      <c r="Q532" s="5" t="n"/>
      <c r="R532" s="5" t="n"/>
    </row>
    <row r="533">
      <c r="A533" s="2" t="inlineStr">
        <is>
          <t>EJ011023.TXT</t>
        </is>
      </c>
      <c r="B533" s="3" t="inlineStr">
        <is>
          <t>005103</t>
        </is>
      </c>
      <c r="C533" s="3" t="inlineStr">
        <is>
          <t>004093</t>
        </is>
      </c>
      <c r="D533" s="4" t="n">
        <v>45196</v>
      </c>
      <c r="E533" s="2" t="inlineStr">
        <is>
          <t>13:40</t>
        </is>
      </c>
      <c r="F533" s="5" t="n">
        <v>574.17</v>
      </c>
      <c r="G533" s="5" t="n"/>
      <c r="H533" s="5" t="n"/>
      <c r="I533" s="5" t="n"/>
      <c r="J533" s="5" t="n">
        <v>114.83</v>
      </c>
      <c r="K533" s="5" t="n"/>
      <c r="L533" s="5" t="n"/>
      <c r="M533" s="5" t="n"/>
      <c r="N533" s="5" t="n"/>
      <c r="O533" s="5" t="n">
        <v>689</v>
      </c>
      <c r="P533" s="5" t="n">
        <v>689</v>
      </c>
      <c r="Q533" s="5" t="n"/>
      <c r="R533" s="5" t="n"/>
    </row>
    <row r="534">
      <c r="A534" s="2" t="inlineStr">
        <is>
          <t>EJ011023.TXT</t>
        </is>
      </c>
      <c r="B534" s="3" t="inlineStr">
        <is>
          <t>005104</t>
        </is>
      </c>
      <c r="C534" s="3" t="inlineStr">
        <is>
          <t>004094</t>
        </is>
      </c>
      <c r="D534" s="4" t="n">
        <v>45197</v>
      </c>
      <c r="E534" s="2" t="inlineStr">
        <is>
          <t>11:04</t>
        </is>
      </c>
      <c r="F534" s="5" t="n">
        <v>574.17</v>
      </c>
      <c r="G534" s="5" t="n"/>
      <c r="H534" s="5" t="n"/>
      <c r="I534" s="5" t="n"/>
      <c r="J534" s="5" t="n">
        <v>114.83</v>
      </c>
      <c r="K534" s="5" t="n"/>
      <c r="L534" s="5" t="n"/>
      <c r="M534" s="5" t="n"/>
      <c r="N534" s="5" t="n"/>
      <c r="O534" s="5" t="n">
        <v>689</v>
      </c>
      <c r="P534" s="5" t="n">
        <v>689</v>
      </c>
      <c r="Q534" s="5" t="n"/>
      <c r="R534" s="5" t="n"/>
    </row>
    <row r="535">
      <c r="A535" s="2" t="inlineStr">
        <is>
          <t>EJ011023.TXT</t>
        </is>
      </c>
      <c r="B535" s="3" t="inlineStr">
        <is>
          <t>005105</t>
        </is>
      </c>
      <c r="C535" s="3" t="inlineStr">
        <is>
          <t>004095</t>
        </is>
      </c>
      <c r="D535" s="4" t="n">
        <v>45197</v>
      </c>
      <c r="E535" s="2" t="inlineStr">
        <is>
          <t>15:05</t>
        </is>
      </c>
      <c r="F535" s="5" t="n">
        <v>648.33</v>
      </c>
      <c r="G535" s="5" t="n"/>
      <c r="H535" s="5" t="n"/>
      <c r="I535" s="5" t="n"/>
      <c r="J535" s="5" t="n">
        <v>129.67</v>
      </c>
      <c r="K535" s="5" t="n"/>
      <c r="L535" s="5" t="n"/>
      <c r="M535" s="5" t="n"/>
      <c r="N535" s="5" t="n"/>
      <c r="O535" s="5" t="n">
        <v>778</v>
      </c>
      <c r="P535" s="5" t="n"/>
      <c r="Q535" s="5" t="n">
        <v>778</v>
      </c>
      <c r="R535" s="5" t="n"/>
    </row>
    <row r="536">
      <c r="A536" s="2" t="inlineStr">
        <is>
          <t>EJ011023.TXT</t>
        </is>
      </c>
      <c r="B536" s="3" t="inlineStr">
        <is>
          <t>005106</t>
        </is>
      </c>
      <c r="C536" s="3" t="inlineStr">
        <is>
          <t>004096</t>
        </is>
      </c>
      <c r="D536" s="4" t="n">
        <v>45197</v>
      </c>
      <c r="E536" s="2" t="inlineStr">
        <is>
          <t>16:22</t>
        </is>
      </c>
      <c r="F536" s="5" t="n">
        <v>199.17</v>
      </c>
      <c r="G536" s="5" t="n"/>
      <c r="H536" s="5" t="n"/>
      <c r="I536" s="5" t="n"/>
      <c r="J536" s="5" t="n">
        <v>39.83</v>
      </c>
      <c r="K536" s="5" t="n"/>
      <c r="L536" s="5" t="n"/>
      <c r="M536" s="5" t="n"/>
      <c r="N536" s="5" t="n"/>
      <c r="O536" s="5" t="n">
        <v>239</v>
      </c>
      <c r="P536" s="5" t="n"/>
      <c r="Q536" s="5" t="n">
        <v>239</v>
      </c>
      <c r="R536" s="5" t="n"/>
    </row>
    <row r="537">
      <c r="A537" s="2" t="inlineStr">
        <is>
          <t>EJ011023.TXT</t>
        </is>
      </c>
      <c r="B537" s="3" t="inlineStr">
        <is>
          <t>005107</t>
        </is>
      </c>
      <c r="C537" s="3" t="inlineStr">
        <is>
          <t>004097</t>
        </is>
      </c>
      <c r="D537" s="4" t="n">
        <v>45198</v>
      </c>
      <c r="E537" s="2" t="inlineStr">
        <is>
          <t>11:45</t>
        </is>
      </c>
      <c r="F537" s="5" t="n">
        <v>548.33</v>
      </c>
      <c r="G537" s="5" t="n"/>
      <c r="H537" s="5" t="n"/>
      <c r="I537" s="5" t="n"/>
      <c r="J537" s="5" t="n">
        <v>109.67</v>
      </c>
      <c r="K537" s="5" t="n"/>
      <c r="L537" s="5" t="n"/>
      <c r="M537" s="5" t="n"/>
      <c r="N537" s="5" t="n"/>
      <c r="O537" s="5" t="n">
        <v>658</v>
      </c>
      <c r="P537" s="5" t="n"/>
      <c r="Q537" s="5" t="n">
        <v>658</v>
      </c>
      <c r="R537" s="5" t="n"/>
    </row>
    <row r="538">
      <c r="A538" s="2" t="inlineStr">
        <is>
          <t>EJ011023.TXT</t>
        </is>
      </c>
      <c r="B538" s="3" t="inlineStr">
        <is>
          <t>005108</t>
        </is>
      </c>
      <c r="C538" s="3" t="inlineStr">
        <is>
          <t>004098</t>
        </is>
      </c>
      <c r="D538" s="4" t="n">
        <v>45198</v>
      </c>
      <c r="E538" s="2" t="inlineStr">
        <is>
          <t>13:53</t>
        </is>
      </c>
      <c r="F538" s="5" t="n">
        <v>74.17</v>
      </c>
      <c r="G538" s="5" t="n"/>
      <c r="H538" s="5" t="n"/>
      <c r="I538" s="5" t="n"/>
      <c r="J538" s="5" t="n">
        <v>14.83</v>
      </c>
      <c r="K538" s="5" t="n"/>
      <c r="L538" s="5" t="n"/>
      <c r="M538" s="5" t="n"/>
      <c r="N538" s="5" t="n"/>
      <c r="O538" s="5" t="n">
        <v>89</v>
      </c>
      <c r="P538" s="5" t="n"/>
      <c r="Q538" s="5" t="n">
        <v>89</v>
      </c>
      <c r="R538" s="5" t="n"/>
    </row>
    <row r="539">
      <c r="A539" s="2" t="inlineStr">
        <is>
          <t>EJ011023.TXT</t>
        </is>
      </c>
      <c r="B539" s="3" t="inlineStr">
        <is>
          <t>005109</t>
        </is>
      </c>
      <c r="C539" s="3" t="inlineStr">
        <is>
          <t>004099</t>
        </is>
      </c>
      <c r="D539" s="4" t="n">
        <v>45198</v>
      </c>
      <c r="E539" s="2" t="inlineStr">
        <is>
          <t>13:56</t>
        </is>
      </c>
      <c r="F539" s="5" t="n">
        <v>208.33</v>
      </c>
      <c r="G539" s="5" t="n"/>
      <c r="H539" s="5" t="n"/>
      <c r="I539" s="5" t="n"/>
      <c r="J539" s="5" t="n">
        <v>41.67</v>
      </c>
      <c r="K539" s="5" t="n"/>
      <c r="L539" s="5" t="n"/>
      <c r="M539" s="5" t="n"/>
      <c r="N539" s="5" t="n"/>
      <c r="O539" s="5" t="n">
        <v>250</v>
      </c>
      <c r="P539" s="5" t="n"/>
      <c r="Q539" s="5" t="n">
        <v>250</v>
      </c>
      <c r="R539" s="5" t="n"/>
    </row>
    <row r="540">
      <c r="A540" s="2" t="inlineStr">
        <is>
          <t>EJ011023.TXT</t>
        </is>
      </c>
      <c r="B540" s="3" t="inlineStr">
        <is>
          <t>005110</t>
        </is>
      </c>
      <c r="C540" s="3" t="inlineStr">
        <is>
          <t>004100</t>
        </is>
      </c>
      <c r="D540" s="4" t="n">
        <v>45198</v>
      </c>
      <c r="E540" s="2" t="inlineStr">
        <is>
          <t>14:00</t>
        </is>
      </c>
      <c r="F540" s="5" t="n">
        <v>822.5</v>
      </c>
      <c r="G540" s="5" t="n"/>
      <c r="H540" s="5" t="n"/>
      <c r="I540" s="5" t="n"/>
      <c r="J540" s="5" t="n">
        <v>164.5</v>
      </c>
      <c r="K540" s="5" t="n"/>
      <c r="L540" s="5" t="n"/>
      <c r="M540" s="5" t="n"/>
      <c r="N540" s="5" t="n"/>
      <c r="O540" s="5" t="n">
        <v>987</v>
      </c>
      <c r="P540" s="5" t="n"/>
      <c r="Q540" s="5" t="n">
        <v>987</v>
      </c>
      <c r="R540" s="5" t="n"/>
    </row>
    <row r="541">
      <c r="A541" s="2" t="inlineStr">
        <is>
          <t>EJ011023.TXT</t>
        </is>
      </c>
      <c r="B541" s="3" t="inlineStr">
        <is>
          <t>005111</t>
        </is>
      </c>
      <c r="C541" s="3" t="inlineStr">
        <is>
          <t>004101</t>
        </is>
      </c>
      <c r="D541" s="4" t="n">
        <v>45198</v>
      </c>
      <c r="E541" s="2" t="inlineStr">
        <is>
          <t>14:00</t>
        </is>
      </c>
      <c r="F541" s="5" t="n">
        <v>531.67</v>
      </c>
      <c r="G541" s="5" t="n"/>
      <c r="H541" s="5" t="n"/>
      <c r="I541" s="5" t="n"/>
      <c r="J541" s="5" t="n">
        <v>106.33</v>
      </c>
      <c r="K541" s="5" t="n"/>
      <c r="L541" s="5" t="n"/>
      <c r="M541" s="5" t="n"/>
      <c r="N541" s="5" t="n"/>
      <c r="O541" s="5" t="n">
        <v>638</v>
      </c>
      <c r="P541" s="5" t="n"/>
      <c r="Q541" s="5" t="n">
        <v>638</v>
      </c>
      <c r="R541" s="5" t="n"/>
    </row>
    <row r="542">
      <c r="A542" s="2" t="inlineStr">
        <is>
          <t>EJ011023.TXT</t>
        </is>
      </c>
      <c r="B542" s="3" t="inlineStr">
        <is>
          <t>005112</t>
        </is>
      </c>
      <c r="C542" s="3" t="inlineStr">
        <is>
          <t>004102</t>
        </is>
      </c>
      <c r="D542" s="4" t="n">
        <v>45199</v>
      </c>
      <c r="E542" s="2" t="inlineStr">
        <is>
          <t>14:48</t>
        </is>
      </c>
      <c r="F542" s="5" t="n">
        <v>548.33</v>
      </c>
      <c r="G542" s="5" t="n"/>
      <c r="H542" s="5" t="n"/>
      <c r="I542" s="5" t="n"/>
      <c r="J542" s="5" t="n">
        <v>109.67</v>
      </c>
      <c r="K542" s="5" t="n"/>
      <c r="L542" s="5" t="n"/>
      <c r="M542" s="5" t="n"/>
      <c r="N542" s="5" t="n"/>
      <c r="O542" s="5" t="n">
        <v>658</v>
      </c>
      <c r="P542" s="5" t="n"/>
      <c r="Q542" s="5" t="n">
        <v>658</v>
      </c>
      <c r="R542" s="5" t="n"/>
    </row>
    <row r="543">
      <c r="A543" s="2" t="inlineStr">
        <is>
          <t>EJ011023.TXT</t>
        </is>
      </c>
      <c r="B543" s="3" t="inlineStr">
        <is>
          <t>005113</t>
        </is>
      </c>
      <c r="C543" s="3" t="inlineStr">
        <is>
          <t>004103</t>
        </is>
      </c>
      <c r="D543" s="4" t="n">
        <v>45199</v>
      </c>
      <c r="E543" s="2" t="inlineStr">
        <is>
          <t>14:48</t>
        </is>
      </c>
      <c r="F543" s="5" t="n">
        <v>548.33</v>
      </c>
      <c r="G543" s="5" t="n"/>
      <c r="H543" s="5" t="n"/>
      <c r="I543" s="5" t="n"/>
      <c r="J543" s="5" t="n">
        <v>109.67</v>
      </c>
      <c r="K543" s="5" t="n"/>
      <c r="L543" s="5" t="n"/>
      <c r="M543" s="5" t="n"/>
      <c r="N543" s="5" t="n"/>
      <c r="O543" s="5" t="n">
        <v>658</v>
      </c>
      <c r="P543" s="5" t="n"/>
      <c r="Q543" s="5" t="n">
        <v>658</v>
      </c>
      <c r="R543" s="5" t="n"/>
    </row>
    <row r="544">
      <c r="A544" s="2" t="inlineStr">
        <is>
          <t>EJ011023.TXT</t>
        </is>
      </c>
      <c r="B544" s="3" t="inlineStr">
        <is>
          <t>005114</t>
        </is>
      </c>
      <c r="C544" s="3" t="inlineStr">
        <is>
          <t>004104</t>
        </is>
      </c>
      <c r="D544" s="4" t="n">
        <v>45199</v>
      </c>
      <c r="E544" s="2" t="inlineStr">
        <is>
          <t>14:52</t>
        </is>
      </c>
      <c r="F544" s="5" t="n">
        <v>822.5</v>
      </c>
      <c r="G544" s="5" t="n"/>
      <c r="H544" s="5" t="n"/>
      <c r="I544" s="5" t="n"/>
      <c r="J544" s="5" t="n">
        <v>164.5</v>
      </c>
      <c r="K544" s="5" t="n"/>
      <c r="L544" s="5" t="n"/>
      <c r="M544" s="5" t="n"/>
      <c r="N544" s="5" t="n"/>
      <c r="O544" s="5" t="n">
        <v>987</v>
      </c>
      <c r="P544" s="5" t="n"/>
      <c r="Q544" s="5" t="n">
        <v>987</v>
      </c>
      <c r="R544" s="5" t="n"/>
    </row>
    <row r="545">
      <c r="A545" s="2" t="inlineStr">
        <is>
          <t>EJ011023.TXT</t>
        </is>
      </c>
      <c r="B545" s="3" t="inlineStr">
        <is>
          <t>005115</t>
        </is>
      </c>
      <c r="C545" s="3" t="inlineStr">
        <is>
          <t>004105</t>
        </is>
      </c>
      <c r="D545" s="4" t="n">
        <v>45199</v>
      </c>
      <c r="E545" s="2" t="inlineStr">
        <is>
          <t>14:53</t>
        </is>
      </c>
      <c r="F545" s="5" t="n">
        <v>274.17</v>
      </c>
      <c r="G545" s="5" t="n"/>
      <c r="H545" s="5" t="n"/>
      <c r="I545" s="5" t="n"/>
      <c r="J545" s="5" t="n">
        <v>54.83</v>
      </c>
      <c r="K545" s="5" t="n"/>
      <c r="L545" s="5" t="n"/>
      <c r="M545" s="5" t="n"/>
      <c r="N545" s="5" t="n"/>
      <c r="O545" s="5" t="n">
        <v>329</v>
      </c>
      <c r="P545" s="5" t="n"/>
      <c r="Q545" s="5" t="n">
        <v>329</v>
      </c>
      <c r="R545" s="5" t="n"/>
    </row>
    <row r="546">
      <c r="A546" s="2" t="inlineStr">
        <is>
          <t>EJ011023.TXT</t>
        </is>
      </c>
      <c r="B546" s="3" t="inlineStr">
        <is>
          <t>005116</t>
        </is>
      </c>
      <c r="C546" s="3" t="inlineStr">
        <is>
          <t>004106</t>
        </is>
      </c>
      <c r="D546" s="4" t="n">
        <v>45199</v>
      </c>
      <c r="E546" s="2" t="inlineStr">
        <is>
          <t>14:53</t>
        </is>
      </c>
      <c r="F546" s="5" t="n">
        <v>822.5</v>
      </c>
      <c r="G546" s="5" t="n"/>
      <c r="H546" s="5" t="n"/>
      <c r="I546" s="5" t="n"/>
      <c r="J546" s="5" t="n">
        <v>164.5</v>
      </c>
      <c r="K546" s="5" t="n"/>
      <c r="L546" s="5" t="n"/>
      <c r="M546" s="5" t="n"/>
      <c r="N546" s="5" t="n"/>
      <c r="O546" s="5" t="n">
        <v>987</v>
      </c>
      <c r="P546" s="5" t="n"/>
      <c r="Q546" s="5" t="n">
        <v>987</v>
      </c>
      <c r="R546" s="5" t="n"/>
    </row>
    <row r="547">
      <c r="A547" s="2" t="inlineStr">
        <is>
          <t>EJ011023.TXT</t>
        </is>
      </c>
      <c r="B547" s="3" t="inlineStr">
        <is>
          <t>005117</t>
        </is>
      </c>
      <c r="C547" s="3" t="inlineStr">
        <is>
          <t>004107</t>
        </is>
      </c>
      <c r="D547" s="4" t="n">
        <v>45199</v>
      </c>
      <c r="E547" s="2" t="inlineStr">
        <is>
          <t>14:54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/>
      <c r="Q547" s="5" t="n">
        <v>658</v>
      </c>
      <c r="R547" s="5" t="n"/>
    </row>
    <row r="548">
      <c r="A548" s="2" t="inlineStr">
        <is>
          <t>EJ011023.TXT</t>
        </is>
      </c>
      <c r="B548" s="3" t="inlineStr">
        <is>
          <t>005118</t>
        </is>
      </c>
      <c r="C548" s="3" t="inlineStr">
        <is>
          <t>004108</t>
        </is>
      </c>
      <c r="D548" s="4" t="n">
        <v>45199</v>
      </c>
      <c r="E548" s="2" t="inlineStr">
        <is>
          <t>14:54</t>
        </is>
      </c>
      <c r="F548" s="5" t="n">
        <v>274.17</v>
      </c>
      <c r="G548" s="5" t="n"/>
      <c r="H548" s="5" t="n"/>
      <c r="I548" s="5" t="n"/>
      <c r="J548" s="5" t="n">
        <v>54.83</v>
      </c>
      <c r="K548" s="5" t="n"/>
      <c r="L548" s="5" t="n"/>
      <c r="M548" s="5" t="n"/>
      <c r="N548" s="5" t="n"/>
      <c r="O548" s="5" t="n">
        <v>329</v>
      </c>
      <c r="P548" s="5" t="n"/>
      <c r="Q548" s="5" t="n">
        <v>329</v>
      </c>
      <c r="R548" s="5" t="n"/>
    </row>
    <row r="549">
      <c r="A549" s="2" t="inlineStr">
        <is>
          <t>EJ011023.TXT</t>
        </is>
      </c>
      <c r="B549" s="3" t="inlineStr">
        <is>
          <t>005119</t>
        </is>
      </c>
      <c r="C549" s="3" t="inlineStr">
        <is>
          <t>004109</t>
        </is>
      </c>
      <c r="D549" s="4" t="n">
        <v>45199</v>
      </c>
      <c r="E549" s="2" t="inlineStr">
        <is>
          <t>16:42</t>
        </is>
      </c>
      <c r="F549" s="5" t="n">
        <v>222.5</v>
      </c>
      <c r="G549" s="5" t="n"/>
      <c r="H549" s="5" t="n"/>
      <c r="I549" s="5" t="n"/>
      <c r="J549" s="5" t="n">
        <v>44.5</v>
      </c>
      <c r="K549" s="5" t="n"/>
      <c r="L549" s="5" t="n"/>
      <c r="M549" s="5" t="n"/>
      <c r="N549" s="5" t="n"/>
      <c r="O549" s="5" t="n">
        <v>267</v>
      </c>
      <c r="P549" s="5" t="n"/>
      <c r="Q549" s="5" t="n">
        <v>267</v>
      </c>
      <c r="R549" s="5" t="n"/>
    </row>
    <row r="550">
      <c r="A550" s="2" t="inlineStr">
        <is>
          <t>EJ011023.TXT</t>
        </is>
      </c>
      <c r="B550" s="3" t="inlineStr">
        <is>
          <t>005120</t>
        </is>
      </c>
      <c r="C550" s="3" t="inlineStr">
        <is>
          <t>004110</t>
        </is>
      </c>
      <c r="D550" s="4" t="n">
        <v>45199</v>
      </c>
      <c r="E550" s="2" t="inlineStr">
        <is>
          <t>17:06</t>
        </is>
      </c>
      <c r="F550" s="5" t="n">
        <v>848.33</v>
      </c>
      <c r="G550" s="5" t="n"/>
      <c r="H550" s="5" t="n"/>
      <c r="I550" s="5" t="n"/>
      <c r="J550" s="5" t="n">
        <v>169.67</v>
      </c>
      <c r="K550" s="5" t="n"/>
      <c r="L550" s="5" t="n"/>
      <c r="M550" s="5" t="n"/>
      <c r="N550" s="5" t="n"/>
      <c r="O550" s="5" t="n">
        <v>1018</v>
      </c>
      <c r="P550" s="5" t="n">
        <v>1018</v>
      </c>
      <c r="Q550" s="5" t="n"/>
      <c r="R550" s="5" t="n"/>
    </row>
    <row r="551">
      <c r="A551" s="2" t="inlineStr">
        <is>
          <t>EJ101123.TXT</t>
        </is>
      </c>
      <c r="B551" s="3" t="inlineStr">
        <is>
          <t>005128</t>
        </is>
      </c>
      <c r="C551" s="3" t="inlineStr">
        <is>
          <t>004111</t>
        </is>
      </c>
      <c r="D551" s="4" t="n">
        <v>45201</v>
      </c>
      <c r="E551" s="2" t="inlineStr">
        <is>
          <t>16:38</t>
        </is>
      </c>
      <c r="F551" s="5" t="n">
        <v>822.5</v>
      </c>
      <c r="G551" s="5" t="n"/>
      <c r="H551" s="5" t="n"/>
      <c r="I551" s="5" t="n"/>
      <c r="J551" s="5" t="n">
        <v>164.5</v>
      </c>
      <c r="K551" s="5" t="n"/>
      <c r="L551" s="5" t="n"/>
      <c r="M551" s="5" t="n"/>
      <c r="N551" s="5" t="n"/>
      <c r="O551" s="5" t="n">
        <v>987</v>
      </c>
      <c r="P551" s="5" t="n"/>
      <c r="Q551" s="5" t="n">
        <v>987</v>
      </c>
      <c r="R551" s="5" t="n"/>
    </row>
    <row r="552">
      <c r="A552" s="2" t="inlineStr">
        <is>
          <t>EJ101123.TXT</t>
        </is>
      </c>
      <c r="B552" s="3" t="inlineStr">
        <is>
          <t>005129</t>
        </is>
      </c>
      <c r="C552" s="3" t="inlineStr">
        <is>
          <t>004112</t>
        </is>
      </c>
      <c r="D552" s="4" t="n">
        <v>45201</v>
      </c>
      <c r="E552" s="2" t="inlineStr">
        <is>
          <t>16:38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/>
      <c r="Q552" s="5" t="n">
        <v>658</v>
      </c>
      <c r="R552" s="5" t="n"/>
    </row>
    <row r="553">
      <c r="A553" s="2" t="inlineStr">
        <is>
          <t>EJ101123.TXT</t>
        </is>
      </c>
      <c r="B553" s="3" t="inlineStr">
        <is>
          <t>005130</t>
        </is>
      </c>
      <c r="C553" s="3" t="inlineStr">
        <is>
          <t>004113</t>
        </is>
      </c>
      <c r="D553" s="4" t="n">
        <v>45201</v>
      </c>
      <c r="E553" s="2" t="inlineStr">
        <is>
          <t>16:57</t>
        </is>
      </c>
      <c r="F553" s="5" t="n">
        <v>479.83</v>
      </c>
      <c r="G553" s="5" t="n"/>
      <c r="H553" s="5" t="n"/>
      <c r="I553" s="5" t="n"/>
      <c r="J553" s="5" t="n">
        <v>95.97</v>
      </c>
      <c r="K553" s="5" t="n"/>
      <c r="L553" s="5" t="n"/>
      <c r="M553" s="5" t="n"/>
      <c r="N553" s="5" t="n"/>
      <c r="O553" s="5" t="n">
        <v>575.8</v>
      </c>
      <c r="P553" s="5" t="n"/>
      <c r="Q553" s="5" t="n">
        <v>575.8</v>
      </c>
      <c r="R553" s="5" t="n"/>
    </row>
    <row r="554">
      <c r="A554" s="2" t="inlineStr">
        <is>
          <t>EJ101123.TXT</t>
        </is>
      </c>
      <c r="B554" s="3" t="inlineStr">
        <is>
          <t>005131</t>
        </is>
      </c>
      <c r="C554" s="3" t="inlineStr">
        <is>
          <t>004114</t>
        </is>
      </c>
      <c r="D554" s="4" t="n">
        <v>45202</v>
      </c>
      <c r="E554" s="2" t="inlineStr">
        <is>
          <t>09:39</t>
        </is>
      </c>
      <c r="F554" s="5" t="n">
        <v>265.83</v>
      </c>
      <c r="G554" s="5" t="n"/>
      <c r="H554" s="5" t="n"/>
      <c r="I554" s="5" t="n"/>
      <c r="J554" s="5" t="n">
        <v>53.17</v>
      </c>
      <c r="K554" s="5" t="n"/>
      <c r="L554" s="5" t="n"/>
      <c r="M554" s="5" t="n"/>
      <c r="N554" s="5" t="n"/>
      <c r="O554" s="5" t="n">
        <v>319</v>
      </c>
      <c r="P554" s="5" t="n"/>
      <c r="Q554" s="5" t="n">
        <v>319</v>
      </c>
      <c r="R554" s="5" t="n"/>
    </row>
    <row r="555">
      <c r="A555" s="2" t="inlineStr">
        <is>
          <t>EJ101123.TXT</t>
        </is>
      </c>
      <c r="B555" s="3" t="inlineStr">
        <is>
          <t>005132</t>
        </is>
      </c>
      <c r="C555" s="3" t="inlineStr">
        <is>
          <t>004115</t>
        </is>
      </c>
      <c r="D555" s="4" t="n">
        <v>45205</v>
      </c>
      <c r="E555" s="2" t="inlineStr">
        <is>
          <t>14:05</t>
        </is>
      </c>
      <c r="F555" s="5" t="n">
        <v>548.33</v>
      </c>
      <c r="G555" s="5" t="n"/>
      <c r="H555" s="5" t="n"/>
      <c r="I555" s="5" t="n"/>
      <c r="J555" s="5" t="n">
        <v>109.67</v>
      </c>
      <c r="K555" s="5" t="n"/>
      <c r="L555" s="5" t="n"/>
      <c r="M555" s="5" t="n"/>
      <c r="N555" s="5" t="n"/>
      <c r="O555" s="5" t="n">
        <v>658</v>
      </c>
      <c r="P555" s="5" t="n">
        <v>658</v>
      </c>
      <c r="Q555" s="5" t="n"/>
      <c r="R555" s="5" t="n"/>
    </row>
    <row r="556">
      <c r="A556" s="2" t="inlineStr">
        <is>
          <t>EJ101123.TXT</t>
        </is>
      </c>
      <c r="B556" s="3" t="inlineStr">
        <is>
          <t>005133</t>
        </is>
      </c>
      <c r="C556" s="3" t="inlineStr">
        <is>
          <t>004116</t>
        </is>
      </c>
      <c r="D556" s="4" t="n">
        <v>45206</v>
      </c>
      <c r="E556" s="2" t="inlineStr">
        <is>
          <t>15:50</t>
        </is>
      </c>
      <c r="F556" s="5" t="n">
        <v>199.17</v>
      </c>
      <c r="G556" s="5" t="n"/>
      <c r="H556" s="5" t="n"/>
      <c r="I556" s="5" t="n"/>
      <c r="J556" s="5" t="n">
        <v>39.83</v>
      </c>
      <c r="K556" s="5" t="n"/>
      <c r="L556" s="5" t="n"/>
      <c r="M556" s="5" t="n"/>
      <c r="N556" s="5" t="n"/>
      <c r="O556" s="5" t="n">
        <v>239</v>
      </c>
      <c r="P556" s="5" t="n">
        <v>239</v>
      </c>
      <c r="Q556" s="5" t="n"/>
      <c r="R556" s="5" t="n"/>
    </row>
    <row r="557">
      <c r="A557" s="2" t="inlineStr">
        <is>
          <t>EJ101123.TXT</t>
        </is>
      </c>
      <c r="B557" s="3" t="inlineStr">
        <is>
          <t>005134</t>
        </is>
      </c>
      <c r="C557" s="3" t="inlineStr">
        <is>
          <t>004117</t>
        </is>
      </c>
      <c r="D557" s="4" t="n">
        <v>45206</v>
      </c>
      <c r="E557" s="2" t="inlineStr">
        <is>
          <t>15:54</t>
        </is>
      </c>
      <c r="F557" s="5" t="n">
        <v>274.17</v>
      </c>
      <c r="G557" s="5" t="n"/>
      <c r="H557" s="5" t="n"/>
      <c r="I557" s="5" t="n"/>
      <c r="J557" s="5" t="n">
        <v>54.83</v>
      </c>
      <c r="K557" s="5" t="n"/>
      <c r="L557" s="5" t="n"/>
      <c r="M557" s="5" t="n"/>
      <c r="N557" s="5" t="n"/>
      <c r="O557" s="5" t="n">
        <v>329</v>
      </c>
      <c r="P557" s="5" t="n">
        <v>329</v>
      </c>
      <c r="Q557" s="5" t="n"/>
      <c r="R557" s="5" t="n"/>
    </row>
    <row r="558">
      <c r="A558" s="2" t="inlineStr">
        <is>
          <t>EJ101123.TXT</t>
        </is>
      </c>
      <c r="B558" s="3" t="inlineStr">
        <is>
          <t>005135</t>
        </is>
      </c>
      <c r="C558" s="3" t="inlineStr">
        <is>
          <t>004118</t>
        </is>
      </c>
      <c r="D558" s="4" t="n">
        <v>45206</v>
      </c>
      <c r="E558" s="2" t="inlineStr">
        <is>
          <t>15:54</t>
        </is>
      </c>
      <c r="F558" s="5" t="n">
        <v>274.17</v>
      </c>
      <c r="G558" s="5" t="n"/>
      <c r="H558" s="5" t="n"/>
      <c r="I558" s="5" t="n"/>
      <c r="J558" s="5" t="n">
        <v>54.83</v>
      </c>
      <c r="K558" s="5" t="n"/>
      <c r="L558" s="5" t="n"/>
      <c r="M558" s="5" t="n"/>
      <c r="N558" s="5" t="n"/>
      <c r="O558" s="5" t="n">
        <v>329</v>
      </c>
      <c r="P558" s="5" t="n"/>
      <c r="Q558" s="5" t="n">
        <v>329</v>
      </c>
      <c r="R558" s="5" t="n"/>
    </row>
    <row r="559">
      <c r="A559" s="2" t="inlineStr">
        <is>
          <t>EJ101123.TXT</t>
        </is>
      </c>
      <c r="B559" s="3" t="inlineStr">
        <is>
          <t>005136</t>
        </is>
      </c>
      <c r="C559" s="3" t="inlineStr">
        <is>
          <t>004119</t>
        </is>
      </c>
      <c r="D559" s="4" t="n">
        <v>45208</v>
      </c>
      <c r="E559" s="2" t="inlineStr">
        <is>
          <t>13:52</t>
        </is>
      </c>
      <c r="F559" s="5" t="n">
        <v>548.33</v>
      </c>
      <c r="G559" s="5" t="n"/>
      <c r="H559" s="5" t="n"/>
      <c r="I559" s="5" t="n"/>
      <c r="J559" s="5" t="n">
        <v>109.67</v>
      </c>
      <c r="K559" s="5" t="n"/>
      <c r="L559" s="5" t="n"/>
      <c r="M559" s="5" t="n"/>
      <c r="N559" s="5" t="n"/>
      <c r="O559" s="5" t="n">
        <v>658</v>
      </c>
      <c r="P559" s="5" t="n"/>
      <c r="Q559" s="5" t="n">
        <v>658</v>
      </c>
      <c r="R559" s="5" t="n"/>
    </row>
    <row r="560">
      <c r="A560" s="2" t="inlineStr">
        <is>
          <t>EJ101123.TXT</t>
        </is>
      </c>
      <c r="B560" s="3" t="inlineStr">
        <is>
          <t>005137</t>
        </is>
      </c>
      <c r="C560" s="3" t="inlineStr">
        <is>
          <t>004120</t>
        </is>
      </c>
      <c r="D560" s="4" t="n">
        <v>45209</v>
      </c>
      <c r="E560" s="2" t="inlineStr">
        <is>
          <t>13:43</t>
        </is>
      </c>
      <c r="F560" s="5" t="n">
        <v>274.17</v>
      </c>
      <c r="G560" s="5" t="n"/>
      <c r="H560" s="5" t="n"/>
      <c r="I560" s="5" t="n"/>
      <c r="J560" s="5" t="n">
        <v>54.83</v>
      </c>
      <c r="K560" s="5" t="n"/>
      <c r="L560" s="5" t="n"/>
      <c r="M560" s="5" t="n"/>
      <c r="N560" s="5" t="n"/>
      <c r="O560" s="5" t="n">
        <v>329</v>
      </c>
      <c r="P560" s="5" t="n">
        <v>329</v>
      </c>
      <c r="Q560" s="5" t="n"/>
      <c r="R560" s="5" t="n"/>
    </row>
    <row r="561">
      <c r="A561" s="2" t="inlineStr">
        <is>
          <t>EJ101123.TXT</t>
        </is>
      </c>
      <c r="B561" s="3" t="inlineStr">
        <is>
          <t>005138</t>
        </is>
      </c>
      <c r="C561" s="3" t="inlineStr">
        <is>
          <t>004121</t>
        </is>
      </c>
      <c r="D561" s="4" t="n">
        <v>45209</v>
      </c>
      <c r="E561" s="2" t="inlineStr">
        <is>
          <t>14:31</t>
        </is>
      </c>
      <c r="F561" s="5" t="n">
        <v>548.33</v>
      </c>
      <c r="G561" s="5" t="n"/>
      <c r="H561" s="5" t="n"/>
      <c r="I561" s="5" t="n"/>
      <c r="J561" s="5" t="n">
        <v>109.67</v>
      </c>
      <c r="K561" s="5" t="n"/>
      <c r="L561" s="5" t="n"/>
      <c r="M561" s="5" t="n"/>
      <c r="N561" s="5" t="n"/>
      <c r="O561" s="5" t="n">
        <v>658</v>
      </c>
      <c r="P561" s="5" t="n"/>
      <c r="Q561" s="5" t="n">
        <v>658</v>
      </c>
      <c r="R561" s="5" t="n"/>
    </row>
    <row r="562">
      <c r="A562" s="2" t="inlineStr">
        <is>
          <t>EJ101123.TXT</t>
        </is>
      </c>
      <c r="B562" s="3" t="inlineStr">
        <is>
          <t>005139</t>
        </is>
      </c>
      <c r="C562" s="3" t="inlineStr">
        <is>
          <t>004122</t>
        </is>
      </c>
      <c r="D562" s="4" t="n">
        <v>45209</v>
      </c>
      <c r="E562" s="2" t="inlineStr">
        <is>
          <t>16:17</t>
        </is>
      </c>
      <c r="F562" s="5" t="n">
        <v>175</v>
      </c>
      <c r="G562" s="5" t="n"/>
      <c r="H562" s="5" t="n"/>
      <c r="I562" s="5" t="n"/>
      <c r="J562" s="5" t="n">
        <v>35</v>
      </c>
      <c r="K562" s="5" t="n"/>
      <c r="L562" s="5" t="n"/>
      <c r="M562" s="5" t="n"/>
      <c r="N562" s="5" t="n"/>
      <c r="O562" s="5" t="n">
        <v>210</v>
      </c>
      <c r="P562" s="5" t="n">
        <v>210</v>
      </c>
      <c r="Q562" s="5" t="n"/>
      <c r="R562" s="5" t="n"/>
    </row>
    <row r="563">
      <c r="A563" s="2" t="inlineStr">
        <is>
          <t>EJ101123.TXT</t>
        </is>
      </c>
      <c r="B563" s="3" t="inlineStr">
        <is>
          <t>005140</t>
        </is>
      </c>
      <c r="C563" s="3" t="inlineStr">
        <is>
          <t>004123</t>
        </is>
      </c>
      <c r="D563" s="4" t="n">
        <v>45210</v>
      </c>
      <c r="E563" s="2" t="inlineStr">
        <is>
          <t>15:10</t>
        </is>
      </c>
      <c r="F563" s="5" t="n">
        <v>3290</v>
      </c>
      <c r="G563" s="5" t="n"/>
      <c r="H563" s="5" t="n"/>
      <c r="I563" s="5" t="n"/>
      <c r="J563" s="5" t="n">
        <v>658</v>
      </c>
      <c r="K563" s="5" t="n"/>
      <c r="L563" s="5" t="n"/>
      <c r="M563" s="5" t="n"/>
      <c r="N563" s="5" t="n"/>
      <c r="O563" s="5" t="n">
        <v>3948</v>
      </c>
      <c r="P563" s="5" t="n">
        <v>3948</v>
      </c>
      <c r="Q563" s="5" t="n"/>
      <c r="R563" s="5" t="n"/>
    </row>
    <row r="564">
      <c r="A564" s="2" t="inlineStr">
        <is>
          <t>EJ101123.TXT</t>
        </is>
      </c>
      <c r="B564" s="3" t="inlineStr">
        <is>
          <t>005141</t>
        </is>
      </c>
      <c r="C564" s="3" t="inlineStr">
        <is>
          <t>004124</t>
        </is>
      </c>
      <c r="D564" s="4" t="n">
        <v>45210</v>
      </c>
      <c r="E564" s="2" t="inlineStr">
        <is>
          <t>16:08</t>
        </is>
      </c>
      <c r="F564" s="5" t="n">
        <v>1096.67</v>
      </c>
      <c r="G564" s="5" t="n"/>
      <c r="H564" s="5" t="n"/>
      <c r="I564" s="5" t="n"/>
      <c r="J564" s="5" t="n">
        <v>219.33</v>
      </c>
      <c r="K564" s="5" t="n"/>
      <c r="L564" s="5" t="n"/>
      <c r="M564" s="5" t="n"/>
      <c r="N564" s="5" t="n"/>
      <c r="O564" s="5" t="n">
        <v>1316</v>
      </c>
      <c r="P564" s="5" t="n"/>
      <c r="Q564" s="5" t="n">
        <v>1316</v>
      </c>
      <c r="R564" s="5" t="n"/>
    </row>
    <row r="565">
      <c r="A565" s="2" t="inlineStr">
        <is>
          <t>EJ101123.TXT</t>
        </is>
      </c>
      <c r="B565" s="3" t="inlineStr">
        <is>
          <t>005142</t>
        </is>
      </c>
      <c r="C565" s="3" t="inlineStr">
        <is>
          <t>004125</t>
        </is>
      </c>
      <c r="D565" s="4" t="n">
        <v>45213</v>
      </c>
      <c r="E565" s="2" t="inlineStr">
        <is>
          <t>13:40</t>
        </is>
      </c>
      <c r="F565" s="5" t="n">
        <v>274.17</v>
      </c>
      <c r="G565" s="5" t="n"/>
      <c r="H565" s="5" t="n"/>
      <c r="I565" s="5" t="n"/>
      <c r="J565" s="5" t="n">
        <v>54.83</v>
      </c>
      <c r="K565" s="5" t="n"/>
      <c r="L565" s="5" t="n"/>
      <c r="M565" s="5" t="n"/>
      <c r="N565" s="5" t="n"/>
      <c r="O565" s="5" t="n">
        <v>329</v>
      </c>
      <c r="P565" s="5" t="n">
        <v>329</v>
      </c>
      <c r="Q565" s="5" t="n"/>
      <c r="R565" s="5" t="n"/>
    </row>
    <row r="566">
      <c r="A566" s="2" t="inlineStr">
        <is>
          <t>EJ101123.TXT</t>
        </is>
      </c>
      <c r="B566" s="3" t="inlineStr">
        <is>
          <t>005143</t>
        </is>
      </c>
      <c r="C566" s="3" t="inlineStr">
        <is>
          <t>004126</t>
        </is>
      </c>
      <c r="D566" s="4" t="n">
        <v>45213</v>
      </c>
      <c r="E566" s="2" t="inlineStr">
        <is>
          <t>15:52</t>
        </is>
      </c>
      <c r="F566" s="5" t="n">
        <v>274.17</v>
      </c>
      <c r="G566" s="5" t="n"/>
      <c r="H566" s="5" t="n"/>
      <c r="I566" s="5" t="n"/>
      <c r="J566" s="5" t="n">
        <v>54.83</v>
      </c>
      <c r="K566" s="5" t="n"/>
      <c r="L566" s="5" t="n"/>
      <c r="M566" s="5" t="n"/>
      <c r="N566" s="5" t="n"/>
      <c r="O566" s="5" t="n">
        <v>329</v>
      </c>
      <c r="P566" s="5" t="n">
        <v>329</v>
      </c>
      <c r="Q566" s="5" t="n"/>
      <c r="R566" s="5" t="n"/>
    </row>
    <row r="567">
      <c r="A567" s="2" t="inlineStr">
        <is>
          <t>EJ101123.TXT</t>
        </is>
      </c>
      <c r="B567" s="3" t="inlineStr">
        <is>
          <t>005144</t>
        </is>
      </c>
      <c r="C567" s="3" t="inlineStr">
        <is>
          <t>004127</t>
        </is>
      </c>
      <c r="D567" s="4" t="n">
        <v>45213</v>
      </c>
      <c r="E567" s="2" t="inlineStr">
        <is>
          <t>17:08</t>
        </is>
      </c>
      <c r="F567" s="5" t="n">
        <v>8240.83</v>
      </c>
      <c r="G567" s="5" t="n"/>
      <c r="H567" s="5" t="n"/>
      <c r="I567" s="5" t="n"/>
      <c r="J567" s="5" t="n">
        <v>1648.17</v>
      </c>
      <c r="K567" s="5" t="n"/>
      <c r="L567" s="5" t="n"/>
      <c r="M567" s="5" t="n"/>
      <c r="N567" s="5" t="n"/>
      <c r="O567" s="5" t="n">
        <v>9889</v>
      </c>
      <c r="P567" s="5" t="n">
        <v>9889</v>
      </c>
      <c r="Q567" s="5" t="n"/>
      <c r="R567" s="5" t="n"/>
    </row>
    <row r="568">
      <c r="A568" s="2" t="inlineStr">
        <is>
          <t>EJ101123.TXT</t>
        </is>
      </c>
      <c r="B568" s="3" t="inlineStr">
        <is>
          <t>005145</t>
        </is>
      </c>
      <c r="C568" s="3" t="inlineStr">
        <is>
          <t>004128</t>
        </is>
      </c>
      <c r="D568" s="4" t="n">
        <v>45216</v>
      </c>
      <c r="E568" s="2" t="inlineStr">
        <is>
          <t>10:17</t>
        </is>
      </c>
      <c r="F568" s="5" t="n">
        <v>1165</v>
      </c>
      <c r="G568" s="5" t="n"/>
      <c r="H568" s="5" t="n"/>
      <c r="I568" s="5" t="n"/>
      <c r="J568" s="5" t="n">
        <v>233</v>
      </c>
      <c r="K568" s="5" t="n"/>
      <c r="L568" s="5" t="n"/>
      <c r="M568" s="5" t="n"/>
      <c r="N568" s="5" t="n"/>
      <c r="O568" s="5" t="n">
        <v>1398</v>
      </c>
      <c r="P568" s="5" t="n">
        <v>1398</v>
      </c>
      <c r="Q568" s="5" t="n"/>
      <c r="R568" s="5" t="n"/>
    </row>
    <row r="569">
      <c r="A569" s="2" t="inlineStr">
        <is>
          <t>EJ101123.TXT</t>
        </is>
      </c>
      <c r="B569" s="3" t="inlineStr">
        <is>
          <t>005146</t>
        </is>
      </c>
      <c r="C569" s="3" t="inlineStr">
        <is>
          <t>004129</t>
        </is>
      </c>
      <c r="D569" s="4" t="n">
        <v>45216</v>
      </c>
      <c r="E569" s="2" t="inlineStr">
        <is>
          <t>15:28</t>
        </is>
      </c>
      <c r="F569" s="5" t="n">
        <v>37.5</v>
      </c>
      <c r="G569" s="5" t="n"/>
      <c r="H569" s="5" t="n"/>
      <c r="I569" s="5" t="n"/>
      <c r="J569" s="5" t="n">
        <v>7.5</v>
      </c>
      <c r="K569" s="5" t="n"/>
      <c r="L569" s="5" t="n"/>
      <c r="M569" s="5" t="n"/>
      <c r="N569" s="5" t="n"/>
      <c r="O569" s="5" t="n">
        <v>45</v>
      </c>
      <c r="P569" s="5" t="n"/>
      <c r="Q569" s="5" t="n">
        <v>45</v>
      </c>
      <c r="R569" s="5" t="n"/>
    </row>
    <row r="570">
      <c r="A570" s="2" t="inlineStr">
        <is>
          <t>EJ101123.TXT</t>
        </is>
      </c>
      <c r="B570" s="3" t="inlineStr">
        <is>
          <t>005147</t>
        </is>
      </c>
      <c r="C570" s="3" t="inlineStr">
        <is>
          <t>004130</t>
        </is>
      </c>
      <c r="D570" s="4" t="n">
        <v>45216</v>
      </c>
      <c r="E570" s="2" t="inlineStr">
        <is>
          <t>16:11</t>
        </is>
      </c>
      <c r="F570" s="5" t="n">
        <v>995.83</v>
      </c>
      <c r="G570" s="5" t="n"/>
      <c r="H570" s="5" t="n"/>
      <c r="I570" s="5" t="n"/>
      <c r="J570" s="5" t="n">
        <v>199.17</v>
      </c>
      <c r="K570" s="5" t="n"/>
      <c r="L570" s="5" t="n"/>
      <c r="M570" s="5" t="n"/>
      <c r="N570" s="5" t="n"/>
      <c r="O570" s="5" t="n">
        <v>1195</v>
      </c>
      <c r="P570" s="5" t="n">
        <v>1195</v>
      </c>
      <c r="Q570" s="5" t="n"/>
      <c r="R570" s="5" t="n"/>
    </row>
    <row r="571">
      <c r="A571" s="2" t="inlineStr">
        <is>
          <t>EJ101123.TXT</t>
        </is>
      </c>
      <c r="B571" s="3" t="inlineStr">
        <is>
          <t>005148</t>
        </is>
      </c>
      <c r="C571" s="3" t="inlineStr">
        <is>
          <t>004131</t>
        </is>
      </c>
      <c r="D571" s="4" t="n">
        <v>45220</v>
      </c>
      <c r="E571" s="2" t="inlineStr">
        <is>
          <t>14:48</t>
        </is>
      </c>
      <c r="F571" s="5" t="n">
        <v>124.17</v>
      </c>
      <c r="G571" s="5" t="n"/>
      <c r="H571" s="5" t="n"/>
      <c r="I571" s="5" t="n"/>
      <c r="J571" s="5" t="n">
        <v>24.83</v>
      </c>
      <c r="K571" s="5" t="n"/>
      <c r="L571" s="5" t="n"/>
      <c r="M571" s="5" t="n"/>
      <c r="N571" s="5" t="n"/>
      <c r="O571" s="5" t="n">
        <v>149</v>
      </c>
      <c r="P571" s="5" t="n"/>
      <c r="Q571" s="5" t="n">
        <v>149</v>
      </c>
      <c r="R571" s="5" t="n"/>
    </row>
    <row r="572">
      <c r="A572" s="2" t="inlineStr">
        <is>
          <t>EJ101123.TXT</t>
        </is>
      </c>
      <c r="B572" s="3" t="inlineStr">
        <is>
          <t>005149</t>
        </is>
      </c>
      <c r="C572" s="3" t="inlineStr">
        <is>
          <t>004132</t>
        </is>
      </c>
      <c r="D572" s="4" t="n">
        <v>45222</v>
      </c>
      <c r="E572" s="2" t="inlineStr">
        <is>
          <t>15:36</t>
        </is>
      </c>
      <c r="F572" s="5" t="n">
        <v>202.5</v>
      </c>
      <c r="G572" s="5" t="n"/>
      <c r="H572" s="5" t="n"/>
      <c r="I572" s="5" t="n"/>
      <c r="J572" s="5" t="n">
        <v>40.5</v>
      </c>
      <c r="K572" s="5" t="n"/>
      <c r="L572" s="5" t="n"/>
      <c r="M572" s="5" t="n"/>
      <c r="N572" s="5" t="n"/>
      <c r="O572" s="5" t="n">
        <v>243</v>
      </c>
      <c r="P572" s="5" t="n">
        <v>243</v>
      </c>
      <c r="Q572" s="5" t="n"/>
      <c r="R572" s="5" t="n"/>
    </row>
    <row r="573">
      <c r="A573" s="2" t="inlineStr">
        <is>
          <t>EJ101123.TXT</t>
        </is>
      </c>
      <c r="B573" s="3" t="inlineStr">
        <is>
          <t>005150</t>
        </is>
      </c>
      <c r="C573" s="3" t="inlineStr">
        <is>
          <t>004133</t>
        </is>
      </c>
      <c r="D573" s="4" t="n">
        <v>45222</v>
      </c>
      <c r="E573" s="2" t="inlineStr">
        <is>
          <t>16:05</t>
        </is>
      </c>
      <c r="F573" s="5" t="n">
        <v>531.67</v>
      </c>
      <c r="G573" s="5" t="n"/>
      <c r="H573" s="5" t="n"/>
      <c r="I573" s="5" t="n"/>
      <c r="J573" s="5" t="n">
        <v>106.33</v>
      </c>
      <c r="K573" s="5" t="n"/>
      <c r="L573" s="5" t="n"/>
      <c r="M573" s="5" t="n"/>
      <c r="N573" s="5" t="n"/>
      <c r="O573" s="5" t="n">
        <v>638</v>
      </c>
      <c r="P573" s="5" t="n"/>
      <c r="Q573" s="5" t="n">
        <v>638</v>
      </c>
      <c r="R573" s="5" t="n"/>
    </row>
    <row r="574">
      <c r="A574" s="2" t="inlineStr">
        <is>
          <t>EJ101123.TXT</t>
        </is>
      </c>
      <c r="B574" s="3" t="inlineStr">
        <is>
          <t>005151</t>
        </is>
      </c>
      <c r="C574" s="3" t="inlineStr">
        <is>
          <t>004134</t>
        </is>
      </c>
      <c r="D574" s="4" t="n">
        <v>45222</v>
      </c>
      <c r="E574" s="2" t="inlineStr">
        <is>
          <t>16:29</t>
        </is>
      </c>
      <c r="F574" s="5" t="n">
        <v>274.17</v>
      </c>
      <c r="G574" s="5" t="n"/>
      <c r="H574" s="5" t="n"/>
      <c r="I574" s="5" t="n"/>
      <c r="J574" s="5" t="n">
        <v>54.83</v>
      </c>
      <c r="K574" s="5" t="n"/>
      <c r="L574" s="5" t="n"/>
      <c r="M574" s="5" t="n"/>
      <c r="N574" s="5" t="n"/>
      <c r="O574" s="5" t="n">
        <v>329</v>
      </c>
      <c r="P574" s="5" t="n"/>
      <c r="Q574" s="5" t="n">
        <v>329</v>
      </c>
      <c r="R574" s="5" t="n"/>
    </row>
    <row r="575">
      <c r="A575" s="2" t="inlineStr">
        <is>
          <t>EJ101123.TXT</t>
        </is>
      </c>
      <c r="B575" s="3" t="inlineStr">
        <is>
          <t>005152</t>
        </is>
      </c>
      <c r="C575" s="3" t="inlineStr">
        <is>
          <t>004135</t>
        </is>
      </c>
      <c r="D575" s="4" t="n">
        <v>45222</v>
      </c>
      <c r="E575" s="2" t="inlineStr">
        <is>
          <t>16:39</t>
        </is>
      </c>
      <c r="F575" s="5" t="n">
        <v>274.17</v>
      </c>
      <c r="G575" s="5" t="n"/>
      <c r="H575" s="5" t="n"/>
      <c r="I575" s="5" t="n"/>
      <c r="J575" s="5" t="n">
        <v>54.83</v>
      </c>
      <c r="K575" s="5" t="n"/>
      <c r="L575" s="5" t="n"/>
      <c r="M575" s="5" t="n"/>
      <c r="N575" s="5" t="n"/>
      <c r="O575" s="5" t="n">
        <v>329</v>
      </c>
      <c r="P575" s="5" t="n"/>
      <c r="Q575" s="5" t="n">
        <v>329</v>
      </c>
      <c r="R575" s="5" t="n"/>
    </row>
    <row r="576">
      <c r="A576" s="2" t="inlineStr">
        <is>
          <t>EJ101123.TXT</t>
        </is>
      </c>
      <c r="B576" s="3" t="inlineStr">
        <is>
          <t>005153</t>
        </is>
      </c>
      <c r="C576" s="3" t="inlineStr">
        <is>
          <t>004136</t>
        </is>
      </c>
      <c r="D576" s="4" t="n">
        <v>45223</v>
      </c>
      <c r="E576" s="2" t="inlineStr">
        <is>
          <t>11:45</t>
        </is>
      </c>
      <c r="F576" s="5" t="n">
        <v>37.5</v>
      </c>
      <c r="G576" s="5" t="n"/>
      <c r="H576" s="5" t="n"/>
      <c r="I576" s="5" t="n"/>
      <c r="J576" s="5" t="n">
        <v>7.5</v>
      </c>
      <c r="K576" s="5" t="n"/>
      <c r="L576" s="5" t="n"/>
      <c r="M576" s="5" t="n"/>
      <c r="N576" s="5" t="n"/>
      <c r="O576" s="5" t="n">
        <v>45</v>
      </c>
      <c r="P576" s="5" t="n">
        <v>45</v>
      </c>
      <c r="Q576" s="5" t="n"/>
      <c r="R576" s="5" t="n"/>
    </row>
    <row r="577">
      <c r="A577" s="2" t="inlineStr">
        <is>
          <t>EJ101123.TXT</t>
        </is>
      </c>
      <c r="B577" s="3" t="inlineStr">
        <is>
          <t>005154</t>
        </is>
      </c>
      <c r="C577" s="3" t="inlineStr">
        <is>
          <t>004137</t>
        </is>
      </c>
      <c r="D577" s="4" t="n">
        <v>45223</v>
      </c>
      <c r="E577" s="2" t="inlineStr">
        <is>
          <t>17:13</t>
        </is>
      </c>
      <c r="F577" s="5" t="n">
        <v>274.17</v>
      </c>
      <c r="G577" s="5" t="n"/>
      <c r="H577" s="5" t="n"/>
      <c r="I577" s="5" t="n"/>
      <c r="J577" s="5" t="n">
        <v>54.83</v>
      </c>
      <c r="K577" s="5" t="n"/>
      <c r="L577" s="5" t="n"/>
      <c r="M577" s="5" t="n"/>
      <c r="N577" s="5" t="n"/>
      <c r="O577" s="5" t="n">
        <v>329</v>
      </c>
      <c r="P577" s="5" t="n"/>
      <c r="Q577" s="5" t="n">
        <v>329</v>
      </c>
      <c r="R577" s="5" t="n"/>
    </row>
    <row r="578">
      <c r="A578" s="2" t="inlineStr">
        <is>
          <t>EJ101123.TXT</t>
        </is>
      </c>
      <c r="B578" s="3" t="inlineStr">
        <is>
          <t>005155</t>
        </is>
      </c>
      <c r="C578" s="3" t="inlineStr">
        <is>
          <t>004138</t>
        </is>
      </c>
      <c r="D578" s="4" t="n">
        <v>45226</v>
      </c>
      <c r="E578" s="2" t="inlineStr">
        <is>
          <t>10:18</t>
        </is>
      </c>
      <c r="F578" s="5" t="n">
        <v>548.33</v>
      </c>
      <c r="G578" s="5" t="n"/>
      <c r="H578" s="5" t="n"/>
      <c r="I578" s="5" t="n"/>
      <c r="J578" s="5" t="n">
        <v>109.67</v>
      </c>
      <c r="K578" s="5" t="n"/>
      <c r="L578" s="5" t="n"/>
      <c r="M578" s="5" t="n"/>
      <c r="N578" s="5" t="n"/>
      <c r="O578" s="5" t="n">
        <v>658</v>
      </c>
      <c r="P578" s="5" t="n"/>
      <c r="Q578" s="5" t="n">
        <v>658</v>
      </c>
      <c r="R578" s="5" t="n"/>
    </row>
    <row r="579">
      <c r="A579" s="2" t="inlineStr">
        <is>
          <t>EJ101123.TXT</t>
        </is>
      </c>
      <c r="B579" s="3" t="inlineStr">
        <is>
          <t>005156</t>
        </is>
      </c>
      <c r="C579" s="3" t="inlineStr">
        <is>
          <t>004139</t>
        </is>
      </c>
      <c r="D579" s="4" t="n">
        <v>45229</v>
      </c>
      <c r="E579" s="2" t="inlineStr">
        <is>
          <t>14:55</t>
        </is>
      </c>
      <c r="F579" s="5" t="n">
        <v>324.17</v>
      </c>
      <c r="G579" s="5" t="n"/>
      <c r="H579" s="5" t="n"/>
      <c r="I579" s="5" t="n"/>
      <c r="J579" s="5" t="n">
        <v>64.83</v>
      </c>
      <c r="K579" s="5" t="n"/>
      <c r="L579" s="5" t="n"/>
      <c r="M579" s="5" t="n"/>
      <c r="N579" s="5" t="n"/>
      <c r="O579" s="5" t="n">
        <v>389</v>
      </c>
      <c r="P579" s="5" t="n"/>
      <c r="Q579" s="5" t="n">
        <v>389</v>
      </c>
      <c r="R579" s="5" t="n"/>
    </row>
    <row r="580">
      <c r="A580" s="2" t="inlineStr">
        <is>
          <t>EJ101123.TXT</t>
        </is>
      </c>
      <c r="B580" s="3" t="inlineStr">
        <is>
          <t>005157</t>
        </is>
      </c>
      <c r="C580" s="3" t="inlineStr">
        <is>
          <t>004140</t>
        </is>
      </c>
      <c r="D580" s="4" t="n">
        <v>45229</v>
      </c>
      <c r="E580" s="2" t="inlineStr">
        <is>
          <t>16:43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</row>
    <row r="581">
      <c r="A581" s="2" t="inlineStr">
        <is>
          <t>EJ101123.TXT</t>
        </is>
      </c>
      <c r="B581" s="3" t="inlineStr">
        <is>
          <t>005158</t>
        </is>
      </c>
      <c r="C581" s="3" t="inlineStr">
        <is>
          <t>004141</t>
        </is>
      </c>
      <c r="D581" s="4" t="n">
        <v>45229</v>
      </c>
      <c r="E581" s="2" t="inlineStr">
        <is>
          <t>16:52</t>
        </is>
      </c>
      <c r="F581" s="5" t="n">
        <v>548.33</v>
      </c>
      <c r="G581" s="5" t="n"/>
      <c r="H581" s="5" t="n"/>
      <c r="I581" s="5" t="n"/>
      <c r="J581" s="5" t="n">
        <v>109.67</v>
      </c>
      <c r="K581" s="5" t="n"/>
      <c r="L581" s="5" t="n"/>
      <c r="M581" s="5" t="n"/>
      <c r="N581" s="5" t="n"/>
      <c r="O581" s="5" t="n">
        <v>658</v>
      </c>
      <c r="P581" s="5" t="n"/>
      <c r="Q581" s="5" t="n">
        <v>658</v>
      </c>
      <c r="R581" s="5" t="n"/>
    </row>
    <row r="582">
      <c r="A582" s="2" t="inlineStr">
        <is>
          <t>EJ101123.TXT</t>
        </is>
      </c>
      <c r="B582" s="3" t="inlineStr">
        <is>
          <t>005159</t>
        </is>
      </c>
      <c r="C582" s="3" t="inlineStr">
        <is>
          <t>004142</t>
        </is>
      </c>
      <c r="D582" s="4" t="n">
        <v>45232</v>
      </c>
      <c r="E582" s="2" t="inlineStr">
        <is>
          <t>15:56</t>
        </is>
      </c>
      <c r="F582" s="5" t="n">
        <v>797.5</v>
      </c>
      <c r="G582" s="5" t="n"/>
      <c r="H582" s="5" t="n"/>
      <c r="I582" s="5" t="n"/>
      <c r="J582" s="5" t="n">
        <v>159.5</v>
      </c>
      <c r="K582" s="5" t="n"/>
      <c r="L582" s="5" t="n"/>
      <c r="M582" s="5" t="n"/>
      <c r="N582" s="5" t="n"/>
      <c r="O582" s="5" t="n">
        <v>957</v>
      </c>
      <c r="P582" s="5" t="n"/>
      <c r="Q582" s="5" t="n">
        <v>957</v>
      </c>
      <c r="R582" s="5" t="n"/>
    </row>
    <row r="583">
      <c r="A583" s="2" t="inlineStr">
        <is>
          <t>EJ101123.TXT</t>
        </is>
      </c>
      <c r="B583" s="3" t="inlineStr">
        <is>
          <t>005160</t>
        </is>
      </c>
      <c r="C583" s="3" t="inlineStr">
        <is>
          <t>004143</t>
        </is>
      </c>
      <c r="D583" s="4" t="n">
        <v>45232</v>
      </c>
      <c r="E583" s="2" t="inlineStr">
        <is>
          <t>15:58</t>
        </is>
      </c>
      <c r="F583" s="5" t="n">
        <v>265.83</v>
      </c>
      <c r="G583" s="5" t="n"/>
      <c r="H583" s="5" t="n"/>
      <c r="I583" s="5" t="n"/>
      <c r="J583" s="5" t="n">
        <v>53.17</v>
      </c>
      <c r="K583" s="5" t="n"/>
      <c r="L583" s="5" t="n"/>
      <c r="M583" s="5" t="n"/>
      <c r="N583" s="5" t="n"/>
      <c r="O583" s="5" t="n">
        <v>319</v>
      </c>
      <c r="P583" s="5" t="n">
        <v>319</v>
      </c>
      <c r="Q583" s="5" t="n"/>
      <c r="R583" s="5" t="n"/>
    </row>
    <row r="584">
      <c r="A584" s="2" t="inlineStr">
        <is>
          <t>EJ101123.TXT</t>
        </is>
      </c>
      <c r="B584" s="3" t="inlineStr">
        <is>
          <t>005161</t>
        </is>
      </c>
      <c r="C584" s="3" t="inlineStr">
        <is>
          <t>004144</t>
        </is>
      </c>
      <c r="D584" s="4" t="n">
        <v>45234</v>
      </c>
      <c r="E584" s="2" t="inlineStr">
        <is>
          <t>15:44</t>
        </is>
      </c>
      <c r="F584" s="5" t="n">
        <v>548.33</v>
      </c>
      <c r="G584" s="5" t="n"/>
      <c r="H584" s="5" t="n"/>
      <c r="I584" s="5" t="n"/>
      <c r="J584" s="5" t="n">
        <v>109.67</v>
      </c>
      <c r="K584" s="5" t="n"/>
      <c r="L584" s="5" t="n"/>
      <c r="M584" s="5" t="n"/>
      <c r="N584" s="5" t="n"/>
      <c r="O584" s="5" t="n">
        <v>658</v>
      </c>
      <c r="P584" s="5" t="n">
        <v>658</v>
      </c>
      <c r="Q584" s="5" t="n"/>
      <c r="R584" s="5" t="n"/>
    </row>
    <row r="585">
      <c r="A585" s="2" t="inlineStr">
        <is>
          <t>EJ101123.TXT</t>
        </is>
      </c>
      <c r="B585" s="3" t="inlineStr">
        <is>
          <t>005162</t>
        </is>
      </c>
      <c r="C585" s="3" t="inlineStr">
        <is>
          <t>004145</t>
        </is>
      </c>
      <c r="D585" s="4" t="n">
        <v>45238</v>
      </c>
      <c r="E585" s="2" t="inlineStr">
        <is>
          <t>16:43</t>
        </is>
      </c>
      <c r="F585" s="5" t="n">
        <v>265.83</v>
      </c>
      <c r="G585" s="5" t="n"/>
      <c r="H585" s="5" t="n"/>
      <c r="I585" s="5" t="n"/>
      <c r="J585" s="5" t="n">
        <v>53.17</v>
      </c>
      <c r="K585" s="5" t="n"/>
      <c r="L585" s="5" t="n"/>
      <c r="M585" s="5" t="n"/>
      <c r="N585" s="5" t="n"/>
      <c r="O585" s="5" t="n">
        <v>319</v>
      </c>
      <c r="P585" s="5" t="n"/>
      <c r="Q585" s="5" t="n">
        <v>319</v>
      </c>
      <c r="R585" s="5" t="n"/>
    </row>
    <row r="586">
      <c r="A586" s="2" t="inlineStr">
        <is>
          <t>EJ101123.TXT</t>
        </is>
      </c>
      <c r="B586" s="3" t="inlineStr">
        <is>
          <t>005163</t>
        </is>
      </c>
      <c r="C586" s="3" t="inlineStr">
        <is>
          <t>004146</t>
        </is>
      </c>
      <c r="D586" s="4" t="n">
        <v>45239</v>
      </c>
      <c r="E586" s="2" t="inlineStr">
        <is>
          <t>12:38</t>
        </is>
      </c>
      <c r="F586" s="5" t="n">
        <v>598.33</v>
      </c>
      <c r="G586" s="5" t="n"/>
      <c r="H586" s="5" t="n"/>
      <c r="I586" s="5" t="n"/>
      <c r="J586" s="5" t="n">
        <v>119.67</v>
      </c>
      <c r="K586" s="5" t="n"/>
      <c r="L586" s="5" t="n"/>
      <c r="M586" s="5" t="n"/>
      <c r="N586" s="5" t="n"/>
      <c r="O586" s="5" t="n">
        <v>718</v>
      </c>
      <c r="P586" s="5" t="n"/>
      <c r="Q586" s="5" t="n">
        <v>718</v>
      </c>
      <c r="R586" s="5" t="n"/>
    </row>
    <row r="587">
      <c r="A587" s="2" t="inlineStr">
        <is>
          <t>EJ101123.TXT</t>
        </is>
      </c>
      <c r="B587" s="3" t="inlineStr">
        <is>
          <t>005164</t>
        </is>
      </c>
      <c r="C587" s="3" t="inlineStr">
        <is>
          <t>004147</t>
        </is>
      </c>
      <c r="D587" s="4" t="n">
        <v>45239</v>
      </c>
      <c r="E587" s="2" t="inlineStr">
        <is>
          <t>16:03</t>
        </is>
      </c>
      <c r="F587" s="5" t="n">
        <v>274.17</v>
      </c>
      <c r="G587" s="5" t="n"/>
      <c r="H587" s="5" t="n"/>
      <c r="I587" s="5" t="n"/>
      <c r="J587" s="5" t="n">
        <v>54.83</v>
      </c>
      <c r="K587" s="5" t="n"/>
      <c r="L587" s="5" t="n"/>
      <c r="M587" s="5" t="n"/>
      <c r="N587" s="5" t="n"/>
      <c r="O587" s="5" t="n">
        <v>329</v>
      </c>
      <c r="P587" s="5" t="n"/>
      <c r="Q587" s="5" t="n">
        <v>329</v>
      </c>
      <c r="R587" s="5" t="n"/>
    </row>
    <row r="588">
      <c r="A588" s="2" t="inlineStr">
        <is>
          <t>EJ011223.TXT</t>
        </is>
      </c>
      <c r="B588" s="3" t="inlineStr">
        <is>
          <t>005173</t>
        </is>
      </c>
      <c r="C588" s="3" t="inlineStr">
        <is>
          <t>004148</t>
        </is>
      </c>
      <c r="D588" s="4" t="n">
        <v>45244</v>
      </c>
      <c r="E588" s="2" t="inlineStr">
        <is>
          <t>12:57</t>
        </is>
      </c>
      <c r="F588" s="5" t="n">
        <v>3240</v>
      </c>
      <c r="G588" s="5" t="n"/>
      <c r="H588" s="5" t="n"/>
      <c r="I588" s="5" t="n"/>
      <c r="J588" s="5" t="n">
        <v>648</v>
      </c>
      <c r="K588" s="5" t="n"/>
      <c r="L588" s="5" t="n"/>
      <c r="M588" s="5" t="n"/>
      <c r="N588" s="5" t="n"/>
      <c r="O588" s="5" t="n">
        <v>3888</v>
      </c>
      <c r="P588" s="5" t="n">
        <v>3888</v>
      </c>
      <c r="Q588" s="5" t="n"/>
      <c r="R588" s="5" t="n"/>
    </row>
    <row r="589">
      <c r="A589" s="2" t="inlineStr">
        <is>
          <t>EJ011223.TXT</t>
        </is>
      </c>
      <c r="B589" s="3" t="inlineStr">
        <is>
          <t>005174</t>
        </is>
      </c>
      <c r="C589" s="3" t="inlineStr">
        <is>
          <t>004149</t>
        </is>
      </c>
      <c r="D589" s="4" t="n">
        <v>45248</v>
      </c>
      <c r="E589" s="2" t="inlineStr">
        <is>
          <t>17:03</t>
        </is>
      </c>
      <c r="F589" s="5" t="n">
        <v>165.83</v>
      </c>
      <c r="G589" s="5" t="n"/>
      <c r="H589" s="5" t="n"/>
      <c r="I589" s="5" t="n"/>
      <c r="J589" s="5" t="n">
        <v>33.17</v>
      </c>
      <c r="K589" s="5" t="n"/>
      <c r="L589" s="5" t="n"/>
      <c r="M589" s="5" t="n"/>
      <c r="N589" s="5" t="n"/>
      <c r="O589" s="5" t="n">
        <v>199</v>
      </c>
      <c r="P589" s="5" t="n"/>
      <c r="Q589" s="5" t="n">
        <v>199</v>
      </c>
      <c r="R589" s="5" t="n"/>
    </row>
    <row r="590">
      <c r="A590" s="2" t="inlineStr">
        <is>
          <t>EJ011223.TXT</t>
        </is>
      </c>
      <c r="B590" s="3" t="inlineStr">
        <is>
          <t>005175</t>
        </is>
      </c>
      <c r="C590" s="3" t="inlineStr">
        <is>
          <t>004150</t>
        </is>
      </c>
      <c r="D590" s="4" t="n">
        <v>45252</v>
      </c>
      <c r="E590" s="2" t="inlineStr">
        <is>
          <t>12:26</t>
        </is>
      </c>
      <c r="F590" s="5" t="n">
        <v>274.17</v>
      </c>
      <c r="G590" s="5" t="n"/>
      <c r="H590" s="5" t="n"/>
      <c r="I590" s="5" t="n"/>
      <c r="J590" s="5" t="n">
        <v>54.83</v>
      </c>
      <c r="K590" s="5" t="n"/>
      <c r="L590" s="5" t="n"/>
      <c r="M590" s="5" t="n"/>
      <c r="N590" s="5" t="n"/>
      <c r="O590" s="5" t="n">
        <v>329</v>
      </c>
      <c r="P590" s="5" t="n"/>
      <c r="Q590" s="5" t="n">
        <v>329</v>
      </c>
      <c r="R590" s="5" t="n"/>
    </row>
    <row r="591">
      <c r="A591" s="2" t="inlineStr">
        <is>
          <t>EJ011223.TXT</t>
        </is>
      </c>
      <c r="B591" s="3" t="inlineStr">
        <is>
          <t>005176</t>
        </is>
      </c>
      <c r="C591" s="3" t="inlineStr">
        <is>
          <t>004151</t>
        </is>
      </c>
      <c r="D591" s="4" t="n">
        <v>45255</v>
      </c>
      <c r="E591" s="2" t="inlineStr">
        <is>
          <t>17:23</t>
        </is>
      </c>
      <c r="F591" s="5" t="n">
        <v>1096.67</v>
      </c>
      <c r="G591" s="5" t="n"/>
      <c r="H591" s="5" t="n"/>
      <c r="I591" s="5" t="n"/>
      <c r="J591" s="5" t="n">
        <v>219.33</v>
      </c>
      <c r="K591" s="5" t="n"/>
      <c r="L591" s="5" t="n"/>
      <c r="M591" s="5" t="n"/>
      <c r="N591" s="5" t="n"/>
      <c r="O591" s="5" t="n">
        <v>1316</v>
      </c>
      <c r="P591" s="5" t="n">
        <v>1316</v>
      </c>
      <c r="Q591" s="5" t="n"/>
      <c r="R591" s="5" t="n"/>
    </row>
    <row r="592">
      <c r="A592" s="2" t="inlineStr">
        <is>
          <t>EJ011223.TXT</t>
        </is>
      </c>
      <c r="B592" s="3" t="inlineStr">
        <is>
          <t>005177</t>
        </is>
      </c>
      <c r="C592" s="3" t="inlineStr">
        <is>
          <t>004152</t>
        </is>
      </c>
      <c r="D592" s="4" t="n">
        <v>45255</v>
      </c>
      <c r="E592" s="2" t="inlineStr">
        <is>
          <t>17:35</t>
        </is>
      </c>
      <c r="F592" s="5" t="n">
        <v>274.17</v>
      </c>
      <c r="G592" s="5" t="n"/>
      <c r="H592" s="5" t="n"/>
      <c r="I592" s="5" t="n"/>
      <c r="J592" s="5" t="n">
        <v>54.83</v>
      </c>
      <c r="K592" s="5" t="n"/>
      <c r="L592" s="5" t="n"/>
      <c r="M592" s="5" t="n"/>
      <c r="N592" s="5" t="n"/>
      <c r="O592" s="5" t="n">
        <v>329</v>
      </c>
      <c r="P592" s="5" t="n"/>
      <c r="Q592" s="5" t="n">
        <v>329</v>
      </c>
      <c r="R592" s="5" t="n"/>
    </row>
    <row r="593">
      <c r="A593" s="2" t="inlineStr">
        <is>
          <t>EJ011223.TXT</t>
        </is>
      </c>
      <c r="B593" s="3" t="inlineStr">
        <is>
          <t>005178</t>
        </is>
      </c>
      <c r="C593" s="3" t="inlineStr">
        <is>
          <t>004153</t>
        </is>
      </c>
      <c r="D593" s="4" t="n">
        <v>45260</v>
      </c>
      <c r="E593" s="2" t="inlineStr">
        <is>
          <t>10:50</t>
        </is>
      </c>
      <c r="F593" s="5" t="n">
        <v>274.17</v>
      </c>
      <c r="G593" s="5" t="n"/>
      <c r="H593" s="5" t="n"/>
      <c r="I593" s="5" t="n"/>
      <c r="J593" s="5" t="n">
        <v>54.83</v>
      </c>
      <c r="K593" s="5" t="n"/>
      <c r="L593" s="5" t="n"/>
      <c r="M593" s="5" t="n"/>
      <c r="N593" s="5" t="n"/>
      <c r="O593" s="5" t="n">
        <v>329</v>
      </c>
      <c r="P593" s="5" t="n"/>
      <c r="Q593" s="5" t="n">
        <v>329</v>
      </c>
      <c r="R593" s="5" t="n"/>
    </row>
    <row r="594">
      <c r="A594" s="2" t="inlineStr">
        <is>
          <t>EJ010124.TXT</t>
        </is>
      </c>
      <c r="B594" s="3" t="inlineStr">
        <is>
          <t>005187</t>
        </is>
      </c>
      <c r="C594" s="3" t="inlineStr">
        <is>
          <t>004154</t>
        </is>
      </c>
      <c r="D594" s="4" t="n">
        <v>45261</v>
      </c>
      <c r="E594" s="2" t="inlineStr">
        <is>
          <t>18:30</t>
        </is>
      </c>
      <c r="F594" s="5" t="n">
        <v>582.5</v>
      </c>
      <c r="G594" s="5" t="n"/>
      <c r="H594" s="5" t="n"/>
      <c r="I594" s="5" t="n"/>
      <c r="J594" s="5" t="n">
        <v>116.5</v>
      </c>
      <c r="K594" s="5" t="n"/>
      <c r="L594" s="5" t="n"/>
      <c r="M594" s="5" t="n"/>
      <c r="N594" s="5" t="n"/>
      <c r="O594" s="5" t="n">
        <v>699</v>
      </c>
      <c r="P594" s="5" t="n"/>
      <c r="Q594" s="5" t="n">
        <v>699</v>
      </c>
      <c r="R594" s="5" t="n"/>
    </row>
    <row r="595">
      <c r="A595" s="2" t="inlineStr">
        <is>
          <t>EJ010124.TXT</t>
        </is>
      </c>
      <c r="B595" s="3" t="inlineStr">
        <is>
          <t>005188</t>
        </is>
      </c>
      <c r="C595" s="3" t="inlineStr">
        <is>
          <t>004155</t>
        </is>
      </c>
      <c r="D595" s="4" t="n">
        <v>45261</v>
      </c>
      <c r="E595" s="2" t="inlineStr">
        <is>
          <t>18:32</t>
        </is>
      </c>
      <c r="F595" s="5" t="n">
        <v>531.67</v>
      </c>
      <c r="G595" s="5" t="n"/>
      <c r="H595" s="5" t="n"/>
      <c r="I595" s="5" t="n"/>
      <c r="J595" s="5" t="n">
        <v>106.33</v>
      </c>
      <c r="K595" s="5" t="n"/>
      <c r="L595" s="5" t="n"/>
      <c r="M595" s="5" t="n"/>
      <c r="N595" s="5" t="n"/>
      <c r="O595" s="5" t="n">
        <v>638</v>
      </c>
      <c r="P595" s="5" t="n"/>
      <c r="Q595" s="5" t="n">
        <v>638</v>
      </c>
      <c r="R595" s="5" t="n"/>
    </row>
    <row r="596">
      <c r="A596" s="2" t="inlineStr">
        <is>
          <t>EJ010124.TXT</t>
        </is>
      </c>
      <c r="B596" s="3" t="inlineStr">
        <is>
          <t>005189</t>
        </is>
      </c>
      <c r="C596" s="3" t="inlineStr">
        <is>
          <t>004156</t>
        </is>
      </c>
      <c r="D596" s="4" t="n">
        <v>45261</v>
      </c>
      <c r="E596" s="2" t="inlineStr">
        <is>
          <t>18:32</t>
        </is>
      </c>
      <c r="F596" s="5" t="n">
        <v>531.67</v>
      </c>
      <c r="G596" s="5" t="n"/>
      <c r="H596" s="5" t="n"/>
      <c r="I596" s="5" t="n"/>
      <c r="J596" s="5" t="n">
        <v>106.33</v>
      </c>
      <c r="K596" s="5" t="n"/>
      <c r="L596" s="5" t="n"/>
      <c r="M596" s="5" t="n"/>
      <c r="N596" s="5" t="n"/>
      <c r="O596" s="5" t="n">
        <v>638</v>
      </c>
      <c r="P596" s="5" t="n"/>
      <c r="Q596" s="5" t="n">
        <v>638</v>
      </c>
      <c r="R596" s="5" t="n"/>
    </row>
    <row r="597">
      <c r="A597" s="2" t="inlineStr">
        <is>
          <t>EJ010124.TXT</t>
        </is>
      </c>
      <c r="B597" s="3" t="inlineStr">
        <is>
          <t>005190</t>
        </is>
      </c>
      <c r="C597" s="3" t="inlineStr">
        <is>
          <t>004157</t>
        </is>
      </c>
      <c r="D597" s="4" t="n">
        <v>45262</v>
      </c>
      <c r="E597" s="2" t="inlineStr">
        <is>
          <t>14:52</t>
        </is>
      </c>
      <c r="F597" s="5" t="n">
        <v>822.5</v>
      </c>
      <c r="G597" s="5" t="n"/>
      <c r="H597" s="5" t="n"/>
      <c r="I597" s="5" t="n"/>
      <c r="J597" s="5" t="n">
        <v>164.5</v>
      </c>
      <c r="K597" s="5" t="n"/>
      <c r="L597" s="5" t="n"/>
      <c r="M597" s="5" t="n"/>
      <c r="N597" s="5" t="n"/>
      <c r="O597" s="5" t="n">
        <v>987</v>
      </c>
      <c r="P597" s="5" t="n"/>
      <c r="Q597" s="5" t="n">
        <v>987</v>
      </c>
      <c r="R597" s="5" t="n"/>
    </row>
    <row r="598">
      <c r="A598" s="2" t="inlineStr">
        <is>
          <t>EJ010124.TXT</t>
        </is>
      </c>
      <c r="B598" s="3" t="inlineStr">
        <is>
          <t>005191</t>
        </is>
      </c>
      <c r="C598" s="3" t="inlineStr">
        <is>
          <t>004158</t>
        </is>
      </c>
      <c r="D598" s="4" t="n">
        <v>45262</v>
      </c>
      <c r="E598" s="2" t="inlineStr">
        <is>
          <t>14:52</t>
        </is>
      </c>
      <c r="F598" s="5" t="n">
        <v>797.5</v>
      </c>
      <c r="G598" s="5" t="n"/>
      <c r="H598" s="5" t="n"/>
      <c r="I598" s="5" t="n"/>
      <c r="J598" s="5" t="n">
        <v>159.5</v>
      </c>
      <c r="K598" s="5" t="n"/>
      <c r="L598" s="5" t="n"/>
      <c r="M598" s="5" t="n"/>
      <c r="N598" s="5" t="n"/>
      <c r="O598" s="5" t="n">
        <v>957</v>
      </c>
      <c r="P598" s="5" t="n"/>
      <c r="Q598" s="5" t="n">
        <v>957</v>
      </c>
      <c r="R598" s="5" t="n"/>
    </row>
    <row r="599">
      <c r="A599" s="2" t="inlineStr">
        <is>
          <t>EJ010124.TXT</t>
        </is>
      </c>
      <c r="B599" s="3" t="inlineStr">
        <is>
          <t>005192</t>
        </is>
      </c>
      <c r="C599" s="3" t="inlineStr">
        <is>
          <t>004159</t>
        </is>
      </c>
      <c r="D599" s="4" t="n">
        <v>45262</v>
      </c>
      <c r="E599" s="2" t="inlineStr">
        <is>
          <t>14:52</t>
        </is>
      </c>
      <c r="F599" s="5" t="n">
        <v>822.5</v>
      </c>
      <c r="G599" s="5" t="n"/>
      <c r="H599" s="5" t="n"/>
      <c r="I599" s="5" t="n"/>
      <c r="J599" s="5" t="n">
        <v>164.5</v>
      </c>
      <c r="K599" s="5" t="n"/>
      <c r="L599" s="5" t="n"/>
      <c r="M599" s="5" t="n"/>
      <c r="N599" s="5" t="n"/>
      <c r="O599" s="5" t="n">
        <v>987</v>
      </c>
      <c r="P599" s="5" t="n"/>
      <c r="Q599" s="5" t="n">
        <v>987</v>
      </c>
      <c r="R599" s="5" t="n"/>
    </row>
    <row r="600">
      <c r="A600" s="2" t="inlineStr">
        <is>
          <t>EJ010124.TXT</t>
        </is>
      </c>
      <c r="B600" s="3" t="inlineStr">
        <is>
          <t>005193</t>
        </is>
      </c>
      <c r="C600" s="3" t="inlineStr">
        <is>
          <t>004160</t>
        </is>
      </c>
      <c r="D600" s="4" t="n">
        <v>45262</v>
      </c>
      <c r="E600" s="2" t="inlineStr">
        <is>
          <t>14:53</t>
        </is>
      </c>
      <c r="F600" s="5" t="n">
        <v>531.67</v>
      </c>
      <c r="G600" s="5" t="n"/>
      <c r="H600" s="5" t="n"/>
      <c r="I600" s="5" t="n"/>
      <c r="J600" s="5" t="n">
        <v>106.33</v>
      </c>
      <c r="K600" s="5" t="n"/>
      <c r="L600" s="5" t="n"/>
      <c r="M600" s="5" t="n"/>
      <c r="N600" s="5" t="n"/>
      <c r="O600" s="5" t="n">
        <v>638</v>
      </c>
      <c r="P600" s="5" t="n"/>
      <c r="Q600" s="5" t="n">
        <v>638</v>
      </c>
      <c r="R600" s="5" t="n"/>
    </row>
    <row r="601">
      <c r="A601" s="2" t="inlineStr">
        <is>
          <t>EJ010124.TXT</t>
        </is>
      </c>
      <c r="B601" s="3" t="inlineStr">
        <is>
          <t>005194</t>
        </is>
      </c>
      <c r="C601" s="3" t="inlineStr">
        <is>
          <t>004161</t>
        </is>
      </c>
      <c r="D601" s="4" t="n">
        <v>45262</v>
      </c>
      <c r="E601" s="2" t="inlineStr">
        <is>
          <t>14:53</t>
        </is>
      </c>
      <c r="F601" s="5" t="n">
        <v>265.83</v>
      </c>
      <c r="G601" s="5" t="n"/>
      <c r="H601" s="5" t="n"/>
      <c r="I601" s="5" t="n"/>
      <c r="J601" s="5" t="n">
        <v>53.17</v>
      </c>
      <c r="K601" s="5" t="n"/>
      <c r="L601" s="5" t="n"/>
      <c r="M601" s="5" t="n"/>
      <c r="N601" s="5" t="n"/>
      <c r="O601" s="5" t="n">
        <v>319</v>
      </c>
      <c r="P601" s="5" t="n"/>
      <c r="Q601" s="5" t="n">
        <v>319</v>
      </c>
      <c r="R601" s="5" t="n"/>
    </row>
    <row r="602">
      <c r="A602" s="2" t="inlineStr">
        <is>
          <t>EJ010124.TXT</t>
        </is>
      </c>
      <c r="B602" s="3" t="inlineStr">
        <is>
          <t>005195</t>
        </is>
      </c>
      <c r="C602" s="3" t="inlineStr">
        <is>
          <t>004162</t>
        </is>
      </c>
      <c r="D602" s="4" t="n">
        <v>45262</v>
      </c>
      <c r="E602" s="2" t="inlineStr">
        <is>
          <t>14:54</t>
        </is>
      </c>
      <c r="F602" s="5" t="n">
        <v>531.67</v>
      </c>
      <c r="G602" s="5" t="n"/>
      <c r="H602" s="5" t="n"/>
      <c r="I602" s="5" t="n"/>
      <c r="J602" s="5" t="n">
        <v>106.33</v>
      </c>
      <c r="K602" s="5" t="n"/>
      <c r="L602" s="5" t="n"/>
      <c r="M602" s="5" t="n"/>
      <c r="N602" s="5" t="n"/>
      <c r="O602" s="5" t="n">
        <v>638</v>
      </c>
      <c r="P602" s="5" t="n"/>
      <c r="Q602" s="5" t="n">
        <v>638</v>
      </c>
      <c r="R602" s="5" t="n"/>
    </row>
    <row r="603">
      <c r="A603" s="2" t="inlineStr">
        <is>
          <t>EJ010124.TXT</t>
        </is>
      </c>
      <c r="B603" s="3" t="inlineStr">
        <is>
          <t>005196</t>
        </is>
      </c>
      <c r="C603" s="3" t="inlineStr">
        <is>
          <t>004163</t>
        </is>
      </c>
      <c r="D603" s="4" t="n">
        <v>45262</v>
      </c>
      <c r="E603" s="2" t="inlineStr">
        <is>
          <t>14:54</t>
        </is>
      </c>
      <c r="F603" s="5" t="n">
        <v>797.5</v>
      </c>
      <c r="G603" s="5" t="n"/>
      <c r="H603" s="5" t="n"/>
      <c r="I603" s="5" t="n"/>
      <c r="J603" s="5" t="n">
        <v>159.5</v>
      </c>
      <c r="K603" s="5" t="n"/>
      <c r="L603" s="5" t="n"/>
      <c r="M603" s="5" t="n"/>
      <c r="N603" s="5" t="n"/>
      <c r="O603" s="5" t="n">
        <v>957</v>
      </c>
      <c r="P603" s="5" t="n"/>
      <c r="Q603" s="5" t="n">
        <v>957</v>
      </c>
      <c r="R603" s="5" t="n"/>
    </row>
    <row r="604">
      <c r="A604" s="2" t="inlineStr">
        <is>
          <t>EJ010124.TXT</t>
        </is>
      </c>
      <c r="B604" s="3" t="inlineStr">
        <is>
          <t>005197</t>
        </is>
      </c>
      <c r="C604" s="3" t="inlineStr">
        <is>
          <t>004164</t>
        </is>
      </c>
      <c r="D604" s="4" t="n">
        <v>45262</v>
      </c>
      <c r="E604" s="2" t="inlineStr">
        <is>
          <t>14:54</t>
        </is>
      </c>
      <c r="F604" s="5" t="n">
        <v>531.67</v>
      </c>
      <c r="G604" s="5" t="n"/>
      <c r="H604" s="5" t="n"/>
      <c r="I604" s="5" t="n"/>
      <c r="J604" s="5" t="n">
        <v>106.33</v>
      </c>
      <c r="K604" s="5" t="n"/>
      <c r="L604" s="5" t="n"/>
      <c r="M604" s="5" t="n"/>
      <c r="N604" s="5" t="n"/>
      <c r="O604" s="5" t="n">
        <v>638</v>
      </c>
      <c r="P604" s="5" t="n"/>
      <c r="Q604" s="5" t="n">
        <v>638</v>
      </c>
      <c r="R604" s="5" t="n"/>
    </row>
    <row r="605">
      <c r="A605" s="2" t="inlineStr">
        <is>
          <t>EJ010124.TXT</t>
        </is>
      </c>
      <c r="B605" s="3" t="inlineStr">
        <is>
          <t>005198</t>
        </is>
      </c>
      <c r="C605" s="3" t="inlineStr">
        <is>
          <t>004165</t>
        </is>
      </c>
      <c r="D605" s="4" t="n">
        <v>45262</v>
      </c>
      <c r="E605" s="2" t="inlineStr">
        <is>
          <t>14:55</t>
        </is>
      </c>
      <c r="F605" s="5" t="n">
        <v>797.5</v>
      </c>
      <c r="G605" s="5" t="n"/>
      <c r="H605" s="5" t="n"/>
      <c r="I605" s="5" t="n"/>
      <c r="J605" s="5" t="n">
        <v>159.5</v>
      </c>
      <c r="K605" s="5" t="n"/>
      <c r="L605" s="5" t="n"/>
      <c r="M605" s="5" t="n"/>
      <c r="N605" s="5" t="n"/>
      <c r="O605" s="5" t="n">
        <v>957</v>
      </c>
      <c r="P605" s="5" t="n"/>
      <c r="Q605" s="5" t="n">
        <v>957</v>
      </c>
      <c r="R605" s="5" t="n"/>
    </row>
    <row r="606">
      <c r="A606" s="2" t="inlineStr">
        <is>
          <t>EJ010124.TXT</t>
        </is>
      </c>
      <c r="B606" s="3" t="inlineStr">
        <is>
          <t>005199</t>
        </is>
      </c>
      <c r="C606" s="3" t="inlineStr">
        <is>
          <t>004166</t>
        </is>
      </c>
      <c r="D606" s="4" t="n">
        <v>45262</v>
      </c>
      <c r="E606" s="2" t="inlineStr">
        <is>
          <t>14:55</t>
        </is>
      </c>
      <c r="F606" s="5" t="n">
        <v>531.67</v>
      </c>
      <c r="G606" s="5" t="n"/>
      <c r="H606" s="5" t="n"/>
      <c r="I606" s="5" t="n"/>
      <c r="J606" s="5" t="n">
        <v>106.33</v>
      </c>
      <c r="K606" s="5" t="n"/>
      <c r="L606" s="5" t="n"/>
      <c r="M606" s="5" t="n"/>
      <c r="N606" s="5" t="n"/>
      <c r="O606" s="5" t="n">
        <v>638</v>
      </c>
      <c r="P606" s="5" t="n"/>
      <c r="Q606" s="5" t="n">
        <v>638</v>
      </c>
      <c r="R606" s="5" t="n"/>
    </row>
    <row r="607">
      <c r="A607" s="2" t="inlineStr">
        <is>
          <t>EJ010124.TXT</t>
        </is>
      </c>
      <c r="B607" s="3" t="inlineStr">
        <is>
          <t>005200</t>
        </is>
      </c>
      <c r="C607" s="3" t="inlineStr">
        <is>
          <t>004167</t>
        </is>
      </c>
      <c r="D607" s="4" t="n">
        <v>45262</v>
      </c>
      <c r="E607" s="2" t="inlineStr">
        <is>
          <t>14:55</t>
        </is>
      </c>
      <c r="F607" s="5" t="n">
        <v>531.67</v>
      </c>
      <c r="G607" s="5" t="n"/>
      <c r="H607" s="5" t="n"/>
      <c r="I607" s="5" t="n"/>
      <c r="J607" s="5" t="n">
        <v>106.33</v>
      </c>
      <c r="K607" s="5" t="n"/>
      <c r="L607" s="5" t="n"/>
      <c r="M607" s="5" t="n"/>
      <c r="N607" s="5" t="n"/>
      <c r="O607" s="5" t="n">
        <v>638</v>
      </c>
      <c r="P607" s="5" t="n"/>
      <c r="Q607" s="5" t="n">
        <v>638</v>
      </c>
      <c r="R607" s="5" t="n"/>
    </row>
    <row r="608">
      <c r="A608" s="2" t="inlineStr">
        <is>
          <t>EJ010124.TXT</t>
        </is>
      </c>
      <c r="B608" s="3" t="inlineStr">
        <is>
          <t>005201</t>
        </is>
      </c>
      <c r="C608" s="3" t="inlineStr">
        <is>
          <t>004168</t>
        </is>
      </c>
      <c r="D608" s="4" t="n">
        <v>45263</v>
      </c>
      <c r="E608" s="2" t="inlineStr">
        <is>
          <t>19:01</t>
        </is>
      </c>
      <c r="F608" s="5" t="n">
        <v>1133.33</v>
      </c>
      <c r="G608" s="5" t="n"/>
      <c r="H608" s="5" t="n"/>
      <c r="I608" s="5" t="n"/>
      <c r="J608" s="5" t="n">
        <v>226.67</v>
      </c>
      <c r="K608" s="5" t="n"/>
      <c r="L608" s="5" t="n"/>
      <c r="M608" s="5" t="n"/>
      <c r="N608" s="5" t="n"/>
      <c r="O608" s="5" t="n">
        <v>1360</v>
      </c>
      <c r="P608" s="5" t="n"/>
      <c r="Q608" s="5" t="n">
        <v>1360</v>
      </c>
      <c r="R608" s="5" t="n"/>
    </row>
    <row r="609">
      <c r="A609" s="2" t="inlineStr">
        <is>
          <t>EJ010124.TXT</t>
        </is>
      </c>
      <c r="B609" s="3" t="inlineStr">
        <is>
          <t>005202</t>
        </is>
      </c>
      <c r="C609" s="3" t="inlineStr">
        <is>
          <t>004169</t>
        </is>
      </c>
      <c r="D609" s="4" t="n">
        <v>45267</v>
      </c>
      <c r="E609" s="2" t="inlineStr">
        <is>
          <t>18:10</t>
        </is>
      </c>
      <c r="F609" s="5" t="n">
        <v>165.83</v>
      </c>
      <c r="G609" s="5" t="n"/>
      <c r="H609" s="5" t="n"/>
      <c r="I609" s="5" t="n"/>
      <c r="J609" s="5" t="n">
        <v>33.17</v>
      </c>
      <c r="K609" s="5" t="n"/>
      <c r="L609" s="5" t="n"/>
      <c r="M609" s="5" t="n"/>
      <c r="N609" s="5" t="n"/>
      <c r="O609" s="5" t="n">
        <v>199</v>
      </c>
      <c r="P609" s="5" t="n"/>
      <c r="Q609" s="5" t="n">
        <v>199</v>
      </c>
      <c r="R609" s="5" t="n"/>
    </row>
    <row r="610">
      <c r="A610" s="2" t="inlineStr">
        <is>
          <t>EJ010124.TXT</t>
        </is>
      </c>
      <c r="B610" s="3" t="inlineStr">
        <is>
          <t>005203</t>
        </is>
      </c>
      <c r="C610" s="3" t="inlineStr">
        <is>
          <t>004170</t>
        </is>
      </c>
      <c r="D610" s="4" t="n">
        <v>45267</v>
      </c>
      <c r="E610" s="2" t="inlineStr">
        <is>
          <t>18:15</t>
        </is>
      </c>
      <c r="F610" s="5" t="n">
        <v>199.17</v>
      </c>
      <c r="G610" s="5" t="n"/>
      <c r="H610" s="5" t="n"/>
      <c r="I610" s="5" t="n"/>
      <c r="J610" s="5" t="n">
        <v>39.83</v>
      </c>
      <c r="K610" s="5" t="n"/>
      <c r="L610" s="5" t="n"/>
      <c r="M610" s="5" t="n"/>
      <c r="N610" s="5" t="n"/>
      <c r="O610" s="5" t="n">
        <v>239</v>
      </c>
      <c r="P610" s="5" t="n">
        <v>239</v>
      </c>
      <c r="Q610" s="5" t="n"/>
      <c r="R610" s="5" t="n"/>
    </row>
    <row r="611">
      <c r="A611" s="2" t="inlineStr">
        <is>
          <t>EJ010124.TXT</t>
        </is>
      </c>
      <c r="B611" s="3" t="inlineStr">
        <is>
          <t>005204</t>
        </is>
      </c>
      <c r="C611" s="3" t="inlineStr">
        <is>
          <t>004171</t>
        </is>
      </c>
      <c r="D611" s="4" t="n">
        <v>45268</v>
      </c>
      <c r="E611" s="2" t="inlineStr">
        <is>
          <t>17:16</t>
        </is>
      </c>
      <c r="F611" s="5" t="n">
        <v>4185</v>
      </c>
      <c r="G611" s="5" t="n"/>
      <c r="H611" s="5" t="n"/>
      <c r="I611" s="5" t="n"/>
      <c r="J611" s="5" t="n">
        <v>837</v>
      </c>
      <c r="K611" s="5" t="n"/>
      <c r="L611" s="5" t="n"/>
      <c r="M611" s="5" t="n"/>
      <c r="N611" s="5" t="n"/>
      <c r="O611" s="5" t="n">
        <v>5022</v>
      </c>
      <c r="P611" s="5" t="n">
        <v>5022</v>
      </c>
      <c r="Q611" s="5" t="n"/>
      <c r="R611" s="5" t="n"/>
    </row>
    <row r="612">
      <c r="A612" s="2" t="inlineStr">
        <is>
          <t>EJ010124.TXT</t>
        </is>
      </c>
      <c r="B612" s="3" t="inlineStr">
        <is>
          <t>005205</t>
        </is>
      </c>
      <c r="C612" s="3" t="inlineStr">
        <is>
          <t>004172</t>
        </is>
      </c>
      <c r="D612" s="4" t="n">
        <v>45280</v>
      </c>
      <c r="E612" s="2" t="inlineStr">
        <is>
          <t>18:16</t>
        </is>
      </c>
      <c r="F612" s="5" t="n">
        <v>582.5</v>
      </c>
      <c r="G612" s="5" t="n"/>
      <c r="H612" s="5" t="n"/>
      <c r="I612" s="5" t="n"/>
      <c r="J612" s="5" t="n">
        <v>116.5</v>
      </c>
      <c r="K612" s="5" t="n"/>
      <c r="L612" s="5" t="n"/>
      <c r="M612" s="5" t="n"/>
      <c r="N612" s="5" t="n"/>
      <c r="O612" s="5" t="n">
        <v>699</v>
      </c>
      <c r="P612" s="5" t="n">
        <v>699</v>
      </c>
      <c r="Q612" s="5" t="n"/>
      <c r="R612" s="5" t="n"/>
    </row>
    <row r="613">
      <c r="A613" s="2" t="inlineStr">
        <is>
          <t>EJ010124.TXT</t>
        </is>
      </c>
      <c r="B613" s="3" t="inlineStr">
        <is>
          <t>005206</t>
        </is>
      </c>
      <c r="C613" s="3" t="inlineStr">
        <is>
          <t>004173</t>
        </is>
      </c>
      <c r="D613" s="4" t="n">
        <v>45281</v>
      </c>
      <c r="E613" s="2" t="inlineStr">
        <is>
          <t>17:33</t>
        </is>
      </c>
      <c r="F613" s="5" t="n">
        <v>822.5</v>
      </c>
      <c r="G613" s="5" t="n"/>
      <c r="H613" s="5" t="n"/>
      <c r="I613" s="5" t="n"/>
      <c r="J613" s="5" t="n">
        <v>164.5</v>
      </c>
      <c r="K613" s="5" t="n"/>
      <c r="L613" s="5" t="n"/>
      <c r="M613" s="5" t="n"/>
      <c r="N613" s="5" t="n"/>
      <c r="O613" s="5" t="n">
        <v>987</v>
      </c>
      <c r="P613" s="5" t="n"/>
      <c r="Q613" s="5" t="n">
        <v>987</v>
      </c>
      <c r="R613" s="5" t="n"/>
    </row>
    <row r="614">
      <c r="A614" s="2" t="inlineStr">
        <is>
          <t>EJ010124.TXT</t>
        </is>
      </c>
      <c r="B614" s="3" t="inlineStr">
        <is>
          <t>005207</t>
        </is>
      </c>
      <c r="C614" s="3" t="inlineStr">
        <is>
          <t>004174</t>
        </is>
      </c>
      <c r="D614" s="4" t="n">
        <v>45282</v>
      </c>
      <c r="E614" s="2" t="inlineStr">
        <is>
          <t>15:40</t>
        </is>
      </c>
      <c r="F614" s="5" t="n">
        <v>274.17</v>
      </c>
      <c r="G614" s="5" t="n"/>
      <c r="H614" s="5" t="n"/>
      <c r="I614" s="5" t="n"/>
      <c r="J614" s="5" t="n">
        <v>54.83</v>
      </c>
      <c r="K614" s="5" t="n"/>
      <c r="L614" s="5" t="n"/>
      <c r="M614" s="5" t="n"/>
      <c r="N614" s="5" t="n"/>
      <c r="O614" s="5" t="n">
        <v>329</v>
      </c>
      <c r="P614" s="5" t="n">
        <v>329</v>
      </c>
      <c r="Q614" s="5" t="n"/>
      <c r="R614" s="5" t="n"/>
    </row>
    <row r="615">
      <c r="A615" s="2" t="inlineStr">
        <is>
          <t>EJ010124.TXT</t>
        </is>
      </c>
      <c r="B615" s="3" t="inlineStr">
        <is>
          <t>005208</t>
        </is>
      </c>
      <c r="C615" s="3" t="inlineStr">
        <is>
          <t>004175</t>
        </is>
      </c>
      <c r="D615" s="4" t="n">
        <v>45282</v>
      </c>
      <c r="E615" s="2" t="inlineStr">
        <is>
          <t>15:45</t>
        </is>
      </c>
      <c r="F615" s="5" t="n">
        <v>482.5</v>
      </c>
      <c r="G615" s="5" t="n"/>
      <c r="H615" s="5" t="n"/>
      <c r="I615" s="5" t="n"/>
      <c r="J615" s="5" t="n">
        <v>96.5</v>
      </c>
      <c r="K615" s="5" t="n"/>
      <c r="L615" s="5" t="n"/>
      <c r="M615" s="5" t="n"/>
      <c r="N615" s="5" t="n"/>
      <c r="O615" s="5" t="n">
        <v>579</v>
      </c>
      <c r="P615" s="5" t="n">
        <v>579</v>
      </c>
      <c r="Q615" s="5" t="n"/>
      <c r="R615" s="5" t="n"/>
    </row>
    <row r="616">
      <c r="A616" s="2" t="inlineStr">
        <is>
          <t>EJ010124.TXT</t>
        </is>
      </c>
      <c r="B616" s="3" t="inlineStr">
        <is>
          <t>005209</t>
        </is>
      </c>
      <c r="C616" s="3" t="inlineStr">
        <is>
          <t>004176</t>
        </is>
      </c>
      <c r="D616" s="4" t="n">
        <v>45282</v>
      </c>
      <c r="E616" s="2" t="inlineStr">
        <is>
          <t>19:39</t>
        </is>
      </c>
      <c r="F616" s="5" t="n">
        <v>274.17</v>
      </c>
      <c r="G616" s="5" t="n"/>
      <c r="H616" s="5" t="n"/>
      <c r="I616" s="5" t="n"/>
      <c r="J616" s="5" t="n">
        <v>54.83</v>
      </c>
      <c r="K616" s="5" t="n"/>
      <c r="L616" s="5" t="n"/>
      <c r="M616" s="5" t="n"/>
      <c r="N616" s="5" t="n"/>
      <c r="O616" s="5" t="n">
        <v>329</v>
      </c>
      <c r="P616" s="5" t="n"/>
      <c r="Q616" s="5" t="n">
        <v>329</v>
      </c>
      <c r="R616" s="5" t="n"/>
    </row>
    <row r="617">
      <c r="A617" s="2" t="inlineStr">
        <is>
          <t>EJ010124.TXT</t>
        </is>
      </c>
      <c r="B617" s="3" t="inlineStr">
        <is>
          <t>005210</t>
        </is>
      </c>
      <c r="C617" s="3" t="inlineStr">
        <is>
          <t>004177</t>
        </is>
      </c>
      <c r="D617" s="4" t="n">
        <v>45283</v>
      </c>
      <c r="E617" s="2" t="inlineStr">
        <is>
          <t>15:39</t>
        </is>
      </c>
      <c r="F617" s="5" t="n">
        <v>274.17</v>
      </c>
      <c r="G617" s="5" t="n"/>
      <c r="H617" s="5" t="n"/>
      <c r="I617" s="5" t="n"/>
      <c r="J617" s="5" t="n">
        <v>54.83</v>
      </c>
      <c r="K617" s="5" t="n"/>
      <c r="L617" s="5" t="n"/>
      <c r="M617" s="5" t="n"/>
      <c r="N617" s="5" t="n"/>
      <c r="O617" s="5" t="n">
        <v>329</v>
      </c>
      <c r="P617" s="5" t="n"/>
      <c r="Q617" s="5" t="n">
        <v>329</v>
      </c>
      <c r="R617" s="5" t="n"/>
    </row>
    <row r="618">
      <c r="A618" s="2" t="inlineStr">
        <is>
          <t>EJ010124.TXT</t>
        </is>
      </c>
      <c r="B618" s="3" t="inlineStr">
        <is>
          <t>005211</t>
        </is>
      </c>
      <c r="C618" s="3" t="inlineStr">
        <is>
          <t>004178</t>
        </is>
      </c>
      <c r="D618" s="4" t="n">
        <v>45283</v>
      </c>
      <c r="E618" s="2" t="inlineStr">
        <is>
          <t>16:10</t>
        </is>
      </c>
      <c r="F618" s="5" t="n">
        <v>822.5</v>
      </c>
      <c r="G618" s="5" t="n"/>
      <c r="H618" s="5" t="n"/>
      <c r="I618" s="5" t="n"/>
      <c r="J618" s="5" t="n">
        <v>164.5</v>
      </c>
      <c r="K618" s="5" t="n"/>
      <c r="L618" s="5" t="n"/>
      <c r="M618" s="5" t="n"/>
      <c r="N618" s="5" t="n"/>
      <c r="O618" s="5" t="n">
        <v>987</v>
      </c>
      <c r="P618" s="5" t="n">
        <v>987</v>
      </c>
      <c r="Q618" s="5" t="n"/>
      <c r="R618" s="5" t="n"/>
    </row>
    <row r="619">
      <c r="A619" s="2" t="inlineStr">
        <is>
          <t>EJ010124.TXT</t>
        </is>
      </c>
      <c r="B619" s="3" t="inlineStr">
        <is>
          <t>005212</t>
        </is>
      </c>
      <c r="C619" s="3" t="inlineStr">
        <is>
          <t>004179</t>
        </is>
      </c>
      <c r="D619" s="4" t="n">
        <v>45283</v>
      </c>
      <c r="E619" s="2" t="inlineStr">
        <is>
          <t>16:29</t>
        </is>
      </c>
      <c r="F619" s="5" t="n">
        <v>548.33</v>
      </c>
      <c r="G619" s="5" t="n"/>
      <c r="H619" s="5" t="n"/>
      <c r="I619" s="5" t="n"/>
      <c r="J619" s="5" t="n">
        <v>109.67</v>
      </c>
      <c r="K619" s="5" t="n"/>
      <c r="L619" s="5" t="n"/>
      <c r="M619" s="5" t="n"/>
      <c r="N619" s="5" t="n"/>
      <c r="O619" s="5" t="n">
        <v>658</v>
      </c>
      <c r="P619" s="5" t="n">
        <v>658</v>
      </c>
      <c r="Q619" s="5" t="n"/>
      <c r="R619" s="5" t="n"/>
    </row>
    <row r="620">
      <c r="A620" s="2" t="inlineStr">
        <is>
          <t>EJ010124.TXT</t>
        </is>
      </c>
      <c r="B620" s="3" t="inlineStr">
        <is>
          <t>005213</t>
        </is>
      </c>
      <c r="C620" s="3" t="inlineStr">
        <is>
          <t>004180</t>
        </is>
      </c>
      <c r="D620" s="4" t="n">
        <v>45283</v>
      </c>
      <c r="E620" s="2" t="inlineStr">
        <is>
          <t>18:30</t>
        </is>
      </c>
      <c r="F620" s="5" t="n">
        <v>548.33</v>
      </c>
      <c r="G620" s="5" t="n"/>
      <c r="H620" s="5" t="n"/>
      <c r="I620" s="5" t="n"/>
      <c r="J620" s="5" t="n">
        <v>109.67</v>
      </c>
      <c r="K620" s="5" t="n"/>
      <c r="L620" s="5" t="n"/>
      <c r="M620" s="5" t="n"/>
      <c r="N620" s="5" t="n"/>
      <c r="O620" s="5" t="n">
        <v>658</v>
      </c>
      <c r="P620" s="5" t="n"/>
      <c r="Q620" s="5" t="n">
        <v>658</v>
      </c>
      <c r="R620" s="5" t="n"/>
    </row>
    <row r="621">
      <c r="A621" s="2" t="inlineStr">
        <is>
          <t>EJ010124.TXT</t>
        </is>
      </c>
      <c r="B621" s="3" t="inlineStr">
        <is>
          <t>005214</t>
        </is>
      </c>
      <c r="C621" s="3" t="inlineStr">
        <is>
          <t>004181</t>
        </is>
      </c>
      <c r="D621" s="4" t="n">
        <v>45286</v>
      </c>
      <c r="E621" s="2" t="inlineStr">
        <is>
          <t>11:49</t>
        </is>
      </c>
      <c r="F621" s="5" t="n">
        <v>797.5</v>
      </c>
      <c r="G621" s="5" t="n"/>
      <c r="H621" s="5" t="n"/>
      <c r="I621" s="5" t="n"/>
      <c r="J621" s="5" t="n">
        <v>159.5</v>
      </c>
      <c r="K621" s="5" t="n"/>
      <c r="L621" s="5" t="n"/>
      <c r="M621" s="5" t="n"/>
      <c r="N621" s="5" t="n"/>
      <c r="O621" s="5" t="n">
        <v>957</v>
      </c>
      <c r="P621" s="5" t="n"/>
      <c r="Q621" s="5" t="n">
        <v>957</v>
      </c>
      <c r="R621" s="5" t="n"/>
    </row>
    <row r="622">
      <c r="A622" s="2" t="inlineStr">
        <is>
          <t>EJ010124.TXT</t>
        </is>
      </c>
      <c r="B622" s="3" t="inlineStr">
        <is>
          <t>005215</t>
        </is>
      </c>
      <c r="C622" s="3" t="inlineStr">
        <is>
          <t>004182</t>
        </is>
      </c>
      <c r="D622" s="4" t="n">
        <v>45286</v>
      </c>
      <c r="E622" s="2" t="inlineStr">
        <is>
          <t>11:50</t>
        </is>
      </c>
      <c r="F622" s="5" t="n">
        <v>815.83</v>
      </c>
      <c r="G622" s="5" t="n"/>
      <c r="H622" s="5" t="n"/>
      <c r="I622" s="5" t="n"/>
      <c r="J622" s="5" t="n">
        <v>163.17</v>
      </c>
      <c r="K622" s="5" t="n"/>
      <c r="L622" s="5" t="n"/>
      <c r="M622" s="5" t="n"/>
      <c r="N622" s="5" t="n"/>
      <c r="O622" s="5" t="n">
        <v>979</v>
      </c>
      <c r="P622" s="5" t="n"/>
      <c r="Q622" s="5" t="n">
        <v>979</v>
      </c>
      <c r="R622" s="5" t="n"/>
    </row>
    <row r="623">
      <c r="A623" s="2" t="inlineStr">
        <is>
          <t>EJ010124.TXT</t>
        </is>
      </c>
      <c r="B623" s="3" t="inlineStr">
        <is>
          <t>005216</t>
        </is>
      </c>
      <c r="C623" s="3" t="inlineStr">
        <is>
          <t>004183</t>
        </is>
      </c>
      <c r="D623" s="4" t="n">
        <v>45286</v>
      </c>
      <c r="E623" s="2" t="inlineStr">
        <is>
          <t>11:50</t>
        </is>
      </c>
      <c r="F623" s="5" t="n">
        <v>614.17</v>
      </c>
      <c r="G623" s="5" t="n"/>
      <c r="H623" s="5" t="n"/>
      <c r="I623" s="5" t="n"/>
      <c r="J623" s="5" t="n">
        <v>122.83</v>
      </c>
      <c r="K623" s="5" t="n"/>
      <c r="L623" s="5" t="n"/>
      <c r="M623" s="5" t="n"/>
      <c r="N623" s="5" t="n"/>
      <c r="O623" s="5" t="n">
        <v>737</v>
      </c>
      <c r="P623" s="5" t="n"/>
      <c r="Q623" s="5" t="n">
        <v>737</v>
      </c>
      <c r="R623" s="5" t="n"/>
    </row>
    <row r="624">
      <c r="A624" s="2" t="inlineStr">
        <is>
          <t>EJ010124.TXT</t>
        </is>
      </c>
      <c r="B624" s="3" t="inlineStr">
        <is>
          <t>005217</t>
        </is>
      </c>
      <c r="C624" s="3" t="inlineStr">
        <is>
          <t>004184</t>
        </is>
      </c>
      <c r="D624" s="4" t="n">
        <v>45286</v>
      </c>
      <c r="E624" s="2" t="inlineStr">
        <is>
          <t>15:48</t>
        </is>
      </c>
      <c r="F624" s="5" t="n">
        <v>274.17</v>
      </c>
      <c r="G624" s="5" t="n"/>
      <c r="H624" s="5" t="n"/>
      <c r="I624" s="5" t="n"/>
      <c r="J624" s="5" t="n">
        <v>54.83</v>
      </c>
      <c r="K624" s="5" t="n"/>
      <c r="L624" s="5" t="n"/>
      <c r="M624" s="5" t="n"/>
      <c r="N624" s="5" t="n"/>
      <c r="O624" s="5" t="n">
        <v>329</v>
      </c>
      <c r="P624" s="5" t="n">
        <v>329</v>
      </c>
      <c r="Q624" s="5" t="n"/>
      <c r="R624" s="5" t="n"/>
    </row>
    <row r="625">
      <c r="A625" s="2" t="inlineStr">
        <is>
          <t>EJ010124.TXT</t>
        </is>
      </c>
      <c r="B625" s="3" t="inlineStr">
        <is>
          <t>005218</t>
        </is>
      </c>
      <c r="C625" s="3" t="inlineStr">
        <is>
          <t>004185</t>
        </is>
      </c>
      <c r="D625" s="4" t="n">
        <v>45286</v>
      </c>
      <c r="E625" s="2" t="inlineStr">
        <is>
          <t>15:49</t>
        </is>
      </c>
      <c r="F625" s="5" t="n">
        <v>274.17</v>
      </c>
      <c r="G625" s="5" t="n"/>
      <c r="H625" s="5" t="n"/>
      <c r="I625" s="5" t="n"/>
      <c r="J625" s="5" t="n">
        <v>54.83</v>
      </c>
      <c r="K625" s="5" t="n"/>
      <c r="L625" s="5" t="n"/>
      <c r="M625" s="5" t="n"/>
      <c r="N625" s="5" t="n"/>
      <c r="O625" s="5" t="n">
        <v>329</v>
      </c>
      <c r="P625" s="5" t="n">
        <v>329</v>
      </c>
      <c r="Q625" s="5" t="n"/>
      <c r="R625" s="5" t="n"/>
    </row>
    <row r="626">
      <c r="A626" s="2" t="inlineStr">
        <is>
          <t>EJ010124.TXT</t>
        </is>
      </c>
      <c r="B626" s="3" t="inlineStr">
        <is>
          <t>005219</t>
        </is>
      </c>
      <c r="C626" s="3" t="inlineStr">
        <is>
          <t>004186</t>
        </is>
      </c>
      <c r="D626" s="4" t="n">
        <v>45286</v>
      </c>
      <c r="E626" s="2" t="inlineStr">
        <is>
          <t>18:05</t>
        </is>
      </c>
      <c r="F626" s="5" t="n">
        <v>531.67</v>
      </c>
      <c r="G626" s="5" t="n"/>
      <c r="H626" s="5" t="n"/>
      <c r="I626" s="5" t="n"/>
      <c r="J626" s="5" t="n">
        <v>106.33</v>
      </c>
      <c r="K626" s="5" t="n"/>
      <c r="L626" s="5" t="n"/>
      <c r="M626" s="5" t="n"/>
      <c r="N626" s="5" t="n"/>
      <c r="O626" s="5" t="n">
        <v>638</v>
      </c>
      <c r="P626" s="5" t="n">
        <v>638</v>
      </c>
      <c r="Q626" s="5" t="n"/>
      <c r="R626" s="5" t="n"/>
    </row>
    <row r="627">
      <c r="A627" s="2" t="inlineStr">
        <is>
          <t>EJ010124.TXT</t>
        </is>
      </c>
      <c r="B627" s="3" t="inlineStr">
        <is>
          <t>005220</t>
        </is>
      </c>
      <c r="C627" s="3" t="inlineStr">
        <is>
          <t>004187</t>
        </is>
      </c>
      <c r="D627" s="4" t="n">
        <v>45287</v>
      </c>
      <c r="E627" s="2" t="inlineStr">
        <is>
          <t>15:44</t>
        </is>
      </c>
      <c r="F627" s="5" t="n">
        <v>398.33</v>
      </c>
      <c r="G627" s="5" t="n"/>
      <c r="H627" s="5" t="n"/>
      <c r="I627" s="5" t="n"/>
      <c r="J627" s="5" t="n">
        <v>79.67</v>
      </c>
      <c r="K627" s="5" t="n"/>
      <c r="L627" s="5" t="n"/>
      <c r="M627" s="5" t="n"/>
      <c r="N627" s="5" t="n"/>
      <c r="O627" s="5" t="n">
        <v>478</v>
      </c>
      <c r="P627" s="5" t="n"/>
      <c r="Q627" s="5" t="n">
        <v>478</v>
      </c>
      <c r="R627" s="5" t="n"/>
    </row>
    <row r="628">
      <c r="A628" s="2" t="inlineStr">
        <is>
          <t>EJ010124.TXT</t>
        </is>
      </c>
      <c r="B628" s="3" t="inlineStr">
        <is>
          <t>005221</t>
        </is>
      </c>
      <c r="C628" s="3" t="inlineStr">
        <is>
          <t>004188</t>
        </is>
      </c>
      <c r="D628" s="4" t="n">
        <v>45288</v>
      </c>
      <c r="E628" s="2" t="inlineStr">
        <is>
          <t>16:46</t>
        </is>
      </c>
      <c r="F628" s="5" t="n">
        <v>274.17</v>
      </c>
      <c r="G628" s="5" t="n"/>
      <c r="H628" s="5" t="n"/>
      <c r="I628" s="5" t="n"/>
      <c r="J628" s="5" t="n">
        <v>54.83</v>
      </c>
      <c r="K628" s="5" t="n"/>
      <c r="L628" s="5" t="n"/>
      <c r="M628" s="5" t="n"/>
      <c r="N628" s="5" t="n"/>
      <c r="O628" s="5" t="n">
        <v>329</v>
      </c>
      <c r="P628" s="5" t="n"/>
      <c r="Q628" s="5" t="n">
        <v>329</v>
      </c>
      <c r="R628" s="5" t="n"/>
    </row>
    <row r="629">
      <c r="A629" s="2" t="inlineStr">
        <is>
          <t>EJ010124.TXT</t>
        </is>
      </c>
      <c r="B629" s="3" t="inlineStr">
        <is>
          <t>005222</t>
        </is>
      </c>
      <c r="C629" s="3" t="inlineStr">
        <is>
          <t>004189</t>
        </is>
      </c>
      <c r="D629" s="4" t="n">
        <v>45290</v>
      </c>
      <c r="E629" s="2" t="inlineStr">
        <is>
          <t>15:47</t>
        </is>
      </c>
      <c r="F629" s="5" t="n">
        <v>548.33</v>
      </c>
      <c r="G629" s="5" t="n"/>
      <c r="H629" s="5" t="n"/>
      <c r="I629" s="5" t="n"/>
      <c r="J629" s="5" t="n">
        <v>109.67</v>
      </c>
      <c r="K629" s="5" t="n"/>
      <c r="L629" s="5" t="n"/>
      <c r="M629" s="5" t="n"/>
      <c r="N629" s="5" t="n"/>
      <c r="O629" s="5" t="n">
        <v>658</v>
      </c>
      <c r="P629" s="5" t="n"/>
      <c r="Q629" s="5" t="n">
        <v>658</v>
      </c>
      <c r="R629" s="5" t="n"/>
    </row>
    <row r="630">
      <c r="A630" s="2" t="inlineStr">
        <is>
          <t>EJ020224.TXT</t>
        </is>
      </c>
      <c r="B630" s="3" t="inlineStr">
        <is>
          <t>005230</t>
        </is>
      </c>
      <c r="C630" s="3" t="inlineStr">
        <is>
          <t>004190</t>
        </is>
      </c>
      <c r="D630" s="4" t="n">
        <v>45295</v>
      </c>
      <c r="E630" s="2" t="inlineStr">
        <is>
          <t>14:36</t>
        </is>
      </c>
      <c r="F630" s="5" t="n">
        <v>797.5</v>
      </c>
      <c r="G630" s="5" t="n"/>
      <c r="H630" s="5" t="n"/>
      <c r="I630" s="5" t="n"/>
      <c r="J630" s="5" t="n">
        <v>159.5</v>
      </c>
      <c r="K630" s="5" t="n"/>
      <c r="L630" s="5" t="n"/>
      <c r="M630" s="5" t="n"/>
      <c r="N630" s="5" t="n"/>
      <c r="O630" s="5" t="n">
        <v>957</v>
      </c>
      <c r="P630" s="5" t="n"/>
      <c r="Q630" s="5" t="n">
        <v>957</v>
      </c>
      <c r="R630" s="5" t="n"/>
    </row>
    <row r="631">
      <c r="A631" s="2" t="inlineStr">
        <is>
          <t>EJ020224.TXT</t>
        </is>
      </c>
      <c r="B631" s="3" t="inlineStr">
        <is>
          <t>005231</t>
        </is>
      </c>
      <c r="C631" s="3" t="inlineStr">
        <is>
          <t>004191</t>
        </is>
      </c>
      <c r="D631" s="4" t="n">
        <v>45295</v>
      </c>
      <c r="E631" s="2" t="inlineStr">
        <is>
          <t>14:37</t>
        </is>
      </c>
      <c r="F631" s="5" t="n">
        <v>531.67</v>
      </c>
      <c r="G631" s="5" t="n"/>
      <c r="H631" s="5" t="n"/>
      <c r="I631" s="5" t="n"/>
      <c r="J631" s="5" t="n">
        <v>106.33</v>
      </c>
      <c r="K631" s="5" t="n"/>
      <c r="L631" s="5" t="n"/>
      <c r="M631" s="5" t="n"/>
      <c r="N631" s="5" t="n"/>
      <c r="O631" s="5" t="n">
        <v>638</v>
      </c>
      <c r="P631" s="5" t="n"/>
      <c r="Q631" s="5" t="n">
        <v>638</v>
      </c>
      <c r="R631" s="5" t="n"/>
    </row>
    <row r="632">
      <c r="A632" s="2" t="inlineStr">
        <is>
          <t>EJ020224.TXT</t>
        </is>
      </c>
      <c r="B632" s="3" t="inlineStr">
        <is>
          <t>005232</t>
        </is>
      </c>
      <c r="C632" s="3" t="inlineStr">
        <is>
          <t>004192</t>
        </is>
      </c>
      <c r="D632" s="4" t="n">
        <v>45295</v>
      </c>
      <c r="E632" s="2" t="inlineStr">
        <is>
          <t>14:37</t>
        </is>
      </c>
      <c r="F632" s="5" t="n">
        <v>265.83</v>
      </c>
      <c r="G632" s="5" t="n"/>
      <c r="H632" s="5" t="n"/>
      <c r="I632" s="5" t="n"/>
      <c r="J632" s="5" t="n">
        <v>53.17</v>
      </c>
      <c r="K632" s="5" t="n"/>
      <c r="L632" s="5" t="n"/>
      <c r="M632" s="5" t="n"/>
      <c r="N632" s="5" t="n"/>
      <c r="O632" s="5" t="n">
        <v>319</v>
      </c>
      <c r="P632" s="5" t="n"/>
      <c r="Q632" s="5" t="n">
        <v>319</v>
      </c>
      <c r="R632" s="5" t="n"/>
    </row>
    <row r="633">
      <c r="A633" s="2" t="inlineStr">
        <is>
          <t>EJ020224.TXT</t>
        </is>
      </c>
      <c r="B633" s="3" t="inlineStr">
        <is>
          <t>005233</t>
        </is>
      </c>
      <c r="C633" s="3" t="inlineStr">
        <is>
          <t>004193</t>
        </is>
      </c>
      <c r="D633" s="4" t="n">
        <v>45295</v>
      </c>
      <c r="E633" s="2" t="inlineStr">
        <is>
          <t>14:37</t>
        </is>
      </c>
      <c r="F633" s="5" t="n">
        <v>797.5</v>
      </c>
      <c r="G633" s="5" t="n"/>
      <c r="H633" s="5" t="n"/>
      <c r="I633" s="5" t="n"/>
      <c r="J633" s="5" t="n">
        <v>159.5</v>
      </c>
      <c r="K633" s="5" t="n"/>
      <c r="L633" s="5" t="n"/>
      <c r="M633" s="5" t="n"/>
      <c r="N633" s="5" t="n"/>
      <c r="O633" s="5" t="n">
        <v>957</v>
      </c>
      <c r="P633" s="5" t="n"/>
      <c r="Q633" s="5" t="n">
        <v>957</v>
      </c>
      <c r="R633" s="5" t="n"/>
    </row>
    <row r="634">
      <c r="A634" s="2" t="inlineStr">
        <is>
          <t>EJ020224.TXT</t>
        </is>
      </c>
      <c r="B634" s="3" t="inlineStr">
        <is>
          <t>005234</t>
        </is>
      </c>
      <c r="C634" s="3" t="inlineStr">
        <is>
          <t>004194</t>
        </is>
      </c>
      <c r="D634" s="4" t="n">
        <v>45295</v>
      </c>
      <c r="E634" s="2" t="inlineStr">
        <is>
          <t>14:37</t>
        </is>
      </c>
      <c r="F634" s="5" t="n">
        <v>797.5</v>
      </c>
      <c r="G634" s="5" t="n"/>
      <c r="H634" s="5" t="n"/>
      <c r="I634" s="5" t="n"/>
      <c r="J634" s="5" t="n">
        <v>159.5</v>
      </c>
      <c r="K634" s="5" t="n"/>
      <c r="L634" s="5" t="n"/>
      <c r="M634" s="5" t="n"/>
      <c r="N634" s="5" t="n"/>
      <c r="O634" s="5" t="n">
        <v>957</v>
      </c>
      <c r="P634" s="5" t="n"/>
      <c r="Q634" s="5" t="n">
        <v>957</v>
      </c>
      <c r="R634" s="5" t="n"/>
    </row>
    <row r="635">
      <c r="A635" s="2" t="inlineStr">
        <is>
          <t>EJ020224.TXT</t>
        </is>
      </c>
      <c r="B635" s="3" t="inlineStr">
        <is>
          <t>005235</t>
        </is>
      </c>
      <c r="C635" s="3" t="inlineStr">
        <is>
          <t>004195</t>
        </is>
      </c>
      <c r="D635" s="4" t="n">
        <v>45295</v>
      </c>
      <c r="E635" s="2" t="inlineStr">
        <is>
          <t>14:46</t>
        </is>
      </c>
      <c r="F635" s="5" t="n">
        <v>548.33</v>
      </c>
      <c r="G635" s="5" t="n"/>
      <c r="H635" s="5" t="n"/>
      <c r="I635" s="5" t="n"/>
      <c r="J635" s="5" t="n">
        <v>109.67</v>
      </c>
      <c r="K635" s="5" t="n"/>
      <c r="L635" s="5" t="n"/>
      <c r="M635" s="5" t="n"/>
      <c r="N635" s="5" t="n"/>
      <c r="O635" s="5" t="n">
        <v>658</v>
      </c>
      <c r="P635" s="5" t="n"/>
      <c r="Q635" s="5" t="n">
        <v>658</v>
      </c>
      <c r="R635" s="5" t="n"/>
    </row>
    <row r="636">
      <c r="A636" s="2" t="inlineStr">
        <is>
          <t>EJ020224.TXT</t>
        </is>
      </c>
      <c r="B636" s="3" t="inlineStr">
        <is>
          <t>005236</t>
        </is>
      </c>
      <c r="C636" s="3" t="inlineStr">
        <is>
          <t>004196</t>
        </is>
      </c>
      <c r="D636" s="4" t="n">
        <v>45295</v>
      </c>
      <c r="E636" s="2" t="inlineStr">
        <is>
          <t>15:25</t>
        </is>
      </c>
      <c r="F636" s="5" t="n">
        <v>548.33</v>
      </c>
      <c r="G636" s="5" t="n"/>
      <c r="H636" s="5" t="n"/>
      <c r="I636" s="5" t="n"/>
      <c r="J636" s="5" t="n">
        <v>109.67</v>
      </c>
      <c r="K636" s="5" t="n"/>
      <c r="L636" s="5" t="n"/>
      <c r="M636" s="5" t="n"/>
      <c r="N636" s="5" t="n"/>
      <c r="O636" s="5" t="n">
        <v>658</v>
      </c>
      <c r="P636" s="5" t="n"/>
      <c r="Q636" s="5" t="n">
        <v>658</v>
      </c>
      <c r="R636" s="5" t="n"/>
    </row>
    <row r="637">
      <c r="A637" s="2" t="inlineStr">
        <is>
          <t>EJ020224.TXT</t>
        </is>
      </c>
      <c r="B637" s="3" t="inlineStr">
        <is>
          <t>005237</t>
        </is>
      </c>
      <c r="C637" s="3" t="inlineStr">
        <is>
          <t>004197</t>
        </is>
      </c>
      <c r="D637" s="4" t="n">
        <v>45301</v>
      </c>
      <c r="E637" s="2" t="inlineStr">
        <is>
          <t>15:41</t>
        </is>
      </c>
      <c r="F637" s="5" t="n">
        <v>548.33</v>
      </c>
      <c r="G637" s="5" t="n"/>
      <c r="H637" s="5" t="n"/>
      <c r="I637" s="5" t="n"/>
      <c r="J637" s="5" t="n">
        <v>109.67</v>
      </c>
      <c r="K637" s="5" t="n"/>
      <c r="L637" s="5" t="n"/>
      <c r="M637" s="5" t="n"/>
      <c r="N637" s="5" t="n"/>
      <c r="O637" s="5" t="n">
        <v>658</v>
      </c>
      <c r="P637" s="5" t="n"/>
      <c r="Q637" s="5" t="n">
        <v>658</v>
      </c>
      <c r="R637" s="5" t="n"/>
    </row>
    <row r="638">
      <c r="A638" s="2" t="inlineStr">
        <is>
          <t>EJ020224.TXT</t>
        </is>
      </c>
      <c r="B638" s="3" t="inlineStr">
        <is>
          <t>005238</t>
        </is>
      </c>
      <c r="C638" s="3" t="inlineStr">
        <is>
          <t>004198</t>
        </is>
      </c>
      <c r="D638" s="4" t="n">
        <v>45301</v>
      </c>
      <c r="E638" s="2" t="inlineStr">
        <is>
          <t>17:19</t>
        </is>
      </c>
      <c r="F638" s="5" t="n">
        <v>274.17</v>
      </c>
      <c r="G638" s="5" t="n"/>
      <c r="H638" s="5" t="n"/>
      <c r="I638" s="5" t="n"/>
      <c r="J638" s="5" t="n">
        <v>54.83</v>
      </c>
      <c r="K638" s="5" t="n"/>
      <c r="L638" s="5" t="n"/>
      <c r="M638" s="5" t="n"/>
      <c r="N638" s="5" t="n"/>
      <c r="O638" s="5" t="n">
        <v>329</v>
      </c>
      <c r="P638" s="5" t="n"/>
      <c r="Q638" s="5" t="n">
        <v>329</v>
      </c>
      <c r="R638" s="5" t="n"/>
    </row>
    <row r="639">
      <c r="A639" s="2" t="inlineStr">
        <is>
          <t>EJ020224.TXT</t>
        </is>
      </c>
      <c r="B639" s="3" t="inlineStr">
        <is>
          <t>005239</t>
        </is>
      </c>
      <c r="C639" s="3" t="inlineStr">
        <is>
          <t>004199</t>
        </is>
      </c>
      <c r="D639" s="4" t="n">
        <v>45302</v>
      </c>
      <c r="E639" s="2" t="inlineStr">
        <is>
          <t>11:53</t>
        </is>
      </c>
      <c r="F639" s="5" t="n">
        <v>274.17</v>
      </c>
      <c r="G639" s="5" t="n"/>
      <c r="H639" s="5" t="n"/>
      <c r="I639" s="5" t="n"/>
      <c r="J639" s="5" t="n">
        <v>54.83</v>
      </c>
      <c r="K639" s="5" t="n"/>
      <c r="L639" s="5" t="n"/>
      <c r="M639" s="5" t="n"/>
      <c r="N639" s="5" t="n"/>
      <c r="O639" s="5" t="n">
        <v>329</v>
      </c>
      <c r="P639" s="5" t="n">
        <v>329</v>
      </c>
      <c r="Q639" s="5" t="n"/>
      <c r="R639" s="5" t="n"/>
    </row>
    <row r="640">
      <c r="A640" s="2" t="inlineStr">
        <is>
          <t>EJ020224.TXT</t>
        </is>
      </c>
      <c r="B640" s="3" t="inlineStr">
        <is>
          <t>005240</t>
        </is>
      </c>
      <c r="C640" s="3" t="inlineStr">
        <is>
          <t>004200</t>
        </is>
      </c>
      <c r="D640" s="4" t="n">
        <v>45304</v>
      </c>
      <c r="E640" s="2" t="inlineStr">
        <is>
          <t>15:49</t>
        </is>
      </c>
      <c r="F640" s="5" t="n">
        <v>274.17</v>
      </c>
      <c r="G640" s="5" t="n"/>
      <c r="H640" s="5" t="n"/>
      <c r="I640" s="5" t="n"/>
      <c r="J640" s="5" t="n">
        <v>54.83</v>
      </c>
      <c r="K640" s="5" t="n"/>
      <c r="L640" s="5" t="n"/>
      <c r="M640" s="5" t="n"/>
      <c r="N640" s="5" t="n"/>
      <c r="O640" s="5" t="n">
        <v>329</v>
      </c>
      <c r="P640" s="5" t="n"/>
      <c r="Q640" s="5" t="n">
        <v>329</v>
      </c>
      <c r="R640" s="5" t="n"/>
    </row>
    <row r="641">
      <c r="A641" s="2" t="inlineStr">
        <is>
          <t>EJ020224.TXT</t>
        </is>
      </c>
      <c r="B641" s="3" t="inlineStr">
        <is>
          <t>005241</t>
        </is>
      </c>
      <c r="C641" s="3" t="inlineStr">
        <is>
          <t>004201</t>
        </is>
      </c>
      <c r="D641" s="4" t="n">
        <v>45304</v>
      </c>
      <c r="E641" s="2" t="inlineStr">
        <is>
          <t>16:11</t>
        </is>
      </c>
      <c r="F641" s="5" t="n">
        <v>856.67</v>
      </c>
      <c r="G641" s="5" t="n"/>
      <c r="H641" s="5" t="n"/>
      <c r="I641" s="5" t="n"/>
      <c r="J641" s="5" t="n">
        <v>171.33</v>
      </c>
      <c r="K641" s="5" t="n"/>
      <c r="L641" s="5" t="n"/>
      <c r="M641" s="5" t="n"/>
      <c r="N641" s="5" t="n"/>
      <c r="O641" s="5" t="n">
        <v>1028</v>
      </c>
      <c r="P641" s="5" t="n">
        <v>1028</v>
      </c>
      <c r="Q641" s="5" t="n"/>
      <c r="R641" s="5" t="n"/>
    </row>
    <row r="642">
      <c r="A642" s="2" t="inlineStr">
        <is>
          <t>EJ020224.TXT</t>
        </is>
      </c>
      <c r="B642" s="3" t="inlineStr">
        <is>
          <t>005242</t>
        </is>
      </c>
      <c r="C642" s="3" t="inlineStr">
        <is>
          <t>004202</t>
        </is>
      </c>
      <c r="D642" s="4" t="n">
        <v>45304</v>
      </c>
      <c r="E642" s="2" t="inlineStr">
        <is>
          <t>16:14</t>
        </is>
      </c>
      <c r="F642" s="5" t="n">
        <v>473.33</v>
      </c>
      <c r="G642" s="5" t="n"/>
      <c r="H642" s="5" t="n"/>
      <c r="I642" s="5" t="n"/>
      <c r="J642" s="5" t="n">
        <v>94.67</v>
      </c>
      <c r="K642" s="5" t="n"/>
      <c r="L642" s="5" t="n"/>
      <c r="M642" s="5" t="n"/>
      <c r="N642" s="5" t="n"/>
      <c r="O642" s="5" t="n">
        <v>568</v>
      </c>
      <c r="P642" s="5" t="n"/>
      <c r="Q642" s="5" t="n">
        <v>568</v>
      </c>
      <c r="R642" s="5" t="n"/>
    </row>
    <row r="643">
      <c r="A643" s="2" t="inlineStr">
        <is>
          <t>EJ020224.TXT</t>
        </is>
      </c>
      <c r="B643" s="3" t="inlineStr">
        <is>
          <t>005243</t>
        </is>
      </c>
      <c r="C643" s="3" t="inlineStr">
        <is>
          <t>004203</t>
        </is>
      </c>
      <c r="D643" s="4" t="n">
        <v>45304</v>
      </c>
      <c r="E643" s="2" t="inlineStr">
        <is>
          <t>16:17</t>
        </is>
      </c>
      <c r="F643" s="5" t="n">
        <v>733.33</v>
      </c>
      <c r="G643" s="5" t="n"/>
      <c r="H643" s="5" t="n"/>
      <c r="I643" s="5" t="n"/>
      <c r="J643" s="5" t="n">
        <v>146.67</v>
      </c>
      <c r="K643" s="5" t="n"/>
      <c r="L643" s="5" t="n"/>
      <c r="M643" s="5" t="n"/>
      <c r="N643" s="5" t="n"/>
      <c r="O643" s="5" t="n">
        <v>880</v>
      </c>
      <c r="P643" s="5" t="n"/>
      <c r="Q643" s="5" t="n">
        <v>880</v>
      </c>
      <c r="R643" s="5" t="n"/>
    </row>
    <row r="644">
      <c r="A644" s="2" t="inlineStr">
        <is>
          <t>EJ020224.TXT</t>
        </is>
      </c>
      <c r="B644" s="3" t="inlineStr">
        <is>
          <t>005244</t>
        </is>
      </c>
      <c r="C644" s="3" t="inlineStr">
        <is>
          <t>004204</t>
        </is>
      </c>
      <c r="D644" s="4" t="n">
        <v>45307</v>
      </c>
      <c r="E644" s="2" t="inlineStr">
        <is>
          <t>12:36</t>
        </is>
      </c>
      <c r="F644" s="5" t="n">
        <v>274.17</v>
      </c>
      <c r="G644" s="5" t="n"/>
      <c r="H644" s="5" t="n"/>
      <c r="I644" s="5" t="n"/>
      <c r="J644" s="5" t="n">
        <v>54.83</v>
      </c>
      <c r="K644" s="5" t="n"/>
      <c r="L644" s="5" t="n"/>
      <c r="M644" s="5" t="n"/>
      <c r="N644" s="5" t="n"/>
      <c r="O644" s="5" t="n">
        <v>329</v>
      </c>
      <c r="P644" s="5" t="n"/>
      <c r="Q644" s="5" t="n">
        <v>329</v>
      </c>
      <c r="R644" s="5" t="n"/>
    </row>
    <row r="645">
      <c r="A645" s="2" t="inlineStr">
        <is>
          <t>EJ020224.TXT</t>
        </is>
      </c>
      <c r="B645" s="3" t="inlineStr">
        <is>
          <t>005245</t>
        </is>
      </c>
      <c r="C645" s="3" t="inlineStr">
        <is>
          <t>004205</t>
        </is>
      </c>
      <c r="D645" s="4" t="n">
        <v>45307</v>
      </c>
      <c r="E645" s="2" t="inlineStr">
        <is>
          <t>14:34</t>
        </is>
      </c>
      <c r="F645" s="5" t="n">
        <v>274.17</v>
      </c>
      <c r="G645" s="5" t="n"/>
      <c r="H645" s="5" t="n"/>
      <c r="I645" s="5" t="n"/>
      <c r="J645" s="5" t="n">
        <v>54.83</v>
      </c>
      <c r="K645" s="5" t="n"/>
      <c r="L645" s="5" t="n"/>
      <c r="M645" s="5" t="n"/>
      <c r="N645" s="5" t="n"/>
      <c r="O645" s="5" t="n">
        <v>329</v>
      </c>
      <c r="P645" s="5" t="n">
        <v>329</v>
      </c>
      <c r="Q645" s="5" t="n"/>
      <c r="R645" s="5" t="n"/>
    </row>
    <row r="646">
      <c r="A646" s="2" t="inlineStr">
        <is>
          <t>EJ020224.TXT</t>
        </is>
      </c>
      <c r="B646" s="3" t="inlineStr">
        <is>
          <t>005246</t>
        </is>
      </c>
      <c r="C646" s="3" t="inlineStr">
        <is>
          <t>004206</t>
        </is>
      </c>
      <c r="D646" s="4" t="n">
        <v>45311</v>
      </c>
      <c r="E646" s="2" t="inlineStr">
        <is>
          <t>16:54</t>
        </is>
      </c>
      <c r="F646" s="5" t="n">
        <v>548.33</v>
      </c>
      <c r="G646" s="5" t="n"/>
      <c r="H646" s="5" t="n"/>
      <c r="I646" s="5" t="n"/>
      <c r="J646" s="5" t="n">
        <v>109.67</v>
      </c>
      <c r="K646" s="5" t="n"/>
      <c r="L646" s="5" t="n"/>
      <c r="M646" s="5" t="n"/>
      <c r="N646" s="5" t="n"/>
      <c r="O646" s="5" t="n">
        <v>658</v>
      </c>
      <c r="P646" s="5" t="n"/>
      <c r="Q646" s="5" t="n">
        <v>658</v>
      </c>
      <c r="R646" s="5" t="n"/>
    </row>
    <row r="647">
      <c r="A647" s="2" t="inlineStr">
        <is>
          <t>EJ020224.TXT</t>
        </is>
      </c>
      <c r="B647" s="3" t="inlineStr">
        <is>
          <t>005247</t>
        </is>
      </c>
      <c r="C647" s="3" t="inlineStr">
        <is>
          <t>004207</t>
        </is>
      </c>
      <c r="D647" s="4" t="n">
        <v>45311</v>
      </c>
      <c r="E647" s="2" t="inlineStr">
        <is>
          <t>17:48</t>
        </is>
      </c>
      <c r="F647" s="5" t="n">
        <v>82.5</v>
      </c>
      <c r="G647" s="5" t="n"/>
      <c r="H647" s="5" t="n"/>
      <c r="I647" s="5" t="n"/>
      <c r="J647" s="5" t="n">
        <v>16.5</v>
      </c>
      <c r="K647" s="5" t="n"/>
      <c r="L647" s="5" t="n"/>
      <c r="M647" s="5" t="n"/>
      <c r="N647" s="5" t="n"/>
      <c r="O647" s="5" t="n">
        <v>99</v>
      </c>
      <c r="P647" s="5" t="n">
        <v>99</v>
      </c>
      <c r="Q647" s="5" t="n"/>
      <c r="R647" s="5" t="n"/>
    </row>
    <row r="648">
      <c r="A648" s="2" t="inlineStr">
        <is>
          <t>EJ020224.TXT</t>
        </is>
      </c>
      <c r="B648" s="3" t="inlineStr">
        <is>
          <t>005248</t>
        </is>
      </c>
      <c r="C648" s="3" t="inlineStr">
        <is>
          <t>004208</t>
        </is>
      </c>
      <c r="D648" s="4" t="n">
        <v>45313</v>
      </c>
      <c r="E648" s="2" t="inlineStr">
        <is>
          <t>17:14</t>
        </is>
      </c>
      <c r="F648" s="5" t="n">
        <v>274.17</v>
      </c>
      <c r="G648" s="5" t="n"/>
      <c r="H648" s="5" t="n"/>
      <c r="I648" s="5" t="n"/>
      <c r="J648" s="5" t="n">
        <v>54.83</v>
      </c>
      <c r="K648" s="5" t="n"/>
      <c r="L648" s="5" t="n"/>
      <c r="M648" s="5" t="n"/>
      <c r="N648" s="5" t="n"/>
      <c r="O648" s="5" t="n">
        <v>329</v>
      </c>
      <c r="P648" s="5" t="n">
        <v>329</v>
      </c>
      <c r="Q648" s="5" t="n"/>
      <c r="R648" s="5" t="n"/>
    </row>
    <row r="649">
      <c r="A649" s="2" t="inlineStr">
        <is>
          <t>EJ020224.TXT</t>
        </is>
      </c>
      <c r="B649" s="3" t="inlineStr">
        <is>
          <t>005249</t>
        </is>
      </c>
      <c r="C649" s="3" t="inlineStr">
        <is>
          <t>004209</t>
        </is>
      </c>
      <c r="D649" s="4" t="n">
        <v>45315</v>
      </c>
      <c r="E649" s="2" t="inlineStr">
        <is>
          <t>11:47</t>
        </is>
      </c>
      <c r="F649" s="5" t="n">
        <v>175</v>
      </c>
      <c r="G649" s="5" t="n"/>
      <c r="H649" s="5" t="n"/>
      <c r="I649" s="5" t="n"/>
      <c r="J649" s="5" t="n">
        <v>35</v>
      </c>
      <c r="K649" s="5" t="n"/>
      <c r="L649" s="5" t="n"/>
      <c r="M649" s="5" t="n"/>
      <c r="N649" s="5" t="n"/>
      <c r="O649" s="5" t="n">
        <v>210</v>
      </c>
      <c r="P649" s="5" t="n">
        <v>210</v>
      </c>
      <c r="Q649" s="5" t="n"/>
      <c r="R649" s="5" t="n"/>
    </row>
    <row r="650">
      <c r="A650" s="2" t="inlineStr">
        <is>
          <t>EJ020224.TXT</t>
        </is>
      </c>
      <c r="B650" s="3" t="inlineStr">
        <is>
          <t>005250</t>
        </is>
      </c>
      <c r="C650" s="3" t="inlineStr">
        <is>
          <t>004210</t>
        </is>
      </c>
      <c r="D650" s="4" t="n">
        <v>45324</v>
      </c>
      <c r="E650" s="2" t="inlineStr">
        <is>
          <t>10:43</t>
        </is>
      </c>
      <c r="F650" s="5" t="n">
        <v>274.17</v>
      </c>
      <c r="G650" s="5" t="n"/>
      <c r="H650" s="5" t="n"/>
      <c r="I650" s="5" t="n"/>
      <c r="J650" s="5" t="n">
        <v>54.83</v>
      </c>
      <c r="K650" s="5" t="n"/>
      <c r="L650" s="5" t="n"/>
      <c r="M650" s="5" t="n"/>
      <c r="N650" s="5" t="n"/>
      <c r="O650" s="5" t="n">
        <v>329</v>
      </c>
      <c r="P650" s="5" t="n"/>
      <c r="Q650" s="5" t="n">
        <v>329</v>
      </c>
      <c r="R650" s="5" t="n"/>
    </row>
    <row r="651">
      <c r="A651" s="2" t="inlineStr">
        <is>
          <t>EJ020324.TXT</t>
        </is>
      </c>
      <c r="B651" s="3" t="inlineStr">
        <is>
          <t>005258</t>
        </is>
      </c>
      <c r="C651" s="3" t="inlineStr">
        <is>
          <t>004211</t>
        </is>
      </c>
      <c r="D651" s="4" t="n">
        <v>45324</v>
      </c>
      <c r="E651" s="2" t="inlineStr">
        <is>
          <t>11:42</t>
        </is>
      </c>
      <c r="F651" s="5" t="n">
        <v>833.33</v>
      </c>
      <c r="G651" s="5" t="n"/>
      <c r="H651" s="5" t="n"/>
      <c r="I651" s="5" t="n"/>
      <c r="J651" s="5" t="n">
        <v>166.67</v>
      </c>
      <c r="K651" s="5" t="n"/>
      <c r="L651" s="5" t="n"/>
      <c r="M651" s="5" t="n"/>
      <c r="N651" s="5" t="n"/>
      <c r="O651" s="5" t="n">
        <v>1000</v>
      </c>
      <c r="P651" s="5" t="n"/>
      <c r="Q651" s="5" t="n">
        <v>1000</v>
      </c>
      <c r="R651" s="5" t="n"/>
    </row>
    <row r="652">
      <c r="A652" s="2" t="inlineStr">
        <is>
          <t>EJ020324.TXT</t>
        </is>
      </c>
      <c r="B652" s="3" t="inlineStr">
        <is>
          <t>005259</t>
        </is>
      </c>
      <c r="C652" s="3" t="inlineStr">
        <is>
          <t>004212</t>
        </is>
      </c>
      <c r="D652" s="4" t="n">
        <v>45324</v>
      </c>
      <c r="E652" s="2" t="inlineStr">
        <is>
          <t>11:43</t>
        </is>
      </c>
      <c r="F652" s="5" t="n">
        <v>822.5</v>
      </c>
      <c r="G652" s="5" t="n"/>
      <c r="H652" s="5" t="n"/>
      <c r="I652" s="5" t="n"/>
      <c r="J652" s="5" t="n">
        <v>164.5</v>
      </c>
      <c r="K652" s="5" t="n"/>
      <c r="L652" s="5" t="n"/>
      <c r="M652" s="5" t="n"/>
      <c r="N652" s="5" t="n"/>
      <c r="O652" s="5" t="n">
        <v>987</v>
      </c>
      <c r="P652" s="5" t="n"/>
      <c r="Q652" s="5" t="n">
        <v>987</v>
      </c>
      <c r="R652" s="5" t="n"/>
    </row>
    <row r="653">
      <c r="A653" s="2" t="inlineStr">
        <is>
          <t>EJ020324.TXT</t>
        </is>
      </c>
      <c r="B653" s="3" t="inlineStr">
        <is>
          <t>005260</t>
        </is>
      </c>
      <c r="C653" s="3" t="inlineStr">
        <is>
          <t>004213</t>
        </is>
      </c>
      <c r="D653" s="4" t="n">
        <v>45324</v>
      </c>
      <c r="E653" s="2" t="inlineStr">
        <is>
          <t>11:44</t>
        </is>
      </c>
      <c r="F653" s="5" t="n">
        <v>822.5</v>
      </c>
      <c r="G653" s="5" t="n"/>
      <c r="H653" s="5" t="n"/>
      <c r="I653" s="5" t="n"/>
      <c r="J653" s="5" t="n">
        <v>164.5</v>
      </c>
      <c r="K653" s="5" t="n"/>
      <c r="L653" s="5" t="n"/>
      <c r="M653" s="5" t="n"/>
      <c r="N653" s="5" t="n"/>
      <c r="O653" s="5" t="n">
        <v>987</v>
      </c>
      <c r="P653" s="5" t="n"/>
      <c r="Q653" s="5" t="n">
        <v>987</v>
      </c>
      <c r="R653" s="5" t="n"/>
    </row>
    <row r="654">
      <c r="A654" s="2" t="inlineStr">
        <is>
          <t>EJ020324.TXT</t>
        </is>
      </c>
      <c r="B654" s="3" t="inlineStr">
        <is>
          <t>005261</t>
        </is>
      </c>
      <c r="C654" s="3" t="inlineStr">
        <is>
          <t>004214</t>
        </is>
      </c>
      <c r="D654" s="4" t="n">
        <v>45324</v>
      </c>
      <c r="E654" s="2" t="inlineStr">
        <is>
          <t>11:45</t>
        </is>
      </c>
      <c r="F654" s="5" t="n">
        <v>625</v>
      </c>
      <c r="G654" s="5" t="n"/>
      <c r="H654" s="5" t="n"/>
      <c r="I654" s="5" t="n"/>
      <c r="J654" s="5" t="n">
        <v>125</v>
      </c>
      <c r="K654" s="5" t="n"/>
      <c r="L654" s="5" t="n"/>
      <c r="M654" s="5" t="n"/>
      <c r="N654" s="5" t="n"/>
      <c r="O654" s="5" t="n">
        <v>750</v>
      </c>
      <c r="P654" s="5" t="n"/>
      <c r="Q654" s="5" t="n">
        <v>750</v>
      </c>
      <c r="R654" s="5" t="n"/>
    </row>
    <row r="655">
      <c r="A655" s="2" t="inlineStr">
        <is>
          <t>EJ020324.TXT</t>
        </is>
      </c>
      <c r="B655" s="3" t="inlineStr">
        <is>
          <t>005262</t>
        </is>
      </c>
      <c r="C655" s="3" t="inlineStr">
        <is>
          <t>004215</t>
        </is>
      </c>
      <c r="D655" s="4" t="n">
        <v>45324</v>
      </c>
      <c r="E655" s="2" t="inlineStr">
        <is>
          <t>11:46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/>
      <c r="Q655" s="5" t="n">
        <v>658</v>
      </c>
      <c r="R655" s="5" t="n"/>
    </row>
    <row r="656">
      <c r="A656" s="2" t="inlineStr">
        <is>
          <t>EJ020324.TXT</t>
        </is>
      </c>
      <c r="B656" s="3" t="inlineStr">
        <is>
          <t>005263</t>
        </is>
      </c>
      <c r="C656" s="3" t="inlineStr">
        <is>
          <t>004216</t>
        </is>
      </c>
      <c r="D656" s="4" t="n">
        <v>45324</v>
      </c>
      <c r="E656" s="2" t="inlineStr">
        <is>
          <t>11:47</t>
        </is>
      </c>
      <c r="F656" s="5" t="n">
        <v>423.33</v>
      </c>
      <c r="G656" s="5" t="n"/>
      <c r="H656" s="5" t="n"/>
      <c r="I656" s="5" t="n"/>
      <c r="J656" s="5" t="n">
        <v>84.67</v>
      </c>
      <c r="K656" s="5" t="n"/>
      <c r="L656" s="5" t="n"/>
      <c r="M656" s="5" t="n"/>
      <c r="N656" s="5" t="n"/>
      <c r="O656" s="5" t="n">
        <v>508</v>
      </c>
      <c r="P656" s="5" t="n"/>
      <c r="Q656" s="5" t="n">
        <v>508</v>
      </c>
      <c r="R656" s="5" t="n"/>
    </row>
    <row r="657">
      <c r="A657" s="2" t="inlineStr">
        <is>
          <t>EJ020324.TXT</t>
        </is>
      </c>
      <c r="B657" s="3" t="inlineStr">
        <is>
          <t>005264</t>
        </is>
      </c>
      <c r="C657" s="3" t="inlineStr">
        <is>
          <t>004217</t>
        </is>
      </c>
      <c r="D657" s="4" t="n">
        <v>45327</v>
      </c>
      <c r="E657" s="2" t="inlineStr">
        <is>
          <t>13:37</t>
        </is>
      </c>
      <c r="F657" s="5" t="n">
        <v>37.5</v>
      </c>
      <c r="G657" s="5" t="n"/>
      <c r="H657" s="5" t="n"/>
      <c r="I657" s="5" t="n"/>
      <c r="J657" s="5" t="n">
        <v>7.5</v>
      </c>
      <c r="K657" s="5" t="n"/>
      <c r="L657" s="5" t="n"/>
      <c r="M657" s="5" t="n"/>
      <c r="N657" s="5" t="n"/>
      <c r="O657" s="5" t="n">
        <v>45</v>
      </c>
      <c r="P657" s="5" t="n">
        <v>45</v>
      </c>
      <c r="Q657" s="5" t="n"/>
      <c r="R657" s="5" t="n"/>
    </row>
    <row r="658">
      <c r="A658" s="2" t="inlineStr">
        <is>
          <t>EJ020324.TXT</t>
        </is>
      </c>
      <c r="B658" s="3" t="inlineStr">
        <is>
          <t>005265</t>
        </is>
      </c>
      <c r="C658" s="3" t="inlineStr">
        <is>
          <t>004218</t>
        </is>
      </c>
      <c r="D658" s="4" t="n">
        <v>45327</v>
      </c>
      <c r="E658" s="2" t="inlineStr">
        <is>
          <t>14:42</t>
        </is>
      </c>
      <c r="F658" s="5" t="n">
        <v>1096.67</v>
      </c>
      <c r="G658" s="5" t="n"/>
      <c r="H658" s="5" t="n"/>
      <c r="I658" s="5" t="n"/>
      <c r="J658" s="5" t="n">
        <v>219.33</v>
      </c>
      <c r="K658" s="5" t="n"/>
      <c r="L658" s="5" t="n"/>
      <c r="M658" s="5" t="n"/>
      <c r="N658" s="5" t="n"/>
      <c r="O658" s="5" t="n">
        <v>1316</v>
      </c>
      <c r="P658" s="5" t="n">
        <v>1316</v>
      </c>
      <c r="Q658" s="5" t="n"/>
      <c r="R658" s="5" t="n"/>
    </row>
    <row r="659">
      <c r="A659" s="2" t="inlineStr">
        <is>
          <t>EJ020324.TXT</t>
        </is>
      </c>
      <c r="B659" s="3" t="inlineStr">
        <is>
          <t>005266</t>
        </is>
      </c>
      <c r="C659" s="3" t="inlineStr">
        <is>
          <t>004219</t>
        </is>
      </c>
      <c r="D659" s="4" t="n">
        <v>45328</v>
      </c>
      <c r="E659" s="2" t="inlineStr">
        <is>
          <t>13:55</t>
        </is>
      </c>
      <c r="F659" s="5" t="n">
        <v>621.67</v>
      </c>
      <c r="G659" s="5" t="n"/>
      <c r="H659" s="5" t="n"/>
      <c r="I659" s="5" t="n"/>
      <c r="J659" s="5" t="n">
        <v>124.33</v>
      </c>
      <c r="K659" s="5" t="n"/>
      <c r="L659" s="5" t="n"/>
      <c r="M659" s="5" t="n"/>
      <c r="N659" s="5" t="n"/>
      <c r="O659" s="5" t="n">
        <v>746</v>
      </c>
      <c r="P659" s="5" t="n">
        <v>746</v>
      </c>
      <c r="Q659" s="5" t="n"/>
      <c r="R659" s="5" t="n"/>
    </row>
    <row r="660">
      <c r="A660" s="2" t="inlineStr">
        <is>
          <t>EJ020324.TXT</t>
        </is>
      </c>
      <c r="B660" s="3" t="inlineStr">
        <is>
          <t>005267</t>
        </is>
      </c>
      <c r="C660" s="3" t="inlineStr">
        <is>
          <t>004220</t>
        </is>
      </c>
      <c r="D660" s="4" t="n">
        <v>45328</v>
      </c>
      <c r="E660" s="2" t="inlineStr">
        <is>
          <t>18:59</t>
        </is>
      </c>
      <c r="F660" s="5" t="n">
        <v>73.33</v>
      </c>
      <c r="G660" s="5" t="n"/>
      <c r="H660" s="5" t="n"/>
      <c r="I660" s="5" t="n"/>
      <c r="J660" s="5" t="n">
        <v>14.67</v>
      </c>
      <c r="K660" s="5" t="n"/>
      <c r="L660" s="5" t="n"/>
      <c r="M660" s="5" t="n"/>
      <c r="N660" s="5" t="n"/>
      <c r="O660" s="5" t="n">
        <v>88</v>
      </c>
      <c r="P660" s="5" t="n">
        <v>88</v>
      </c>
      <c r="Q660" s="5" t="n"/>
      <c r="R660" s="5" t="n"/>
    </row>
    <row r="661">
      <c r="A661" s="2" t="inlineStr">
        <is>
          <t>EJ020324.TXT</t>
        </is>
      </c>
      <c r="B661" s="3" t="inlineStr">
        <is>
          <t>005268</t>
        </is>
      </c>
      <c r="C661" s="3" t="inlineStr">
        <is>
          <t>004221</t>
        </is>
      </c>
      <c r="D661" s="4" t="n">
        <v>45331</v>
      </c>
      <c r="E661" s="2" t="inlineStr">
        <is>
          <t>15:12</t>
        </is>
      </c>
      <c r="F661" s="5" t="n">
        <v>190.83</v>
      </c>
      <c r="G661" s="5" t="n"/>
      <c r="H661" s="5" t="n"/>
      <c r="I661" s="5" t="n"/>
      <c r="J661" s="5" t="n">
        <v>38.17</v>
      </c>
      <c r="K661" s="5" t="n"/>
      <c r="L661" s="5" t="n"/>
      <c r="M661" s="5" t="n"/>
      <c r="N661" s="5" t="n"/>
      <c r="O661" s="5" t="n">
        <v>229</v>
      </c>
      <c r="P661" s="5" t="n">
        <v>229</v>
      </c>
      <c r="Q661" s="5" t="n"/>
      <c r="R661" s="5" t="n"/>
    </row>
    <row r="662">
      <c r="A662" s="2" t="inlineStr">
        <is>
          <t>EJ020324.TXT</t>
        </is>
      </c>
      <c r="B662" s="3" t="inlineStr">
        <is>
          <t>005269</t>
        </is>
      </c>
      <c r="C662" s="3" t="inlineStr">
        <is>
          <t>004222</t>
        </is>
      </c>
      <c r="D662" s="4" t="n">
        <v>45331</v>
      </c>
      <c r="E662" s="2" t="inlineStr">
        <is>
          <t>15:14</t>
        </is>
      </c>
      <c r="F662" s="5" t="n">
        <v>190.83</v>
      </c>
      <c r="G662" s="5" t="n"/>
      <c r="H662" s="5" t="n"/>
      <c r="I662" s="5" t="n"/>
      <c r="J662" s="5" t="n">
        <v>38.17</v>
      </c>
      <c r="K662" s="5" t="n"/>
      <c r="L662" s="5" t="n"/>
      <c r="M662" s="5" t="n"/>
      <c r="N662" s="5" t="n"/>
      <c r="O662" s="5" t="n">
        <v>229</v>
      </c>
      <c r="P662" s="5" t="n">
        <v>229</v>
      </c>
      <c r="Q662" s="5" t="n"/>
      <c r="R662" s="5" t="n"/>
    </row>
    <row r="663">
      <c r="A663" s="2" t="inlineStr">
        <is>
          <t>EJ020324.TXT</t>
        </is>
      </c>
      <c r="B663" s="3" t="inlineStr">
        <is>
          <t>005270</t>
        </is>
      </c>
      <c r="C663" s="3" t="inlineStr">
        <is>
          <t>004223</t>
        </is>
      </c>
      <c r="D663" s="4" t="n">
        <v>45341</v>
      </c>
      <c r="E663" s="2" t="inlineStr">
        <is>
          <t>14:32</t>
        </is>
      </c>
      <c r="F663" s="5" t="n">
        <v>274.17</v>
      </c>
      <c r="G663" s="5" t="n"/>
      <c r="H663" s="5" t="n"/>
      <c r="I663" s="5" t="n"/>
      <c r="J663" s="5" t="n">
        <v>54.83</v>
      </c>
      <c r="K663" s="5" t="n"/>
      <c r="L663" s="5" t="n"/>
      <c r="M663" s="5" t="n"/>
      <c r="N663" s="5" t="n"/>
      <c r="O663" s="5" t="n">
        <v>329</v>
      </c>
      <c r="P663" s="5" t="n">
        <v>329</v>
      </c>
      <c r="Q663" s="5" t="n"/>
      <c r="R663" s="5" t="n"/>
    </row>
    <row r="664">
      <c r="A664" s="2" t="inlineStr">
        <is>
          <t>EJ020324.TXT</t>
        </is>
      </c>
      <c r="B664" s="3" t="inlineStr">
        <is>
          <t>005271</t>
        </is>
      </c>
      <c r="C664" s="3" t="inlineStr">
        <is>
          <t>004224</t>
        </is>
      </c>
      <c r="D664" s="4" t="n">
        <v>45341</v>
      </c>
      <c r="E664" s="2" t="inlineStr">
        <is>
          <t>15:42</t>
        </is>
      </c>
      <c r="F664" s="5" t="n">
        <v>329.17</v>
      </c>
      <c r="G664" s="5" t="n"/>
      <c r="H664" s="5" t="n"/>
      <c r="I664" s="5" t="n"/>
      <c r="J664" s="5" t="n">
        <v>65.83</v>
      </c>
      <c r="K664" s="5" t="n"/>
      <c r="L664" s="5" t="n"/>
      <c r="M664" s="5" t="n"/>
      <c r="N664" s="5" t="n"/>
      <c r="O664" s="5" t="n">
        <v>395</v>
      </c>
      <c r="P664" s="5" t="n"/>
      <c r="Q664" s="5" t="n">
        <v>395</v>
      </c>
      <c r="R664" s="5" t="n"/>
    </row>
    <row r="665">
      <c r="A665" s="2" t="inlineStr">
        <is>
          <t>EJ020324.TXT</t>
        </is>
      </c>
      <c r="B665" s="3" t="inlineStr">
        <is>
          <t>005272</t>
        </is>
      </c>
      <c r="C665" s="3" t="inlineStr">
        <is>
          <t>004225</t>
        </is>
      </c>
      <c r="D665" s="4" t="n">
        <v>45341</v>
      </c>
      <c r="E665" s="2" t="inlineStr">
        <is>
          <t>15:44</t>
        </is>
      </c>
      <c r="F665" s="5" t="n">
        <v>208.33</v>
      </c>
      <c r="G665" s="5" t="n"/>
      <c r="H665" s="5" t="n"/>
      <c r="I665" s="5" t="n"/>
      <c r="J665" s="5" t="n">
        <v>41.67</v>
      </c>
      <c r="K665" s="5" t="n"/>
      <c r="L665" s="5" t="n"/>
      <c r="M665" s="5" t="n"/>
      <c r="N665" s="5" t="n"/>
      <c r="O665" s="5" t="n">
        <v>250</v>
      </c>
      <c r="P665" s="5" t="n"/>
      <c r="Q665" s="5" t="n">
        <v>250</v>
      </c>
      <c r="R665" s="5" t="n"/>
    </row>
    <row r="666">
      <c r="A666" s="2" t="inlineStr">
        <is>
          <t>EJ020324.TXT</t>
        </is>
      </c>
      <c r="B666" s="3" t="inlineStr">
        <is>
          <t>005273</t>
        </is>
      </c>
      <c r="C666" s="3" t="inlineStr">
        <is>
          <t>004226</t>
        </is>
      </c>
      <c r="D666" s="4" t="n">
        <v>45344</v>
      </c>
      <c r="E666" s="2" t="inlineStr">
        <is>
          <t>17:51</t>
        </is>
      </c>
      <c r="F666" s="5" t="n">
        <v>274.17</v>
      </c>
      <c r="G666" s="5" t="n"/>
      <c r="H666" s="5" t="n"/>
      <c r="I666" s="5" t="n"/>
      <c r="J666" s="5" t="n">
        <v>54.83</v>
      </c>
      <c r="K666" s="5" t="n"/>
      <c r="L666" s="5" t="n"/>
      <c r="M666" s="5" t="n"/>
      <c r="N666" s="5" t="n"/>
      <c r="O666" s="5" t="n">
        <v>329</v>
      </c>
      <c r="P666" s="5" t="n"/>
      <c r="Q666" s="5" t="n">
        <v>329</v>
      </c>
      <c r="R666" s="5" t="n"/>
    </row>
    <row r="667">
      <c r="A667" s="2" t="inlineStr">
        <is>
          <t>EJ020324.TXT</t>
        </is>
      </c>
      <c r="B667" s="3" t="inlineStr">
        <is>
          <t>005274</t>
        </is>
      </c>
      <c r="C667" s="3" t="inlineStr">
        <is>
          <t>004227</t>
        </is>
      </c>
      <c r="D667" s="4" t="n">
        <v>45345</v>
      </c>
      <c r="E667" s="2" t="inlineStr">
        <is>
          <t>15:53</t>
        </is>
      </c>
      <c r="F667" s="5" t="n">
        <v>265.83</v>
      </c>
      <c r="G667" s="5" t="n"/>
      <c r="H667" s="5" t="n"/>
      <c r="I667" s="5" t="n"/>
      <c r="J667" s="5" t="n">
        <v>53.17</v>
      </c>
      <c r="K667" s="5" t="n"/>
      <c r="L667" s="5" t="n"/>
      <c r="M667" s="5" t="n"/>
      <c r="N667" s="5" t="n"/>
      <c r="O667" s="5" t="n">
        <v>319</v>
      </c>
      <c r="P667" s="5" t="n"/>
      <c r="Q667" s="5" t="n">
        <v>319</v>
      </c>
      <c r="R667" s="5" t="n"/>
    </row>
    <row r="668">
      <c r="A668" s="2" t="inlineStr">
        <is>
          <t>EJ020324.TXT</t>
        </is>
      </c>
      <c r="B668" s="3" t="inlineStr">
        <is>
          <t>005275</t>
        </is>
      </c>
      <c r="C668" s="3" t="inlineStr">
        <is>
          <t>004228</t>
        </is>
      </c>
      <c r="D668" s="4" t="n">
        <v>45345</v>
      </c>
      <c r="E668" s="2" t="inlineStr">
        <is>
          <t>16:10</t>
        </is>
      </c>
      <c r="F668" s="5" t="n">
        <v>265.83</v>
      </c>
      <c r="G668" s="5" t="n"/>
      <c r="H668" s="5" t="n"/>
      <c r="I668" s="5" t="n"/>
      <c r="J668" s="5" t="n">
        <v>53.17</v>
      </c>
      <c r="K668" s="5" t="n"/>
      <c r="L668" s="5" t="n"/>
      <c r="M668" s="5" t="n"/>
      <c r="N668" s="5" t="n"/>
      <c r="O668" s="5" t="n">
        <v>319</v>
      </c>
      <c r="P668" s="5" t="n"/>
      <c r="Q668" s="5" t="n">
        <v>319</v>
      </c>
      <c r="R668" s="5" t="n"/>
    </row>
    <row r="669">
      <c r="A669" s="2" t="inlineStr">
        <is>
          <t>EJ020324.TXT</t>
        </is>
      </c>
      <c r="B669" s="3" t="inlineStr">
        <is>
          <t>005276</t>
        </is>
      </c>
      <c r="C669" s="3" t="inlineStr">
        <is>
          <t>004229</t>
        </is>
      </c>
      <c r="D669" s="4" t="n">
        <v>45346</v>
      </c>
      <c r="E669" s="2" t="inlineStr">
        <is>
          <t>16:25</t>
        </is>
      </c>
      <c r="F669" s="5" t="n">
        <v>822.5</v>
      </c>
      <c r="G669" s="5" t="n"/>
      <c r="H669" s="5" t="n"/>
      <c r="I669" s="5" t="n"/>
      <c r="J669" s="5" t="n">
        <v>164.5</v>
      </c>
      <c r="K669" s="5" t="n"/>
      <c r="L669" s="5" t="n"/>
      <c r="M669" s="5" t="n"/>
      <c r="N669" s="5" t="n"/>
      <c r="O669" s="5" t="n">
        <v>987</v>
      </c>
      <c r="P669" s="5" t="n">
        <v>987</v>
      </c>
      <c r="Q669" s="5" t="n"/>
      <c r="R669" s="5" t="n"/>
    </row>
    <row r="670">
      <c r="A670" s="2" t="inlineStr">
        <is>
          <t>EJ020324.TXT</t>
        </is>
      </c>
      <c r="B670" s="3" t="inlineStr">
        <is>
          <t>005278</t>
        </is>
      </c>
      <c r="C670" s="3" t="inlineStr">
        <is>
          <t>004230</t>
        </is>
      </c>
      <c r="D670" s="4" t="n">
        <v>45348</v>
      </c>
      <c r="E670" s="2" t="inlineStr">
        <is>
          <t>15:02</t>
        </is>
      </c>
      <c r="F670" s="5" t="n">
        <v>324.17</v>
      </c>
      <c r="G670" s="5" t="n"/>
      <c r="H670" s="5" t="n"/>
      <c r="I670" s="5" t="n"/>
      <c r="J670" s="5" t="n">
        <v>64.83</v>
      </c>
      <c r="K670" s="5" t="n"/>
      <c r="L670" s="5" t="n"/>
      <c r="M670" s="5" t="n"/>
      <c r="N670" s="5" t="n"/>
      <c r="O670" s="5" t="n">
        <v>389</v>
      </c>
      <c r="P670" s="5" t="n"/>
      <c r="Q670" s="5" t="n">
        <v>389</v>
      </c>
      <c r="R670" s="5" t="n"/>
    </row>
    <row r="671">
      <c r="A671" s="2" t="inlineStr">
        <is>
          <t>EJ020324.TXT</t>
        </is>
      </c>
      <c r="B671" s="3" t="inlineStr">
        <is>
          <t>005279</t>
        </is>
      </c>
      <c r="C671" s="3" t="inlineStr">
        <is>
          <t>004231</t>
        </is>
      </c>
      <c r="D671" s="4" t="n">
        <v>45350</v>
      </c>
      <c r="E671" s="2" t="inlineStr">
        <is>
          <t>15:46</t>
        </is>
      </c>
      <c r="F671" s="5" t="n">
        <v>124.17</v>
      </c>
      <c r="G671" s="5" t="n"/>
      <c r="H671" s="5" t="n"/>
      <c r="I671" s="5" t="n"/>
      <c r="J671" s="5" t="n">
        <v>24.83</v>
      </c>
      <c r="K671" s="5" t="n"/>
      <c r="L671" s="5" t="n"/>
      <c r="M671" s="5" t="n"/>
      <c r="N671" s="5" t="n"/>
      <c r="O671" s="5" t="n">
        <v>149</v>
      </c>
      <c r="P671" s="5" t="n"/>
      <c r="Q671" s="5" t="n">
        <v>149</v>
      </c>
      <c r="R671" s="5" t="n"/>
    </row>
    <row r="672">
      <c r="A672" s="2" t="inlineStr">
        <is>
          <t>EJ020324.TXT</t>
        </is>
      </c>
      <c r="B672" s="3" t="inlineStr">
        <is>
          <t>005280</t>
        </is>
      </c>
      <c r="C672" s="3" t="inlineStr">
        <is>
          <t>004232</t>
        </is>
      </c>
      <c r="D672" s="4" t="n">
        <v>45352</v>
      </c>
      <c r="E672" s="2" t="inlineStr">
        <is>
          <t>15:59</t>
        </is>
      </c>
      <c r="F672" s="5" t="n">
        <v>73.33</v>
      </c>
      <c r="G672" s="5" t="n"/>
      <c r="H672" s="5" t="n"/>
      <c r="I672" s="5" t="n"/>
      <c r="J672" s="5" t="n">
        <v>14.67</v>
      </c>
      <c r="K672" s="5" t="n"/>
      <c r="L672" s="5" t="n"/>
      <c r="M672" s="5" t="n"/>
      <c r="N672" s="5" t="n"/>
      <c r="O672" s="5" t="n">
        <v>88</v>
      </c>
      <c r="P672" s="5" t="n">
        <v>88</v>
      </c>
      <c r="Q672" s="5" t="n"/>
      <c r="R672" s="5" t="n"/>
    </row>
    <row r="673">
      <c r="A673" s="2" t="inlineStr">
        <is>
          <t>EJ020324.TXT</t>
        </is>
      </c>
      <c r="B673" s="3" t="inlineStr">
        <is>
          <t>005281</t>
        </is>
      </c>
      <c r="C673" s="3" t="inlineStr">
        <is>
          <t>004233</t>
        </is>
      </c>
      <c r="D673" s="4" t="n">
        <v>45353</v>
      </c>
      <c r="E673" s="2" t="inlineStr">
        <is>
          <t>10:23</t>
        </is>
      </c>
      <c r="F673" s="5" t="n">
        <v>548.33</v>
      </c>
      <c r="G673" s="5" t="n"/>
      <c r="H673" s="5" t="n"/>
      <c r="I673" s="5" t="n"/>
      <c r="J673" s="5" t="n">
        <v>109.67</v>
      </c>
      <c r="K673" s="5" t="n"/>
      <c r="L673" s="5" t="n"/>
      <c r="M673" s="5" t="n"/>
      <c r="N673" s="5" t="n"/>
      <c r="O673" s="5" t="n">
        <v>658</v>
      </c>
      <c r="P673" s="5" t="n">
        <v>658</v>
      </c>
      <c r="Q673" s="5" t="n"/>
      <c r="R673" s="5" t="n"/>
    </row>
    <row r="674">
      <c r="A674" s="2" t="inlineStr">
        <is>
          <t>EJ020324.TXT</t>
        </is>
      </c>
      <c r="B674" s="3" t="inlineStr">
        <is>
          <t>005282</t>
        </is>
      </c>
      <c r="C674" s="3" t="inlineStr">
        <is>
          <t>004234</t>
        </is>
      </c>
      <c r="D674" s="4" t="n">
        <v>45353</v>
      </c>
      <c r="E674" s="2" t="inlineStr">
        <is>
          <t>14:36</t>
        </is>
      </c>
      <c r="F674" s="5" t="n">
        <v>199.17</v>
      </c>
      <c r="G674" s="5" t="n"/>
      <c r="H674" s="5" t="n"/>
      <c r="I674" s="5" t="n"/>
      <c r="J674" s="5" t="n">
        <v>39.83</v>
      </c>
      <c r="K674" s="5" t="n"/>
      <c r="L674" s="5" t="n"/>
      <c r="M674" s="5" t="n"/>
      <c r="N674" s="5" t="n"/>
      <c r="O674" s="5" t="n">
        <v>239</v>
      </c>
      <c r="P674" s="5" t="n">
        <v>239</v>
      </c>
      <c r="Q674" s="5" t="n"/>
      <c r="R674" s="5" t="n"/>
    </row>
    <row r="675">
      <c r="A675" s="2" t="inlineStr">
        <is>
          <t>EJ020424.TXT</t>
        </is>
      </c>
      <c r="B675" s="3" t="inlineStr">
        <is>
          <t>005289</t>
        </is>
      </c>
      <c r="C675" s="3" t="inlineStr">
        <is>
          <t>004235</t>
        </is>
      </c>
      <c r="D675" s="4" t="n">
        <v>45353</v>
      </c>
      <c r="E675" s="2" t="inlineStr">
        <is>
          <t>15:05</t>
        </is>
      </c>
      <c r="F675" s="5" t="n">
        <v>208.33</v>
      </c>
      <c r="G675" s="5" t="n"/>
      <c r="H675" s="5" t="n"/>
      <c r="I675" s="5" t="n"/>
      <c r="J675" s="5" t="n">
        <v>41.67</v>
      </c>
      <c r="K675" s="5" t="n"/>
      <c r="L675" s="5" t="n"/>
      <c r="M675" s="5" t="n"/>
      <c r="N675" s="5" t="n"/>
      <c r="O675" s="5" t="n">
        <v>250</v>
      </c>
      <c r="P675" s="5" t="n"/>
      <c r="Q675" s="5" t="n">
        <v>250</v>
      </c>
      <c r="R675" s="5" t="n"/>
    </row>
    <row r="676">
      <c r="A676" s="2" t="inlineStr">
        <is>
          <t>EJ020424.TXT</t>
        </is>
      </c>
      <c r="B676" s="3" t="inlineStr">
        <is>
          <t>005290</t>
        </is>
      </c>
      <c r="C676" s="3" t="inlineStr">
        <is>
          <t>004236</t>
        </is>
      </c>
      <c r="D676" s="4" t="n">
        <v>45355</v>
      </c>
      <c r="E676" s="2" t="inlineStr">
        <is>
          <t>11:13</t>
        </is>
      </c>
      <c r="F676" s="5" t="n">
        <v>208.33</v>
      </c>
      <c r="G676" s="5" t="n"/>
      <c r="H676" s="5" t="n"/>
      <c r="I676" s="5" t="n"/>
      <c r="J676" s="5" t="n">
        <v>41.67</v>
      </c>
      <c r="K676" s="5" t="n"/>
      <c r="L676" s="5" t="n"/>
      <c r="M676" s="5" t="n"/>
      <c r="N676" s="5" t="n"/>
      <c r="O676" s="5" t="n">
        <v>250</v>
      </c>
      <c r="P676" s="5" t="n"/>
      <c r="Q676" s="5" t="n">
        <v>250</v>
      </c>
      <c r="R676" s="5" t="n"/>
    </row>
    <row r="677">
      <c r="A677" s="2" t="inlineStr">
        <is>
          <t>EJ020424.TXT</t>
        </is>
      </c>
      <c r="B677" s="3" t="inlineStr">
        <is>
          <t>005291</t>
        </is>
      </c>
      <c r="C677" s="3" t="inlineStr">
        <is>
          <t>004237</t>
        </is>
      </c>
      <c r="D677" s="4" t="n">
        <v>45355</v>
      </c>
      <c r="E677" s="2" t="inlineStr">
        <is>
          <t>11:25</t>
        </is>
      </c>
      <c r="F677" s="5" t="n">
        <v>129.17</v>
      </c>
      <c r="G677" s="5" t="n"/>
      <c r="H677" s="5" t="n"/>
      <c r="I677" s="5" t="n"/>
      <c r="J677" s="5" t="n">
        <v>25.83</v>
      </c>
      <c r="K677" s="5" t="n"/>
      <c r="L677" s="5" t="n"/>
      <c r="M677" s="5" t="n"/>
      <c r="N677" s="5" t="n"/>
      <c r="O677" s="5" t="n">
        <v>155</v>
      </c>
      <c r="P677" s="5" t="n"/>
      <c r="Q677" s="5" t="n">
        <v>155</v>
      </c>
      <c r="R677" s="5" t="n"/>
    </row>
    <row r="678">
      <c r="A678" s="2" t="inlineStr">
        <is>
          <t>EJ020424.TXT</t>
        </is>
      </c>
      <c r="B678" s="3" t="inlineStr">
        <is>
          <t>005292</t>
        </is>
      </c>
      <c r="C678" s="3" t="inlineStr">
        <is>
          <t>004238</t>
        </is>
      </c>
      <c r="D678" s="4" t="n">
        <v>45355</v>
      </c>
      <c r="E678" s="2" t="inlineStr">
        <is>
          <t>11:40</t>
        </is>
      </c>
      <c r="F678" s="5" t="n">
        <v>208.33</v>
      </c>
      <c r="G678" s="5" t="n"/>
      <c r="H678" s="5" t="n"/>
      <c r="I678" s="5" t="n"/>
      <c r="J678" s="5" t="n">
        <v>41.67</v>
      </c>
      <c r="K678" s="5" t="n"/>
      <c r="L678" s="5" t="n"/>
      <c r="M678" s="5" t="n"/>
      <c r="N678" s="5" t="n"/>
      <c r="O678" s="5" t="n">
        <v>250</v>
      </c>
      <c r="P678" s="5" t="n"/>
      <c r="Q678" s="5" t="n">
        <v>250</v>
      </c>
      <c r="R678" s="5" t="n"/>
    </row>
    <row r="679">
      <c r="A679" s="2" t="inlineStr">
        <is>
          <t>EJ020424.TXT</t>
        </is>
      </c>
      <c r="B679" s="3" t="inlineStr">
        <is>
          <t>005293</t>
        </is>
      </c>
      <c r="C679" s="3" t="inlineStr">
        <is>
          <t>004239</t>
        </is>
      </c>
      <c r="D679" s="4" t="n">
        <v>45356</v>
      </c>
      <c r="E679" s="2" t="inlineStr">
        <is>
          <t>11:46</t>
        </is>
      </c>
      <c r="F679" s="5" t="n">
        <v>410</v>
      </c>
      <c r="G679" s="5" t="n"/>
      <c r="H679" s="5" t="n"/>
      <c r="I679" s="5" t="n"/>
      <c r="J679" s="5" t="n">
        <v>82</v>
      </c>
      <c r="K679" s="5" t="n"/>
      <c r="L679" s="5" t="n"/>
      <c r="M679" s="5" t="n"/>
      <c r="N679" s="5" t="n"/>
      <c r="O679" s="5" t="n">
        <v>492</v>
      </c>
      <c r="P679" s="5" t="n"/>
      <c r="Q679" s="5" t="n">
        <v>492</v>
      </c>
      <c r="R679" s="5" t="n"/>
    </row>
    <row r="680">
      <c r="A680" s="2" t="inlineStr">
        <is>
          <t>EJ020424.TXT</t>
        </is>
      </c>
      <c r="B680" s="3" t="inlineStr">
        <is>
          <t>005294</t>
        </is>
      </c>
      <c r="C680" s="3" t="inlineStr">
        <is>
          <t>004240</t>
        </is>
      </c>
      <c r="D680" s="4" t="n">
        <v>45356</v>
      </c>
      <c r="E680" s="2" t="inlineStr">
        <is>
          <t>14:51</t>
        </is>
      </c>
      <c r="F680" s="5" t="n">
        <v>274.17</v>
      </c>
      <c r="G680" s="5" t="n"/>
      <c r="H680" s="5" t="n"/>
      <c r="I680" s="5" t="n"/>
      <c r="J680" s="5" t="n">
        <v>54.83</v>
      </c>
      <c r="K680" s="5" t="n"/>
      <c r="L680" s="5" t="n"/>
      <c r="M680" s="5" t="n"/>
      <c r="N680" s="5" t="n"/>
      <c r="O680" s="5" t="n">
        <v>329</v>
      </c>
      <c r="P680" s="5" t="n"/>
      <c r="Q680" s="5" t="n">
        <v>329</v>
      </c>
      <c r="R680" s="5" t="n"/>
    </row>
    <row r="681">
      <c r="A681" s="2" t="inlineStr">
        <is>
          <t>EJ020424.TXT</t>
        </is>
      </c>
      <c r="B681" s="3" t="inlineStr">
        <is>
          <t>005295</t>
        </is>
      </c>
      <c r="C681" s="3" t="inlineStr">
        <is>
          <t>004241</t>
        </is>
      </c>
      <c r="D681" s="4" t="n">
        <v>45357</v>
      </c>
      <c r="E681" s="2" t="inlineStr">
        <is>
          <t>17:58</t>
        </is>
      </c>
      <c r="F681" s="5" t="n">
        <v>381.67</v>
      </c>
      <c r="G681" s="5" t="n"/>
      <c r="H681" s="5" t="n"/>
      <c r="I681" s="5" t="n"/>
      <c r="J681" s="5" t="n">
        <v>76.33</v>
      </c>
      <c r="K681" s="5" t="n"/>
      <c r="L681" s="5" t="n"/>
      <c r="M681" s="5" t="n"/>
      <c r="N681" s="5" t="n"/>
      <c r="O681" s="5" t="n">
        <v>458</v>
      </c>
      <c r="P681" s="5" t="n">
        <v>458</v>
      </c>
      <c r="Q681" s="5" t="n"/>
      <c r="R681" s="5" t="n"/>
    </row>
    <row r="682">
      <c r="A682" s="2" t="inlineStr">
        <is>
          <t>EJ020424.TXT</t>
        </is>
      </c>
      <c r="B682" s="3" t="inlineStr">
        <is>
          <t>005296</t>
        </is>
      </c>
      <c r="C682" s="3" t="inlineStr">
        <is>
          <t>004242</t>
        </is>
      </c>
      <c r="D682" s="4" t="n">
        <v>45359</v>
      </c>
      <c r="E682" s="2" t="inlineStr">
        <is>
          <t>17:27</t>
        </is>
      </c>
      <c r="F682" s="5" t="n">
        <v>208.33</v>
      </c>
      <c r="G682" s="5" t="n"/>
      <c r="H682" s="5" t="n"/>
      <c r="I682" s="5" t="n"/>
      <c r="J682" s="5" t="n">
        <v>41.67</v>
      </c>
      <c r="K682" s="5" t="n"/>
      <c r="L682" s="5" t="n"/>
      <c r="M682" s="5" t="n"/>
      <c r="N682" s="5" t="n"/>
      <c r="O682" s="5" t="n">
        <v>250</v>
      </c>
      <c r="P682" s="5" t="n"/>
      <c r="Q682" s="5" t="n">
        <v>250</v>
      </c>
      <c r="R682" s="5" t="n"/>
    </row>
    <row r="683">
      <c r="A683" s="2" t="inlineStr">
        <is>
          <t>EJ020424.TXT</t>
        </is>
      </c>
      <c r="B683" s="3" t="inlineStr">
        <is>
          <t>005297</t>
        </is>
      </c>
      <c r="C683" s="3" t="inlineStr">
        <is>
          <t>004243</t>
        </is>
      </c>
      <c r="D683" s="4" t="n">
        <v>45359</v>
      </c>
      <c r="E683" s="2" t="inlineStr">
        <is>
          <t>17:53</t>
        </is>
      </c>
      <c r="F683" s="5" t="n">
        <v>208.33</v>
      </c>
      <c r="G683" s="5" t="n"/>
      <c r="H683" s="5" t="n"/>
      <c r="I683" s="5" t="n"/>
      <c r="J683" s="5" t="n">
        <v>41.67</v>
      </c>
      <c r="K683" s="5" t="n"/>
      <c r="L683" s="5" t="n"/>
      <c r="M683" s="5" t="n"/>
      <c r="N683" s="5" t="n"/>
      <c r="O683" s="5" t="n">
        <v>250</v>
      </c>
      <c r="P683" s="5" t="n"/>
      <c r="Q683" s="5" t="n">
        <v>250</v>
      </c>
      <c r="R683" s="5" t="n"/>
    </row>
    <row r="684">
      <c r="A684" s="2" t="inlineStr">
        <is>
          <t>EJ020424.TXT</t>
        </is>
      </c>
      <c r="B684" s="3" t="inlineStr">
        <is>
          <t>005298</t>
        </is>
      </c>
      <c r="C684" s="3" t="inlineStr">
        <is>
          <t>004244</t>
        </is>
      </c>
      <c r="D684" s="4" t="n">
        <v>45360</v>
      </c>
      <c r="E684" s="2" t="inlineStr">
        <is>
          <t>18:26</t>
        </is>
      </c>
      <c r="F684" s="5" t="n">
        <v>548.33</v>
      </c>
      <c r="G684" s="5" t="n"/>
      <c r="H684" s="5" t="n"/>
      <c r="I684" s="5" t="n"/>
      <c r="J684" s="5" t="n">
        <v>109.67</v>
      </c>
      <c r="K684" s="5" t="n"/>
      <c r="L684" s="5" t="n"/>
      <c r="M684" s="5" t="n"/>
      <c r="N684" s="5" t="n"/>
      <c r="O684" s="5" t="n">
        <v>658</v>
      </c>
      <c r="P684" s="5" t="n"/>
      <c r="Q684" s="5" t="n">
        <v>658</v>
      </c>
      <c r="R684" s="5" t="n"/>
    </row>
    <row r="685">
      <c r="A685" s="2" t="inlineStr">
        <is>
          <t>EJ020424.TXT</t>
        </is>
      </c>
      <c r="B685" s="3" t="inlineStr">
        <is>
          <t>005299</t>
        </is>
      </c>
      <c r="C685" s="3" t="inlineStr">
        <is>
          <t>004245</t>
        </is>
      </c>
      <c r="D685" s="4" t="n">
        <v>45360</v>
      </c>
      <c r="E685" s="2" t="inlineStr">
        <is>
          <t>18:29</t>
        </is>
      </c>
      <c r="F685" s="5" t="n">
        <v>223.25</v>
      </c>
      <c r="G685" s="5" t="n"/>
      <c r="H685" s="5" t="n"/>
      <c r="I685" s="5" t="n"/>
      <c r="J685" s="5" t="n">
        <v>44.65</v>
      </c>
      <c r="K685" s="5" t="n"/>
      <c r="L685" s="5" t="n"/>
      <c r="M685" s="5" t="n"/>
      <c r="N685" s="5" t="n"/>
      <c r="O685" s="5" t="n">
        <v>267.9</v>
      </c>
      <c r="P685" s="5" t="n">
        <v>267.9</v>
      </c>
      <c r="Q685" s="5" t="n"/>
      <c r="R685" s="5" t="n"/>
    </row>
    <row r="686">
      <c r="A686" s="2" t="inlineStr">
        <is>
          <t>EJ020424.TXT</t>
        </is>
      </c>
      <c r="B686" s="3" t="inlineStr">
        <is>
          <t>005300</t>
        </is>
      </c>
      <c r="C686" s="3" t="inlineStr">
        <is>
          <t>004246</t>
        </is>
      </c>
      <c r="D686" s="4" t="n">
        <v>45366</v>
      </c>
      <c r="E686" s="2" t="inlineStr">
        <is>
          <t>11:54</t>
        </is>
      </c>
      <c r="F686" s="5" t="n">
        <v>548.33</v>
      </c>
      <c r="G686" s="5" t="n"/>
      <c r="H686" s="5" t="n"/>
      <c r="I686" s="5" t="n"/>
      <c r="J686" s="5" t="n">
        <v>109.67</v>
      </c>
      <c r="K686" s="5" t="n"/>
      <c r="L686" s="5" t="n"/>
      <c r="M686" s="5" t="n"/>
      <c r="N686" s="5" t="n"/>
      <c r="O686" s="5" t="n">
        <v>658</v>
      </c>
      <c r="P686" s="5" t="n"/>
      <c r="Q686" s="5" t="n">
        <v>658</v>
      </c>
      <c r="R686" s="5" t="n"/>
    </row>
    <row r="687">
      <c r="A687" s="2" t="inlineStr">
        <is>
          <t>EJ020424.TXT</t>
        </is>
      </c>
      <c r="B687" s="3" t="inlineStr">
        <is>
          <t>005301</t>
        </is>
      </c>
      <c r="C687" s="3" t="inlineStr">
        <is>
          <t>004247</t>
        </is>
      </c>
      <c r="D687" s="4" t="n">
        <v>45366</v>
      </c>
      <c r="E687" s="2" t="inlineStr">
        <is>
          <t>17:21</t>
        </is>
      </c>
      <c r="F687" s="5" t="n">
        <v>208.33</v>
      </c>
      <c r="G687" s="5" t="n"/>
      <c r="H687" s="5" t="n"/>
      <c r="I687" s="5" t="n"/>
      <c r="J687" s="5" t="n">
        <v>41.67</v>
      </c>
      <c r="K687" s="5" t="n"/>
      <c r="L687" s="5" t="n"/>
      <c r="M687" s="5" t="n"/>
      <c r="N687" s="5" t="n"/>
      <c r="O687" s="5" t="n">
        <v>250</v>
      </c>
      <c r="P687" s="5" t="n"/>
      <c r="Q687" s="5" t="n">
        <v>250</v>
      </c>
      <c r="R687" s="5" t="n"/>
    </row>
    <row r="688">
      <c r="A688" s="2" t="inlineStr">
        <is>
          <t>EJ020424.TXT</t>
        </is>
      </c>
      <c r="B688" s="3" t="inlineStr">
        <is>
          <t>005302</t>
        </is>
      </c>
      <c r="C688" s="3" t="inlineStr">
        <is>
          <t>004248</t>
        </is>
      </c>
      <c r="D688" s="4" t="n">
        <v>45369</v>
      </c>
      <c r="E688" s="2" t="inlineStr">
        <is>
          <t>11:00</t>
        </is>
      </c>
      <c r="F688" s="5" t="n">
        <v>548.33</v>
      </c>
      <c r="G688" s="5" t="n"/>
      <c r="H688" s="5" t="n"/>
      <c r="I688" s="5" t="n"/>
      <c r="J688" s="5" t="n">
        <v>109.67</v>
      </c>
      <c r="K688" s="5" t="n"/>
      <c r="L688" s="5" t="n"/>
      <c r="M688" s="5" t="n"/>
      <c r="N688" s="5" t="n"/>
      <c r="O688" s="5" t="n">
        <v>658</v>
      </c>
      <c r="P688" s="5" t="n"/>
      <c r="Q688" s="5" t="n">
        <v>658</v>
      </c>
      <c r="R688" s="5" t="n"/>
    </row>
    <row r="689">
      <c r="A689" s="2" t="inlineStr">
        <is>
          <t>EJ020424.TXT</t>
        </is>
      </c>
      <c r="B689" s="3" t="inlineStr">
        <is>
          <t>005303</t>
        </is>
      </c>
      <c r="C689" s="3" t="inlineStr">
        <is>
          <t>004249</t>
        </is>
      </c>
      <c r="D689" s="4" t="n">
        <v>45369</v>
      </c>
      <c r="E689" s="2" t="inlineStr">
        <is>
          <t>16:36</t>
        </is>
      </c>
      <c r="F689" s="5" t="n">
        <v>208.33</v>
      </c>
      <c r="G689" s="5" t="n"/>
      <c r="H689" s="5" t="n"/>
      <c r="I689" s="5" t="n"/>
      <c r="J689" s="5" t="n">
        <v>41.67</v>
      </c>
      <c r="K689" s="5" t="n"/>
      <c r="L689" s="5" t="n"/>
      <c r="M689" s="5" t="n"/>
      <c r="N689" s="5" t="n"/>
      <c r="O689" s="5" t="n">
        <v>250</v>
      </c>
      <c r="P689" s="5" t="n"/>
      <c r="Q689" s="5" t="n">
        <v>250</v>
      </c>
      <c r="R689" s="5" t="n"/>
    </row>
    <row r="690">
      <c r="A690" s="2" t="inlineStr">
        <is>
          <t>EJ020424.TXT</t>
        </is>
      </c>
      <c r="B690" s="3" t="inlineStr">
        <is>
          <t>005304</t>
        </is>
      </c>
      <c r="C690" s="3" t="inlineStr">
        <is>
          <t>004250</t>
        </is>
      </c>
      <c r="D690" s="4" t="n">
        <v>45370</v>
      </c>
      <c r="E690" s="2" t="inlineStr">
        <is>
          <t>17:05</t>
        </is>
      </c>
      <c r="F690" s="5" t="n">
        <v>199.17</v>
      </c>
      <c r="G690" s="5" t="n"/>
      <c r="H690" s="5" t="n"/>
      <c r="I690" s="5" t="n"/>
      <c r="J690" s="5" t="n">
        <v>39.83</v>
      </c>
      <c r="K690" s="5" t="n"/>
      <c r="L690" s="5" t="n"/>
      <c r="M690" s="5" t="n"/>
      <c r="N690" s="5" t="n"/>
      <c r="O690" s="5" t="n">
        <v>239</v>
      </c>
      <c r="P690" s="5" t="n">
        <v>239</v>
      </c>
      <c r="Q690" s="5" t="n"/>
      <c r="R690" s="5" t="n"/>
    </row>
    <row r="691">
      <c r="A691" s="2" t="inlineStr">
        <is>
          <t>EJ020424.TXT</t>
        </is>
      </c>
      <c r="B691" s="3" t="inlineStr">
        <is>
          <t>005305</t>
        </is>
      </c>
      <c r="C691" s="3" t="inlineStr">
        <is>
          <t>004251</t>
        </is>
      </c>
      <c r="D691" s="4" t="n">
        <v>45372</v>
      </c>
      <c r="E691" s="2" t="inlineStr">
        <is>
          <t>10:23</t>
        </is>
      </c>
      <c r="F691" s="5" t="n">
        <v>548.33</v>
      </c>
      <c r="G691" s="5" t="n"/>
      <c r="H691" s="5" t="n"/>
      <c r="I691" s="5" t="n"/>
      <c r="J691" s="5" t="n">
        <v>109.67</v>
      </c>
      <c r="K691" s="5" t="n"/>
      <c r="L691" s="5" t="n"/>
      <c r="M691" s="5" t="n"/>
      <c r="N691" s="5" t="n"/>
      <c r="O691" s="5" t="n">
        <v>658</v>
      </c>
      <c r="P691" s="5" t="n"/>
      <c r="Q691" s="5" t="n">
        <v>658</v>
      </c>
      <c r="R691" s="5" t="n"/>
    </row>
    <row r="692">
      <c r="A692" s="2" t="inlineStr">
        <is>
          <t>EJ020424.TXT</t>
        </is>
      </c>
      <c r="B692" s="3" t="inlineStr">
        <is>
          <t>005306</t>
        </is>
      </c>
      <c r="C692" s="3" t="inlineStr">
        <is>
          <t>004252</t>
        </is>
      </c>
      <c r="D692" s="4" t="n">
        <v>45372</v>
      </c>
      <c r="E692" s="2" t="inlineStr">
        <is>
          <t>11:16</t>
        </is>
      </c>
      <c r="F692" s="5" t="n">
        <v>66.33</v>
      </c>
      <c r="G692" s="5" t="n"/>
      <c r="H692" s="5" t="n"/>
      <c r="I692" s="5" t="n"/>
      <c r="J692" s="5" t="n">
        <v>13.27</v>
      </c>
      <c r="K692" s="5" t="n"/>
      <c r="L692" s="5" t="n"/>
      <c r="M692" s="5" t="n"/>
      <c r="N692" s="5" t="n"/>
      <c r="O692" s="5" t="n">
        <v>79.59999999999999</v>
      </c>
      <c r="P692" s="5" t="n">
        <v>79.59999999999999</v>
      </c>
      <c r="Q692" s="5" t="n"/>
      <c r="R692" s="5" t="n"/>
    </row>
    <row r="693">
      <c r="A693" s="2" t="inlineStr">
        <is>
          <t>EJ020424.TXT</t>
        </is>
      </c>
      <c r="B693" s="3" t="inlineStr">
        <is>
          <t>005307</t>
        </is>
      </c>
      <c r="C693" s="3" t="inlineStr">
        <is>
          <t>004253</t>
        </is>
      </c>
      <c r="D693" s="4" t="n">
        <v>45373</v>
      </c>
      <c r="E693" s="2" t="inlineStr">
        <is>
          <t>16:12</t>
        </is>
      </c>
      <c r="F693" s="5" t="n">
        <v>548.33</v>
      </c>
      <c r="G693" s="5" t="n"/>
      <c r="H693" s="5" t="n"/>
      <c r="I693" s="5" t="n"/>
      <c r="J693" s="5" t="n">
        <v>109.67</v>
      </c>
      <c r="K693" s="5" t="n"/>
      <c r="L693" s="5" t="n"/>
      <c r="M693" s="5" t="n"/>
      <c r="N693" s="5" t="n"/>
      <c r="O693" s="5" t="n">
        <v>658</v>
      </c>
      <c r="P693" s="5" t="n"/>
      <c r="Q693" s="5" t="n">
        <v>658</v>
      </c>
      <c r="R693" s="5" t="n"/>
    </row>
    <row r="694">
      <c r="A694" s="2" t="inlineStr">
        <is>
          <t>EJ020424.TXT</t>
        </is>
      </c>
      <c r="B694" s="3" t="inlineStr">
        <is>
          <t>005308</t>
        </is>
      </c>
      <c r="C694" s="3" t="inlineStr">
        <is>
          <t>004254</t>
        </is>
      </c>
      <c r="D694" s="4" t="n">
        <v>45373</v>
      </c>
      <c r="E694" s="2" t="inlineStr">
        <is>
          <t>16:18</t>
        </is>
      </c>
      <c r="F694" s="5" t="n">
        <v>208.33</v>
      </c>
      <c r="G694" s="5" t="n"/>
      <c r="H694" s="5" t="n"/>
      <c r="I694" s="5" t="n"/>
      <c r="J694" s="5" t="n">
        <v>41.67</v>
      </c>
      <c r="K694" s="5" t="n"/>
      <c r="L694" s="5" t="n"/>
      <c r="M694" s="5" t="n"/>
      <c r="N694" s="5" t="n"/>
      <c r="O694" s="5" t="n">
        <v>250</v>
      </c>
      <c r="P694" s="5" t="n"/>
      <c r="Q694" s="5" t="n">
        <v>250</v>
      </c>
      <c r="R694" s="5" t="n"/>
    </row>
    <row r="695">
      <c r="A695" s="2" t="inlineStr">
        <is>
          <t>EJ020424.TXT</t>
        </is>
      </c>
      <c r="B695" s="3" t="inlineStr">
        <is>
          <t>005309</t>
        </is>
      </c>
      <c r="C695" s="3" t="inlineStr">
        <is>
          <t>004255</t>
        </is>
      </c>
      <c r="D695" s="4" t="n">
        <v>45374</v>
      </c>
      <c r="E695" s="2" t="inlineStr">
        <is>
          <t>16:12</t>
        </is>
      </c>
      <c r="F695" s="5" t="n">
        <v>548.33</v>
      </c>
      <c r="G695" s="5" t="n"/>
      <c r="H695" s="5" t="n"/>
      <c r="I695" s="5" t="n"/>
      <c r="J695" s="5" t="n">
        <v>109.67</v>
      </c>
      <c r="K695" s="5" t="n"/>
      <c r="L695" s="5" t="n"/>
      <c r="M695" s="5" t="n"/>
      <c r="N695" s="5" t="n"/>
      <c r="O695" s="5" t="n">
        <v>658</v>
      </c>
      <c r="P695" s="5" t="n"/>
      <c r="Q695" s="5" t="n">
        <v>658</v>
      </c>
      <c r="R695" s="5" t="n"/>
    </row>
    <row r="696">
      <c r="A696" s="2" t="inlineStr">
        <is>
          <t>EJ020424.TXT</t>
        </is>
      </c>
      <c r="B696" s="3" t="inlineStr">
        <is>
          <t>005310</t>
        </is>
      </c>
      <c r="C696" s="3" t="inlineStr">
        <is>
          <t>004256</t>
        </is>
      </c>
      <c r="D696" s="4" t="n">
        <v>45374</v>
      </c>
      <c r="E696" s="2" t="inlineStr">
        <is>
          <t>17:11</t>
        </is>
      </c>
      <c r="F696" s="5" t="n">
        <v>265.83</v>
      </c>
      <c r="G696" s="5" t="n"/>
      <c r="H696" s="5" t="n"/>
      <c r="I696" s="5" t="n"/>
      <c r="J696" s="5" t="n">
        <v>53.17</v>
      </c>
      <c r="K696" s="5" t="n"/>
      <c r="L696" s="5" t="n"/>
      <c r="M696" s="5" t="n"/>
      <c r="N696" s="5" t="n"/>
      <c r="O696" s="5" t="n">
        <v>319</v>
      </c>
      <c r="P696" s="5" t="n"/>
      <c r="Q696" s="5" t="n">
        <v>319</v>
      </c>
      <c r="R696" s="5" t="n"/>
    </row>
    <row r="697">
      <c r="A697" s="2" t="inlineStr">
        <is>
          <t>EJ020424.TXT</t>
        </is>
      </c>
      <c r="B697" s="3" t="inlineStr">
        <is>
          <t>005311</t>
        </is>
      </c>
      <c r="C697" s="3" t="inlineStr">
        <is>
          <t>004257</t>
        </is>
      </c>
      <c r="D697" s="4" t="n">
        <v>45379</v>
      </c>
      <c r="E697" s="2" t="inlineStr">
        <is>
          <t>11:26</t>
        </is>
      </c>
      <c r="F697" s="5" t="n">
        <v>208.33</v>
      </c>
      <c r="G697" s="5" t="n"/>
      <c r="H697" s="5" t="n"/>
      <c r="I697" s="5" t="n"/>
      <c r="J697" s="5" t="n">
        <v>41.67</v>
      </c>
      <c r="K697" s="5" t="n"/>
      <c r="L697" s="5" t="n"/>
      <c r="M697" s="5" t="n"/>
      <c r="N697" s="5" t="n"/>
      <c r="O697" s="5" t="n">
        <v>250</v>
      </c>
      <c r="P697" s="5" t="n"/>
      <c r="Q697" s="5" t="n">
        <v>250</v>
      </c>
      <c r="R697" s="5" t="n"/>
    </row>
    <row r="698">
      <c r="A698" s="2" t="inlineStr">
        <is>
          <t>EJ020424.TXT</t>
        </is>
      </c>
      <c r="B698" s="3" t="inlineStr">
        <is>
          <t>005312</t>
        </is>
      </c>
      <c r="C698" s="3" t="inlineStr">
        <is>
          <t>004258</t>
        </is>
      </c>
      <c r="D698" s="4" t="n">
        <v>45379</v>
      </c>
      <c r="E698" s="2" t="inlineStr">
        <is>
          <t>15:36</t>
        </is>
      </c>
      <c r="F698" s="5" t="n">
        <v>274.17</v>
      </c>
      <c r="G698" s="5" t="n"/>
      <c r="H698" s="5" t="n"/>
      <c r="I698" s="5" t="n"/>
      <c r="J698" s="5" t="n">
        <v>54.83</v>
      </c>
      <c r="K698" s="5" t="n"/>
      <c r="L698" s="5" t="n"/>
      <c r="M698" s="5" t="n"/>
      <c r="N698" s="5" t="n"/>
      <c r="O698" s="5" t="n">
        <v>329</v>
      </c>
      <c r="P698" s="5" t="n"/>
      <c r="Q698" s="5" t="n">
        <v>329</v>
      </c>
      <c r="R698" s="5" t="n"/>
    </row>
    <row r="699">
      <c r="A699" s="2" t="inlineStr">
        <is>
          <t>EJ020424.TXT</t>
        </is>
      </c>
      <c r="B699" s="3" t="inlineStr">
        <is>
          <t>005313</t>
        </is>
      </c>
      <c r="C699" s="3" t="inlineStr">
        <is>
          <t>004259</t>
        </is>
      </c>
      <c r="D699" s="4" t="n">
        <v>45380</v>
      </c>
      <c r="E699" s="2" t="inlineStr">
        <is>
          <t>11:53</t>
        </is>
      </c>
      <c r="F699" s="5" t="n">
        <v>74</v>
      </c>
      <c r="G699" s="5" t="n"/>
      <c r="H699" s="5" t="n"/>
      <c r="I699" s="5" t="n"/>
      <c r="J699" s="5" t="n">
        <v>14.8</v>
      </c>
      <c r="K699" s="5" t="n"/>
      <c r="L699" s="5" t="n"/>
      <c r="M699" s="5" t="n"/>
      <c r="N699" s="5" t="n"/>
      <c r="O699" s="5" t="n">
        <v>88.8</v>
      </c>
      <c r="P699" s="5" t="n"/>
      <c r="Q699" s="5" t="n">
        <v>88.8</v>
      </c>
      <c r="R699" s="5" t="n"/>
    </row>
    <row r="700">
      <c r="A700" s="2" t="inlineStr">
        <is>
          <t>EJ020424.TXT</t>
        </is>
      </c>
      <c r="B700" s="3" t="inlineStr">
        <is>
          <t>005314</t>
        </is>
      </c>
      <c r="C700" s="3" t="inlineStr">
        <is>
          <t>004260</t>
        </is>
      </c>
      <c r="D700" s="4" t="n">
        <v>45380</v>
      </c>
      <c r="E700" s="2" t="inlineStr">
        <is>
          <t>17:02</t>
        </is>
      </c>
      <c r="F700" s="5" t="n">
        <v>208.33</v>
      </c>
      <c r="G700" s="5" t="n"/>
      <c r="H700" s="5" t="n"/>
      <c r="I700" s="5" t="n"/>
      <c r="J700" s="5" t="n">
        <v>41.67</v>
      </c>
      <c r="K700" s="5" t="n"/>
      <c r="L700" s="5" t="n"/>
      <c r="M700" s="5" t="n"/>
      <c r="N700" s="5" t="n"/>
      <c r="O700" s="5" t="n">
        <v>250</v>
      </c>
      <c r="P700" s="5" t="n"/>
      <c r="Q700" s="5" t="n">
        <v>250</v>
      </c>
      <c r="R700" s="5" t="n"/>
    </row>
    <row r="701">
      <c r="A701" s="2" t="inlineStr">
        <is>
          <t>EJ020424.TXT</t>
        </is>
      </c>
      <c r="B701" s="3" t="inlineStr">
        <is>
          <t>005315</t>
        </is>
      </c>
      <c r="C701" s="3" t="inlineStr">
        <is>
          <t>004261</t>
        </is>
      </c>
      <c r="D701" s="4" t="n">
        <v>45381</v>
      </c>
      <c r="E701" s="2" t="inlineStr">
        <is>
          <t>15:02</t>
        </is>
      </c>
      <c r="F701" s="5" t="n">
        <v>822.5</v>
      </c>
      <c r="G701" s="5" t="n"/>
      <c r="H701" s="5" t="n"/>
      <c r="I701" s="5" t="n"/>
      <c r="J701" s="5" t="n">
        <v>164.5</v>
      </c>
      <c r="K701" s="5" t="n"/>
      <c r="L701" s="5" t="n"/>
      <c r="M701" s="5" t="n"/>
      <c r="N701" s="5" t="n"/>
      <c r="O701" s="5" t="n">
        <v>987</v>
      </c>
      <c r="P701" s="5" t="n"/>
      <c r="Q701" s="5" t="n">
        <v>987</v>
      </c>
      <c r="R701" s="5" t="n"/>
    </row>
    <row r="702">
      <c r="A702" s="2" t="inlineStr">
        <is>
          <t>EJ020424.TXT</t>
        </is>
      </c>
      <c r="B702" s="3" t="inlineStr">
        <is>
          <t>005316</t>
        </is>
      </c>
      <c r="C702" s="3" t="inlineStr">
        <is>
          <t>004262</t>
        </is>
      </c>
      <c r="D702" s="4" t="n">
        <v>45381</v>
      </c>
      <c r="E702" s="2" t="inlineStr">
        <is>
          <t>15:03</t>
        </is>
      </c>
      <c r="F702" s="5" t="n">
        <v>548.33</v>
      </c>
      <c r="G702" s="5" t="n"/>
      <c r="H702" s="5" t="n"/>
      <c r="I702" s="5" t="n"/>
      <c r="J702" s="5" t="n">
        <v>109.67</v>
      </c>
      <c r="K702" s="5" t="n"/>
      <c r="L702" s="5" t="n"/>
      <c r="M702" s="5" t="n"/>
      <c r="N702" s="5" t="n"/>
      <c r="O702" s="5" t="n">
        <v>658</v>
      </c>
      <c r="P702" s="5" t="n"/>
      <c r="Q702" s="5" t="n">
        <v>658</v>
      </c>
      <c r="R702" s="5" t="n"/>
    </row>
    <row r="703">
      <c r="A703" s="2" t="inlineStr">
        <is>
          <t>EJ020424.TXT</t>
        </is>
      </c>
      <c r="B703" s="3" t="inlineStr">
        <is>
          <t>005317</t>
        </is>
      </c>
      <c r="C703" s="3" t="inlineStr">
        <is>
          <t>004263</t>
        </is>
      </c>
      <c r="D703" s="4" t="n">
        <v>45381</v>
      </c>
      <c r="E703" s="2" t="inlineStr">
        <is>
          <t>15:03</t>
        </is>
      </c>
      <c r="F703" s="5" t="n">
        <v>274.17</v>
      </c>
      <c r="G703" s="5" t="n"/>
      <c r="H703" s="5" t="n"/>
      <c r="I703" s="5" t="n"/>
      <c r="J703" s="5" t="n">
        <v>54.83</v>
      </c>
      <c r="K703" s="5" t="n"/>
      <c r="L703" s="5" t="n"/>
      <c r="M703" s="5" t="n"/>
      <c r="N703" s="5" t="n"/>
      <c r="O703" s="5" t="n">
        <v>329</v>
      </c>
      <c r="P703" s="5" t="n"/>
      <c r="Q703" s="5" t="n">
        <v>329</v>
      </c>
      <c r="R703" s="5" t="n"/>
    </row>
    <row r="704">
      <c r="A704" s="2" t="inlineStr">
        <is>
          <t>EJ020424.TXT</t>
        </is>
      </c>
      <c r="B704" s="3" t="inlineStr">
        <is>
          <t>005318</t>
        </is>
      </c>
      <c r="C704" s="3" t="inlineStr">
        <is>
          <t>004264</t>
        </is>
      </c>
      <c r="D704" s="4" t="n">
        <v>45381</v>
      </c>
      <c r="E704" s="2" t="inlineStr">
        <is>
          <t>15:03</t>
        </is>
      </c>
      <c r="F704" s="5" t="n">
        <v>548.33</v>
      </c>
      <c r="G704" s="5" t="n"/>
      <c r="H704" s="5" t="n"/>
      <c r="I704" s="5" t="n"/>
      <c r="J704" s="5" t="n">
        <v>109.67</v>
      </c>
      <c r="K704" s="5" t="n"/>
      <c r="L704" s="5" t="n"/>
      <c r="M704" s="5" t="n"/>
      <c r="N704" s="5" t="n"/>
      <c r="O704" s="5" t="n">
        <v>658</v>
      </c>
      <c r="P704" s="5" t="n"/>
      <c r="Q704" s="5" t="n">
        <v>658</v>
      </c>
      <c r="R704" s="5" t="n"/>
    </row>
    <row r="705">
      <c r="A705" s="2" t="inlineStr">
        <is>
          <t>EJ020424.TXT</t>
        </is>
      </c>
      <c r="B705" s="3" t="inlineStr">
        <is>
          <t>005319</t>
        </is>
      </c>
      <c r="C705" s="3" t="inlineStr">
        <is>
          <t>004265</t>
        </is>
      </c>
      <c r="D705" s="4" t="n">
        <v>45381</v>
      </c>
      <c r="E705" s="2" t="inlineStr">
        <is>
          <t>15:04</t>
        </is>
      </c>
      <c r="F705" s="5" t="n">
        <v>274.17</v>
      </c>
      <c r="G705" s="5" t="n"/>
      <c r="H705" s="5" t="n"/>
      <c r="I705" s="5" t="n"/>
      <c r="J705" s="5" t="n">
        <v>54.83</v>
      </c>
      <c r="K705" s="5" t="n"/>
      <c r="L705" s="5" t="n"/>
      <c r="M705" s="5" t="n"/>
      <c r="N705" s="5" t="n"/>
      <c r="O705" s="5" t="n">
        <v>329</v>
      </c>
      <c r="P705" s="5" t="n"/>
      <c r="Q705" s="5" t="n">
        <v>329</v>
      </c>
      <c r="R705" s="5" t="n"/>
    </row>
    <row r="706">
      <c r="A706" s="2" t="inlineStr">
        <is>
          <t>EJ020424.TXT</t>
        </is>
      </c>
      <c r="B706" s="3" t="inlineStr">
        <is>
          <t>005320</t>
        </is>
      </c>
      <c r="C706" s="3" t="inlineStr">
        <is>
          <t>004266</t>
        </is>
      </c>
      <c r="D706" s="4" t="n">
        <v>45381</v>
      </c>
      <c r="E706" s="2" t="inlineStr">
        <is>
          <t>15:04</t>
        </is>
      </c>
      <c r="F706" s="5" t="n">
        <v>548.33</v>
      </c>
      <c r="G706" s="5" t="n"/>
      <c r="H706" s="5" t="n"/>
      <c r="I706" s="5" t="n"/>
      <c r="J706" s="5" t="n">
        <v>109.67</v>
      </c>
      <c r="K706" s="5" t="n"/>
      <c r="L706" s="5" t="n"/>
      <c r="M706" s="5" t="n"/>
      <c r="N706" s="5" t="n"/>
      <c r="O706" s="5" t="n">
        <v>658</v>
      </c>
      <c r="P706" s="5" t="n"/>
      <c r="Q706" s="5" t="n">
        <v>658</v>
      </c>
      <c r="R706" s="5" t="n"/>
    </row>
    <row r="707">
      <c r="A707" s="2" t="inlineStr">
        <is>
          <t>EJ020424.TXT</t>
        </is>
      </c>
      <c r="B707" s="3" t="inlineStr">
        <is>
          <t>005321</t>
        </is>
      </c>
      <c r="C707" s="3" t="inlineStr">
        <is>
          <t>004267</t>
        </is>
      </c>
      <c r="D707" s="4" t="n">
        <v>45381</v>
      </c>
      <c r="E707" s="2" t="inlineStr">
        <is>
          <t>15:04</t>
        </is>
      </c>
      <c r="F707" s="5" t="n">
        <v>274.17</v>
      </c>
      <c r="G707" s="5" t="n"/>
      <c r="H707" s="5" t="n"/>
      <c r="I707" s="5" t="n"/>
      <c r="J707" s="5" t="n">
        <v>54.83</v>
      </c>
      <c r="K707" s="5" t="n"/>
      <c r="L707" s="5" t="n"/>
      <c r="M707" s="5" t="n"/>
      <c r="N707" s="5" t="n"/>
      <c r="O707" s="5" t="n">
        <v>329</v>
      </c>
      <c r="P707" s="5" t="n"/>
      <c r="Q707" s="5" t="n">
        <v>329</v>
      </c>
      <c r="R707" s="5" t="n"/>
    </row>
    <row r="708">
      <c r="A708" s="2" t="inlineStr">
        <is>
          <t>EJ020424.TXT</t>
        </is>
      </c>
      <c r="B708" s="3" t="inlineStr">
        <is>
          <t>005322</t>
        </is>
      </c>
      <c r="C708" s="3" t="inlineStr">
        <is>
          <t>004268</t>
        </is>
      </c>
      <c r="D708" s="4" t="n">
        <v>45381</v>
      </c>
      <c r="E708" s="2" t="inlineStr">
        <is>
          <t>15:05</t>
        </is>
      </c>
      <c r="F708" s="5" t="n">
        <v>822.5</v>
      </c>
      <c r="G708" s="5" t="n"/>
      <c r="H708" s="5" t="n"/>
      <c r="I708" s="5" t="n"/>
      <c r="J708" s="5" t="n">
        <v>164.5</v>
      </c>
      <c r="K708" s="5" t="n"/>
      <c r="L708" s="5" t="n"/>
      <c r="M708" s="5" t="n"/>
      <c r="N708" s="5" t="n"/>
      <c r="O708" s="5" t="n">
        <v>987</v>
      </c>
      <c r="P708" s="5" t="n"/>
      <c r="Q708" s="5" t="n">
        <v>987</v>
      </c>
      <c r="R708" s="5" t="n"/>
    </row>
    <row r="709">
      <c r="A709" s="2" t="inlineStr">
        <is>
          <t>EJ020424.TXT</t>
        </is>
      </c>
      <c r="B709" s="3" t="inlineStr">
        <is>
          <t>005323</t>
        </is>
      </c>
      <c r="C709" s="3" t="inlineStr">
        <is>
          <t>004269</t>
        </is>
      </c>
      <c r="D709" s="4" t="n">
        <v>45381</v>
      </c>
      <c r="E709" s="2" t="inlineStr">
        <is>
          <t>15:05</t>
        </is>
      </c>
      <c r="F709" s="5" t="n">
        <v>822.5</v>
      </c>
      <c r="G709" s="5" t="n"/>
      <c r="H709" s="5" t="n"/>
      <c r="I709" s="5" t="n"/>
      <c r="J709" s="5" t="n">
        <v>164.5</v>
      </c>
      <c r="K709" s="5" t="n"/>
      <c r="L709" s="5" t="n"/>
      <c r="M709" s="5" t="n"/>
      <c r="N709" s="5" t="n"/>
      <c r="O709" s="5" t="n">
        <v>987</v>
      </c>
      <c r="P709" s="5" t="n"/>
      <c r="Q709" s="5" t="n">
        <v>987</v>
      </c>
      <c r="R709" s="5" t="n"/>
    </row>
    <row r="710">
      <c r="A710" s="2" t="inlineStr">
        <is>
          <t>EJ020424.TXT</t>
        </is>
      </c>
      <c r="B710" s="3" t="inlineStr">
        <is>
          <t>005324</t>
        </is>
      </c>
      <c r="C710" s="3" t="inlineStr">
        <is>
          <t>004270</t>
        </is>
      </c>
      <c r="D710" s="4" t="n">
        <v>45381</v>
      </c>
      <c r="E710" s="2" t="inlineStr">
        <is>
          <t>17:42</t>
        </is>
      </c>
      <c r="F710" s="5" t="n">
        <v>58.25</v>
      </c>
      <c r="G710" s="5" t="n"/>
      <c r="H710" s="5" t="n"/>
      <c r="I710" s="5" t="n"/>
      <c r="J710" s="5" t="n">
        <v>11.65</v>
      </c>
      <c r="K710" s="5" t="n"/>
      <c r="L710" s="5" t="n"/>
      <c r="M710" s="5" t="n"/>
      <c r="N710" s="5" t="n"/>
      <c r="O710" s="5" t="n">
        <v>69.90000000000001</v>
      </c>
      <c r="P710" s="5" t="n"/>
      <c r="Q710" s="5" t="n">
        <v>69.90000000000001</v>
      </c>
      <c r="R710" s="5" t="n"/>
    </row>
    <row r="711">
      <c r="A711" s="2" t="inlineStr">
        <is>
          <t>EJ020424.TXT</t>
        </is>
      </c>
      <c r="B711" s="3" t="inlineStr">
        <is>
          <t>005325</t>
        </is>
      </c>
      <c r="C711" s="3" t="inlineStr">
        <is>
          <t>004271</t>
        </is>
      </c>
      <c r="D711" s="4" t="n">
        <v>45381</v>
      </c>
      <c r="E711" s="2" t="inlineStr">
        <is>
          <t>17:47</t>
        </is>
      </c>
      <c r="F711" s="5" t="n">
        <v>94.92</v>
      </c>
      <c r="G711" s="5" t="n"/>
      <c r="H711" s="5" t="n"/>
      <c r="I711" s="5" t="n"/>
      <c r="J711" s="5" t="n">
        <v>18.98</v>
      </c>
      <c r="K711" s="5" t="n"/>
      <c r="L711" s="5" t="n"/>
      <c r="M711" s="5" t="n"/>
      <c r="N711" s="5" t="n"/>
      <c r="O711" s="5" t="n">
        <v>113.9</v>
      </c>
      <c r="P711" s="5" t="n"/>
      <c r="Q711" s="5" t="n">
        <v>113.9</v>
      </c>
      <c r="R711" s="5" t="n"/>
    </row>
    <row r="712">
      <c r="A712" s="2" t="inlineStr">
        <is>
          <t>EJ300424.TXT</t>
        </is>
      </c>
      <c r="B712" s="3" t="inlineStr">
        <is>
          <t>005333</t>
        </is>
      </c>
      <c r="C712" s="3" t="inlineStr">
        <is>
          <t>004272</t>
        </is>
      </c>
      <c r="D712" s="4" t="n">
        <v>45385</v>
      </c>
      <c r="E712" s="2" t="inlineStr">
        <is>
          <t>09:59</t>
        </is>
      </c>
      <c r="F712" s="5" t="n">
        <v>582.5</v>
      </c>
      <c r="G712" s="5" t="n"/>
      <c r="H712" s="5" t="n"/>
      <c r="I712" s="5" t="n"/>
      <c r="J712" s="5" t="n">
        <v>116.5</v>
      </c>
      <c r="K712" s="5" t="n"/>
      <c r="L712" s="5" t="n"/>
      <c r="M712" s="5" t="n"/>
      <c r="N712" s="5" t="n"/>
      <c r="O712" s="5" t="n">
        <v>699</v>
      </c>
      <c r="P712" s="5" t="n">
        <v>699</v>
      </c>
      <c r="Q712" s="5" t="n"/>
      <c r="R712" s="5" t="n"/>
    </row>
    <row r="713">
      <c r="A713" s="2" t="inlineStr">
        <is>
          <t>EJ300424.TXT</t>
        </is>
      </c>
      <c r="B713" s="3" t="inlineStr">
        <is>
          <t>005334</t>
        </is>
      </c>
      <c r="C713" s="3" t="inlineStr">
        <is>
          <t>004273</t>
        </is>
      </c>
      <c r="D713" s="4" t="n">
        <v>45385</v>
      </c>
      <c r="E713" s="2" t="inlineStr">
        <is>
          <t>14:26</t>
        </is>
      </c>
      <c r="F713" s="5" t="n">
        <v>548.33</v>
      </c>
      <c r="G713" s="5" t="n"/>
      <c r="H713" s="5" t="n"/>
      <c r="I713" s="5" t="n"/>
      <c r="J713" s="5" t="n">
        <v>109.67</v>
      </c>
      <c r="K713" s="5" t="n"/>
      <c r="L713" s="5" t="n"/>
      <c r="M713" s="5" t="n"/>
      <c r="N713" s="5" t="n"/>
      <c r="O713" s="5" t="n">
        <v>658</v>
      </c>
      <c r="P713" s="5" t="n">
        <v>658</v>
      </c>
      <c r="Q713" s="5" t="n"/>
      <c r="R713" s="5" t="n"/>
    </row>
    <row r="714">
      <c r="A714" s="2" t="inlineStr">
        <is>
          <t>EJ300424.TXT</t>
        </is>
      </c>
      <c r="B714" s="3" t="inlineStr">
        <is>
          <t>005335</t>
        </is>
      </c>
      <c r="C714" s="3" t="inlineStr">
        <is>
          <t>004274</t>
        </is>
      </c>
      <c r="D714" s="4" t="n">
        <v>45386</v>
      </c>
      <c r="E714" s="2" t="inlineStr">
        <is>
          <t>15:16</t>
        </is>
      </c>
      <c r="F714" s="5" t="n">
        <v>41.58</v>
      </c>
      <c r="G714" s="5" t="n"/>
      <c r="H714" s="5" t="n"/>
      <c r="I714" s="5" t="n"/>
      <c r="J714" s="5" t="n">
        <v>8.32</v>
      </c>
      <c r="K714" s="5" t="n"/>
      <c r="L714" s="5" t="n"/>
      <c r="M714" s="5" t="n"/>
      <c r="N714" s="5" t="n"/>
      <c r="O714" s="5" t="n">
        <v>49.9</v>
      </c>
      <c r="P714" s="5" t="n">
        <v>49.9</v>
      </c>
      <c r="Q714" s="5" t="n"/>
      <c r="R714" s="5" t="n"/>
    </row>
    <row r="715">
      <c r="A715" s="2" t="inlineStr">
        <is>
          <t>EJ300424.TXT</t>
        </is>
      </c>
      <c r="B715" s="3" t="inlineStr">
        <is>
          <t>005336</t>
        </is>
      </c>
      <c r="C715" s="3" t="inlineStr">
        <is>
          <t>004275</t>
        </is>
      </c>
      <c r="D715" s="4" t="n">
        <v>45387</v>
      </c>
      <c r="E715" s="2" t="inlineStr">
        <is>
          <t>15:45</t>
        </is>
      </c>
      <c r="F715" s="5" t="n">
        <v>208.33</v>
      </c>
      <c r="G715" s="5" t="n"/>
      <c r="H715" s="5" t="n"/>
      <c r="I715" s="5" t="n"/>
      <c r="J715" s="5" t="n">
        <v>41.67</v>
      </c>
      <c r="K715" s="5" t="n"/>
      <c r="L715" s="5" t="n"/>
      <c r="M715" s="5" t="n"/>
      <c r="N715" s="5" t="n"/>
      <c r="O715" s="5" t="n">
        <v>250</v>
      </c>
      <c r="P715" s="5" t="n"/>
      <c r="Q715" s="5" t="n">
        <v>250</v>
      </c>
      <c r="R715" s="5" t="n"/>
    </row>
    <row r="716">
      <c r="A716" s="2" t="inlineStr">
        <is>
          <t>EJ300424.TXT</t>
        </is>
      </c>
      <c r="B716" s="3" t="inlineStr">
        <is>
          <t>005337</t>
        </is>
      </c>
      <c r="C716" s="3" t="inlineStr">
        <is>
          <t>004276</t>
        </is>
      </c>
      <c r="D716" s="4" t="n">
        <v>45388</v>
      </c>
      <c r="E716" s="2" t="inlineStr">
        <is>
          <t>15:32</t>
        </is>
      </c>
      <c r="F716" s="5" t="n">
        <v>274.17</v>
      </c>
      <c r="G716" s="5" t="n"/>
      <c r="H716" s="5" t="n"/>
      <c r="I716" s="5" t="n"/>
      <c r="J716" s="5" t="n">
        <v>54.83</v>
      </c>
      <c r="K716" s="5" t="n"/>
      <c r="L716" s="5" t="n"/>
      <c r="M716" s="5" t="n"/>
      <c r="N716" s="5" t="n"/>
      <c r="O716" s="5" t="n">
        <v>329</v>
      </c>
      <c r="P716" s="5" t="n"/>
      <c r="Q716" s="5" t="n">
        <v>329</v>
      </c>
      <c r="R716" s="5" t="n"/>
    </row>
    <row r="717">
      <c r="A717" s="2" t="inlineStr">
        <is>
          <t>EJ300424.TXT</t>
        </is>
      </c>
      <c r="B717" s="3" t="inlineStr">
        <is>
          <t>005338</t>
        </is>
      </c>
      <c r="C717" s="3" t="inlineStr">
        <is>
          <t>004277</t>
        </is>
      </c>
      <c r="D717" s="4" t="n">
        <v>45390</v>
      </c>
      <c r="E717" s="2" t="inlineStr">
        <is>
          <t>11:59</t>
        </is>
      </c>
      <c r="F717" s="5" t="n">
        <v>465</v>
      </c>
      <c r="G717" s="5" t="n"/>
      <c r="H717" s="5" t="n"/>
      <c r="I717" s="5" t="n"/>
      <c r="J717" s="5" t="n">
        <v>93</v>
      </c>
      <c r="K717" s="5" t="n"/>
      <c r="L717" s="5" t="n"/>
      <c r="M717" s="5" t="n"/>
      <c r="N717" s="5" t="n"/>
      <c r="O717" s="5" t="n">
        <v>558</v>
      </c>
      <c r="P717" s="5" t="n"/>
      <c r="Q717" s="5" t="n">
        <v>558</v>
      </c>
      <c r="R717" s="5" t="n"/>
    </row>
    <row r="718">
      <c r="A718" s="2" t="inlineStr">
        <is>
          <t>EJ300424.TXT</t>
        </is>
      </c>
      <c r="B718" s="3" t="inlineStr">
        <is>
          <t>005339</t>
        </is>
      </c>
      <c r="C718" s="3" t="inlineStr">
        <is>
          <t>004278</t>
        </is>
      </c>
      <c r="D718" s="4" t="n">
        <v>45392</v>
      </c>
      <c r="E718" s="2" t="inlineStr">
        <is>
          <t>09:38</t>
        </is>
      </c>
      <c r="F718" s="5" t="n">
        <v>548.33</v>
      </c>
      <c r="G718" s="5" t="n"/>
      <c r="H718" s="5" t="n"/>
      <c r="I718" s="5" t="n"/>
      <c r="J718" s="5" t="n">
        <v>109.67</v>
      </c>
      <c r="K718" s="5" t="n"/>
      <c r="L718" s="5" t="n"/>
      <c r="M718" s="5" t="n"/>
      <c r="N718" s="5" t="n"/>
      <c r="O718" s="5" t="n">
        <v>658</v>
      </c>
      <c r="P718" s="5" t="n">
        <v>658</v>
      </c>
      <c r="Q718" s="5" t="n"/>
      <c r="R718" s="5" t="n"/>
    </row>
    <row r="719">
      <c r="A719" s="2" t="inlineStr">
        <is>
          <t>EJ300424.TXT</t>
        </is>
      </c>
      <c r="B719" s="3" t="inlineStr">
        <is>
          <t>005340</t>
        </is>
      </c>
      <c r="C719" s="3" t="inlineStr">
        <is>
          <t>004279</t>
        </is>
      </c>
      <c r="D719" s="4" t="n">
        <v>45394</v>
      </c>
      <c r="E719" s="2" t="inlineStr">
        <is>
          <t>16:47</t>
        </is>
      </c>
      <c r="F719" s="5" t="n">
        <v>199.17</v>
      </c>
      <c r="G719" s="5" t="n"/>
      <c r="H719" s="5" t="n"/>
      <c r="I719" s="5" t="n"/>
      <c r="J719" s="5" t="n">
        <v>39.83</v>
      </c>
      <c r="K719" s="5" t="n"/>
      <c r="L719" s="5" t="n"/>
      <c r="M719" s="5" t="n"/>
      <c r="N719" s="5" t="n"/>
      <c r="O719" s="5" t="n">
        <v>239</v>
      </c>
      <c r="P719" s="5" t="n"/>
      <c r="Q719" s="5" t="n">
        <v>239</v>
      </c>
      <c r="R719" s="5" t="n"/>
    </row>
    <row r="720">
      <c r="A720" s="2" t="inlineStr">
        <is>
          <t>EJ300424.TXT</t>
        </is>
      </c>
      <c r="B720" s="3" t="inlineStr">
        <is>
          <t>005341</t>
        </is>
      </c>
      <c r="C720" s="3" t="inlineStr">
        <is>
          <t>004280</t>
        </is>
      </c>
      <c r="D720" s="4" t="n">
        <v>45395</v>
      </c>
      <c r="E720" s="2" t="inlineStr">
        <is>
          <t>13:46</t>
        </is>
      </c>
      <c r="F720" s="5" t="n">
        <v>274.17</v>
      </c>
      <c r="G720" s="5" t="n"/>
      <c r="H720" s="5" t="n"/>
      <c r="I720" s="5" t="n"/>
      <c r="J720" s="5" t="n">
        <v>54.83</v>
      </c>
      <c r="K720" s="5" t="n"/>
      <c r="L720" s="5" t="n"/>
      <c r="M720" s="5" t="n"/>
      <c r="N720" s="5" t="n"/>
      <c r="O720" s="5" t="n">
        <v>329</v>
      </c>
      <c r="P720" s="5" t="n"/>
      <c r="Q720" s="5" t="n">
        <v>329</v>
      </c>
      <c r="R720" s="5" t="n"/>
    </row>
    <row r="721">
      <c r="A721" s="2" t="inlineStr">
        <is>
          <t>EJ300424.TXT</t>
        </is>
      </c>
      <c r="B721" s="3" t="inlineStr">
        <is>
          <t>005342</t>
        </is>
      </c>
      <c r="C721" s="3" t="inlineStr">
        <is>
          <t>004281</t>
        </is>
      </c>
      <c r="D721" s="4" t="n">
        <v>45395</v>
      </c>
      <c r="E721" s="2" t="inlineStr">
        <is>
          <t>13:47</t>
        </is>
      </c>
      <c r="F721" s="5" t="n">
        <v>274.17</v>
      </c>
      <c r="G721" s="5" t="n"/>
      <c r="H721" s="5" t="n"/>
      <c r="I721" s="5" t="n"/>
      <c r="J721" s="5" t="n">
        <v>54.83</v>
      </c>
      <c r="K721" s="5" t="n"/>
      <c r="L721" s="5" t="n"/>
      <c r="M721" s="5" t="n"/>
      <c r="N721" s="5" t="n"/>
      <c r="O721" s="5" t="n">
        <v>329</v>
      </c>
      <c r="P721" s="5" t="n">
        <v>329</v>
      </c>
      <c r="Q721" s="5" t="n"/>
      <c r="R721" s="5" t="n"/>
    </row>
    <row r="722">
      <c r="A722" s="2" t="inlineStr">
        <is>
          <t>EJ300424.TXT</t>
        </is>
      </c>
      <c r="B722" s="3" t="inlineStr">
        <is>
          <t>005343</t>
        </is>
      </c>
      <c r="C722" s="3" t="inlineStr">
        <is>
          <t>004282</t>
        </is>
      </c>
      <c r="D722" s="4" t="n">
        <v>45395</v>
      </c>
      <c r="E722" s="2" t="inlineStr">
        <is>
          <t>16:11</t>
        </is>
      </c>
      <c r="F722" s="5" t="n">
        <v>2390</v>
      </c>
      <c r="G722" s="5" t="n"/>
      <c r="H722" s="5" t="n"/>
      <c r="I722" s="5" t="n"/>
      <c r="J722" s="5" t="n">
        <v>478</v>
      </c>
      <c r="K722" s="5" t="n"/>
      <c r="L722" s="5" t="n"/>
      <c r="M722" s="5" t="n"/>
      <c r="N722" s="5" t="n"/>
      <c r="O722" s="5" t="n">
        <v>2868</v>
      </c>
      <c r="P722" s="5" t="n">
        <v>2868</v>
      </c>
      <c r="Q722" s="5" t="n"/>
      <c r="R722" s="5" t="n"/>
    </row>
    <row r="723">
      <c r="A723" s="2" t="inlineStr">
        <is>
          <t>EJ300424.TXT</t>
        </is>
      </c>
      <c r="B723" s="3" t="inlineStr">
        <is>
          <t>005344</t>
        </is>
      </c>
      <c r="C723" s="3" t="inlineStr">
        <is>
          <t>004283</t>
        </is>
      </c>
      <c r="D723" s="4" t="n">
        <v>45398</v>
      </c>
      <c r="E723" s="2" t="inlineStr">
        <is>
          <t>17:19</t>
        </is>
      </c>
      <c r="F723" s="5" t="n">
        <v>41.58</v>
      </c>
      <c r="G723" s="5" t="n"/>
      <c r="H723" s="5" t="n"/>
      <c r="I723" s="5" t="n"/>
      <c r="J723" s="5" t="n">
        <v>8.32</v>
      </c>
      <c r="K723" s="5" t="n"/>
      <c r="L723" s="5" t="n"/>
      <c r="M723" s="5" t="n"/>
      <c r="N723" s="5" t="n"/>
      <c r="O723" s="5" t="n">
        <v>49.9</v>
      </c>
      <c r="P723" s="5" t="n">
        <v>49.9</v>
      </c>
      <c r="Q723" s="5" t="n"/>
      <c r="R723" s="5" t="n"/>
    </row>
    <row r="724">
      <c r="A724" s="2" t="inlineStr">
        <is>
          <t>EJ300424.TXT</t>
        </is>
      </c>
      <c r="B724" s="3" t="inlineStr">
        <is>
          <t>005345</t>
        </is>
      </c>
      <c r="C724" s="3" t="inlineStr">
        <is>
          <t>004284</t>
        </is>
      </c>
      <c r="D724" s="4" t="n">
        <v>45399</v>
      </c>
      <c r="E724" s="2" t="inlineStr">
        <is>
          <t>16:19</t>
        </is>
      </c>
      <c r="F724" s="5" t="n">
        <v>548.33</v>
      </c>
      <c r="G724" s="5" t="n"/>
      <c r="H724" s="5" t="n"/>
      <c r="I724" s="5" t="n"/>
      <c r="J724" s="5" t="n">
        <v>109.67</v>
      </c>
      <c r="K724" s="5" t="n"/>
      <c r="L724" s="5" t="n"/>
      <c r="M724" s="5" t="n"/>
      <c r="N724" s="5" t="n"/>
      <c r="O724" s="5" t="n">
        <v>658</v>
      </c>
      <c r="P724" s="5" t="n">
        <v>658</v>
      </c>
      <c r="Q724" s="5" t="n"/>
      <c r="R724" s="5" t="n"/>
    </row>
    <row r="725">
      <c r="A725" s="2" t="inlineStr">
        <is>
          <t>EJ300424.TXT</t>
        </is>
      </c>
      <c r="B725" s="3" t="inlineStr">
        <is>
          <t>005347</t>
        </is>
      </c>
      <c r="C725" s="3" t="inlineStr">
        <is>
          <t>004285</t>
        </is>
      </c>
      <c r="D725" s="4" t="n">
        <v>45402</v>
      </c>
      <c r="E725" s="2" t="inlineStr">
        <is>
          <t>13:49</t>
        </is>
      </c>
      <c r="F725" s="5" t="n">
        <v>190.83</v>
      </c>
      <c r="G725" s="5" t="n"/>
      <c r="H725" s="5" t="n"/>
      <c r="I725" s="5" t="n"/>
      <c r="J725" s="5" t="n">
        <v>38.17</v>
      </c>
      <c r="K725" s="5" t="n"/>
      <c r="L725" s="5" t="n"/>
      <c r="M725" s="5" t="n"/>
      <c r="N725" s="5" t="n"/>
      <c r="O725" s="5" t="n">
        <v>229</v>
      </c>
      <c r="P725" s="5" t="n"/>
      <c r="Q725" s="5" t="n">
        <v>229</v>
      </c>
      <c r="R725" s="5" t="n"/>
    </row>
    <row r="726">
      <c r="A726" s="2" t="inlineStr">
        <is>
          <t>EJ300424.TXT</t>
        </is>
      </c>
      <c r="B726" s="3" t="inlineStr">
        <is>
          <t>005348</t>
        </is>
      </c>
      <c r="C726" s="3" t="inlineStr">
        <is>
          <t>004286</t>
        </is>
      </c>
      <c r="D726" s="4" t="n">
        <v>45402</v>
      </c>
      <c r="E726" s="2" t="inlineStr">
        <is>
          <t>14:32</t>
        </is>
      </c>
      <c r="F726" s="5" t="n">
        <v>199.17</v>
      </c>
      <c r="G726" s="5" t="n"/>
      <c r="H726" s="5" t="n"/>
      <c r="I726" s="5" t="n"/>
      <c r="J726" s="5" t="n">
        <v>39.83</v>
      </c>
      <c r="K726" s="5" t="n"/>
      <c r="L726" s="5" t="n"/>
      <c r="M726" s="5" t="n"/>
      <c r="N726" s="5" t="n"/>
      <c r="O726" s="5" t="n">
        <v>239</v>
      </c>
      <c r="P726" s="5" t="n"/>
      <c r="Q726" s="5" t="n">
        <v>239</v>
      </c>
      <c r="R726" s="5" t="n"/>
    </row>
    <row r="727">
      <c r="A727" s="2" t="inlineStr">
        <is>
          <t>EJ300424.TXT</t>
        </is>
      </c>
      <c r="B727" s="3" t="inlineStr">
        <is>
          <t>005349</t>
        </is>
      </c>
      <c r="C727" s="3" t="inlineStr">
        <is>
          <t>004287</t>
        </is>
      </c>
      <c r="D727" s="4" t="n">
        <v>45402</v>
      </c>
      <c r="E727" s="2" t="inlineStr">
        <is>
          <t>14:37</t>
        </is>
      </c>
      <c r="F727" s="5" t="n">
        <v>124.17</v>
      </c>
      <c r="G727" s="5" t="n"/>
      <c r="H727" s="5" t="n"/>
      <c r="I727" s="5" t="n"/>
      <c r="J727" s="5" t="n">
        <v>24.83</v>
      </c>
      <c r="K727" s="5" t="n"/>
      <c r="L727" s="5" t="n"/>
      <c r="M727" s="5" t="n"/>
      <c r="N727" s="5" t="n"/>
      <c r="O727" s="5" t="n">
        <v>149</v>
      </c>
      <c r="P727" s="5" t="n">
        <v>149</v>
      </c>
      <c r="Q727" s="5" t="n"/>
      <c r="R727" s="5" t="n"/>
    </row>
    <row r="728">
      <c r="A728" s="2" t="inlineStr">
        <is>
          <t>EJ300424.TXT</t>
        </is>
      </c>
      <c r="B728" s="3" t="inlineStr">
        <is>
          <t>005350</t>
        </is>
      </c>
      <c r="C728" s="3" t="inlineStr">
        <is>
          <t>004288</t>
        </is>
      </c>
      <c r="D728" s="4" t="n">
        <v>45402</v>
      </c>
      <c r="E728" s="2" t="inlineStr">
        <is>
          <t>16:46</t>
        </is>
      </c>
      <c r="F728" s="5" t="n">
        <v>274.17</v>
      </c>
      <c r="G728" s="5" t="n"/>
      <c r="H728" s="5" t="n"/>
      <c r="I728" s="5" t="n"/>
      <c r="J728" s="5" t="n">
        <v>54.83</v>
      </c>
      <c r="K728" s="5" t="n"/>
      <c r="L728" s="5" t="n"/>
      <c r="M728" s="5" t="n"/>
      <c r="N728" s="5" t="n"/>
      <c r="O728" s="5" t="n">
        <v>329</v>
      </c>
      <c r="P728" s="5" t="n">
        <v>329</v>
      </c>
      <c r="Q728" s="5" t="n"/>
      <c r="R728" s="5" t="n"/>
    </row>
    <row r="729">
      <c r="A729" s="2" t="inlineStr">
        <is>
          <t>EJ300424.TXT</t>
        </is>
      </c>
      <c r="B729" s="3" t="inlineStr">
        <is>
          <t>005351</t>
        </is>
      </c>
      <c r="C729" s="3" t="inlineStr">
        <is>
          <t>004289</t>
        </is>
      </c>
      <c r="D729" s="4" t="n">
        <v>45404</v>
      </c>
      <c r="E729" s="2" t="inlineStr">
        <is>
          <t>15:43</t>
        </is>
      </c>
      <c r="F729" s="5" t="n">
        <v>208.33</v>
      </c>
      <c r="G729" s="5" t="n"/>
      <c r="H729" s="5" t="n"/>
      <c r="I729" s="5" t="n"/>
      <c r="J729" s="5" t="n">
        <v>41.67</v>
      </c>
      <c r="K729" s="5" t="n"/>
      <c r="L729" s="5" t="n"/>
      <c r="M729" s="5" t="n"/>
      <c r="N729" s="5" t="n"/>
      <c r="O729" s="5" t="n">
        <v>250</v>
      </c>
      <c r="P729" s="5" t="n"/>
      <c r="Q729" s="5" t="n">
        <v>250</v>
      </c>
      <c r="R729" s="5" t="n"/>
    </row>
    <row r="730">
      <c r="A730" s="2" t="inlineStr">
        <is>
          <t>EJ300424.TXT</t>
        </is>
      </c>
      <c r="B730" s="3" t="inlineStr">
        <is>
          <t>005352</t>
        </is>
      </c>
      <c r="C730" s="3" t="inlineStr">
        <is>
          <t>004290</t>
        </is>
      </c>
      <c r="D730" s="4" t="n">
        <v>45407</v>
      </c>
      <c r="E730" s="2" t="inlineStr">
        <is>
          <t>15:00</t>
        </is>
      </c>
      <c r="F730" s="5" t="n">
        <v>1096.67</v>
      </c>
      <c r="G730" s="5" t="n"/>
      <c r="H730" s="5" t="n"/>
      <c r="I730" s="5" t="n"/>
      <c r="J730" s="5" t="n">
        <v>219.33</v>
      </c>
      <c r="K730" s="5" t="n"/>
      <c r="L730" s="5" t="n"/>
      <c r="M730" s="5" t="n"/>
      <c r="N730" s="5" t="n"/>
      <c r="O730" s="5" t="n">
        <v>1316</v>
      </c>
      <c r="P730" s="5" t="n">
        <v>1316</v>
      </c>
      <c r="Q730" s="5" t="n"/>
      <c r="R730" s="5" t="n"/>
    </row>
    <row r="731">
      <c r="A731" s="2" t="inlineStr">
        <is>
          <t>EJ300424.TXT</t>
        </is>
      </c>
      <c r="B731" s="3" t="inlineStr">
        <is>
          <t>005353</t>
        </is>
      </c>
      <c r="C731" s="3" t="inlineStr">
        <is>
          <t>004291</t>
        </is>
      </c>
      <c r="D731" s="4" t="n">
        <v>45407</v>
      </c>
      <c r="E731" s="2" t="inlineStr">
        <is>
          <t>15:07</t>
        </is>
      </c>
      <c r="F731" s="5" t="n">
        <v>548.33</v>
      </c>
      <c r="G731" s="5" t="n"/>
      <c r="H731" s="5" t="n"/>
      <c r="I731" s="5" t="n"/>
      <c r="J731" s="5" t="n">
        <v>109.67</v>
      </c>
      <c r="K731" s="5" t="n"/>
      <c r="L731" s="5" t="n"/>
      <c r="M731" s="5" t="n"/>
      <c r="N731" s="5" t="n"/>
      <c r="O731" s="5" t="n">
        <v>658</v>
      </c>
      <c r="P731" s="5" t="n">
        <v>658</v>
      </c>
      <c r="Q731" s="5" t="n"/>
      <c r="R731" s="5" t="n"/>
    </row>
    <row r="732">
      <c r="A732" s="2" t="inlineStr">
        <is>
          <t>EJ300424.TXT</t>
        </is>
      </c>
      <c r="B732" s="3" t="inlineStr">
        <is>
          <t>005354</t>
        </is>
      </c>
      <c r="C732" s="3" t="inlineStr">
        <is>
          <t>004292</t>
        </is>
      </c>
      <c r="D732" s="4" t="n">
        <v>45407</v>
      </c>
      <c r="E732" s="2" t="inlineStr">
        <is>
          <t>15:27</t>
        </is>
      </c>
      <c r="F732" s="5" t="n">
        <v>124.17</v>
      </c>
      <c r="G732" s="5" t="n"/>
      <c r="H732" s="5" t="n"/>
      <c r="I732" s="5" t="n"/>
      <c r="J732" s="5" t="n">
        <v>24.83</v>
      </c>
      <c r="K732" s="5" t="n"/>
      <c r="L732" s="5" t="n"/>
      <c r="M732" s="5" t="n"/>
      <c r="N732" s="5" t="n"/>
      <c r="O732" s="5" t="n">
        <v>149</v>
      </c>
      <c r="P732" s="5" t="n">
        <v>149</v>
      </c>
      <c r="Q732" s="5" t="n"/>
      <c r="R732" s="5" t="n"/>
    </row>
    <row r="733">
      <c r="A733" s="2" t="inlineStr">
        <is>
          <t>EJ300424.TXT</t>
        </is>
      </c>
      <c r="B733" s="3" t="inlineStr">
        <is>
          <t>005355</t>
        </is>
      </c>
      <c r="C733" s="3" t="inlineStr">
        <is>
          <t>004293</t>
        </is>
      </c>
      <c r="D733" s="4" t="n">
        <v>45409</v>
      </c>
      <c r="E733" s="2" t="inlineStr">
        <is>
          <t>14:51</t>
        </is>
      </c>
      <c r="F733" s="5" t="n">
        <v>82.5</v>
      </c>
      <c r="G733" s="5" t="n"/>
      <c r="H733" s="5" t="n"/>
      <c r="I733" s="5" t="n"/>
      <c r="J733" s="5" t="n">
        <v>16.5</v>
      </c>
      <c r="K733" s="5" t="n"/>
      <c r="L733" s="5" t="n"/>
      <c r="M733" s="5" t="n"/>
      <c r="N733" s="5" t="n"/>
      <c r="O733" s="5" t="n">
        <v>99</v>
      </c>
      <c r="P733" s="5" t="n"/>
      <c r="Q733" s="5" t="n">
        <v>99</v>
      </c>
      <c r="R733" s="5" t="n"/>
    </row>
    <row r="734">
      <c r="A734" s="2" t="inlineStr">
        <is>
          <t>EJ300424.TXT</t>
        </is>
      </c>
      <c r="B734" s="3" t="inlineStr">
        <is>
          <t>005356</t>
        </is>
      </c>
      <c r="C734" s="3" t="inlineStr">
        <is>
          <t>004294</t>
        </is>
      </c>
      <c r="D734" s="4" t="n">
        <v>45411</v>
      </c>
      <c r="E734" s="2" t="inlineStr">
        <is>
          <t>11:22</t>
        </is>
      </c>
      <c r="F734" s="5" t="n">
        <v>41.58</v>
      </c>
      <c r="G734" s="5" t="n"/>
      <c r="H734" s="5" t="n"/>
      <c r="I734" s="5" t="n"/>
      <c r="J734" s="5" t="n">
        <v>8.32</v>
      </c>
      <c r="K734" s="5" t="n"/>
      <c r="L734" s="5" t="n"/>
      <c r="M734" s="5" t="n"/>
      <c r="N734" s="5" t="n"/>
      <c r="O734" s="5" t="n">
        <v>49.9</v>
      </c>
      <c r="P734" s="5" t="n"/>
      <c r="Q734" s="5" t="n">
        <v>49.9</v>
      </c>
      <c r="R734" s="5" t="n"/>
    </row>
    <row r="735">
      <c r="A735" s="2" t="inlineStr">
        <is>
          <t>EJ300424.TXT</t>
        </is>
      </c>
      <c r="B735" s="3" t="inlineStr">
        <is>
          <t>005357</t>
        </is>
      </c>
      <c r="C735" s="3" t="inlineStr">
        <is>
          <t>004295</t>
        </is>
      </c>
      <c r="D735" s="4" t="n">
        <v>45412</v>
      </c>
      <c r="E735" s="2" t="inlineStr">
        <is>
          <t>15:10</t>
        </is>
      </c>
      <c r="F735" s="5" t="n">
        <v>208.33</v>
      </c>
      <c r="G735" s="5" t="n"/>
      <c r="H735" s="5" t="n"/>
      <c r="I735" s="5" t="n"/>
      <c r="J735" s="5" t="n">
        <v>41.67</v>
      </c>
      <c r="K735" s="5" t="n"/>
      <c r="L735" s="5" t="n"/>
      <c r="M735" s="5" t="n"/>
      <c r="N735" s="5" t="n"/>
      <c r="O735" s="5" t="n">
        <v>250</v>
      </c>
      <c r="P735" s="5" t="n"/>
      <c r="Q735" s="5" t="n">
        <v>250</v>
      </c>
      <c r="R735" s="5" t="n"/>
    </row>
    <row r="736">
      <c r="A736" s="2" t="inlineStr">
        <is>
          <t>EJ300424.TXT</t>
        </is>
      </c>
      <c r="B736" s="3" t="inlineStr">
        <is>
          <t>005358</t>
        </is>
      </c>
      <c r="C736" s="3" t="inlineStr">
        <is>
          <t>004296</t>
        </is>
      </c>
      <c r="D736" s="4" t="n">
        <v>45412</v>
      </c>
      <c r="E736" s="2" t="inlineStr">
        <is>
          <t>17:08</t>
        </is>
      </c>
      <c r="F736" s="5" t="n">
        <v>82.5</v>
      </c>
      <c r="G736" s="5" t="n"/>
      <c r="H736" s="5" t="n"/>
      <c r="I736" s="5" t="n"/>
      <c r="J736" s="5" t="n">
        <v>16.5</v>
      </c>
      <c r="K736" s="5" t="n"/>
      <c r="L736" s="5" t="n"/>
      <c r="M736" s="5" t="n"/>
      <c r="N736" s="5" t="n"/>
      <c r="O736" s="5" t="n">
        <v>99</v>
      </c>
      <c r="P736" s="5" t="n">
        <v>99</v>
      </c>
      <c r="Q736" s="5" t="n"/>
      <c r="R736" s="5" t="n"/>
    </row>
    <row r="737">
      <c r="A737" s="2" t="inlineStr">
        <is>
          <t>EJ010624.TXT</t>
        </is>
      </c>
      <c r="B737" s="3" t="inlineStr">
        <is>
          <t>005367</t>
        </is>
      </c>
      <c r="C737" s="3" t="inlineStr">
        <is>
          <t>004297</t>
        </is>
      </c>
      <c r="D737" s="4" t="n">
        <v>45416</v>
      </c>
      <c r="E737" s="2" t="inlineStr">
        <is>
          <t>14:56</t>
        </is>
      </c>
      <c r="F737" s="5" t="n">
        <v>1480</v>
      </c>
      <c r="G737" s="5" t="n"/>
      <c r="H737" s="5" t="n"/>
      <c r="I737" s="5" t="n"/>
      <c r="J737" s="5" t="n">
        <v>296</v>
      </c>
      <c r="K737" s="5" t="n"/>
      <c r="L737" s="5" t="n"/>
      <c r="M737" s="5" t="n"/>
      <c r="N737" s="5" t="n"/>
      <c r="O737" s="5" t="n">
        <v>1776</v>
      </c>
      <c r="P737" s="5" t="n">
        <v>1776</v>
      </c>
      <c r="Q737" s="5" t="n"/>
      <c r="R737" s="5" t="n"/>
    </row>
    <row r="738">
      <c r="A738" s="2" t="inlineStr">
        <is>
          <t>EJ010624.TXT</t>
        </is>
      </c>
      <c r="B738" s="3" t="inlineStr">
        <is>
          <t>005368</t>
        </is>
      </c>
      <c r="C738" s="3" t="inlineStr">
        <is>
          <t>004298</t>
        </is>
      </c>
      <c r="D738" s="4" t="n">
        <v>45416</v>
      </c>
      <c r="E738" s="2" t="inlineStr">
        <is>
          <t>16:33</t>
        </is>
      </c>
      <c r="F738" s="5" t="n">
        <v>822.5</v>
      </c>
      <c r="G738" s="5" t="n"/>
      <c r="H738" s="5" t="n"/>
      <c r="I738" s="5" t="n"/>
      <c r="J738" s="5" t="n">
        <v>164.5</v>
      </c>
      <c r="K738" s="5" t="n"/>
      <c r="L738" s="5" t="n"/>
      <c r="M738" s="5" t="n"/>
      <c r="N738" s="5" t="n"/>
      <c r="O738" s="5" t="n">
        <v>987</v>
      </c>
      <c r="P738" s="5" t="n"/>
      <c r="Q738" s="5" t="n">
        <v>987</v>
      </c>
      <c r="R738" s="5" t="n"/>
    </row>
    <row r="739">
      <c r="A739" s="2" t="inlineStr">
        <is>
          <t>EJ010624.TXT</t>
        </is>
      </c>
      <c r="B739" s="3" t="inlineStr">
        <is>
          <t>005369</t>
        </is>
      </c>
      <c r="C739" s="3" t="inlineStr">
        <is>
          <t>004299</t>
        </is>
      </c>
      <c r="D739" s="4" t="n">
        <v>45416</v>
      </c>
      <c r="E739" s="2" t="inlineStr">
        <is>
          <t>16:34</t>
        </is>
      </c>
      <c r="F739" s="5" t="n">
        <v>548.33</v>
      </c>
      <c r="G739" s="5" t="n"/>
      <c r="H739" s="5" t="n"/>
      <c r="I739" s="5" t="n"/>
      <c r="J739" s="5" t="n">
        <v>109.67</v>
      </c>
      <c r="K739" s="5" t="n"/>
      <c r="L739" s="5" t="n"/>
      <c r="M739" s="5" t="n"/>
      <c r="N739" s="5" t="n"/>
      <c r="O739" s="5" t="n">
        <v>658</v>
      </c>
      <c r="P739" s="5" t="n"/>
      <c r="Q739" s="5" t="n">
        <v>658</v>
      </c>
      <c r="R739" s="5" t="n"/>
    </row>
    <row r="740">
      <c r="A740" s="2" t="inlineStr">
        <is>
          <t>EJ010624.TXT</t>
        </is>
      </c>
      <c r="B740" s="3" t="inlineStr">
        <is>
          <t>005370</t>
        </is>
      </c>
      <c r="C740" s="3" t="inlineStr">
        <is>
          <t>004300</t>
        </is>
      </c>
      <c r="D740" s="4" t="n">
        <v>45416</v>
      </c>
      <c r="E740" s="2" t="inlineStr">
        <is>
          <t>16:34</t>
        </is>
      </c>
      <c r="F740" s="5" t="n">
        <v>540</v>
      </c>
      <c r="G740" s="5" t="n"/>
      <c r="H740" s="5" t="n"/>
      <c r="I740" s="5" t="n"/>
      <c r="J740" s="5" t="n">
        <v>108</v>
      </c>
      <c r="K740" s="5" t="n"/>
      <c r="L740" s="5" t="n"/>
      <c r="M740" s="5" t="n"/>
      <c r="N740" s="5" t="n"/>
      <c r="O740" s="5" t="n">
        <v>648</v>
      </c>
      <c r="P740" s="5" t="n"/>
      <c r="Q740" s="5" t="n">
        <v>648</v>
      </c>
      <c r="R740" s="5" t="n"/>
    </row>
    <row r="741">
      <c r="A741" s="2" t="inlineStr">
        <is>
          <t>EJ010624.TXT</t>
        </is>
      </c>
      <c r="B741" s="3" t="inlineStr">
        <is>
          <t>005371</t>
        </is>
      </c>
      <c r="C741" s="3" t="inlineStr">
        <is>
          <t>004301</t>
        </is>
      </c>
      <c r="D741" s="4" t="n">
        <v>45419</v>
      </c>
      <c r="E741" s="2" t="inlineStr">
        <is>
          <t>18:01</t>
        </is>
      </c>
      <c r="F741" s="5" t="n">
        <v>548.33</v>
      </c>
      <c r="G741" s="5" t="n"/>
      <c r="H741" s="5" t="n"/>
      <c r="I741" s="5" t="n"/>
      <c r="J741" s="5" t="n">
        <v>109.67</v>
      </c>
      <c r="K741" s="5" t="n"/>
      <c r="L741" s="5" t="n"/>
      <c r="M741" s="5" t="n"/>
      <c r="N741" s="5" t="n"/>
      <c r="O741" s="5" t="n">
        <v>658</v>
      </c>
      <c r="P741" s="5" t="n">
        <v>658</v>
      </c>
      <c r="Q741" s="5" t="n"/>
      <c r="R741" s="5" t="n"/>
    </row>
    <row r="742">
      <c r="A742" s="2" t="inlineStr">
        <is>
          <t>EJ010624.TXT</t>
        </is>
      </c>
      <c r="B742" s="3" t="inlineStr">
        <is>
          <t>005372</t>
        </is>
      </c>
      <c r="C742" s="3" t="inlineStr">
        <is>
          <t>004302</t>
        </is>
      </c>
      <c r="D742" s="4" t="n">
        <v>45423</v>
      </c>
      <c r="E742" s="2" t="inlineStr">
        <is>
          <t>16:04</t>
        </is>
      </c>
      <c r="F742" s="5" t="n">
        <v>548.33</v>
      </c>
      <c r="G742" s="5" t="n"/>
      <c r="H742" s="5" t="n"/>
      <c r="I742" s="5" t="n"/>
      <c r="J742" s="5" t="n">
        <v>109.67</v>
      </c>
      <c r="K742" s="5" t="n"/>
      <c r="L742" s="5" t="n"/>
      <c r="M742" s="5" t="n"/>
      <c r="N742" s="5" t="n"/>
      <c r="O742" s="5" t="n">
        <v>658</v>
      </c>
      <c r="P742" s="5" t="n">
        <v>658</v>
      </c>
      <c r="Q742" s="5" t="n"/>
      <c r="R742" s="5" t="n"/>
    </row>
    <row r="743">
      <c r="A743" s="2" t="inlineStr">
        <is>
          <t>EJ010624.TXT</t>
        </is>
      </c>
      <c r="B743" s="3" t="inlineStr">
        <is>
          <t>005373</t>
        </is>
      </c>
      <c r="C743" s="3" t="inlineStr">
        <is>
          <t>004303</t>
        </is>
      </c>
      <c r="D743" s="4" t="n">
        <v>45423</v>
      </c>
      <c r="E743" s="2" t="inlineStr">
        <is>
          <t>17:03</t>
        </is>
      </c>
      <c r="F743" s="5" t="n">
        <v>350</v>
      </c>
      <c r="G743" s="5" t="n"/>
      <c r="H743" s="5" t="n"/>
      <c r="I743" s="5" t="n"/>
      <c r="J743" s="5" t="n">
        <v>70</v>
      </c>
      <c r="K743" s="5" t="n"/>
      <c r="L743" s="5" t="n"/>
      <c r="M743" s="5" t="n"/>
      <c r="N743" s="5" t="n"/>
      <c r="O743" s="5" t="n">
        <v>420</v>
      </c>
      <c r="P743" s="5" t="n">
        <v>420</v>
      </c>
      <c r="Q743" s="5" t="n"/>
      <c r="R743" s="5" t="n"/>
    </row>
    <row r="744">
      <c r="A744" s="2" t="inlineStr">
        <is>
          <t>EJ010624.TXT</t>
        </is>
      </c>
      <c r="B744" s="3" t="inlineStr">
        <is>
          <t>005374</t>
        </is>
      </c>
      <c r="C744" s="3" t="inlineStr">
        <is>
          <t>004304</t>
        </is>
      </c>
      <c r="D744" s="4" t="n">
        <v>45423</v>
      </c>
      <c r="E744" s="2" t="inlineStr">
        <is>
          <t>17:04</t>
        </is>
      </c>
      <c r="F744" s="5" t="n">
        <v>175</v>
      </c>
      <c r="G744" s="5" t="n"/>
      <c r="H744" s="5" t="n"/>
      <c r="I744" s="5" t="n"/>
      <c r="J744" s="5" t="n">
        <v>35</v>
      </c>
      <c r="K744" s="5" t="n"/>
      <c r="L744" s="5" t="n"/>
      <c r="M744" s="5" t="n"/>
      <c r="N744" s="5" t="n"/>
      <c r="O744" s="5" t="n">
        <v>210</v>
      </c>
      <c r="P744" s="5" t="n">
        <v>210</v>
      </c>
      <c r="Q744" s="5" t="n"/>
      <c r="R744" s="5" t="n"/>
    </row>
    <row r="745">
      <c r="A745" s="2" t="inlineStr">
        <is>
          <t>EJ010624.TXT</t>
        </is>
      </c>
      <c r="B745" s="3" t="inlineStr">
        <is>
          <t>005375</t>
        </is>
      </c>
      <c r="C745" s="3" t="inlineStr">
        <is>
          <t>004305</t>
        </is>
      </c>
      <c r="D745" s="4" t="n">
        <v>45423</v>
      </c>
      <c r="E745" s="2" t="inlineStr">
        <is>
          <t>17:08</t>
        </is>
      </c>
      <c r="F745" s="5" t="n">
        <v>548.33</v>
      </c>
      <c r="G745" s="5" t="n"/>
      <c r="H745" s="5" t="n"/>
      <c r="I745" s="5" t="n"/>
      <c r="J745" s="5" t="n">
        <v>109.67</v>
      </c>
      <c r="K745" s="5" t="n"/>
      <c r="L745" s="5" t="n"/>
      <c r="M745" s="5" t="n"/>
      <c r="N745" s="5" t="n"/>
      <c r="O745" s="5" t="n">
        <v>658</v>
      </c>
      <c r="P745" s="5" t="n"/>
      <c r="Q745" s="5" t="n">
        <v>658</v>
      </c>
      <c r="R745" s="5" t="n"/>
    </row>
    <row r="746">
      <c r="A746" s="2" t="inlineStr">
        <is>
          <t>EJ010624.TXT</t>
        </is>
      </c>
      <c r="B746" s="3" t="inlineStr">
        <is>
          <t>005376</t>
        </is>
      </c>
      <c r="C746" s="3" t="inlineStr">
        <is>
          <t>004306</t>
        </is>
      </c>
      <c r="D746" s="4" t="n">
        <v>45429</v>
      </c>
      <c r="E746" s="2" t="inlineStr">
        <is>
          <t>16:22</t>
        </is>
      </c>
      <c r="F746" s="5" t="n">
        <v>274.17</v>
      </c>
      <c r="G746" s="5" t="n"/>
      <c r="H746" s="5" t="n"/>
      <c r="I746" s="5" t="n"/>
      <c r="J746" s="5" t="n">
        <v>54.83</v>
      </c>
      <c r="K746" s="5" t="n"/>
      <c r="L746" s="5" t="n"/>
      <c r="M746" s="5" t="n"/>
      <c r="N746" s="5" t="n"/>
      <c r="O746" s="5" t="n">
        <v>329</v>
      </c>
      <c r="P746" s="5" t="n">
        <v>329</v>
      </c>
      <c r="Q746" s="5" t="n"/>
      <c r="R746" s="5" t="n"/>
    </row>
    <row r="747">
      <c r="A747" s="2" t="inlineStr">
        <is>
          <t>EJ010624.TXT</t>
        </is>
      </c>
      <c r="B747" s="3" t="inlineStr">
        <is>
          <t>005377</t>
        </is>
      </c>
      <c r="C747" s="3" t="inlineStr">
        <is>
          <t>004307</t>
        </is>
      </c>
      <c r="D747" s="4" t="n">
        <v>45429</v>
      </c>
      <c r="E747" s="2" t="inlineStr">
        <is>
          <t>16:26</t>
        </is>
      </c>
      <c r="F747" s="5" t="n">
        <v>208.33</v>
      </c>
      <c r="G747" s="5" t="n"/>
      <c r="H747" s="5" t="n"/>
      <c r="I747" s="5" t="n"/>
      <c r="J747" s="5" t="n">
        <v>41.67</v>
      </c>
      <c r="K747" s="5" t="n"/>
      <c r="L747" s="5" t="n"/>
      <c r="M747" s="5" t="n"/>
      <c r="N747" s="5" t="n"/>
      <c r="O747" s="5" t="n">
        <v>250</v>
      </c>
      <c r="P747" s="5" t="n"/>
      <c r="Q747" s="5" t="n">
        <v>250</v>
      </c>
      <c r="R747" s="5" t="n"/>
    </row>
    <row r="748">
      <c r="A748" s="2" t="inlineStr">
        <is>
          <t>EJ010624.TXT</t>
        </is>
      </c>
      <c r="B748" s="3" t="inlineStr">
        <is>
          <t>005378</t>
        </is>
      </c>
      <c r="C748" s="3" t="inlineStr">
        <is>
          <t>004308</t>
        </is>
      </c>
      <c r="D748" s="4" t="n">
        <v>45433</v>
      </c>
      <c r="E748" s="2" t="inlineStr">
        <is>
          <t>14:25</t>
        </is>
      </c>
      <c r="F748" s="5" t="n">
        <v>208.33</v>
      </c>
      <c r="G748" s="5" t="n"/>
      <c r="H748" s="5" t="n"/>
      <c r="I748" s="5" t="n"/>
      <c r="J748" s="5" t="n">
        <v>41.67</v>
      </c>
      <c r="K748" s="5" t="n"/>
      <c r="L748" s="5" t="n"/>
      <c r="M748" s="5" t="n"/>
      <c r="N748" s="5" t="n"/>
      <c r="O748" s="5" t="n">
        <v>250</v>
      </c>
      <c r="P748" s="5" t="n"/>
      <c r="Q748" s="5" t="n">
        <v>250</v>
      </c>
      <c r="R748" s="5" t="n"/>
    </row>
    <row r="749">
      <c r="A749" s="2" t="inlineStr">
        <is>
          <t>EJ010624.TXT</t>
        </is>
      </c>
      <c r="B749" s="3" t="inlineStr">
        <is>
          <t>005379</t>
        </is>
      </c>
      <c r="C749" s="3" t="inlineStr">
        <is>
          <t>004309</t>
        </is>
      </c>
      <c r="D749" s="4" t="n">
        <v>45434</v>
      </c>
      <c r="E749" s="2" t="inlineStr">
        <is>
          <t>09:57</t>
        </is>
      </c>
      <c r="F749" s="5" t="n">
        <v>548.33</v>
      </c>
      <c r="G749" s="5" t="n"/>
      <c r="H749" s="5" t="n"/>
      <c r="I749" s="5" t="n"/>
      <c r="J749" s="5" t="n">
        <v>109.67</v>
      </c>
      <c r="K749" s="5" t="n"/>
      <c r="L749" s="5" t="n"/>
      <c r="M749" s="5" t="n"/>
      <c r="N749" s="5" t="n"/>
      <c r="O749" s="5" t="n">
        <v>658</v>
      </c>
      <c r="P749" s="5" t="n"/>
      <c r="Q749" s="5" t="n">
        <v>658</v>
      </c>
      <c r="R749" s="5" t="n"/>
    </row>
    <row r="750">
      <c r="A750" s="2" t="inlineStr">
        <is>
          <t>EJ010624.TXT</t>
        </is>
      </c>
      <c r="B750" s="3" t="inlineStr">
        <is>
          <t>005380</t>
        </is>
      </c>
      <c r="C750" s="3" t="inlineStr">
        <is>
          <t>004310</t>
        </is>
      </c>
      <c r="D750" s="4" t="n">
        <v>45434</v>
      </c>
      <c r="E750" s="2" t="inlineStr">
        <is>
          <t>10:00</t>
        </is>
      </c>
      <c r="F750" s="5" t="n">
        <v>208.33</v>
      </c>
      <c r="G750" s="5" t="n"/>
      <c r="H750" s="5" t="n"/>
      <c r="I750" s="5" t="n"/>
      <c r="J750" s="5" t="n">
        <v>41.67</v>
      </c>
      <c r="K750" s="5" t="n"/>
      <c r="L750" s="5" t="n"/>
      <c r="M750" s="5" t="n"/>
      <c r="N750" s="5" t="n"/>
      <c r="O750" s="5" t="n">
        <v>250</v>
      </c>
      <c r="P750" s="5" t="n"/>
      <c r="Q750" s="5" t="n">
        <v>250</v>
      </c>
      <c r="R750" s="5" t="n"/>
    </row>
    <row r="751">
      <c r="A751" s="2" t="inlineStr">
        <is>
          <t>EJ010624.TXT</t>
        </is>
      </c>
      <c r="B751" s="3" t="inlineStr">
        <is>
          <t>005381</t>
        </is>
      </c>
      <c r="C751" s="3" t="inlineStr">
        <is>
          <t>004311</t>
        </is>
      </c>
      <c r="D751" s="4" t="n">
        <v>45435</v>
      </c>
      <c r="E751" s="2" t="inlineStr">
        <is>
          <t>14:27</t>
        </is>
      </c>
      <c r="F751" s="5" t="n">
        <v>797.5</v>
      </c>
      <c r="G751" s="5" t="n"/>
      <c r="H751" s="5" t="n"/>
      <c r="I751" s="5" t="n"/>
      <c r="J751" s="5" t="n">
        <v>159.5</v>
      </c>
      <c r="K751" s="5" t="n"/>
      <c r="L751" s="5" t="n"/>
      <c r="M751" s="5" t="n"/>
      <c r="N751" s="5" t="n"/>
      <c r="O751" s="5" t="n">
        <v>957</v>
      </c>
      <c r="P751" s="5" t="n"/>
      <c r="Q751" s="5" t="n">
        <v>957</v>
      </c>
      <c r="R751" s="5" t="n"/>
    </row>
    <row r="752">
      <c r="A752" s="2" t="inlineStr">
        <is>
          <t>EJ010624.TXT</t>
        </is>
      </c>
      <c r="B752" s="3" t="inlineStr">
        <is>
          <t>005382</t>
        </is>
      </c>
      <c r="C752" s="3" t="inlineStr">
        <is>
          <t>004312</t>
        </is>
      </c>
      <c r="D752" s="4" t="n">
        <v>45435</v>
      </c>
      <c r="E752" s="2" t="inlineStr">
        <is>
          <t>14:27</t>
        </is>
      </c>
      <c r="F752" s="5" t="n">
        <v>797.5</v>
      </c>
      <c r="G752" s="5" t="n"/>
      <c r="H752" s="5" t="n"/>
      <c r="I752" s="5" t="n"/>
      <c r="J752" s="5" t="n">
        <v>159.5</v>
      </c>
      <c r="K752" s="5" t="n"/>
      <c r="L752" s="5" t="n"/>
      <c r="M752" s="5" t="n"/>
      <c r="N752" s="5" t="n"/>
      <c r="O752" s="5" t="n">
        <v>957</v>
      </c>
      <c r="P752" s="5" t="n"/>
      <c r="Q752" s="5" t="n">
        <v>957</v>
      </c>
      <c r="R752" s="5" t="n"/>
    </row>
    <row r="753">
      <c r="A753" s="2" t="inlineStr">
        <is>
          <t>EJ010624.TXT</t>
        </is>
      </c>
      <c r="B753" s="3" t="inlineStr">
        <is>
          <t>005383</t>
        </is>
      </c>
      <c r="C753" s="3" t="inlineStr">
        <is>
          <t>004313</t>
        </is>
      </c>
      <c r="D753" s="4" t="n">
        <v>45436</v>
      </c>
      <c r="E753" s="2" t="inlineStr">
        <is>
          <t>10:00</t>
        </is>
      </c>
      <c r="F753" s="5" t="n">
        <v>822.5</v>
      </c>
      <c r="G753" s="5" t="n"/>
      <c r="H753" s="5" t="n"/>
      <c r="I753" s="5" t="n"/>
      <c r="J753" s="5" t="n">
        <v>164.5</v>
      </c>
      <c r="K753" s="5" t="n"/>
      <c r="L753" s="5" t="n"/>
      <c r="M753" s="5" t="n"/>
      <c r="N753" s="5" t="n"/>
      <c r="O753" s="5" t="n">
        <v>987</v>
      </c>
      <c r="P753" s="5" t="n"/>
      <c r="Q753" s="5" t="n">
        <v>987</v>
      </c>
      <c r="R753" s="5" t="n"/>
    </row>
    <row r="754">
      <c r="A754" s="2" t="inlineStr">
        <is>
          <t>EJ010624.TXT</t>
        </is>
      </c>
      <c r="B754" s="3" t="inlineStr">
        <is>
          <t>005384</t>
        </is>
      </c>
      <c r="C754" s="3" t="inlineStr">
        <is>
          <t>004314</t>
        </is>
      </c>
      <c r="D754" s="4" t="n">
        <v>45436</v>
      </c>
      <c r="E754" s="2" t="inlineStr">
        <is>
          <t>10:01</t>
        </is>
      </c>
      <c r="F754" s="5" t="n">
        <v>822.5</v>
      </c>
      <c r="G754" s="5" t="n"/>
      <c r="H754" s="5" t="n"/>
      <c r="I754" s="5" t="n"/>
      <c r="J754" s="5" t="n">
        <v>164.5</v>
      </c>
      <c r="K754" s="5" t="n"/>
      <c r="L754" s="5" t="n"/>
      <c r="M754" s="5" t="n"/>
      <c r="N754" s="5" t="n"/>
      <c r="O754" s="5" t="n">
        <v>987</v>
      </c>
      <c r="P754" s="5" t="n">
        <v>987</v>
      </c>
      <c r="Q754" s="5" t="n"/>
      <c r="R754" s="5" t="n"/>
    </row>
    <row r="755">
      <c r="A755" s="2" t="inlineStr">
        <is>
          <t>EJ010624.TXT</t>
        </is>
      </c>
      <c r="B755" s="3" t="inlineStr">
        <is>
          <t>005385</t>
        </is>
      </c>
      <c r="C755" s="3" t="inlineStr">
        <is>
          <t>004315</t>
        </is>
      </c>
      <c r="D755" s="4" t="n">
        <v>45436</v>
      </c>
      <c r="E755" s="2" t="inlineStr">
        <is>
          <t>14:16</t>
        </is>
      </c>
      <c r="F755" s="5" t="n">
        <v>3190</v>
      </c>
      <c r="G755" s="5" t="n"/>
      <c r="H755" s="5" t="n"/>
      <c r="I755" s="5" t="n"/>
      <c r="J755" s="5" t="n">
        <v>638</v>
      </c>
      <c r="K755" s="5" t="n"/>
      <c r="L755" s="5" t="n"/>
      <c r="M755" s="5" t="n"/>
      <c r="N755" s="5" t="n"/>
      <c r="O755" s="5" t="n">
        <v>3828</v>
      </c>
      <c r="P755" s="5" t="n">
        <v>3828</v>
      </c>
      <c r="Q755" s="5" t="n"/>
      <c r="R755" s="5" t="n"/>
    </row>
    <row r="756">
      <c r="A756" s="2" t="inlineStr">
        <is>
          <t>EJ010624.TXT</t>
        </is>
      </c>
      <c r="B756" s="3" t="inlineStr">
        <is>
          <t>005386</t>
        </is>
      </c>
      <c r="C756" s="3" t="inlineStr">
        <is>
          <t>004316</t>
        </is>
      </c>
      <c r="D756" s="4" t="n">
        <v>45436</v>
      </c>
      <c r="E756" s="2" t="inlineStr">
        <is>
          <t>16:29</t>
        </is>
      </c>
      <c r="F756" s="5" t="n">
        <v>208.33</v>
      </c>
      <c r="G756" s="5" t="n"/>
      <c r="H756" s="5" t="n"/>
      <c r="I756" s="5" t="n"/>
      <c r="J756" s="5" t="n">
        <v>41.67</v>
      </c>
      <c r="K756" s="5" t="n"/>
      <c r="L756" s="5" t="n"/>
      <c r="M756" s="5" t="n"/>
      <c r="N756" s="5" t="n"/>
      <c r="O756" s="5" t="n">
        <v>250</v>
      </c>
      <c r="P756" s="5" t="n"/>
      <c r="Q756" s="5" t="n">
        <v>250</v>
      </c>
      <c r="R756" s="5" t="n"/>
    </row>
    <row r="757">
      <c r="A757" s="2" t="inlineStr">
        <is>
          <t>EJ010624.TXT</t>
        </is>
      </c>
      <c r="B757" s="3" t="inlineStr">
        <is>
          <t>005387</t>
        </is>
      </c>
      <c r="C757" s="3" t="inlineStr">
        <is>
          <t>004317</t>
        </is>
      </c>
      <c r="D757" s="4" t="n">
        <v>45437</v>
      </c>
      <c r="E757" s="2" t="inlineStr">
        <is>
          <t>15:17</t>
        </is>
      </c>
      <c r="F757" s="5" t="n">
        <v>274.17</v>
      </c>
      <c r="G757" s="5" t="n"/>
      <c r="H757" s="5" t="n"/>
      <c r="I757" s="5" t="n"/>
      <c r="J757" s="5" t="n">
        <v>54.83</v>
      </c>
      <c r="K757" s="5" t="n"/>
      <c r="L757" s="5" t="n"/>
      <c r="M757" s="5" t="n"/>
      <c r="N757" s="5" t="n"/>
      <c r="O757" s="5" t="n">
        <v>329</v>
      </c>
      <c r="P757" s="5" t="n">
        <v>329</v>
      </c>
      <c r="Q757" s="5" t="n"/>
      <c r="R757" s="5" t="n"/>
    </row>
    <row r="758">
      <c r="A758" s="2" t="inlineStr">
        <is>
          <t>EJ010624.TXT</t>
        </is>
      </c>
      <c r="B758" s="3" t="inlineStr">
        <is>
          <t>005388</t>
        </is>
      </c>
      <c r="C758" s="3" t="inlineStr">
        <is>
          <t>004318</t>
        </is>
      </c>
      <c r="D758" s="4" t="n">
        <v>45437</v>
      </c>
      <c r="E758" s="2" t="inlineStr">
        <is>
          <t>15:25</t>
        </is>
      </c>
      <c r="F758" s="5" t="n">
        <v>316.08</v>
      </c>
      <c r="G758" s="5" t="n"/>
      <c r="H758" s="5" t="n"/>
      <c r="I758" s="5" t="n"/>
      <c r="J758" s="5" t="n">
        <v>63.22</v>
      </c>
      <c r="K758" s="5" t="n"/>
      <c r="L758" s="5" t="n"/>
      <c r="M758" s="5" t="n"/>
      <c r="N758" s="5" t="n"/>
      <c r="O758" s="5" t="n">
        <v>379.3</v>
      </c>
      <c r="P758" s="5" t="n">
        <v>379.3</v>
      </c>
      <c r="Q758" s="5" t="n"/>
      <c r="R758" s="5" t="n"/>
    </row>
    <row r="759">
      <c r="A759" s="2" t="inlineStr">
        <is>
          <t>EJ010624.TXT</t>
        </is>
      </c>
      <c r="B759" s="3" t="inlineStr">
        <is>
          <t>005389</t>
        </is>
      </c>
      <c r="C759" s="3" t="inlineStr">
        <is>
          <t>004319</t>
        </is>
      </c>
      <c r="D759" s="4" t="n">
        <v>45440</v>
      </c>
      <c r="E759" s="2" t="inlineStr">
        <is>
          <t>14:40</t>
        </is>
      </c>
      <c r="F759" s="5" t="n">
        <v>548.33</v>
      </c>
      <c r="G759" s="5" t="n"/>
      <c r="H759" s="5" t="n"/>
      <c r="I759" s="5" t="n"/>
      <c r="J759" s="5" t="n">
        <v>109.67</v>
      </c>
      <c r="K759" s="5" t="n"/>
      <c r="L759" s="5" t="n"/>
      <c r="M759" s="5" t="n"/>
      <c r="N759" s="5" t="n"/>
      <c r="O759" s="5" t="n">
        <v>658</v>
      </c>
      <c r="P759" s="5" t="n"/>
      <c r="Q759" s="5" t="n">
        <v>658</v>
      </c>
      <c r="R759" s="5" t="n"/>
    </row>
    <row r="760">
      <c r="A760" s="2" t="inlineStr">
        <is>
          <t>EJ010624.TXT</t>
        </is>
      </c>
      <c r="B760" s="3" t="inlineStr">
        <is>
          <t>005390</t>
        </is>
      </c>
      <c r="C760" s="3" t="inlineStr">
        <is>
          <t>004320</t>
        </is>
      </c>
      <c r="D760" s="4" t="n">
        <v>45440</v>
      </c>
      <c r="E760" s="2" t="inlineStr">
        <is>
          <t>14:42</t>
        </is>
      </c>
      <c r="F760" s="5" t="n">
        <v>548.33</v>
      </c>
      <c r="G760" s="5" t="n"/>
      <c r="H760" s="5" t="n"/>
      <c r="I760" s="5" t="n"/>
      <c r="J760" s="5" t="n">
        <v>109.67</v>
      </c>
      <c r="K760" s="5" t="n"/>
      <c r="L760" s="5" t="n"/>
      <c r="M760" s="5" t="n"/>
      <c r="N760" s="5" t="n"/>
      <c r="O760" s="5" t="n">
        <v>658</v>
      </c>
      <c r="P760" s="5" t="n">
        <v>658</v>
      </c>
      <c r="Q760" s="5" t="n"/>
      <c r="R760" s="5" t="n"/>
    </row>
    <row r="761">
      <c r="A761" s="2" t="inlineStr">
        <is>
          <t>EJ010624.TXT</t>
        </is>
      </c>
      <c r="B761" s="3" t="inlineStr">
        <is>
          <t>005391</t>
        </is>
      </c>
      <c r="C761" s="3" t="inlineStr">
        <is>
          <t>004321</t>
        </is>
      </c>
      <c r="D761" s="4" t="n">
        <v>45441</v>
      </c>
      <c r="E761" s="2" t="inlineStr">
        <is>
          <t>15:47</t>
        </is>
      </c>
      <c r="F761" s="5" t="n">
        <v>41.58</v>
      </c>
      <c r="G761" s="5" t="n"/>
      <c r="H761" s="5" t="n"/>
      <c r="I761" s="5" t="n"/>
      <c r="J761" s="5" t="n">
        <v>8.32</v>
      </c>
      <c r="K761" s="5" t="n"/>
      <c r="L761" s="5" t="n"/>
      <c r="M761" s="5" t="n"/>
      <c r="N761" s="5" t="n"/>
      <c r="O761" s="5" t="n">
        <v>49.9</v>
      </c>
      <c r="P761" s="5" t="n"/>
      <c r="Q761" s="5" t="n">
        <v>49.9</v>
      </c>
      <c r="R761" s="5" t="n"/>
    </row>
    <row r="762">
      <c r="A762" s="2" t="inlineStr">
        <is>
          <t>EJ010624.TXT</t>
        </is>
      </c>
      <c r="B762" s="3" t="inlineStr">
        <is>
          <t>005392</t>
        </is>
      </c>
      <c r="C762" s="3" t="inlineStr">
        <is>
          <t>004322</t>
        </is>
      </c>
      <c r="D762" s="4" t="n">
        <v>45441</v>
      </c>
      <c r="E762" s="2" t="inlineStr">
        <is>
          <t>15:47</t>
        </is>
      </c>
      <c r="F762" s="5" t="n">
        <v>208.33</v>
      </c>
      <c r="G762" s="5" t="n"/>
      <c r="H762" s="5" t="n"/>
      <c r="I762" s="5" t="n"/>
      <c r="J762" s="5" t="n">
        <v>41.67</v>
      </c>
      <c r="K762" s="5" t="n"/>
      <c r="L762" s="5" t="n"/>
      <c r="M762" s="5" t="n"/>
      <c r="N762" s="5" t="n"/>
      <c r="O762" s="5" t="n">
        <v>250</v>
      </c>
      <c r="P762" s="5" t="n"/>
      <c r="Q762" s="5" t="n">
        <v>250</v>
      </c>
      <c r="R762" s="5" t="n"/>
    </row>
    <row r="763">
      <c r="A763" s="2" t="inlineStr">
        <is>
          <t>EJ010624.TXT</t>
        </is>
      </c>
      <c r="B763" s="3" t="inlineStr">
        <is>
          <t>005393</t>
        </is>
      </c>
      <c r="C763" s="3" t="inlineStr">
        <is>
          <t>004323</t>
        </is>
      </c>
      <c r="D763" s="4" t="n">
        <v>45441</v>
      </c>
      <c r="E763" s="2" t="inlineStr">
        <is>
          <t>15:51</t>
        </is>
      </c>
      <c r="F763" s="5" t="n">
        <v>208.33</v>
      </c>
      <c r="G763" s="5" t="n"/>
      <c r="H763" s="5" t="n"/>
      <c r="I763" s="5" t="n"/>
      <c r="J763" s="5" t="n">
        <v>41.67</v>
      </c>
      <c r="K763" s="5" t="n"/>
      <c r="L763" s="5" t="n"/>
      <c r="M763" s="5" t="n"/>
      <c r="N763" s="5" t="n"/>
      <c r="O763" s="5" t="n">
        <v>250</v>
      </c>
      <c r="P763" s="5" t="n"/>
      <c r="Q763" s="5" t="n">
        <v>250</v>
      </c>
      <c r="R763" s="5" t="n"/>
    </row>
    <row r="764">
      <c r="A764" s="2" t="inlineStr">
        <is>
          <t>EJ010624.TXT</t>
        </is>
      </c>
      <c r="B764" s="3" t="inlineStr">
        <is>
          <t>005394</t>
        </is>
      </c>
      <c r="C764" s="3" t="inlineStr">
        <is>
          <t>004324</t>
        </is>
      </c>
      <c r="D764" s="4" t="n">
        <v>45443</v>
      </c>
      <c r="E764" s="2" t="inlineStr">
        <is>
          <t>16:07</t>
        </is>
      </c>
      <c r="F764" s="5" t="n">
        <v>208.33</v>
      </c>
      <c r="G764" s="5" t="n"/>
      <c r="H764" s="5" t="n"/>
      <c r="I764" s="5" t="n"/>
      <c r="J764" s="5" t="n">
        <v>41.67</v>
      </c>
      <c r="K764" s="5" t="n"/>
      <c r="L764" s="5" t="n"/>
      <c r="M764" s="5" t="n"/>
      <c r="N764" s="5" t="n"/>
      <c r="O764" s="5" t="n">
        <v>250</v>
      </c>
      <c r="P764" s="5" t="n"/>
      <c r="Q764" s="5" t="n">
        <v>250</v>
      </c>
      <c r="R764" s="5" t="n"/>
    </row>
    <row r="765">
      <c r="A765" s="2" t="inlineStr">
        <is>
          <t>EJ010724.TXT</t>
        </is>
      </c>
      <c r="B765" s="3" t="inlineStr">
        <is>
          <t>005401</t>
        </is>
      </c>
      <c r="C765" s="3" t="inlineStr">
        <is>
          <t>004325</t>
        </is>
      </c>
      <c r="D765" s="4" t="n">
        <v>45444</v>
      </c>
      <c r="E765" s="2" t="inlineStr">
        <is>
          <t>16:18</t>
        </is>
      </c>
      <c r="F765" s="5" t="n">
        <v>830</v>
      </c>
      <c r="G765" s="5" t="n"/>
      <c r="H765" s="5" t="n"/>
      <c r="I765" s="5" t="n"/>
      <c r="J765" s="5" t="n">
        <v>166</v>
      </c>
      <c r="K765" s="5" t="n"/>
      <c r="L765" s="5" t="n"/>
      <c r="M765" s="5" t="n"/>
      <c r="N765" s="5" t="n"/>
      <c r="O765" s="5" t="n">
        <v>996</v>
      </c>
      <c r="P765" s="5" t="n"/>
      <c r="Q765" s="5" t="n">
        <v>996</v>
      </c>
      <c r="R765" s="5" t="n"/>
    </row>
    <row r="766">
      <c r="A766" s="2" t="inlineStr">
        <is>
          <t>EJ010724.TXT</t>
        </is>
      </c>
      <c r="B766" s="3" t="inlineStr">
        <is>
          <t>005402</t>
        </is>
      </c>
      <c r="C766" s="3" t="inlineStr">
        <is>
          <t>004326</t>
        </is>
      </c>
      <c r="D766" s="4" t="n">
        <v>45445</v>
      </c>
      <c r="E766" s="2" t="inlineStr">
        <is>
          <t>12:42</t>
        </is>
      </c>
      <c r="F766" s="5" t="n">
        <v>1063.33</v>
      </c>
      <c r="G766" s="5" t="n"/>
      <c r="H766" s="5" t="n"/>
      <c r="I766" s="5" t="n"/>
      <c r="J766" s="5" t="n">
        <v>212.67</v>
      </c>
      <c r="K766" s="5" t="n"/>
      <c r="L766" s="5" t="n"/>
      <c r="M766" s="5" t="n"/>
      <c r="N766" s="5" t="n"/>
      <c r="O766" s="5" t="n">
        <v>1276</v>
      </c>
      <c r="P766" s="5" t="n">
        <v>1276</v>
      </c>
      <c r="Q766" s="5" t="n"/>
      <c r="R766" s="5" t="n"/>
    </row>
    <row r="767">
      <c r="A767" s="2" t="inlineStr">
        <is>
          <t>EJ010724.TXT</t>
        </is>
      </c>
      <c r="B767" s="3" t="inlineStr">
        <is>
          <t>005403</t>
        </is>
      </c>
      <c r="C767" s="3" t="inlineStr">
        <is>
          <t>004327</t>
        </is>
      </c>
      <c r="D767" s="4" t="n">
        <v>45446</v>
      </c>
      <c r="E767" s="2" t="inlineStr">
        <is>
          <t>10:47</t>
        </is>
      </c>
      <c r="F767" s="5" t="n">
        <v>582.5</v>
      </c>
      <c r="G767" s="5" t="n"/>
      <c r="H767" s="5" t="n"/>
      <c r="I767" s="5" t="n"/>
      <c r="J767" s="5" t="n">
        <v>116.5</v>
      </c>
      <c r="K767" s="5" t="n"/>
      <c r="L767" s="5" t="n"/>
      <c r="M767" s="5" t="n"/>
      <c r="N767" s="5" t="n"/>
      <c r="O767" s="5" t="n">
        <v>699</v>
      </c>
      <c r="P767" s="5" t="n">
        <v>699</v>
      </c>
      <c r="Q767" s="5" t="n"/>
      <c r="R767" s="5" t="n"/>
    </row>
    <row r="768">
      <c r="A768" s="2" t="inlineStr">
        <is>
          <t>EJ010724.TXT</t>
        </is>
      </c>
      <c r="B768" s="3" t="inlineStr">
        <is>
          <t>005404</t>
        </is>
      </c>
      <c r="C768" s="3" t="inlineStr">
        <is>
          <t>004328</t>
        </is>
      </c>
      <c r="D768" s="4" t="n">
        <v>45446</v>
      </c>
      <c r="E768" s="2" t="inlineStr">
        <is>
          <t>10:47</t>
        </is>
      </c>
      <c r="F768" s="5" t="n">
        <v>582.5</v>
      </c>
      <c r="G768" s="5" t="n"/>
      <c r="H768" s="5" t="n"/>
      <c r="I768" s="5" t="n"/>
      <c r="J768" s="5" t="n">
        <v>116.5</v>
      </c>
      <c r="K768" s="5" t="n"/>
      <c r="L768" s="5" t="n"/>
      <c r="M768" s="5" t="n"/>
      <c r="N768" s="5" t="n"/>
      <c r="O768" s="5" t="n">
        <v>699</v>
      </c>
      <c r="P768" s="5" t="n">
        <v>699</v>
      </c>
      <c r="Q768" s="5" t="n"/>
      <c r="R768" s="5" t="n"/>
    </row>
    <row r="769">
      <c r="A769" s="2" t="inlineStr">
        <is>
          <t>EJ010724.TXT</t>
        </is>
      </c>
      <c r="B769" s="3" t="inlineStr">
        <is>
          <t>005405</t>
        </is>
      </c>
      <c r="C769" s="3" t="inlineStr">
        <is>
          <t>004329</t>
        </is>
      </c>
      <c r="D769" s="4" t="n">
        <v>45447</v>
      </c>
      <c r="E769" s="2" t="inlineStr">
        <is>
          <t>10:49</t>
        </is>
      </c>
      <c r="F769" s="5" t="n">
        <v>797.5</v>
      </c>
      <c r="G769" s="5" t="n"/>
      <c r="H769" s="5" t="n"/>
      <c r="I769" s="5" t="n"/>
      <c r="J769" s="5" t="n">
        <v>159.5</v>
      </c>
      <c r="K769" s="5" t="n"/>
      <c r="L769" s="5" t="n"/>
      <c r="M769" s="5" t="n"/>
      <c r="N769" s="5" t="n"/>
      <c r="O769" s="5" t="n">
        <v>957</v>
      </c>
      <c r="P769" s="5" t="n"/>
      <c r="Q769" s="5" t="n">
        <v>957</v>
      </c>
      <c r="R769" s="5" t="n"/>
    </row>
    <row r="770">
      <c r="A770" s="2" t="inlineStr">
        <is>
          <t>EJ010724.TXT</t>
        </is>
      </c>
      <c r="B770" s="3" t="inlineStr">
        <is>
          <t>005406</t>
        </is>
      </c>
      <c r="C770" s="3" t="inlineStr">
        <is>
          <t>004330</t>
        </is>
      </c>
      <c r="D770" s="4" t="n">
        <v>45447</v>
      </c>
      <c r="E770" s="2" t="inlineStr">
        <is>
          <t>10:50</t>
        </is>
      </c>
      <c r="F770" s="5" t="n">
        <v>2356.67</v>
      </c>
      <c r="G770" s="5" t="n"/>
      <c r="H770" s="5" t="n"/>
      <c r="I770" s="5" t="n"/>
      <c r="J770" s="5" t="n">
        <v>471.33</v>
      </c>
      <c r="K770" s="5" t="n"/>
      <c r="L770" s="5" t="n"/>
      <c r="M770" s="5" t="n"/>
      <c r="N770" s="5" t="n"/>
      <c r="O770" s="5" t="n">
        <v>2828</v>
      </c>
      <c r="P770" s="5" t="n">
        <v>2828</v>
      </c>
      <c r="Q770" s="5" t="n"/>
      <c r="R770" s="5" t="n"/>
    </row>
    <row r="771">
      <c r="A771" s="2" t="inlineStr">
        <is>
          <t>EJ010724.TXT</t>
        </is>
      </c>
      <c r="B771" s="3" t="inlineStr">
        <is>
          <t>005407</t>
        </is>
      </c>
      <c r="C771" s="3" t="inlineStr">
        <is>
          <t>004331</t>
        </is>
      </c>
      <c r="D771" s="4" t="n">
        <v>45447</v>
      </c>
      <c r="E771" s="2" t="inlineStr">
        <is>
          <t>10:52</t>
        </is>
      </c>
      <c r="F771" s="5" t="n">
        <v>35.83</v>
      </c>
      <c r="G771" s="5" t="n"/>
      <c r="H771" s="5" t="n"/>
      <c r="I771" s="5" t="n"/>
      <c r="J771" s="5" t="n">
        <v>7.17</v>
      </c>
      <c r="K771" s="5" t="n"/>
      <c r="L771" s="5" t="n"/>
      <c r="M771" s="5" t="n"/>
      <c r="N771" s="5" t="n"/>
      <c r="O771" s="5" t="n">
        <v>43</v>
      </c>
      <c r="P771" s="5" t="n"/>
      <c r="Q771" s="5" t="n">
        <v>43</v>
      </c>
      <c r="R771" s="5" t="n"/>
    </row>
    <row r="772">
      <c r="A772" s="2" t="inlineStr">
        <is>
          <t>EJ010724.TXT</t>
        </is>
      </c>
      <c r="B772" s="3" t="inlineStr">
        <is>
          <t>005408</t>
        </is>
      </c>
      <c r="C772" s="3" t="inlineStr">
        <is>
          <t>004332</t>
        </is>
      </c>
      <c r="D772" s="4" t="n">
        <v>45447</v>
      </c>
      <c r="E772" s="2" t="inlineStr">
        <is>
          <t>10:53</t>
        </is>
      </c>
      <c r="F772" s="5" t="n">
        <v>625</v>
      </c>
      <c r="G772" s="5" t="n"/>
      <c r="H772" s="5" t="n"/>
      <c r="I772" s="5" t="n"/>
      <c r="J772" s="5" t="n">
        <v>125</v>
      </c>
      <c r="K772" s="5" t="n"/>
      <c r="L772" s="5" t="n"/>
      <c r="M772" s="5" t="n"/>
      <c r="N772" s="5" t="n"/>
      <c r="O772" s="5" t="n">
        <v>750</v>
      </c>
      <c r="P772" s="5" t="n"/>
      <c r="Q772" s="5" t="n">
        <v>750</v>
      </c>
      <c r="R772" s="5" t="n"/>
    </row>
    <row r="773">
      <c r="A773" s="2" t="inlineStr">
        <is>
          <t>EJ010724.TXT</t>
        </is>
      </c>
      <c r="B773" s="3" t="inlineStr">
        <is>
          <t>005409</t>
        </is>
      </c>
      <c r="C773" s="3" t="inlineStr">
        <is>
          <t>004333</t>
        </is>
      </c>
      <c r="D773" s="4" t="n">
        <v>45447</v>
      </c>
      <c r="E773" s="2" t="inlineStr">
        <is>
          <t>11:00</t>
        </is>
      </c>
      <c r="F773" s="5" t="n">
        <v>172.5</v>
      </c>
      <c r="G773" s="5" t="n"/>
      <c r="H773" s="5" t="n"/>
      <c r="I773" s="5" t="n"/>
      <c r="J773" s="5" t="n">
        <v>34.5</v>
      </c>
      <c r="K773" s="5" t="n"/>
      <c r="L773" s="5" t="n"/>
      <c r="M773" s="5" t="n"/>
      <c r="N773" s="5" t="n"/>
      <c r="O773" s="5" t="n">
        <v>207</v>
      </c>
      <c r="P773" s="5" t="n"/>
      <c r="Q773" s="5" t="n">
        <v>207</v>
      </c>
      <c r="R773" s="5" t="n"/>
    </row>
    <row r="774">
      <c r="A774" s="2" t="inlineStr">
        <is>
          <t>EJ010724.TXT</t>
        </is>
      </c>
      <c r="B774" s="3" t="inlineStr">
        <is>
          <t>005410</t>
        </is>
      </c>
      <c r="C774" s="3" t="inlineStr">
        <is>
          <t>004334</t>
        </is>
      </c>
      <c r="D774" s="4" t="n">
        <v>45447</v>
      </c>
      <c r="E774" s="2" t="inlineStr">
        <is>
          <t>11:01</t>
        </is>
      </c>
      <c r="F774" s="5" t="n">
        <v>265.83</v>
      </c>
      <c r="G774" s="5" t="n"/>
      <c r="H774" s="5" t="n"/>
      <c r="I774" s="5" t="n"/>
      <c r="J774" s="5" t="n">
        <v>53.17</v>
      </c>
      <c r="K774" s="5" t="n"/>
      <c r="L774" s="5" t="n"/>
      <c r="M774" s="5" t="n"/>
      <c r="N774" s="5" t="n"/>
      <c r="O774" s="5" t="n">
        <v>319</v>
      </c>
      <c r="P774" s="5" t="n"/>
      <c r="Q774" s="5" t="n">
        <v>319</v>
      </c>
      <c r="R774" s="5" t="n"/>
    </row>
    <row r="775">
      <c r="A775" s="2" t="inlineStr">
        <is>
          <t>EJ010724.TXT</t>
        </is>
      </c>
      <c r="B775" s="3" t="inlineStr">
        <is>
          <t>005411</t>
        </is>
      </c>
      <c r="C775" s="3" t="inlineStr">
        <is>
          <t>004335</t>
        </is>
      </c>
      <c r="D775" s="4" t="n">
        <v>45447</v>
      </c>
      <c r="E775" s="2" t="inlineStr">
        <is>
          <t>14:46</t>
        </is>
      </c>
      <c r="F775" s="5" t="n">
        <v>833.33</v>
      </c>
      <c r="G775" s="5" t="n"/>
      <c r="H775" s="5" t="n"/>
      <c r="I775" s="5" t="n"/>
      <c r="J775" s="5" t="n">
        <v>166.67</v>
      </c>
      <c r="K775" s="5" t="n"/>
      <c r="L775" s="5" t="n"/>
      <c r="M775" s="5" t="n"/>
      <c r="N775" s="5" t="n"/>
      <c r="O775" s="5" t="n">
        <v>1000</v>
      </c>
      <c r="P775" s="5" t="n"/>
      <c r="Q775" s="5" t="n">
        <v>1000</v>
      </c>
      <c r="R775" s="5" t="n"/>
    </row>
    <row r="776">
      <c r="A776" s="2" t="inlineStr">
        <is>
          <t>EJ010724.TXT</t>
        </is>
      </c>
      <c r="B776" s="3" t="inlineStr">
        <is>
          <t>005412</t>
        </is>
      </c>
      <c r="C776" s="3" t="inlineStr">
        <is>
          <t>004336</t>
        </is>
      </c>
      <c r="D776" s="4" t="n">
        <v>45447</v>
      </c>
      <c r="E776" s="2" t="inlineStr">
        <is>
          <t>14:48</t>
        </is>
      </c>
      <c r="F776" s="5" t="n">
        <v>2356.67</v>
      </c>
      <c r="G776" s="5" t="n"/>
      <c r="H776" s="5" t="n"/>
      <c r="I776" s="5" t="n"/>
      <c r="J776" s="5" t="n">
        <v>471.33</v>
      </c>
      <c r="K776" s="5" t="n"/>
      <c r="L776" s="5" t="n"/>
      <c r="M776" s="5" t="n"/>
      <c r="N776" s="5" t="n"/>
      <c r="O776" s="5" t="n">
        <v>2828</v>
      </c>
      <c r="P776" s="5" t="n">
        <v>2828</v>
      </c>
      <c r="Q776" s="5" t="n"/>
      <c r="R776" s="5" t="n"/>
    </row>
    <row r="777">
      <c r="A777" s="2" t="inlineStr">
        <is>
          <t>EJ010724.TXT</t>
        </is>
      </c>
      <c r="B777" s="3" t="inlineStr">
        <is>
          <t>005413</t>
        </is>
      </c>
      <c r="C777" s="3" t="inlineStr">
        <is>
          <t>004337</t>
        </is>
      </c>
      <c r="D777" s="4" t="n">
        <v>45448</v>
      </c>
      <c r="E777" s="2" t="inlineStr">
        <is>
          <t>14:14</t>
        </is>
      </c>
      <c r="F777" s="5" t="n">
        <v>274.17</v>
      </c>
      <c r="G777" s="5" t="n"/>
      <c r="H777" s="5" t="n"/>
      <c r="I777" s="5" t="n"/>
      <c r="J777" s="5" t="n">
        <v>54.83</v>
      </c>
      <c r="K777" s="5" t="n"/>
      <c r="L777" s="5" t="n"/>
      <c r="M777" s="5" t="n"/>
      <c r="N777" s="5" t="n"/>
      <c r="O777" s="5" t="n">
        <v>329</v>
      </c>
      <c r="P777" s="5" t="n"/>
      <c r="Q777" s="5" t="n">
        <v>329</v>
      </c>
      <c r="R777" s="5" t="n"/>
    </row>
    <row r="778">
      <c r="A778" s="2" t="inlineStr">
        <is>
          <t>EJ010724.TXT</t>
        </is>
      </c>
      <c r="B778" s="3" t="inlineStr">
        <is>
          <t>005414</t>
        </is>
      </c>
      <c r="C778" s="3" t="inlineStr">
        <is>
          <t>004338</t>
        </is>
      </c>
      <c r="D778" s="4" t="n">
        <v>45448</v>
      </c>
      <c r="E778" s="2" t="inlineStr">
        <is>
          <t>15:47</t>
        </is>
      </c>
      <c r="F778" s="5" t="n">
        <v>208.33</v>
      </c>
      <c r="G778" s="5" t="n"/>
      <c r="H778" s="5" t="n"/>
      <c r="I778" s="5" t="n"/>
      <c r="J778" s="5" t="n">
        <v>41.67</v>
      </c>
      <c r="K778" s="5" t="n"/>
      <c r="L778" s="5" t="n"/>
      <c r="M778" s="5" t="n"/>
      <c r="N778" s="5" t="n"/>
      <c r="O778" s="5" t="n">
        <v>250</v>
      </c>
      <c r="P778" s="5" t="n"/>
      <c r="Q778" s="5" t="n">
        <v>250</v>
      </c>
      <c r="R778" s="5" t="n"/>
    </row>
    <row r="779">
      <c r="A779" s="2" t="inlineStr">
        <is>
          <t>EJ010724.TXT</t>
        </is>
      </c>
      <c r="B779" s="3" t="inlineStr">
        <is>
          <t>005415</t>
        </is>
      </c>
      <c r="C779" s="3" t="inlineStr">
        <is>
          <t>004339</t>
        </is>
      </c>
      <c r="D779" s="4" t="n">
        <v>45449</v>
      </c>
      <c r="E779" s="2" t="inlineStr">
        <is>
          <t>16:36</t>
        </is>
      </c>
      <c r="F779" s="5" t="n">
        <v>175</v>
      </c>
      <c r="G779" s="5" t="n"/>
      <c r="H779" s="5" t="n"/>
      <c r="I779" s="5" t="n"/>
      <c r="J779" s="5" t="n">
        <v>35</v>
      </c>
      <c r="K779" s="5" t="n"/>
      <c r="L779" s="5" t="n"/>
      <c r="M779" s="5" t="n"/>
      <c r="N779" s="5" t="n"/>
      <c r="O779" s="5" t="n">
        <v>210</v>
      </c>
      <c r="P779" s="5" t="n">
        <v>210</v>
      </c>
      <c r="Q779" s="5" t="n"/>
      <c r="R779" s="5" t="n"/>
    </row>
    <row r="780">
      <c r="A780" s="2" t="inlineStr">
        <is>
          <t>EJ010724.TXT</t>
        </is>
      </c>
      <c r="B780" s="3" t="inlineStr">
        <is>
          <t>005416</t>
        </is>
      </c>
      <c r="C780" s="3" t="inlineStr">
        <is>
          <t>004340</t>
        </is>
      </c>
      <c r="D780" s="4" t="n">
        <v>45449</v>
      </c>
      <c r="E780" s="2" t="inlineStr">
        <is>
          <t>16:48</t>
        </is>
      </c>
      <c r="F780" s="5" t="n">
        <v>1096.67</v>
      </c>
      <c r="G780" s="5" t="n"/>
      <c r="H780" s="5" t="n"/>
      <c r="I780" s="5" t="n"/>
      <c r="J780" s="5" t="n">
        <v>219.33</v>
      </c>
      <c r="K780" s="5" t="n"/>
      <c r="L780" s="5" t="n"/>
      <c r="M780" s="5" t="n"/>
      <c r="N780" s="5" t="n"/>
      <c r="O780" s="5" t="n">
        <v>1316</v>
      </c>
      <c r="P780" s="5" t="n">
        <v>1316</v>
      </c>
      <c r="Q780" s="5" t="n"/>
      <c r="R780" s="5" t="n"/>
    </row>
    <row r="781">
      <c r="A781" s="2" t="inlineStr">
        <is>
          <t>EJ010724.TXT</t>
        </is>
      </c>
      <c r="B781" s="3" t="inlineStr">
        <is>
          <t>005417</t>
        </is>
      </c>
      <c r="C781" s="3" t="inlineStr">
        <is>
          <t>004341</t>
        </is>
      </c>
      <c r="D781" s="4" t="n">
        <v>45450</v>
      </c>
      <c r="E781" s="2" t="inlineStr">
        <is>
          <t>16:36</t>
        </is>
      </c>
      <c r="F781" s="5" t="n">
        <v>208.33</v>
      </c>
      <c r="G781" s="5" t="n"/>
      <c r="H781" s="5" t="n"/>
      <c r="I781" s="5" t="n"/>
      <c r="J781" s="5" t="n">
        <v>41.67</v>
      </c>
      <c r="K781" s="5" t="n"/>
      <c r="L781" s="5" t="n"/>
      <c r="M781" s="5" t="n"/>
      <c r="N781" s="5" t="n"/>
      <c r="O781" s="5" t="n">
        <v>250</v>
      </c>
      <c r="P781" s="5" t="n"/>
      <c r="Q781" s="5" t="n">
        <v>250</v>
      </c>
      <c r="R781" s="5" t="n"/>
    </row>
    <row r="782">
      <c r="A782" s="2" t="inlineStr">
        <is>
          <t>EJ010724.TXT</t>
        </is>
      </c>
      <c r="B782" s="3" t="inlineStr">
        <is>
          <t>005418</t>
        </is>
      </c>
      <c r="C782" s="3" t="inlineStr">
        <is>
          <t>004342</t>
        </is>
      </c>
      <c r="D782" s="4" t="n">
        <v>45451</v>
      </c>
      <c r="E782" s="2" t="inlineStr">
        <is>
          <t>17:58</t>
        </is>
      </c>
      <c r="F782" s="5" t="n">
        <v>208.33</v>
      </c>
      <c r="G782" s="5" t="n"/>
      <c r="H782" s="5" t="n"/>
      <c r="I782" s="5" t="n"/>
      <c r="J782" s="5" t="n">
        <v>41.67</v>
      </c>
      <c r="K782" s="5" t="n"/>
      <c r="L782" s="5" t="n"/>
      <c r="M782" s="5" t="n"/>
      <c r="N782" s="5" t="n"/>
      <c r="O782" s="5" t="n">
        <v>250</v>
      </c>
      <c r="P782" s="5" t="n"/>
      <c r="Q782" s="5" t="n">
        <v>250</v>
      </c>
      <c r="R782" s="5" t="n"/>
    </row>
    <row r="783">
      <c r="A783" s="2" t="inlineStr">
        <is>
          <t>EJ010724.TXT</t>
        </is>
      </c>
      <c r="B783" s="3" t="inlineStr">
        <is>
          <t>005419</t>
        </is>
      </c>
      <c r="C783" s="3" t="inlineStr">
        <is>
          <t>004343</t>
        </is>
      </c>
      <c r="D783" s="4" t="n">
        <v>45453</v>
      </c>
      <c r="E783" s="2" t="inlineStr">
        <is>
          <t>15:35</t>
        </is>
      </c>
      <c r="F783" s="5" t="n">
        <v>208.33</v>
      </c>
      <c r="G783" s="5" t="n"/>
      <c r="H783" s="5" t="n"/>
      <c r="I783" s="5" t="n"/>
      <c r="J783" s="5" t="n">
        <v>41.67</v>
      </c>
      <c r="K783" s="5" t="n"/>
      <c r="L783" s="5" t="n"/>
      <c r="M783" s="5" t="n"/>
      <c r="N783" s="5" t="n"/>
      <c r="O783" s="5" t="n">
        <v>250</v>
      </c>
      <c r="P783" s="5" t="n"/>
      <c r="Q783" s="5" t="n">
        <v>250</v>
      </c>
      <c r="R783" s="5" t="n"/>
    </row>
    <row r="784">
      <c r="A784" s="2" t="inlineStr">
        <is>
          <t>EJ010724.TXT</t>
        </is>
      </c>
      <c r="B784" s="3" t="inlineStr">
        <is>
          <t>005420</t>
        </is>
      </c>
      <c r="C784" s="3" t="inlineStr">
        <is>
          <t>004344</t>
        </is>
      </c>
      <c r="D784" s="4" t="n">
        <v>45455</v>
      </c>
      <c r="E784" s="2" t="inlineStr">
        <is>
          <t>10:47</t>
        </is>
      </c>
      <c r="F784" s="5" t="n">
        <v>548.33</v>
      </c>
      <c r="G784" s="5" t="n"/>
      <c r="H784" s="5" t="n"/>
      <c r="I784" s="5" t="n"/>
      <c r="J784" s="5" t="n">
        <v>109.67</v>
      </c>
      <c r="K784" s="5" t="n"/>
      <c r="L784" s="5" t="n"/>
      <c r="M784" s="5" t="n"/>
      <c r="N784" s="5" t="n"/>
      <c r="O784" s="5" t="n">
        <v>658</v>
      </c>
      <c r="P784" s="5" t="n"/>
      <c r="Q784" s="5" t="n">
        <v>658</v>
      </c>
      <c r="R784" s="5" t="n"/>
    </row>
    <row r="785">
      <c r="A785" s="2" t="inlineStr">
        <is>
          <t>EJ010724.TXT</t>
        </is>
      </c>
      <c r="B785" s="3" t="inlineStr">
        <is>
          <t>005421</t>
        </is>
      </c>
      <c r="C785" s="3" t="inlineStr">
        <is>
          <t>004345</t>
        </is>
      </c>
      <c r="D785" s="4" t="n">
        <v>45456</v>
      </c>
      <c r="E785" s="2" t="inlineStr">
        <is>
          <t>14:01</t>
        </is>
      </c>
      <c r="F785" s="5" t="n">
        <v>45.75</v>
      </c>
      <c r="G785" s="5" t="n"/>
      <c r="H785" s="5" t="n"/>
      <c r="I785" s="5" t="n"/>
      <c r="J785" s="5" t="n">
        <v>9.15</v>
      </c>
      <c r="K785" s="5" t="n"/>
      <c r="L785" s="5" t="n"/>
      <c r="M785" s="5" t="n"/>
      <c r="N785" s="5" t="n"/>
      <c r="O785" s="5" t="n">
        <v>54.9</v>
      </c>
      <c r="P785" s="5" t="n"/>
      <c r="Q785" s="5" t="n">
        <v>54.9</v>
      </c>
      <c r="R785" s="5" t="n"/>
    </row>
    <row r="786">
      <c r="A786" s="2" t="inlineStr">
        <is>
          <t>EJ010724.TXT</t>
        </is>
      </c>
      <c r="B786" s="3" t="inlineStr">
        <is>
          <t>005422</t>
        </is>
      </c>
      <c r="C786" s="3" t="inlineStr">
        <is>
          <t>004346</t>
        </is>
      </c>
      <c r="D786" s="4" t="n">
        <v>45457</v>
      </c>
      <c r="E786" s="2" t="inlineStr">
        <is>
          <t>15:03</t>
        </is>
      </c>
      <c r="F786" s="5" t="n">
        <v>208.33</v>
      </c>
      <c r="G786" s="5" t="n"/>
      <c r="H786" s="5" t="n"/>
      <c r="I786" s="5" t="n"/>
      <c r="J786" s="5" t="n">
        <v>41.67</v>
      </c>
      <c r="K786" s="5" t="n"/>
      <c r="L786" s="5" t="n"/>
      <c r="M786" s="5" t="n"/>
      <c r="N786" s="5" t="n"/>
      <c r="O786" s="5" t="n">
        <v>250</v>
      </c>
      <c r="P786" s="5" t="n"/>
      <c r="Q786" s="5" t="n">
        <v>250</v>
      </c>
      <c r="R786" s="5" t="n"/>
    </row>
    <row r="787">
      <c r="A787" s="2" t="inlineStr">
        <is>
          <t>EJ010724.TXT</t>
        </is>
      </c>
      <c r="B787" s="3" t="inlineStr">
        <is>
          <t>005423</t>
        </is>
      </c>
      <c r="C787" s="3" t="inlineStr">
        <is>
          <t>004347</t>
        </is>
      </c>
      <c r="D787" s="4" t="n">
        <v>45457</v>
      </c>
      <c r="E787" s="2" t="inlineStr">
        <is>
          <t>15:44</t>
        </is>
      </c>
      <c r="F787" s="5" t="n">
        <v>329.17</v>
      </c>
      <c r="G787" s="5" t="n"/>
      <c r="H787" s="5" t="n"/>
      <c r="I787" s="5" t="n"/>
      <c r="J787" s="5" t="n">
        <v>65.83</v>
      </c>
      <c r="K787" s="5" t="n"/>
      <c r="L787" s="5" t="n"/>
      <c r="M787" s="5" t="n"/>
      <c r="N787" s="5" t="n"/>
      <c r="O787" s="5" t="n">
        <v>395</v>
      </c>
      <c r="P787" s="5" t="n"/>
      <c r="Q787" s="5" t="n">
        <v>395</v>
      </c>
      <c r="R787" s="5" t="n"/>
    </row>
    <row r="788">
      <c r="A788" s="2" t="inlineStr">
        <is>
          <t>EJ010724.TXT</t>
        </is>
      </c>
      <c r="B788" s="3" t="inlineStr">
        <is>
          <t>005424</t>
        </is>
      </c>
      <c r="C788" s="3" t="inlineStr">
        <is>
          <t>004348</t>
        </is>
      </c>
      <c r="D788" s="4" t="n">
        <v>45461</v>
      </c>
      <c r="E788" s="2" t="inlineStr">
        <is>
          <t>15:13</t>
        </is>
      </c>
      <c r="F788" s="5" t="n">
        <v>797.5</v>
      </c>
      <c r="G788" s="5" t="n"/>
      <c r="H788" s="5" t="n"/>
      <c r="I788" s="5" t="n"/>
      <c r="J788" s="5" t="n">
        <v>159.5</v>
      </c>
      <c r="K788" s="5" t="n"/>
      <c r="L788" s="5" t="n"/>
      <c r="M788" s="5" t="n"/>
      <c r="N788" s="5" t="n"/>
      <c r="O788" s="5" t="n">
        <v>957</v>
      </c>
      <c r="P788" s="5" t="n"/>
      <c r="Q788" s="5" t="n">
        <v>957</v>
      </c>
      <c r="R788" s="5" t="n"/>
    </row>
    <row r="789">
      <c r="A789" s="2" t="inlineStr">
        <is>
          <t>EJ010724.TXT</t>
        </is>
      </c>
      <c r="B789" s="3" t="inlineStr">
        <is>
          <t>005425</t>
        </is>
      </c>
      <c r="C789" s="3" t="inlineStr">
        <is>
          <t>004349</t>
        </is>
      </c>
      <c r="D789" s="4" t="n">
        <v>45461</v>
      </c>
      <c r="E789" s="2" t="inlineStr">
        <is>
          <t>15:16</t>
        </is>
      </c>
      <c r="F789" s="5" t="n">
        <v>797.5</v>
      </c>
      <c r="G789" s="5" t="n"/>
      <c r="H789" s="5" t="n"/>
      <c r="I789" s="5" t="n"/>
      <c r="J789" s="5" t="n">
        <v>159.5</v>
      </c>
      <c r="K789" s="5" t="n"/>
      <c r="L789" s="5" t="n"/>
      <c r="M789" s="5" t="n"/>
      <c r="N789" s="5" t="n"/>
      <c r="O789" s="5" t="n">
        <v>957</v>
      </c>
      <c r="P789" s="5" t="n"/>
      <c r="Q789" s="5" t="n">
        <v>957</v>
      </c>
      <c r="R789" s="5" t="n"/>
    </row>
    <row r="790">
      <c r="A790" s="2" t="inlineStr">
        <is>
          <t>EJ010724.TXT</t>
        </is>
      </c>
      <c r="B790" s="3" t="inlineStr">
        <is>
          <t>005426</t>
        </is>
      </c>
      <c r="C790" s="3" t="inlineStr">
        <is>
          <t>004350</t>
        </is>
      </c>
      <c r="D790" s="4" t="n">
        <v>45461</v>
      </c>
      <c r="E790" s="2" t="inlineStr">
        <is>
          <t>16:00</t>
        </is>
      </c>
      <c r="F790" s="5" t="n">
        <v>548.33</v>
      </c>
      <c r="G790" s="5" t="n"/>
      <c r="H790" s="5" t="n"/>
      <c r="I790" s="5" t="n"/>
      <c r="J790" s="5" t="n">
        <v>109.67</v>
      </c>
      <c r="K790" s="5" t="n"/>
      <c r="L790" s="5" t="n"/>
      <c r="M790" s="5" t="n"/>
      <c r="N790" s="5" t="n"/>
      <c r="O790" s="5" t="n">
        <v>658</v>
      </c>
      <c r="P790" s="5" t="n">
        <v>658</v>
      </c>
      <c r="Q790" s="5" t="n"/>
      <c r="R790" s="5" t="n"/>
    </row>
    <row r="791">
      <c r="A791" s="2" t="inlineStr">
        <is>
          <t>EJ010724.TXT</t>
        </is>
      </c>
      <c r="B791" s="3" t="inlineStr">
        <is>
          <t>005427</t>
        </is>
      </c>
      <c r="C791" s="3" t="inlineStr">
        <is>
          <t>004351</t>
        </is>
      </c>
      <c r="D791" s="4" t="n">
        <v>45461</v>
      </c>
      <c r="E791" s="2" t="inlineStr">
        <is>
          <t>16:00</t>
        </is>
      </c>
      <c r="F791" s="5" t="n">
        <v>548.33</v>
      </c>
      <c r="G791" s="5" t="n"/>
      <c r="H791" s="5" t="n"/>
      <c r="I791" s="5" t="n"/>
      <c r="J791" s="5" t="n">
        <v>109.67</v>
      </c>
      <c r="K791" s="5" t="n"/>
      <c r="L791" s="5" t="n"/>
      <c r="M791" s="5" t="n"/>
      <c r="N791" s="5" t="n"/>
      <c r="O791" s="5" t="n">
        <v>658</v>
      </c>
      <c r="P791" s="5" t="n">
        <v>658</v>
      </c>
      <c r="Q791" s="5" t="n"/>
      <c r="R791" s="5" t="n"/>
    </row>
    <row r="792">
      <c r="A792" s="2" t="inlineStr">
        <is>
          <t>EJ010724.TXT</t>
        </is>
      </c>
      <c r="B792" s="3" t="inlineStr">
        <is>
          <t>005428</t>
        </is>
      </c>
      <c r="C792" s="3" t="inlineStr">
        <is>
          <t>004352</t>
        </is>
      </c>
      <c r="D792" s="4" t="n">
        <v>45462</v>
      </c>
      <c r="E792" s="2" t="inlineStr">
        <is>
          <t>14:06</t>
        </is>
      </c>
      <c r="F792" s="5" t="n">
        <v>548.33</v>
      </c>
      <c r="G792" s="5" t="n"/>
      <c r="H792" s="5" t="n"/>
      <c r="I792" s="5" t="n"/>
      <c r="J792" s="5" t="n">
        <v>109.67</v>
      </c>
      <c r="K792" s="5" t="n"/>
      <c r="L792" s="5" t="n"/>
      <c r="M792" s="5" t="n"/>
      <c r="N792" s="5" t="n"/>
      <c r="O792" s="5" t="n">
        <v>658</v>
      </c>
      <c r="P792" s="5" t="n">
        <v>658</v>
      </c>
      <c r="Q792" s="5" t="n"/>
      <c r="R792" s="5" t="n"/>
    </row>
    <row r="793">
      <c r="A793" s="2" t="inlineStr">
        <is>
          <t>EJ010724.TXT</t>
        </is>
      </c>
      <c r="B793" s="3" t="inlineStr">
        <is>
          <t>005429</t>
        </is>
      </c>
      <c r="C793" s="3" t="inlineStr">
        <is>
          <t>004353</t>
        </is>
      </c>
      <c r="D793" s="4" t="n">
        <v>45463</v>
      </c>
      <c r="E793" s="2" t="inlineStr">
        <is>
          <t>11:19</t>
        </is>
      </c>
      <c r="F793" s="5" t="n">
        <v>381.67</v>
      </c>
      <c r="G793" s="5" t="n"/>
      <c r="H793" s="5" t="n"/>
      <c r="I793" s="5" t="n"/>
      <c r="J793" s="5" t="n">
        <v>76.33</v>
      </c>
      <c r="K793" s="5" t="n"/>
      <c r="L793" s="5" t="n"/>
      <c r="M793" s="5" t="n"/>
      <c r="N793" s="5" t="n"/>
      <c r="O793" s="5" t="n">
        <v>458</v>
      </c>
      <c r="P793" s="5" t="n">
        <v>458</v>
      </c>
      <c r="Q793" s="5" t="n"/>
      <c r="R793" s="5" t="n"/>
    </row>
    <row r="794">
      <c r="A794" s="2" t="inlineStr">
        <is>
          <t>EJ010724.TXT</t>
        </is>
      </c>
      <c r="B794" s="3" t="inlineStr">
        <is>
          <t>005430</t>
        </is>
      </c>
      <c r="C794" s="3" t="inlineStr">
        <is>
          <t>004354</t>
        </is>
      </c>
      <c r="D794" s="4" t="n">
        <v>45464</v>
      </c>
      <c r="E794" s="2" t="inlineStr">
        <is>
          <t>16:13</t>
        </is>
      </c>
      <c r="F794" s="5" t="n">
        <v>208.33</v>
      </c>
      <c r="G794" s="5" t="n"/>
      <c r="H794" s="5" t="n"/>
      <c r="I794" s="5" t="n"/>
      <c r="J794" s="5" t="n">
        <v>41.67</v>
      </c>
      <c r="K794" s="5" t="n"/>
      <c r="L794" s="5" t="n"/>
      <c r="M794" s="5" t="n"/>
      <c r="N794" s="5" t="n"/>
      <c r="O794" s="5" t="n">
        <v>250</v>
      </c>
      <c r="P794" s="5" t="n"/>
      <c r="Q794" s="5" t="n">
        <v>250</v>
      </c>
      <c r="R794" s="5" t="n"/>
    </row>
    <row r="795">
      <c r="A795" s="2" t="inlineStr">
        <is>
          <t>EJ010724.TXT</t>
        </is>
      </c>
      <c r="B795" s="3" t="inlineStr">
        <is>
          <t>005431</t>
        </is>
      </c>
      <c r="C795" s="3" t="inlineStr">
        <is>
          <t>004355</t>
        </is>
      </c>
      <c r="D795" s="4" t="n">
        <v>45464</v>
      </c>
      <c r="E795" s="2" t="inlineStr">
        <is>
          <t>17:41</t>
        </is>
      </c>
      <c r="F795" s="5" t="n">
        <v>822.5</v>
      </c>
      <c r="G795" s="5" t="n"/>
      <c r="H795" s="5" t="n"/>
      <c r="I795" s="5" t="n"/>
      <c r="J795" s="5" t="n">
        <v>164.5</v>
      </c>
      <c r="K795" s="5" t="n"/>
      <c r="L795" s="5" t="n"/>
      <c r="M795" s="5" t="n"/>
      <c r="N795" s="5" t="n"/>
      <c r="O795" s="5" t="n">
        <v>987</v>
      </c>
      <c r="P795" s="5" t="n"/>
      <c r="Q795" s="5" t="n">
        <v>987</v>
      </c>
      <c r="R795" s="5" t="n"/>
    </row>
    <row r="796">
      <c r="A796" s="2" t="inlineStr">
        <is>
          <t>EJ010724.TXT</t>
        </is>
      </c>
      <c r="B796" s="3" t="inlineStr">
        <is>
          <t>005432</t>
        </is>
      </c>
      <c r="C796" s="3" t="inlineStr">
        <is>
          <t>004356</t>
        </is>
      </c>
      <c r="D796" s="4" t="n">
        <v>45464</v>
      </c>
      <c r="E796" s="2" t="inlineStr">
        <is>
          <t>17:42</t>
        </is>
      </c>
      <c r="F796" s="5" t="n">
        <v>797.5</v>
      </c>
      <c r="G796" s="5" t="n"/>
      <c r="H796" s="5" t="n"/>
      <c r="I796" s="5" t="n"/>
      <c r="J796" s="5" t="n">
        <v>159.5</v>
      </c>
      <c r="K796" s="5" t="n"/>
      <c r="L796" s="5" t="n"/>
      <c r="M796" s="5" t="n"/>
      <c r="N796" s="5" t="n"/>
      <c r="O796" s="5" t="n">
        <v>957</v>
      </c>
      <c r="P796" s="5" t="n"/>
      <c r="Q796" s="5" t="n">
        <v>957</v>
      </c>
      <c r="R796" s="5" t="n"/>
    </row>
    <row r="797">
      <c r="A797" s="2" t="inlineStr">
        <is>
          <t>EJ010724.TXT</t>
        </is>
      </c>
      <c r="B797" s="3" t="inlineStr">
        <is>
          <t>005433</t>
        </is>
      </c>
      <c r="C797" s="3" t="inlineStr">
        <is>
          <t>004357</t>
        </is>
      </c>
      <c r="D797" s="4" t="n">
        <v>45464</v>
      </c>
      <c r="E797" s="2" t="inlineStr">
        <is>
          <t>17:43</t>
        </is>
      </c>
      <c r="F797" s="5" t="n">
        <v>822.5</v>
      </c>
      <c r="G797" s="5" t="n"/>
      <c r="H797" s="5" t="n"/>
      <c r="I797" s="5" t="n"/>
      <c r="J797" s="5" t="n">
        <v>164.5</v>
      </c>
      <c r="K797" s="5" t="n"/>
      <c r="L797" s="5" t="n"/>
      <c r="M797" s="5" t="n"/>
      <c r="N797" s="5" t="n"/>
      <c r="O797" s="5" t="n">
        <v>987</v>
      </c>
      <c r="P797" s="5" t="n"/>
      <c r="Q797" s="5" t="n">
        <v>987</v>
      </c>
      <c r="R797" s="5" t="n"/>
    </row>
    <row r="798">
      <c r="A798" s="2" t="inlineStr">
        <is>
          <t>EJ010724.TXT</t>
        </is>
      </c>
      <c r="B798" s="3" t="inlineStr">
        <is>
          <t>005434</t>
        </is>
      </c>
      <c r="C798" s="3" t="inlineStr">
        <is>
          <t>004358</t>
        </is>
      </c>
      <c r="D798" s="4" t="n">
        <v>45464</v>
      </c>
      <c r="E798" s="2" t="inlineStr">
        <is>
          <t>17:43</t>
        </is>
      </c>
      <c r="F798" s="5" t="n">
        <v>265.83</v>
      </c>
      <c r="G798" s="5" t="n"/>
      <c r="H798" s="5" t="n"/>
      <c r="I798" s="5" t="n"/>
      <c r="J798" s="5" t="n">
        <v>53.17</v>
      </c>
      <c r="K798" s="5" t="n"/>
      <c r="L798" s="5" t="n"/>
      <c r="M798" s="5" t="n"/>
      <c r="N798" s="5" t="n"/>
      <c r="O798" s="5" t="n">
        <v>319</v>
      </c>
      <c r="P798" s="5" t="n"/>
      <c r="Q798" s="5" t="n">
        <v>319</v>
      </c>
      <c r="R798" s="5" t="n"/>
    </row>
    <row r="799">
      <c r="A799" s="2" t="inlineStr">
        <is>
          <t>EJ010724.TXT</t>
        </is>
      </c>
      <c r="B799" s="3" t="inlineStr">
        <is>
          <t>005435</t>
        </is>
      </c>
      <c r="C799" s="3" t="inlineStr">
        <is>
          <t>004359</t>
        </is>
      </c>
      <c r="D799" s="4" t="n">
        <v>45464</v>
      </c>
      <c r="E799" s="2" t="inlineStr">
        <is>
          <t>17:43</t>
        </is>
      </c>
      <c r="F799" s="5" t="n">
        <v>531.67</v>
      </c>
      <c r="G799" s="5" t="n"/>
      <c r="H799" s="5" t="n"/>
      <c r="I799" s="5" t="n"/>
      <c r="J799" s="5" t="n">
        <v>106.33</v>
      </c>
      <c r="K799" s="5" t="n"/>
      <c r="L799" s="5" t="n"/>
      <c r="M799" s="5" t="n"/>
      <c r="N799" s="5" t="n"/>
      <c r="O799" s="5" t="n">
        <v>638</v>
      </c>
      <c r="P799" s="5" t="n"/>
      <c r="Q799" s="5" t="n">
        <v>638</v>
      </c>
      <c r="R799" s="5" t="n"/>
    </row>
    <row r="800">
      <c r="A800" s="2" t="inlineStr">
        <is>
          <t>EJ010724.TXT</t>
        </is>
      </c>
      <c r="B800" s="3" t="inlineStr">
        <is>
          <t>005436</t>
        </is>
      </c>
      <c r="C800" s="3" t="inlineStr">
        <is>
          <t>004360</t>
        </is>
      </c>
      <c r="D800" s="4" t="n">
        <v>45465</v>
      </c>
      <c r="E800" s="2" t="inlineStr">
        <is>
          <t>12:58</t>
        </is>
      </c>
      <c r="F800" s="5" t="n">
        <v>1595</v>
      </c>
      <c r="G800" s="5" t="n"/>
      <c r="H800" s="5" t="n"/>
      <c r="I800" s="5" t="n"/>
      <c r="J800" s="5" t="n">
        <v>319</v>
      </c>
      <c r="K800" s="5" t="n"/>
      <c r="L800" s="5" t="n"/>
      <c r="M800" s="5" t="n"/>
      <c r="N800" s="5" t="n"/>
      <c r="O800" s="5" t="n">
        <v>1914</v>
      </c>
      <c r="P800" s="5" t="n">
        <v>1914</v>
      </c>
      <c r="Q800" s="5" t="n"/>
      <c r="R800" s="5" t="n"/>
    </row>
    <row r="801">
      <c r="A801" s="2" t="inlineStr">
        <is>
          <t>EJ010724.TXT</t>
        </is>
      </c>
      <c r="B801" s="3" t="inlineStr">
        <is>
          <t>005437</t>
        </is>
      </c>
      <c r="C801" s="3" t="inlineStr">
        <is>
          <t>004361</t>
        </is>
      </c>
      <c r="D801" s="4" t="n">
        <v>45467</v>
      </c>
      <c r="E801" s="2" t="inlineStr">
        <is>
          <t>15:37</t>
        </is>
      </c>
      <c r="F801" s="5" t="n">
        <v>797.5</v>
      </c>
      <c r="G801" s="5" t="n"/>
      <c r="H801" s="5" t="n"/>
      <c r="I801" s="5" t="n"/>
      <c r="J801" s="5" t="n">
        <v>159.5</v>
      </c>
      <c r="K801" s="5" t="n"/>
      <c r="L801" s="5" t="n"/>
      <c r="M801" s="5" t="n"/>
      <c r="N801" s="5" t="n"/>
      <c r="O801" s="5" t="n">
        <v>957</v>
      </c>
      <c r="P801" s="5" t="n"/>
      <c r="Q801" s="5" t="n">
        <v>957</v>
      </c>
      <c r="R801" s="5" t="n"/>
    </row>
    <row r="802">
      <c r="A802" s="2" t="inlineStr">
        <is>
          <t>EJ010724.TXT</t>
        </is>
      </c>
      <c r="B802" s="3" t="inlineStr">
        <is>
          <t>005438</t>
        </is>
      </c>
      <c r="C802" s="3" t="inlineStr">
        <is>
          <t>004362</t>
        </is>
      </c>
      <c r="D802" s="4" t="n">
        <v>45467</v>
      </c>
      <c r="E802" s="2" t="inlineStr">
        <is>
          <t>15:38</t>
        </is>
      </c>
      <c r="F802" s="5" t="n">
        <v>797.5</v>
      </c>
      <c r="G802" s="5" t="n"/>
      <c r="H802" s="5" t="n"/>
      <c r="I802" s="5" t="n"/>
      <c r="J802" s="5" t="n">
        <v>159.5</v>
      </c>
      <c r="K802" s="5" t="n"/>
      <c r="L802" s="5" t="n"/>
      <c r="M802" s="5" t="n"/>
      <c r="N802" s="5" t="n"/>
      <c r="O802" s="5" t="n">
        <v>957</v>
      </c>
      <c r="P802" s="5" t="n"/>
      <c r="Q802" s="5" t="n">
        <v>957</v>
      </c>
      <c r="R802" s="5" t="n"/>
    </row>
    <row r="803">
      <c r="A803" s="2" t="inlineStr">
        <is>
          <t>EJ010724.TXT</t>
        </is>
      </c>
      <c r="B803" s="3" t="inlineStr">
        <is>
          <t>005439</t>
        </is>
      </c>
      <c r="C803" s="3" t="inlineStr">
        <is>
          <t>004363</t>
        </is>
      </c>
      <c r="D803" s="4" t="n">
        <v>45467</v>
      </c>
      <c r="E803" s="2" t="inlineStr">
        <is>
          <t>15:38</t>
        </is>
      </c>
      <c r="F803" s="5" t="n">
        <v>797.5</v>
      </c>
      <c r="G803" s="5" t="n"/>
      <c r="H803" s="5" t="n"/>
      <c r="I803" s="5" t="n"/>
      <c r="J803" s="5" t="n">
        <v>159.5</v>
      </c>
      <c r="K803" s="5" t="n"/>
      <c r="L803" s="5" t="n"/>
      <c r="M803" s="5" t="n"/>
      <c r="N803" s="5" t="n"/>
      <c r="O803" s="5" t="n">
        <v>957</v>
      </c>
      <c r="P803" s="5" t="n"/>
      <c r="Q803" s="5" t="n">
        <v>957</v>
      </c>
      <c r="R803" s="5" t="n"/>
    </row>
    <row r="804">
      <c r="A804" s="2" t="inlineStr">
        <is>
          <t>EJ010724.TXT</t>
        </is>
      </c>
      <c r="B804" s="3" t="inlineStr">
        <is>
          <t>005440</t>
        </is>
      </c>
      <c r="C804" s="3" t="inlineStr">
        <is>
          <t>004364</t>
        </is>
      </c>
      <c r="D804" s="4" t="n">
        <v>45467</v>
      </c>
      <c r="E804" s="2" t="inlineStr">
        <is>
          <t>17:02</t>
        </is>
      </c>
      <c r="F804" s="5" t="n">
        <v>208.33</v>
      </c>
      <c r="G804" s="5" t="n"/>
      <c r="H804" s="5" t="n"/>
      <c r="I804" s="5" t="n"/>
      <c r="J804" s="5" t="n">
        <v>41.67</v>
      </c>
      <c r="K804" s="5" t="n"/>
      <c r="L804" s="5" t="n"/>
      <c r="M804" s="5" t="n"/>
      <c r="N804" s="5" t="n"/>
      <c r="O804" s="5" t="n">
        <v>250</v>
      </c>
      <c r="P804" s="5" t="n"/>
      <c r="Q804" s="5" t="n">
        <v>250</v>
      </c>
      <c r="R804" s="5" t="n"/>
    </row>
    <row r="805">
      <c r="A805" s="2" t="inlineStr">
        <is>
          <t>EJ010724.TXT</t>
        </is>
      </c>
      <c r="B805" s="3" t="inlineStr">
        <is>
          <t>005441</t>
        </is>
      </c>
      <c r="C805" s="3" t="inlineStr">
        <is>
          <t>004365</t>
        </is>
      </c>
      <c r="D805" s="4" t="n">
        <v>45468</v>
      </c>
      <c r="E805" s="2" t="inlineStr">
        <is>
          <t>11:01</t>
        </is>
      </c>
      <c r="F805" s="5" t="n">
        <v>190.83</v>
      </c>
      <c r="G805" s="5" t="n"/>
      <c r="H805" s="5" t="n"/>
      <c r="I805" s="5" t="n"/>
      <c r="J805" s="5" t="n">
        <v>38.17</v>
      </c>
      <c r="K805" s="5" t="n"/>
      <c r="L805" s="5" t="n"/>
      <c r="M805" s="5" t="n"/>
      <c r="N805" s="5" t="n"/>
      <c r="O805" s="5" t="n">
        <v>229</v>
      </c>
      <c r="P805" s="5" t="n">
        <v>229</v>
      </c>
      <c r="Q805" s="5" t="n"/>
      <c r="R805" s="5" t="n"/>
    </row>
    <row r="806">
      <c r="A806" s="2" t="inlineStr">
        <is>
          <t>EJ010724.TXT</t>
        </is>
      </c>
      <c r="B806" s="3" t="inlineStr">
        <is>
          <t>005442</t>
        </is>
      </c>
      <c r="C806" s="3" t="inlineStr">
        <is>
          <t>004366</t>
        </is>
      </c>
      <c r="D806" s="4" t="n">
        <v>45469</v>
      </c>
      <c r="E806" s="2" t="inlineStr">
        <is>
          <t>09:31</t>
        </is>
      </c>
      <c r="F806" s="5" t="n">
        <v>548.33</v>
      </c>
      <c r="G806" s="5" t="n"/>
      <c r="H806" s="5" t="n"/>
      <c r="I806" s="5" t="n"/>
      <c r="J806" s="5" t="n">
        <v>109.67</v>
      </c>
      <c r="K806" s="5" t="n"/>
      <c r="L806" s="5" t="n"/>
      <c r="M806" s="5" t="n"/>
      <c r="N806" s="5" t="n"/>
      <c r="O806" s="5" t="n">
        <v>658</v>
      </c>
      <c r="P806" s="5" t="n">
        <v>658</v>
      </c>
      <c r="Q806" s="5" t="n"/>
      <c r="R806" s="5" t="n"/>
    </row>
    <row r="807">
      <c r="A807" s="2" t="inlineStr">
        <is>
          <t>EJ010724.TXT</t>
        </is>
      </c>
      <c r="B807" s="3" t="inlineStr">
        <is>
          <t>005443</t>
        </is>
      </c>
      <c r="C807" s="3" t="inlineStr">
        <is>
          <t>004367</t>
        </is>
      </c>
      <c r="D807" s="4" t="n">
        <v>45469</v>
      </c>
      <c r="E807" s="2" t="inlineStr">
        <is>
          <t>13:43</t>
        </is>
      </c>
      <c r="F807" s="5" t="n">
        <v>190.83</v>
      </c>
      <c r="G807" s="5" t="n"/>
      <c r="H807" s="5" t="n"/>
      <c r="I807" s="5" t="n"/>
      <c r="J807" s="5" t="n">
        <v>38.17</v>
      </c>
      <c r="K807" s="5" t="n"/>
      <c r="L807" s="5" t="n"/>
      <c r="M807" s="5" t="n"/>
      <c r="N807" s="5" t="n"/>
      <c r="O807" s="5" t="n">
        <v>229</v>
      </c>
      <c r="P807" s="5" t="n">
        <v>229</v>
      </c>
      <c r="Q807" s="5" t="n"/>
      <c r="R807" s="5" t="n"/>
    </row>
    <row r="808">
      <c r="A808" s="2" t="inlineStr">
        <is>
          <t>EJ010724.TXT</t>
        </is>
      </c>
      <c r="B808" s="3" t="inlineStr">
        <is>
          <t>005444</t>
        </is>
      </c>
      <c r="C808" s="3" t="inlineStr">
        <is>
          <t>004368</t>
        </is>
      </c>
      <c r="D808" s="4" t="n">
        <v>45471</v>
      </c>
      <c r="E808" s="2" t="inlineStr">
        <is>
          <t>16:15</t>
        </is>
      </c>
      <c r="F808" s="5" t="n">
        <v>208.33</v>
      </c>
      <c r="G808" s="5" t="n"/>
      <c r="H808" s="5" t="n"/>
      <c r="I808" s="5" t="n"/>
      <c r="J808" s="5" t="n">
        <v>41.67</v>
      </c>
      <c r="K808" s="5" t="n"/>
      <c r="L808" s="5" t="n"/>
      <c r="M808" s="5" t="n"/>
      <c r="N808" s="5" t="n"/>
      <c r="O808" s="5" t="n">
        <v>250</v>
      </c>
      <c r="P808" s="5" t="n"/>
      <c r="Q808" s="5" t="n">
        <v>250</v>
      </c>
      <c r="R808" s="5" t="n"/>
    </row>
    <row r="809">
      <c r="A809" s="2" t="inlineStr">
        <is>
          <t>EJ010724.TXT</t>
        </is>
      </c>
      <c r="B809" s="3" t="inlineStr">
        <is>
          <t>005445</t>
        </is>
      </c>
      <c r="C809" s="3" t="inlineStr">
        <is>
          <t>004369</t>
        </is>
      </c>
      <c r="D809" s="4" t="n">
        <v>45472</v>
      </c>
      <c r="E809" s="2" t="inlineStr">
        <is>
          <t>16:53</t>
        </is>
      </c>
      <c r="F809" s="5" t="n">
        <v>797.5</v>
      </c>
      <c r="G809" s="5" t="n"/>
      <c r="H809" s="5" t="n"/>
      <c r="I809" s="5" t="n"/>
      <c r="J809" s="5" t="n">
        <v>159.5</v>
      </c>
      <c r="K809" s="5" t="n"/>
      <c r="L809" s="5" t="n"/>
      <c r="M809" s="5" t="n"/>
      <c r="N809" s="5" t="n"/>
      <c r="O809" s="5" t="n">
        <v>957</v>
      </c>
      <c r="P809" s="5" t="n"/>
      <c r="Q809" s="5" t="n">
        <v>957</v>
      </c>
      <c r="R809" s="5" t="n"/>
    </row>
    <row r="810">
      <c r="A810" s="2" t="inlineStr">
        <is>
          <t>EJ010724.TXT</t>
        </is>
      </c>
      <c r="B810" s="3" t="inlineStr">
        <is>
          <t>005446</t>
        </is>
      </c>
      <c r="C810" s="3" t="inlineStr">
        <is>
          <t>004370</t>
        </is>
      </c>
      <c r="D810" s="4" t="n">
        <v>45472</v>
      </c>
      <c r="E810" s="2" t="inlineStr">
        <is>
          <t>16:53</t>
        </is>
      </c>
      <c r="F810" s="5" t="n">
        <v>797.5</v>
      </c>
      <c r="G810" s="5" t="n"/>
      <c r="H810" s="5" t="n"/>
      <c r="I810" s="5" t="n"/>
      <c r="J810" s="5" t="n">
        <v>159.5</v>
      </c>
      <c r="K810" s="5" t="n"/>
      <c r="L810" s="5" t="n"/>
      <c r="M810" s="5" t="n"/>
      <c r="N810" s="5" t="n"/>
      <c r="O810" s="5" t="n">
        <v>957</v>
      </c>
      <c r="P810" s="5" t="n"/>
      <c r="Q810" s="5" t="n">
        <v>957</v>
      </c>
      <c r="R810" s="5" t="n"/>
    </row>
    <row r="811">
      <c r="A811" s="2" t="inlineStr">
        <is>
          <t>EJ010724.TXT</t>
        </is>
      </c>
      <c r="B811" s="3" t="inlineStr">
        <is>
          <t>005447</t>
        </is>
      </c>
      <c r="C811" s="3" t="inlineStr">
        <is>
          <t>004371</t>
        </is>
      </c>
      <c r="D811" s="4" t="n">
        <v>45472</v>
      </c>
      <c r="E811" s="2" t="inlineStr">
        <is>
          <t>16:57</t>
        </is>
      </c>
      <c r="F811" s="5" t="n">
        <v>53.33</v>
      </c>
      <c r="G811" s="5" t="n"/>
      <c r="H811" s="5" t="n"/>
      <c r="I811" s="5" t="n"/>
      <c r="J811" s="5" t="n">
        <v>10.67</v>
      </c>
      <c r="K811" s="5" t="n"/>
      <c r="L811" s="5" t="n"/>
      <c r="M811" s="5" t="n"/>
      <c r="N811" s="5" t="n"/>
      <c r="O811" s="5" t="n">
        <v>64</v>
      </c>
      <c r="P811" s="5" t="n">
        <v>64</v>
      </c>
      <c r="Q811" s="5" t="n"/>
      <c r="R811" s="5" t="n"/>
    </row>
    <row r="812">
      <c r="A812" s="2" t="inlineStr">
        <is>
          <t>EJ030824.TXT</t>
        </is>
      </c>
      <c r="B812" s="3" t="inlineStr">
        <is>
          <t>005455</t>
        </is>
      </c>
      <c r="C812" s="3" t="inlineStr">
        <is>
          <t>004372</t>
        </is>
      </c>
      <c r="D812" s="4" t="n">
        <v>45478</v>
      </c>
      <c r="E812" s="2" t="inlineStr">
        <is>
          <t>16:53</t>
        </is>
      </c>
      <c r="F812" s="5" t="n">
        <v>208.33</v>
      </c>
      <c r="G812" s="5" t="n"/>
      <c r="H812" s="5" t="n"/>
      <c r="I812" s="5" t="n"/>
      <c r="J812" s="5" t="n">
        <v>41.67</v>
      </c>
      <c r="K812" s="5" t="n"/>
      <c r="L812" s="5" t="n"/>
      <c r="M812" s="5" t="n"/>
      <c r="N812" s="5" t="n"/>
      <c r="O812" s="5" t="n">
        <v>250</v>
      </c>
      <c r="P812" s="5" t="n"/>
      <c r="Q812" s="5" t="n">
        <v>250</v>
      </c>
      <c r="R812" s="5" t="n"/>
    </row>
    <row r="813">
      <c r="A813" s="2" t="inlineStr">
        <is>
          <t>EJ030824.TXT</t>
        </is>
      </c>
      <c r="B813" s="3" t="inlineStr">
        <is>
          <t>005456</t>
        </is>
      </c>
      <c r="C813" s="3" t="inlineStr">
        <is>
          <t>004373</t>
        </is>
      </c>
      <c r="D813" s="4" t="n">
        <v>45482</v>
      </c>
      <c r="E813" s="2" t="inlineStr">
        <is>
          <t>13:35</t>
        </is>
      </c>
      <c r="F813" s="5" t="n">
        <v>415</v>
      </c>
      <c r="G813" s="5" t="n"/>
      <c r="H813" s="5" t="n"/>
      <c r="I813" s="5" t="n"/>
      <c r="J813" s="5" t="n">
        <v>83</v>
      </c>
      <c r="K813" s="5" t="n"/>
      <c r="L813" s="5" t="n"/>
      <c r="M813" s="5" t="n"/>
      <c r="N813" s="5" t="n"/>
      <c r="O813" s="5" t="n">
        <v>498</v>
      </c>
      <c r="P813" s="5" t="n"/>
      <c r="Q813" s="5" t="n">
        <v>498</v>
      </c>
      <c r="R813" s="5" t="n"/>
    </row>
    <row r="814">
      <c r="A814" s="2" t="inlineStr">
        <is>
          <t>EJ030824.TXT</t>
        </is>
      </c>
      <c r="B814" s="3" t="inlineStr">
        <is>
          <t>005457</t>
        </is>
      </c>
      <c r="C814" s="3" t="inlineStr">
        <is>
          <t>004374</t>
        </is>
      </c>
      <c r="D814" s="4" t="n">
        <v>45482</v>
      </c>
      <c r="E814" s="2" t="inlineStr">
        <is>
          <t>15:21</t>
        </is>
      </c>
      <c r="F814" s="5" t="n">
        <v>822.5</v>
      </c>
      <c r="G814" s="5" t="n"/>
      <c r="H814" s="5" t="n"/>
      <c r="I814" s="5" t="n"/>
      <c r="J814" s="5" t="n">
        <v>164.5</v>
      </c>
      <c r="K814" s="5" t="n"/>
      <c r="L814" s="5" t="n"/>
      <c r="M814" s="5" t="n"/>
      <c r="N814" s="5" t="n"/>
      <c r="O814" s="5" t="n">
        <v>987</v>
      </c>
      <c r="P814" s="5" t="n">
        <v>987</v>
      </c>
      <c r="Q814" s="5" t="n"/>
      <c r="R814" s="5" t="n"/>
    </row>
    <row r="815">
      <c r="A815" s="2" t="inlineStr">
        <is>
          <t>EJ030824.TXT</t>
        </is>
      </c>
      <c r="B815" s="3" t="inlineStr">
        <is>
          <t>005458</t>
        </is>
      </c>
      <c r="C815" s="3" t="inlineStr">
        <is>
          <t>004375</t>
        </is>
      </c>
      <c r="D815" s="4" t="n">
        <v>45484</v>
      </c>
      <c r="E815" s="2" t="inlineStr">
        <is>
          <t>11:07</t>
        </is>
      </c>
      <c r="F815" s="5" t="n">
        <v>791.67</v>
      </c>
      <c r="G815" s="5" t="n"/>
      <c r="H815" s="5" t="n"/>
      <c r="I815" s="5" t="n"/>
      <c r="J815" s="5" t="n">
        <v>158.33</v>
      </c>
      <c r="K815" s="5" t="n"/>
      <c r="L815" s="5" t="n"/>
      <c r="M815" s="5" t="n"/>
      <c r="N815" s="5" t="n"/>
      <c r="O815" s="5" t="n">
        <v>950</v>
      </c>
      <c r="P815" s="5" t="n"/>
      <c r="Q815" s="5" t="n">
        <v>950</v>
      </c>
      <c r="R815" s="5" t="n"/>
    </row>
    <row r="816">
      <c r="A816" s="2" t="inlineStr">
        <is>
          <t>EJ030824.TXT</t>
        </is>
      </c>
      <c r="B816" s="3" t="inlineStr">
        <is>
          <t>005459</t>
        </is>
      </c>
      <c r="C816" s="3" t="inlineStr">
        <is>
          <t>004376</t>
        </is>
      </c>
      <c r="D816" s="4" t="n">
        <v>45484</v>
      </c>
      <c r="E816" s="2" t="inlineStr">
        <is>
          <t>11:07</t>
        </is>
      </c>
      <c r="F816" s="5" t="n">
        <v>791.67</v>
      </c>
      <c r="G816" s="5" t="n"/>
      <c r="H816" s="5" t="n"/>
      <c r="I816" s="5" t="n"/>
      <c r="J816" s="5" t="n">
        <v>158.33</v>
      </c>
      <c r="K816" s="5" t="n"/>
      <c r="L816" s="5" t="n"/>
      <c r="M816" s="5" t="n"/>
      <c r="N816" s="5" t="n"/>
      <c r="O816" s="5" t="n">
        <v>950</v>
      </c>
      <c r="P816" s="5" t="n"/>
      <c r="Q816" s="5" t="n">
        <v>950</v>
      </c>
      <c r="R816" s="5" t="n"/>
    </row>
    <row r="817">
      <c r="A817" s="2" t="inlineStr">
        <is>
          <t>EJ030824.TXT</t>
        </is>
      </c>
      <c r="B817" s="3" t="inlineStr">
        <is>
          <t>005460</t>
        </is>
      </c>
      <c r="C817" s="3" t="inlineStr">
        <is>
          <t>004377</t>
        </is>
      </c>
      <c r="D817" s="4" t="n">
        <v>45484</v>
      </c>
      <c r="E817" s="2" t="inlineStr">
        <is>
          <t>11:07</t>
        </is>
      </c>
      <c r="F817" s="5" t="n">
        <v>791.67</v>
      </c>
      <c r="G817" s="5" t="n"/>
      <c r="H817" s="5" t="n"/>
      <c r="I817" s="5" t="n"/>
      <c r="J817" s="5" t="n">
        <v>158.33</v>
      </c>
      <c r="K817" s="5" t="n"/>
      <c r="L817" s="5" t="n"/>
      <c r="M817" s="5" t="n"/>
      <c r="N817" s="5" t="n"/>
      <c r="O817" s="5" t="n">
        <v>950</v>
      </c>
      <c r="P817" s="5" t="n"/>
      <c r="Q817" s="5" t="n">
        <v>950</v>
      </c>
      <c r="R817" s="5" t="n"/>
    </row>
    <row r="818">
      <c r="A818" s="2" t="inlineStr">
        <is>
          <t>EJ030824.TXT</t>
        </is>
      </c>
      <c r="B818" s="3" t="inlineStr">
        <is>
          <t>005461</t>
        </is>
      </c>
      <c r="C818" s="3" t="inlineStr">
        <is>
          <t>004378</t>
        </is>
      </c>
      <c r="D818" s="4" t="n">
        <v>45484</v>
      </c>
      <c r="E818" s="2" t="inlineStr">
        <is>
          <t>11:07</t>
        </is>
      </c>
      <c r="F818" s="5" t="n">
        <v>791.67</v>
      </c>
      <c r="G818" s="5" t="n"/>
      <c r="H818" s="5" t="n"/>
      <c r="I818" s="5" t="n"/>
      <c r="J818" s="5" t="n">
        <v>158.33</v>
      </c>
      <c r="K818" s="5" t="n"/>
      <c r="L818" s="5" t="n"/>
      <c r="M818" s="5" t="n"/>
      <c r="N818" s="5" t="n"/>
      <c r="O818" s="5" t="n">
        <v>950</v>
      </c>
      <c r="P818" s="5" t="n"/>
      <c r="Q818" s="5" t="n">
        <v>950</v>
      </c>
      <c r="R818" s="5" t="n"/>
    </row>
    <row r="819">
      <c r="A819" s="2" t="inlineStr">
        <is>
          <t>EJ030824.TXT</t>
        </is>
      </c>
      <c r="B819" s="3" t="inlineStr">
        <is>
          <t>005462</t>
        </is>
      </c>
      <c r="C819" s="3" t="inlineStr">
        <is>
          <t>004379</t>
        </is>
      </c>
      <c r="D819" s="4" t="n">
        <v>45484</v>
      </c>
      <c r="E819" s="2" t="inlineStr">
        <is>
          <t>11:08</t>
        </is>
      </c>
      <c r="F819" s="5" t="n">
        <v>791.67</v>
      </c>
      <c r="G819" s="5" t="n"/>
      <c r="H819" s="5" t="n"/>
      <c r="I819" s="5" t="n"/>
      <c r="J819" s="5" t="n">
        <v>158.33</v>
      </c>
      <c r="K819" s="5" t="n"/>
      <c r="L819" s="5" t="n"/>
      <c r="M819" s="5" t="n"/>
      <c r="N819" s="5" t="n"/>
      <c r="O819" s="5" t="n">
        <v>950</v>
      </c>
      <c r="P819" s="5" t="n"/>
      <c r="Q819" s="5" t="n">
        <v>950</v>
      </c>
      <c r="R819" s="5" t="n"/>
    </row>
    <row r="820">
      <c r="A820" s="2" t="inlineStr">
        <is>
          <t>EJ030824.TXT</t>
        </is>
      </c>
      <c r="B820" s="3" t="inlineStr">
        <is>
          <t>005463</t>
        </is>
      </c>
      <c r="C820" s="3" t="inlineStr">
        <is>
          <t>004380</t>
        </is>
      </c>
      <c r="D820" s="4" t="n">
        <v>45484</v>
      </c>
      <c r="E820" s="2" t="inlineStr">
        <is>
          <t>11:08</t>
        </is>
      </c>
      <c r="F820" s="5" t="n">
        <v>791.67</v>
      </c>
      <c r="G820" s="5" t="n"/>
      <c r="H820" s="5" t="n"/>
      <c r="I820" s="5" t="n"/>
      <c r="J820" s="5" t="n">
        <v>158.33</v>
      </c>
      <c r="K820" s="5" t="n"/>
      <c r="L820" s="5" t="n"/>
      <c r="M820" s="5" t="n"/>
      <c r="N820" s="5" t="n"/>
      <c r="O820" s="5" t="n">
        <v>950</v>
      </c>
      <c r="P820" s="5" t="n"/>
      <c r="Q820" s="5" t="n">
        <v>950</v>
      </c>
      <c r="R820" s="5" t="n"/>
    </row>
    <row r="821">
      <c r="A821" s="2" t="inlineStr">
        <is>
          <t>EJ030824.TXT</t>
        </is>
      </c>
      <c r="B821" s="3" t="inlineStr">
        <is>
          <t>005464</t>
        </is>
      </c>
      <c r="C821" s="3" t="inlineStr">
        <is>
          <t>004381</t>
        </is>
      </c>
      <c r="D821" s="4" t="n">
        <v>45485</v>
      </c>
      <c r="E821" s="2" t="inlineStr">
        <is>
          <t>11:48</t>
        </is>
      </c>
      <c r="F821" s="5" t="n">
        <v>2173.33</v>
      </c>
      <c r="G821" s="5" t="n"/>
      <c r="H821" s="5" t="n"/>
      <c r="I821" s="5" t="n"/>
      <c r="J821" s="5" t="n">
        <v>434.67</v>
      </c>
      <c r="K821" s="5" t="n"/>
      <c r="L821" s="5" t="n"/>
      <c r="M821" s="5" t="n"/>
      <c r="N821" s="5" t="n"/>
      <c r="O821" s="5" t="n">
        <v>2608</v>
      </c>
      <c r="P821" s="5" t="n">
        <v>2608</v>
      </c>
      <c r="Q821" s="5" t="n"/>
      <c r="R821" s="5" t="n"/>
    </row>
    <row r="822">
      <c r="A822" s="2" t="inlineStr">
        <is>
          <t>EJ030824.TXT</t>
        </is>
      </c>
      <c r="B822" s="3" t="inlineStr">
        <is>
          <t>005465</t>
        </is>
      </c>
      <c r="C822" s="3" t="inlineStr">
        <is>
          <t>004382</t>
        </is>
      </c>
      <c r="D822" s="4" t="n">
        <v>45486</v>
      </c>
      <c r="E822" s="2" t="inlineStr">
        <is>
          <t>15:20</t>
        </is>
      </c>
      <c r="F822" s="5" t="n">
        <v>548.33</v>
      </c>
      <c r="G822" s="5" t="n"/>
      <c r="H822" s="5" t="n"/>
      <c r="I822" s="5" t="n"/>
      <c r="J822" s="5" t="n">
        <v>109.67</v>
      </c>
      <c r="K822" s="5" t="n"/>
      <c r="L822" s="5" t="n"/>
      <c r="M822" s="5" t="n"/>
      <c r="N822" s="5" t="n"/>
      <c r="O822" s="5" t="n">
        <v>658</v>
      </c>
      <c r="P822" s="5" t="n"/>
      <c r="Q822" s="5" t="n">
        <v>658</v>
      </c>
      <c r="R822" s="5" t="n"/>
    </row>
    <row r="823">
      <c r="A823" s="2" t="inlineStr">
        <is>
          <t>EJ030824.TXT</t>
        </is>
      </c>
      <c r="B823" s="3" t="inlineStr">
        <is>
          <t>005466</t>
        </is>
      </c>
      <c r="C823" s="3" t="inlineStr">
        <is>
          <t>004383</t>
        </is>
      </c>
      <c r="D823" s="4" t="n">
        <v>45486</v>
      </c>
      <c r="E823" s="2" t="inlineStr">
        <is>
          <t>15:20</t>
        </is>
      </c>
      <c r="F823" s="5" t="n">
        <v>548.33</v>
      </c>
      <c r="G823" s="5" t="n"/>
      <c r="H823" s="5" t="n"/>
      <c r="I823" s="5" t="n"/>
      <c r="J823" s="5" t="n">
        <v>109.67</v>
      </c>
      <c r="K823" s="5" t="n"/>
      <c r="L823" s="5" t="n"/>
      <c r="M823" s="5" t="n"/>
      <c r="N823" s="5" t="n"/>
      <c r="O823" s="5" t="n">
        <v>658</v>
      </c>
      <c r="P823" s="5" t="n"/>
      <c r="Q823" s="5" t="n">
        <v>658</v>
      </c>
      <c r="R823" s="5" t="n"/>
    </row>
    <row r="824">
      <c r="A824" s="2" t="inlineStr">
        <is>
          <t>EJ030824.TXT</t>
        </is>
      </c>
      <c r="B824" s="3" t="inlineStr">
        <is>
          <t>005467</t>
        </is>
      </c>
      <c r="C824" s="3" t="inlineStr">
        <is>
          <t>004384</t>
        </is>
      </c>
      <c r="D824" s="4" t="n">
        <v>45488</v>
      </c>
      <c r="E824" s="2" t="inlineStr">
        <is>
          <t>10:15</t>
        </is>
      </c>
      <c r="F824" s="5" t="n">
        <v>208.33</v>
      </c>
      <c r="G824" s="5" t="n"/>
      <c r="H824" s="5" t="n"/>
      <c r="I824" s="5" t="n"/>
      <c r="J824" s="5" t="n">
        <v>41.67</v>
      </c>
      <c r="K824" s="5" t="n"/>
      <c r="L824" s="5" t="n"/>
      <c r="M824" s="5" t="n"/>
      <c r="N824" s="5" t="n"/>
      <c r="O824" s="5" t="n">
        <v>250</v>
      </c>
      <c r="P824" s="5" t="n"/>
      <c r="Q824" s="5" t="n">
        <v>250</v>
      </c>
      <c r="R824" s="5" t="n"/>
    </row>
    <row r="825">
      <c r="A825" s="2" t="inlineStr">
        <is>
          <t>EJ030824.TXT</t>
        </is>
      </c>
      <c r="B825" s="3" t="inlineStr">
        <is>
          <t>005468</t>
        </is>
      </c>
      <c r="C825" s="3" t="inlineStr">
        <is>
          <t>004385</t>
        </is>
      </c>
      <c r="D825" s="4" t="n">
        <v>45488</v>
      </c>
      <c r="E825" s="2" t="inlineStr">
        <is>
          <t>10:36</t>
        </is>
      </c>
      <c r="F825" s="5" t="n">
        <v>208.33</v>
      </c>
      <c r="G825" s="5" t="n"/>
      <c r="H825" s="5" t="n"/>
      <c r="I825" s="5" t="n"/>
      <c r="J825" s="5" t="n">
        <v>41.67</v>
      </c>
      <c r="K825" s="5" t="n"/>
      <c r="L825" s="5" t="n"/>
      <c r="M825" s="5" t="n"/>
      <c r="N825" s="5" t="n"/>
      <c r="O825" s="5" t="n">
        <v>250</v>
      </c>
      <c r="P825" s="5" t="n"/>
      <c r="Q825" s="5" t="n">
        <v>250</v>
      </c>
      <c r="R825" s="5" t="n"/>
    </row>
    <row r="826">
      <c r="A826" s="2" t="inlineStr">
        <is>
          <t>EJ030824.TXT</t>
        </is>
      </c>
      <c r="B826" s="3" t="inlineStr">
        <is>
          <t>005469</t>
        </is>
      </c>
      <c r="C826" s="3" t="inlineStr">
        <is>
          <t>004386</t>
        </is>
      </c>
      <c r="D826" s="4" t="n">
        <v>45492</v>
      </c>
      <c r="E826" s="2" t="inlineStr">
        <is>
          <t>15:06</t>
        </is>
      </c>
      <c r="F826" s="5" t="n">
        <v>208.33</v>
      </c>
      <c r="G826" s="5" t="n"/>
      <c r="H826" s="5" t="n"/>
      <c r="I826" s="5" t="n"/>
      <c r="J826" s="5" t="n">
        <v>41.67</v>
      </c>
      <c r="K826" s="5" t="n"/>
      <c r="L826" s="5" t="n"/>
      <c r="M826" s="5" t="n"/>
      <c r="N826" s="5" t="n"/>
      <c r="O826" s="5" t="n">
        <v>250</v>
      </c>
      <c r="P826" s="5" t="n"/>
      <c r="Q826" s="5" t="n">
        <v>250</v>
      </c>
      <c r="R826" s="5" t="n"/>
    </row>
    <row r="827">
      <c r="A827" s="2" t="inlineStr">
        <is>
          <t>EJ030824.TXT</t>
        </is>
      </c>
      <c r="B827" s="3" t="inlineStr">
        <is>
          <t>005470</t>
        </is>
      </c>
      <c r="C827" s="3" t="inlineStr">
        <is>
          <t>004387</t>
        </is>
      </c>
      <c r="D827" s="4" t="n">
        <v>45495</v>
      </c>
      <c r="E827" s="2" t="inlineStr">
        <is>
          <t>16:15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/>
      <c r="Q827" s="5" t="n">
        <v>658</v>
      </c>
      <c r="R827" s="5" t="n"/>
    </row>
    <row r="828">
      <c r="A828" s="2" t="inlineStr">
        <is>
          <t>EJ030824.TXT</t>
        </is>
      </c>
      <c r="B828" s="3" t="inlineStr">
        <is>
          <t>005471</t>
        </is>
      </c>
      <c r="C828" s="3" t="inlineStr">
        <is>
          <t>004388</t>
        </is>
      </c>
      <c r="D828" s="4" t="n">
        <v>45496</v>
      </c>
      <c r="E828" s="2" t="inlineStr">
        <is>
          <t>10:43</t>
        </is>
      </c>
      <c r="F828" s="5" t="n">
        <v>1096.67</v>
      </c>
      <c r="G828" s="5" t="n"/>
      <c r="H828" s="5" t="n"/>
      <c r="I828" s="5" t="n"/>
      <c r="J828" s="5" t="n">
        <v>219.33</v>
      </c>
      <c r="K828" s="5" t="n"/>
      <c r="L828" s="5" t="n"/>
      <c r="M828" s="5" t="n"/>
      <c r="N828" s="5" t="n"/>
      <c r="O828" s="5" t="n">
        <v>1316</v>
      </c>
      <c r="P828" s="5" t="n">
        <v>1316</v>
      </c>
      <c r="Q828" s="5" t="n"/>
      <c r="R828" s="5" t="n"/>
    </row>
    <row r="829">
      <c r="A829" s="2" t="inlineStr">
        <is>
          <t>EJ030824.TXT</t>
        </is>
      </c>
      <c r="B829" s="3" t="inlineStr">
        <is>
          <t>005472</t>
        </is>
      </c>
      <c r="C829" s="3" t="inlineStr">
        <is>
          <t>004389</t>
        </is>
      </c>
      <c r="D829" s="4" t="n">
        <v>45497</v>
      </c>
      <c r="E829" s="2" t="inlineStr">
        <is>
          <t>09:59</t>
        </is>
      </c>
      <c r="F829" s="5" t="n">
        <v>797.5</v>
      </c>
      <c r="G829" s="5" t="n"/>
      <c r="H829" s="5" t="n"/>
      <c r="I829" s="5" t="n"/>
      <c r="J829" s="5" t="n">
        <v>159.5</v>
      </c>
      <c r="K829" s="5" t="n"/>
      <c r="L829" s="5" t="n"/>
      <c r="M829" s="5" t="n"/>
      <c r="N829" s="5" t="n"/>
      <c r="O829" s="5" t="n">
        <v>957</v>
      </c>
      <c r="P829" s="5" t="n"/>
      <c r="Q829" s="5" t="n">
        <v>957</v>
      </c>
      <c r="R829" s="5" t="n"/>
    </row>
    <row r="830">
      <c r="A830" s="2" t="inlineStr">
        <is>
          <t>EJ030824.TXT</t>
        </is>
      </c>
      <c r="B830" s="3" t="inlineStr">
        <is>
          <t>005473</t>
        </is>
      </c>
      <c r="C830" s="3" t="inlineStr">
        <is>
          <t>004390</t>
        </is>
      </c>
      <c r="D830" s="4" t="n">
        <v>45497</v>
      </c>
      <c r="E830" s="2" t="inlineStr">
        <is>
          <t>09:59</t>
        </is>
      </c>
      <c r="F830" s="5" t="n">
        <v>2392.5</v>
      </c>
      <c r="G830" s="5" t="n"/>
      <c r="H830" s="5" t="n"/>
      <c r="I830" s="5" t="n"/>
      <c r="J830" s="5" t="n">
        <v>478.5</v>
      </c>
      <c r="K830" s="5" t="n"/>
      <c r="L830" s="5" t="n"/>
      <c r="M830" s="5" t="n"/>
      <c r="N830" s="5" t="n"/>
      <c r="O830" s="5" t="n">
        <v>2871</v>
      </c>
      <c r="P830" s="5" t="n">
        <v>2871</v>
      </c>
      <c r="Q830" s="5" t="n"/>
      <c r="R830" s="5" t="n"/>
    </row>
    <row r="831">
      <c r="A831" s="2" t="inlineStr">
        <is>
          <t>EJ030824.TXT</t>
        </is>
      </c>
      <c r="B831" s="3" t="inlineStr">
        <is>
          <t>005474</t>
        </is>
      </c>
      <c r="C831" s="3" t="inlineStr">
        <is>
          <t>004391</t>
        </is>
      </c>
      <c r="D831" s="4" t="n">
        <v>45497</v>
      </c>
      <c r="E831" s="2" t="inlineStr">
        <is>
          <t>10:01</t>
        </is>
      </c>
      <c r="F831" s="5" t="n">
        <v>531.67</v>
      </c>
      <c r="G831" s="5" t="n"/>
      <c r="H831" s="5" t="n"/>
      <c r="I831" s="5" t="n"/>
      <c r="J831" s="5" t="n">
        <v>106.33</v>
      </c>
      <c r="K831" s="5" t="n"/>
      <c r="L831" s="5" t="n"/>
      <c r="M831" s="5" t="n"/>
      <c r="N831" s="5" t="n"/>
      <c r="O831" s="5" t="n">
        <v>638</v>
      </c>
      <c r="P831" s="5" t="n"/>
      <c r="Q831" s="5" t="n">
        <v>638</v>
      </c>
      <c r="R831" s="5" t="n"/>
    </row>
    <row r="832">
      <c r="A832" s="2" t="inlineStr">
        <is>
          <t>EJ030824.TXT</t>
        </is>
      </c>
      <c r="B832" s="3" t="inlineStr">
        <is>
          <t>005475</t>
        </is>
      </c>
      <c r="C832" s="3" t="inlineStr">
        <is>
          <t>004392</t>
        </is>
      </c>
      <c r="D832" s="4" t="n">
        <v>45498</v>
      </c>
      <c r="E832" s="2" t="inlineStr">
        <is>
          <t>17:44</t>
        </is>
      </c>
      <c r="F832" s="5" t="n">
        <v>548.33</v>
      </c>
      <c r="G832" s="5" t="n"/>
      <c r="H832" s="5" t="n"/>
      <c r="I832" s="5" t="n"/>
      <c r="J832" s="5" t="n">
        <v>109.67</v>
      </c>
      <c r="K832" s="5" t="n"/>
      <c r="L832" s="5" t="n"/>
      <c r="M832" s="5" t="n"/>
      <c r="N832" s="5" t="n"/>
      <c r="O832" s="5" t="n">
        <v>658</v>
      </c>
      <c r="P832" s="5" t="n"/>
      <c r="Q832" s="5" t="n">
        <v>658</v>
      </c>
      <c r="R832" s="5" t="n"/>
    </row>
    <row r="833">
      <c r="A833" s="2" t="inlineStr">
        <is>
          <t>EJ030824.TXT</t>
        </is>
      </c>
      <c r="B833" s="3" t="inlineStr">
        <is>
          <t>005476</t>
        </is>
      </c>
      <c r="C833" s="3" t="inlineStr">
        <is>
          <t>004393</t>
        </is>
      </c>
      <c r="D833" s="4" t="n">
        <v>45499</v>
      </c>
      <c r="E833" s="2" t="inlineStr">
        <is>
          <t>10:46</t>
        </is>
      </c>
      <c r="F833" s="5" t="n">
        <v>156.67</v>
      </c>
      <c r="G833" s="5" t="n"/>
      <c r="H833" s="5" t="n"/>
      <c r="I833" s="5" t="n"/>
      <c r="J833" s="5" t="n">
        <v>31.33</v>
      </c>
      <c r="K833" s="5" t="n"/>
      <c r="L833" s="5" t="n"/>
      <c r="M833" s="5" t="n"/>
      <c r="N833" s="5" t="n"/>
      <c r="O833" s="5" t="n">
        <v>188</v>
      </c>
      <c r="P833" s="5" t="n"/>
      <c r="Q833" s="5" t="n">
        <v>188</v>
      </c>
      <c r="R833" s="5" t="n"/>
    </row>
    <row r="834">
      <c r="A834" s="2" t="inlineStr">
        <is>
          <t>EJ030824.TXT</t>
        </is>
      </c>
      <c r="B834" s="3" t="inlineStr">
        <is>
          <t>005477</t>
        </is>
      </c>
      <c r="C834" s="3" t="inlineStr">
        <is>
          <t>004394</t>
        </is>
      </c>
      <c r="D834" s="4" t="n">
        <v>45500</v>
      </c>
      <c r="E834" s="2" t="inlineStr">
        <is>
          <t>15:42</t>
        </is>
      </c>
      <c r="F834" s="5" t="n">
        <v>36.67</v>
      </c>
      <c r="G834" s="5" t="n"/>
      <c r="H834" s="5" t="n"/>
      <c r="I834" s="5" t="n"/>
      <c r="J834" s="5" t="n">
        <v>7.33</v>
      </c>
      <c r="K834" s="5" t="n"/>
      <c r="L834" s="5" t="n"/>
      <c r="M834" s="5" t="n"/>
      <c r="N834" s="5" t="n"/>
      <c r="O834" s="5" t="n">
        <v>44</v>
      </c>
      <c r="P834" s="5" t="n"/>
      <c r="Q834" s="5" t="n">
        <v>44</v>
      </c>
      <c r="R834" s="5" t="n"/>
    </row>
    <row r="835">
      <c r="A835" s="2" t="inlineStr">
        <is>
          <t>EJ030824.TXT</t>
        </is>
      </c>
      <c r="B835" s="3" t="inlineStr">
        <is>
          <t>005478</t>
        </is>
      </c>
      <c r="C835" s="3" t="inlineStr">
        <is>
          <t>004395</t>
        </is>
      </c>
      <c r="D835" s="4" t="n">
        <v>45502</v>
      </c>
      <c r="E835" s="2" t="inlineStr">
        <is>
          <t>11:30</t>
        </is>
      </c>
      <c r="F835" s="5" t="n">
        <v>208.33</v>
      </c>
      <c r="G835" s="5" t="n"/>
      <c r="H835" s="5" t="n"/>
      <c r="I835" s="5" t="n"/>
      <c r="J835" s="5" t="n">
        <v>41.67</v>
      </c>
      <c r="K835" s="5" t="n"/>
      <c r="L835" s="5" t="n"/>
      <c r="M835" s="5" t="n"/>
      <c r="N835" s="5" t="n"/>
      <c r="O835" s="5" t="n">
        <v>250</v>
      </c>
      <c r="P835" s="5" t="n"/>
      <c r="Q835" s="5" t="n">
        <v>250</v>
      </c>
      <c r="R835" s="5" t="n"/>
    </row>
    <row r="836">
      <c r="A836" s="2" t="inlineStr">
        <is>
          <t>EJ030824.TXT</t>
        </is>
      </c>
      <c r="B836" s="3" t="inlineStr">
        <is>
          <t>005479</t>
        </is>
      </c>
      <c r="C836" s="3" t="inlineStr">
        <is>
          <t>004396</t>
        </is>
      </c>
      <c r="D836" s="4" t="n">
        <v>45502</v>
      </c>
      <c r="E836" s="2" t="inlineStr">
        <is>
          <t>12:07</t>
        </is>
      </c>
      <c r="F836" s="5" t="n">
        <v>582.5</v>
      </c>
      <c r="G836" s="5" t="n"/>
      <c r="H836" s="5" t="n"/>
      <c r="I836" s="5" t="n"/>
      <c r="J836" s="5" t="n">
        <v>116.5</v>
      </c>
      <c r="K836" s="5" t="n"/>
      <c r="L836" s="5" t="n"/>
      <c r="M836" s="5" t="n"/>
      <c r="N836" s="5" t="n"/>
      <c r="O836" s="5" t="n">
        <v>699</v>
      </c>
      <c r="P836" s="5" t="n">
        <v>699</v>
      </c>
      <c r="Q836" s="5" t="n"/>
      <c r="R836" s="5" t="n"/>
    </row>
    <row r="837">
      <c r="A837" s="2" t="inlineStr">
        <is>
          <t>EJ030824.TXT</t>
        </is>
      </c>
      <c r="B837" s="3" t="inlineStr">
        <is>
          <t>005480</t>
        </is>
      </c>
      <c r="C837" s="3" t="inlineStr">
        <is>
          <t>004397</t>
        </is>
      </c>
      <c r="D837" s="4" t="n">
        <v>45503</v>
      </c>
      <c r="E837" s="2" t="inlineStr">
        <is>
          <t>09:01</t>
        </is>
      </c>
      <c r="F837" s="5" t="n">
        <v>199.17</v>
      </c>
      <c r="G837" s="5" t="n"/>
      <c r="H837" s="5" t="n"/>
      <c r="I837" s="5" t="n"/>
      <c r="J837" s="5" t="n">
        <v>39.83</v>
      </c>
      <c r="K837" s="5" t="n"/>
      <c r="L837" s="5" t="n"/>
      <c r="M837" s="5" t="n"/>
      <c r="N837" s="5" t="n"/>
      <c r="O837" s="5" t="n">
        <v>239</v>
      </c>
      <c r="P837" s="5" t="n"/>
      <c r="Q837" s="5" t="n">
        <v>239</v>
      </c>
      <c r="R837" s="5" t="n"/>
    </row>
    <row r="838">
      <c r="A838" s="2" t="inlineStr">
        <is>
          <t>EJ030824.TXT</t>
        </is>
      </c>
      <c r="B838" s="3" t="inlineStr">
        <is>
          <t>005481</t>
        </is>
      </c>
      <c r="C838" s="3" t="inlineStr">
        <is>
          <t>004398</t>
        </is>
      </c>
      <c r="D838" s="4" t="n">
        <v>45505</v>
      </c>
      <c r="E838" s="2" t="inlineStr">
        <is>
          <t>11:03</t>
        </is>
      </c>
      <c r="F838" s="5" t="n">
        <v>274.17</v>
      </c>
      <c r="G838" s="5" t="n"/>
      <c r="H838" s="5" t="n"/>
      <c r="I838" s="5" t="n"/>
      <c r="J838" s="5" t="n">
        <v>54.83</v>
      </c>
      <c r="K838" s="5" t="n"/>
      <c r="L838" s="5" t="n"/>
      <c r="M838" s="5" t="n"/>
      <c r="N838" s="5" t="n"/>
      <c r="O838" s="5" t="n">
        <v>329</v>
      </c>
      <c r="P838" s="5" t="n"/>
      <c r="Q838" s="5" t="n">
        <v>329</v>
      </c>
      <c r="R838" s="5" t="n"/>
    </row>
    <row r="839">
      <c r="A839" s="2" t="inlineStr">
        <is>
          <t>EJ030824.TXT</t>
        </is>
      </c>
      <c r="B839" s="3" t="inlineStr">
        <is>
          <t>005482</t>
        </is>
      </c>
      <c r="C839" s="3" t="inlineStr">
        <is>
          <t>004399</t>
        </is>
      </c>
      <c r="D839" s="4" t="n">
        <v>45506</v>
      </c>
      <c r="E839" s="2" t="inlineStr">
        <is>
          <t>14:03</t>
        </is>
      </c>
      <c r="F839" s="5" t="n">
        <v>548.33</v>
      </c>
      <c r="G839" s="5" t="n"/>
      <c r="H839" s="5" t="n"/>
      <c r="I839" s="5" t="n"/>
      <c r="J839" s="5" t="n">
        <v>109.67</v>
      </c>
      <c r="K839" s="5" t="n"/>
      <c r="L839" s="5" t="n"/>
      <c r="M839" s="5" t="n"/>
      <c r="N839" s="5" t="n"/>
      <c r="O839" s="5" t="n">
        <v>658</v>
      </c>
      <c r="P839" s="5" t="n"/>
      <c r="Q839" s="5" t="n">
        <v>658</v>
      </c>
      <c r="R839" s="5" t="n"/>
    </row>
    <row r="840">
      <c r="A840" s="2" t="inlineStr">
        <is>
          <t>EJ030824.TXT</t>
        </is>
      </c>
      <c r="B840" s="3" t="inlineStr">
        <is>
          <t>005483</t>
        </is>
      </c>
      <c r="C840" s="3" t="inlineStr">
        <is>
          <t>004400</t>
        </is>
      </c>
      <c r="D840" s="4" t="n">
        <v>45506</v>
      </c>
      <c r="E840" s="2" t="inlineStr">
        <is>
          <t>14:05</t>
        </is>
      </c>
      <c r="F840" s="5" t="n">
        <v>548.33</v>
      </c>
      <c r="G840" s="5" t="n"/>
      <c r="H840" s="5" t="n"/>
      <c r="I840" s="5" t="n"/>
      <c r="J840" s="5" t="n">
        <v>109.67</v>
      </c>
      <c r="K840" s="5" t="n"/>
      <c r="L840" s="5" t="n"/>
      <c r="M840" s="5" t="n"/>
      <c r="N840" s="5" t="n"/>
      <c r="O840" s="5" t="n">
        <v>658</v>
      </c>
      <c r="P840" s="5" t="n">
        <v>658</v>
      </c>
      <c r="Q840" s="5" t="n"/>
      <c r="R840" s="5" t="n"/>
    </row>
    <row r="841">
      <c r="A841" s="2" t="inlineStr">
        <is>
          <t>EJ030824.TXT</t>
        </is>
      </c>
      <c r="B841" s="3" t="inlineStr">
        <is>
          <t>005484</t>
        </is>
      </c>
      <c r="C841" s="3" t="inlineStr">
        <is>
          <t>004401</t>
        </is>
      </c>
      <c r="D841" s="4" t="n">
        <v>45506</v>
      </c>
      <c r="E841" s="2" t="inlineStr">
        <is>
          <t>15:20</t>
        </is>
      </c>
      <c r="F841" s="5" t="n">
        <v>208.33</v>
      </c>
      <c r="G841" s="5" t="n"/>
      <c r="H841" s="5" t="n"/>
      <c r="I841" s="5" t="n"/>
      <c r="J841" s="5" t="n">
        <v>41.67</v>
      </c>
      <c r="K841" s="5" t="n"/>
      <c r="L841" s="5" t="n"/>
      <c r="M841" s="5" t="n"/>
      <c r="N841" s="5" t="n"/>
      <c r="O841" s="5" t="n">
        <v>250</v>
      </c>
      <c r="P841" s="5" t="n"/>
      <c r="Q841" s="5" t="n">
        <v>250</v>
      </c>
      <c r="R841" s="5" t="n"/>
    </row>
    <row r="842">
      <c r="A842" s="2" t="inlineStr">
        <is>
          <t>EJ030824.TXT</t>
        </is>
      </c>
      <c r="B842" s="3" t="inlineStr">
        <is>
          <t>005485</t>
        </is>
      </c>
      <c r="C842" s="3" t="inlineStr">
        <is>
          <t>004402</t>
        </is>
      </c>
      <c r="D842" s="4" t="n">
        <v>45507</v>
      </c>
      <c r="E842" s="2" t="inlineStr">
        <is>
          <t>16:03</t>
        </is>
      </c>
      <c r="F842" s="5" t="n">
        <v>797.5</v>
      </c>
      <c r="G842" s="5" t="n"/>
      <c r="H842" s="5" t="n"/>
      <c r="I842" s="5" t="n"/>
      <c r="J842" s="5" t="n">
        <v>159.5</v>
      </c>
      <c r="K842" s="5" t="n"/>
      <c r="L842" s="5" t="n"/>
      <c r="M842" s="5" t="n"/>
      <c r="N842" s="5" t="n"/>
      <c r="O842" s="5" t="n">
        <v>957</v>
      </c>
      <c r="P842" s="5" t="n"/>
      <c r="Q842" s="5" t="n">
        <v>957</v>
      </c>
      <c r="R842" s="5" t="n"/>
    </row>
    <row r="843">
      <c r="A843" s="2" t="inlineStr">
        <is>
          <t>EJ030824.TXT</t>
        </is>
      </c>
      <c r="B843" s="3" t="inlineStr">
        <is>
          <t>005486</t>
        </is>
      </c>
      <c r="C843" s="3" t="inlineStr">
        <is>
          <t>004403</t>
        </is>
      </c>
      <c r="D843" s="4" t="n">
        <v>45507</v>
      </c>
      <c r="E843" s="2" t="inlineStr">
        <is>
          <t>16:03</t>
        </is>
      </c>
      <c r="F843" s="5" t="n">
        <v>566.67</v>
      </c>
      <c r="G843" s="5" t="n"/>
      <c r="H843" s="5" t="n"/>
      <c r="I843" s="5" t="n"/>
      <c r="J843" s="5" t="n">
        <v>113.33</v>
      </c>
      <c r="K843" s="5" t="n"/>
      <c r="L843" s="5" t="n"/>
      <c r="M843" s="5" t="n"/>
      <c r="N843" s="5" t="n"/>
      <c r="O843" s="5" t="n">
        <v>680</v>
      </c>
      <c r="P843" s="5" t="n"/>
      <c r="Q843" s="5" t="n">
        <v>680</v>
      </c>
      <c r="R843" s="5" t="n"/>
    </row>
    <row r="844">
      <c r="A844" s="2" t="inlineStr">
        <is>
          <t>EJ030824.TXT</t>
        </is>
      </c>
      <c r="B844" s="3" t="inlineStr">
        <is>
          <t>005487</t>
        </is>
      </c>
      <c r="C844" s="3" t="inlineStr">
        <is>
          <t>004404</t>
        </is>
      </c>
      <c r="D844" s="4" t="n">
        <v>45507</v>
      </c>
      <c r="E844" s="2" t="inlineStr">
        <is>
          <t>16:04</t>
        </is>
      </c>
      <c r="F844" s="5" t="n">
        <v>531.67</v>
      </c>
      <c r="G844" s="5" t="n"/>
      <c r="H844" s="5" t="n"/>
      <c r="I844" s="5" t="n"/>
      <c r="J844" s="5" t="n">
        <v>106.33</v>
      </c>
      <c r="K844" s="5" t="n"/>
      <c r="L844" s="5" t="n"/>
      <c r="M844" s="5" t="n"/>
      <c r="N844" s="5" t="n"/>
      <c r="O844" s="5" t="n">
        <v>638</v>
      </c>
      <c r="P844" s="5" t="n"/>
      <c r="Q844" s="5" t="n">
        <v>638</v>
      </c>
      <c r="R844" s="5" t="n"/>
    </row>
    <row r="845">
      <c r="A845" s="2" t="inlineStr">
        <is>
          <t>EJ030824.TXT</t>
        </is>
      </c>
      <c r="B845" s="3" t="inlineStr">
        <is>
          <t>005488</t>
        </is>
      </c>
      <c r="C845" s="3" t="inlineStr">
        <is>
          <t>004405</t>
        </is>
      </c>
      <c r="D845" s="4" t="n">
        <v>45507</v>
      </c>
      <c r="E845" s="2" t="inlineStr">
        <is>
          <t>16:04</t>
        </is>
      </c>
      <c r="F845" s="5" t="n">
        <v>531.67</v>
      </c>
      <c r="G845" s="5" t="n"/>
      <c r="H845" s="5" t="n"/>
      <c r="I845" s="5" t="n"/>
      <c r="J845" s="5" t="n">
        <v>106.33</v>
      </c>
      <c r="K845" s="5" t="n"/>
      <c r="L845" s="5" t="n"/>
      <c r="M845" s="5" t="n"/>
      <c r="N845" s="5" t="n"/>
      <c r="O845" s="5" t="n">
        <v>638</v>
      </c>
      <c r="P845" s="5" t="n"/>
      <c r="Q845" s="5" t="n">
        <v>638</v>
      </c>
      <c r="R845" s="5" t="n"/>
    </row>
    <row r="846">
      <c r="A846" s="2" t="inlineStr">
        <is>
          <t>EJ030824.TXT</t>
        </is>
      </c>
      <c r="B846" s="3" t="inlineStr">
        <is>
          <t>005489</t>
        </is>
      </c>
      <c r="C846" s="3" t="inlineStr">
        <is>
          <t>004406</t>
        </is>
      </c>
      <c r="D846" s="4" t="n">
        <v>45507</v>
      </c>
      <c r="E846" s="2" t="inlineStr">
        <is>
          <t>16:04</t>
        </is>
      </c>
      <c r="F846" s="5" t="n">
        <v>797.5</v>
      </c>
      <c r="G846" s="5" t="n"/>
      <c r="H846" s="5" t="n"/>
      <c r="I846" s="5" t="n"/>
      <c r="J846" s="5" t="n">
        <v>159.5</v>
      </c>
      <c r="K846" s="5" t="n"/>
      <c r="L846" s="5" t="n"/>
      <c r="M846" s="5" t="n"/>
      <c r="N846" s="5" t="n"/>
      <c r="O846" s="5" t="n">
        <v>957</v>
      </c>
      <c r="P846" s="5" t="n"/>
      <c r="Q846" s="5" t="n">
        <v>957</v>
      </c>
      <c r="R846" s="5" t="n"/>
    </row>
    <row r="847">
      <c r="A847" s="2" t="inlineStr">
        <is>
          <t>EJ030824.TXT</t>
        </is>
      </c>
      <c r="B847" s="3" t="inlineStr">
        <is>
          <t>005490</t>
        </is>
      </c>
      <c r="C847" s="3" t="inlineStr">
        <is>
          <t>004407</t>
        </is>
      </c>
      <c r="D847" s="4" t="n">
        <v>45507</v>
      </c>
      <c r="E847" s="2" t="inlineStr">
        <is>
          <t>16:05</t>
        </is>
      </c>
      <c r="F847" s="5" t="n">
        <v>797.5</v>
      </c>
      <c r="G847" s="5" t="n"/>
      <c r="H847" s="5" t="n"/>
      <c r="I847" s="5" t="n"/>
      <c r="J847" s="5" t="n">
        <v>159.5</v>
      </c>
      <c r="K847" s="5" t="n"/>
      <c r="L847" s="5" t="n"/>
      <c r="M847" s="5" t="n"/>
      <c r="N847" s="5" t="n"/>
      <c r="O847" s="5" t="n">
        <v>957</v>
      </c>
      <c r="P847" s="5" t="n"/>
      <c r="Q847" s="5" t="n">
        <v>957</v>
      </c>
      <c r="R847" s="5" t="n"/>
    </row>
    <row r="848">
      <c r="A848" s="2" t="inlineStr">
        <is>
          <t>EJ020924.TXT</t>
        </is>
      </c>
      <c r="B848" s="3" t="inlineStr">
        <is>
          <t>005499</t>
        </is>
      </c>
      <c r="C848" s="3" t="inlineStr">
        <is>
          <t>004408</t>
        </is>
      </c>
      <c r="D848" s="4" t="n">
        <v>45509</v>
      </c>
      <c r="E848" s="2" t="inlineStr">
        <is>
          <t>14:53</t>
        </is>
      </c>
      <c r="F848" s="5" t="n">
        <v>208.33</v>
      </c>
      <c r="G848" s="5" t="n"/>
      <c r="H848" s="5" t="n"/>
      <c r="I848" s="5" t="n"/>
      <c r="J848" s="5" t="n">
        <v>41.67</v>
      </c>
      <c r="K848" s="5" t="n"/>
      <c r="L848" s="5" t="n"/>
      <c r="M848" s="5" t="n"/>
      <c r="N848" s="5" t="n"/>
      <c r="O848" s="5" t="n">
        <v>250</v>
      </c>
      <c r="P848" s="5" t="n"/>
      <c r="Q848" s="5" t="n">
        <v>250</v>
      </c>
      <c r="R848" s="5" t="n"/>
    </row>
    <row r="849">
      <c r="A849" s="2" t="inlineStr">
        <is>
          <t>EJ020924.TXT</t>
        </is>
      </c>
      <c r="B849" s="3" t="inlineStr">
        <is>
          <t>005500</t>
        </is>
      </c>
      <c r="C849" s="3" t="inlineStr">
        <is>
          <t>004409</t>
        </is>
      </c>
      <c r="D849" s="4" t="n">
        <v>45510</v>
      </c>
      <c r="E849" s="2" t="inlineStr">
        <is>
          <t>11:41</t>
        </is>
      </c>
      <c r="F849" s="5" t="n">
        <v>208.33</v>
      </c>
      <c r="G849" s="5" t="n"/>
      <c r="H849" s="5" t="n"/>
      <c r="I849" s="5" t="n"/>
      <c r="J849" s="5" t="n">
        <v>41.67</v>
      </c>
      <c r="K849" s="5" t="n"/>
      <c r="L849" s="5" t="n"/>
      <c r="M849" s="5" t="n"/>
      <c r="N849" s="5" t="n"/>
      <c r="O849" s="5" t="n">
        <v>250</v>
      </c>
      <c r="P849" s="5" t="n"/>
      <c r="Q849" s="5" t="n">
        <v>250</v>
      </c>
      <c r="R849" s="5" t="n"/>
    </row>
    <row r="850">
      <c r="A850" s="2" t="inlineStr">
        <is>
          <t>EJ020924.TXT</t>
        </is>
      </c>
      <c r="B850" s="3" t="inlineStr">
        <is>
          <t>005501</t>
        </is>
      </c>
      <c r="C850" s="3" t="inlineStr">
        <is>
          <t>004410</t>
        </is>
      </c>
      <c r="D850" s="4" t="n">
        <v>45510</v>
      </c>
      <c r="E850" s="2" t="inlineStr">
        <is>
          <t>14:21</t>
        </is>
      </c>
      <c r="F850" s="5" t="n">
        <v>82.5</v>
      </c>
      <c r="G850" s="5" t="n"/>
      <c r="H850" s="5" t="n"/>
      <c r="I850" s="5" t="n"/>
      <c r="J850" s="5" t="n">
        <v>16.5</v>
      </c>
      <c r="K850" s="5" t="n"/>
      <c r="L850" s="5" t="n"/>
      <c r="M850" s="5" t="n"/>
      <c r="N850" s="5" t="n"/>
      <c r="O850" s="5" t="n">
        <v>99</v>
      </c>
      <c r="P850" s="5" t="n"/>
      <c r="Q850" s="5" t="n">
        <v>99</v>
      </c>
      <c r="R850" s="5" t="n"/>
    </row>
    <row r="851">
      <c r="A851" s="2" t="inlineStr">
        <is>
          <t>EJ020924.TXT</t>
        </is>
      </c>
      <c r="B851" s="3" t="inlineStr">
        <is>
          <t>005502</t>
        </is>
      </c>
      <c r="C851" s="3" t="inlineStr">
        <is>
          <t>004411</t>
        </is>
      </c>
      <c r="D851" s="4" t="n">
        <v>45510</v>
      </c>
      <c r="E851" s="2" t="inlineStr">
        <is>
          <t>14:36</t>
        </is>
      </c>
      <c r="F851" s="5" t="n">
        <v>274.17</v>
      </c>
      <c r="G851" s="5" t="n"/>
      <c r="H851" s="5" t="n"/>
      <c r="I851" s="5" t="n"/>
      <c r="J851" s="5" t="n">
        <v>54.83</v>
      </c>
      <c r="K851" s="5" t="n"/>
      <c r="L851" s="5" t="n"/>
      <c r="M851" s="5" t="n"/>
      <c r="N851" s="5" t="n"/>
      <c r="O851" s="5" t="n">
        <v>329</v>
      </c>
      <c r="P851" s="5" t="n"/>
      <c r="Q851" s="5" t="n">
        <v>329</v>
      </c>
      <c r="R851" s="5" t="n"/>
    </row>
    <row r="852">
      <c r="A852" s="2" t="inlineStr">
        <is>
          <t>EJ020924.TXT</t>
        </is>
      </c>
      <c r="B852" s="3" t="inlineStr">
        <is>
          <t>005503</t>
        </is>
      </c>
      <c r="C852" s="3" t="inlineStr">
        <is>
          <t>004412</t>
        </is>
      </c>
      <c r="D852" s="4" t="n">
        <v>45512</v>
      </c>
      <c r="E852" s="2" t="inlineStr">
        <is>
          <t>16:14</t>
        </is>
      </c>
      <c r="F852" s="5" t="n">
        <v>548.33</v>
      </c>
      <c r="G852" s="5" t="n"/>
      <c r="H852" s="5" t="n"/>
      <c r="I852" s="5" t="n"/>
      <c r="J852" s="5" t="n">
        <v>109.67</v>
      </c>
      <c r="K852" s="5" t="n"/>
      <c r="L852" s="5" t="n"/>
      <c r="M852" s="5" t="n"/>
      <c r="N852" s="5" t="n"/>
      <c r="O852" s="5" t="n">
        <v>658</v>
      </c>
      <c r="P852" s="5" t="n"/>
      <c r="Q852" s="5" t="n">
        <v>658</v>
      </c>
      <c r="R852" s="5" t="n"/>
    </row>
    <row r="853">
      <c r="A853" s="2" t="inlineStr">
        <is>
          <t>EJ020924.TXT</t>
        </is>
      </c>
      <c r="B853" s="3" t="inlineStr">
        <is>
          <t>005504</t>
        </is>
      </c>
      <c r="C853" s="3" t="inlineStr">
        <is>
          <t>004413</t>
        </is>
      </c>
      <c r="D853" s="4" t="n">
        <v>45513</v>
      </c>
      <c r="E853" s="2" t="inlineStr">
        <is>
          <t>16:20</t>
        </is>
      </c>
      <c r="F853" s="5" t="n">
        <v>208.33</v>
      </c>
      <c r="G853" s="5" t="n"/>
      <c r="H853" s="5" t="n"/>
      <c r="I853" s="5" t="n"/>
      <c r="J853" s="5" t="n">
        <v>41.67</v>
      </c>
      <c r="K853" s="5" t="n"/>
      <c r="L853" s="5" t="n"/>
      <c r="M853" s="5" t="n"/>
      <c r="N853" s="5" t="n"/>
      <c r="O853" s="5" t="n">
        <v>250</v>
      </c>
      <c r="P853" s="5" t="n"/>
      <c r="Q853" s="5" t="n">
        <v>250</v>
      </c>
      <c r="R853" s="5" t="n"/>
    </row>
    <row r="854">
      <c r="A854" s="2" t="inlineStr">
        <is>
          <t>EJ020924.TXT</t>
        </is>
      </c>
      <c r="B854" s="3" t="inlineStr">
        <is>
          <t>005505</t>
        </is>
      </c>
      <c r="C854" s="3" t="inlineStr">
        <is>
          <t>004414</t>
        </is>
      </c>
      <c r="D854" s="4" t="n">
        <v>45513</v>
      </c>
      <c r="E854" s="2" t="inlineStr">
        <is>
          <t>16:54</t>
        </is>
      </c>
      <c r="F854" s="5" t="n">
        <v>208.33</v>
      </c>
      <c r="G854" s="5" t="n"/>
      <c r="H854" s="5" t="n"/>
      <c r="I854" s="5" t="n"/>
      <c r="J854" s="5" t="n">
        <v>41.67</v>
      </c>
      <c r="K854" s="5" t="n"/>
      <c r="L854" s="5" t="n"/>
      <c r="M854" s="5" t="n"/>
      <c r="N854" s="5" t="n"/>
      <c r="O854" s="5" t="n">
        <v>250</v>
      </c>
      <c r="P854" s="5" t="n"/>
      <c r="Q854" s="5" t="n">
        <v>250</v>
      </c>
      <c r="R854" s="5" t="n"/>
    </row>
    <row r="855">
      <c r="A855" s="2" t="inlineStr">
        <is>
          <t>EJ020924.TXT</t>
        </is>
      </c>
      <c r="B855" s="3" t="inlineStr">
        <is>
          <t>005506</t>
        </is>
      </c>
      <c r="C855" s="3" t="inlineStr">
        <is>
          <t>004415</t>
        </is>
      </c>
      <c r="D855" s="4" t="n">
        <v>45514</v>
      </c>
      <c r="E855" s="2" t="inlineStr">
        <is>
          <t>13:58</t>
        </is>
      </c>
      <c r="F855" s="5" t="n">
        <v>689.17</v>
      </c>
      <c r="G855" s="5" t="n"/>
      <c r="H855" s="5" t="n"/>
      <c r="I855" s="5" t="n"/>
      <c r="J855" s="5" t="n">
        <v>137.83</v>
      </c>
      <c r="K855" s="5" t="n"/>
      <c r="L855" s="5" t="n"/>
      <c r="M855" s="5" t="n"/>
      <c r="N855" s="5" t="n"/>
      <c r="O855" s="5" t="n">
        <v>827</v>
      </c>
      <c r="P855" s="5" t="n"/>
      <c r="Q855" s="5" t="n">
        <v>827</v>
      </c>
      <c r="R855" s="5" t="n"/>
    </row>
    <row r="856">
      <c r="A856" s="2" t="inlineStr">
        <is>
          <t>EJ020924.TXT</t>
        </is>
      </c>
      <c r="B856" s="3" t="inlineStr">
        <is>
          <t>005507</t>
        </is>
      </c>
      <c r="C856" s="3" t="inlineStr">
        <is>
          <t>004416</t>
        </is>
      </c>
      <c r="D856" s="4" t="n">
        <v>45514</v>
      </c>
      <c r="E856" s="2" t="inlineStr">
        <is>
          <t>14:08</t>
        </is>
      </c>
      <c r="F856" s="5" t="n">
        <v>830</v>
      </c>
      <c r="G856" s="5" t="n"/>
      <c r="H856" s="5" t="n"/>
      <c r="I856" s="5" t="n"/>
      <c r="J856" s="5" t="n">
        <v>166</v>
      </c>
      <c r="K856" s="5" t="n"/>
      <c r="L856" s="5" t="n"/>
      <c r="M856" s="5" t="n"/>
      <c r="N856" s="5" t="n"/>
      <c r="O856" s="5" t="n">
        <v>996</v>
      </c>
      <c r="P856" s="5" t="n"/>
      <c r="Q856" s="5" t="n">
        <v>996</v>
      </c>
      <c r="R856" s="5" t="n"/>
    </row>
    <row r="857">
      <c r="A857" s="2" t="inlineStr">
        <is>
          <t>EJ020924.TXT</t>
        </is>
      </c>
      <c r="B857" s="3" t="inlineStr">
        <is>
          <t>005508</t>
        </is>
      </c>
      <c r="C857" s="3" t="inlineStr">
        <is>
          <t>004417</t>
        </is>
      </c>
      <c r="D857" s="4" t="n">
        <v>45514</v>
      </c>
      <c r="E857" s="2" t="inlineStr">
        <is>
          <t>14:08</t>
        </is>
      </c>
      <c r="F857" s="5" t="n">
        <v>614.17</v>
      </c>
      <c r="G857" s="5" t="n"/>
      <c r="H857" s="5" t="n"/>
      <c r="I857" s="5" t="n"/>
      <c r="J857" s="5" t="n">
        <v>122.83</v>
      </c>
      <c r="K857" s="5" t="n"/>
      <c r="L857" s="5" t="n"/>
      <c r="M857" s="5" t="n"/>
      <c r="N857" s="5" t="n"/>
      <c r="O857" s="5" t="n">
        <v>737</v>
      </c>
      <c r="P857" s="5" t="n"/>
      <c r="Q857" s="5" t="n">
        <v>737</v>
      </c>
      <c r="R857" s="5" t="n"/>
    </row>
    <row r="858">
      <c r="A858" s="2" t="inlineStr">
        <is>
          <t>EJ020924.TXT</t>
        </is>
      </c>
      <c r="B858" s="3" t="inlineStr">
        <is>
          <t>005509</t>
        </is>
      </c>
      <c r="C858" s="3" t="inlineStr">
        <is>
          <t>004418</t>
        </is>
      </c>
      <c r="D858" s="4" t="n">
        <v>45514</v>
      </c>
      <c r="E858" s="2" t="inlineStr">
        <is>
          <t>14:09</t>
        </is>
      </c>
      <c r="F858" s="5" t="n">
        <v>398.33</v>
      </c>
      <c r="G858" s="5" t="n"/>
      <c r="H858" s="5" t="n"/>
      <c r="I858" s="5" t="n"/>
      <c r="J858" s="5" t="n">
        <v>79.67</v>
      </c>
      <c r="K858" s="5" t="n"/>
      <c r="L858" s="5" t="n"/>
      <c r="M858" s="5" t="n"/>
      <c r="N858" s="5" t="n"/>
      <c r="O858" s="5" t="n">
        <v>478</v>
      </c>
      <c r="P858" s="5" t="n"/>
      <c r="Q858" s="5" t="n">
        <v>478</v>
      </c>
      <c r="R858" s="5" t="n"/>
    </row>
    <row r="859">
      <c r="A859" s="2" t="inlineStr">
        <is>
          <t>EJ020924.TXT</t>
        </is>
      </c>
      <c r="B859" s="3" t="inlineStr">
        <is>
          <t>005510</t>
        </is>
      </c>
      <c r="C859" s="3" t="inlineStr">
        <is>
          <t>004419</t>
        </is>
      </c>
      <c r="D859" s="4" t="n">
        <v>45514</v>
      </c>
      <c r="E859" s="2" t="inlineStr">
        <is>
          <t>14:12</t>
        </is>
      </c>
      <c r="F859" s="5" t="n">
        <v>173.33</v>
      </c>
      <c r="G859" s="5" t="n"/>
      <c r="H859" s="5" t="n"/>
      <c r="I859" s="5" t="n"/>
      <c r="J859" s="5" t="n">
        <v>34.67</v>
      </c>
      <c r="K859" s="5" t="n"/>
      <c r="L859" s="5" t="n"/>
      <c r="M859" s="5" t="n"/>
      <c r="N859" s="5" t="n"/>
      <c r="O859" s="5" t="n">
        <v>208</v>
      </c>
      <c r="P859" s="5" t="n"/>
      <c r="Q859" s="5" t="n">
        <v>208</v>
      </c>
      <c r="R859" s="5" t="n"/>
    </row>
    <row r="860">
      <c r="A860" s="2" t="inlineStr">
        <is>
          <t>EJ020924.TXT</t>
        </is>
      </c>
      <c r="B860" s="3" t="inlineStr">
        <is>
          <t>005511</t>
        </is>
      </c>
      <c r="C860" s="3" t="inlineStr">
        <is>
          <t>004420</t>
        </is>
      </c>
      <c r="D860" s="4" t="n">
        <v>45514</v>
      </c>
      <c r="E860" s="2" t="inlineStr">
        <is>
          <t>14:57</t>
        </is>
      </c>
      <c r="F860" s="5" t="n">
        <v>830</v>
      </c>
      <c r="G860" s="5" t="n"/>
      <c r="H860" s="5" t="n"/>
      <c r="I860" s="5" t="n"/>
      <c r="J860" s="5" t="n">
        <v>166</v>
      </c>
      <c r="K860" s="5" t="n"/>
      <c r="L860" s="5" t="n"/>
      <c r="M860" s="5" t="n"/>
      <c r="N860" s="5" t="n"/>
      <c r="O860" s="5" t="n">
        <v>996</v>
      </c>
      <c r="P860" s="5" t="n">
        <v>996</v>
      </c>
      <c r="Q860" s="5" t="n"/>
      <c r="R860" s="5" t="n"/>
    </row>
    <row r="861">
      <c r="A861" s="2" t="inlineStr">
        <is>
          <t>EJ020924.TXT</t>
        </is>
      </c>
      <c r="B861" s="3" t="inlineStr">
        <is>
          <t>005512</t>
        </is>
      </c>
      <c r="C861" s="3" t="inlineStr">
        <is>
          <t>004421</t>
        </is>
      </c>
      <c r="D861" s="4" t="n">
        <v>45516</v>
      </c>
      <c r="E861" s="2" t="inlineStr">
        <is>
          <t>15:07</t>
        </is>
      </c>
      <c r="F861" s="5" t="n">
        <v>548.33</v>
      </c>
      <c r="G861" s="5" t="n"/>
      <c r="H861" s="5" t="n"/>
      <c r="I861" s="5" t="n"/>
      <c r="J861" s="5" t="n">
        <v>109.67</v>
      </c>
      <c r="K861" s="5" t="n"/>
      <c r="L861" s="5" t="n"/>
      <c r="M861" s="5" t="n"/>
      <c r="N861" s="5" t="n"/>
      <c r="O861" s="5" t="n">
        <v>658</v>
      </c>
      <c r="P861" s="5" t="n"/>
      <c r="Q861" s="5" t="n">
        <v>658</v>
      </c>
      <c r="R861" s="5" t="n"/>
    </row>
    <row r="862">
      <c r="A862" s="2" t="inlineStr">
        <is>
          <t>EJ020924.TXT</t>
        </is>
      </c>
      <c r="B862" s="3" t="inlineStr">
        <is>
          <t>005513</t>
        </is>
      </c>
      <c r="C862" s="3" t="inlineStr">
        <is>
          <t>004422</t>
        </is>
      </c>
      <c r="D862" s="4" t="n">
        <v>45516</v>
      </c>
      <c r="E862" s="2" t="inlineStr">
        <is>
          <t>15:08</t>
        </is>
      </c>
      <c r="F862" s="5" t="n">
        <v>825</v>
      </c>
      <c r="G862" s="5" t="n"/>
      <c r="H862" s="5" t="n"/>
      <c r="I862" s="5" t="n"/>
      <c r="J862" s="5" t="n">
        <v>165</v>
      </c>
      <c r="K862" s="5" t="n"/>
      <c r="L862" s="5" t="n"/>
      <c r="M862" s="5" t="n"/>
      <c r="N862" s="5" t="n"/>
      <c r="O862" s="5" t="n">
        <v>990</v>
      </c>
      <c r="P862" s="5" t="n"/>
      <c r="Q862" s="5" t="n">
        <v>990</v>
      </c>
      <c r="R862" s="5" t="n"/>
    </row>
    <row r="863">
      <c r="A863" s="2" t="inlineStr">
        <is>
          <t>EJ020924.TXT</t>
        </is>
      </c>
      <c r="B863" s="3" t="inlineStr">
        <is>
          <t>005514</t>
        </is>
      </c>
      <c r="C863" s="3" t="inlineStr">
        <is>
          <t>004423</t>
        </is>
      </c>
      <c r="D863" s="4" t="n">
        <v>45516</v>
      </c>
      <c r="E863" s="2" t="inlineStr">
        <is>
          <t>15:32</t>
        </is>
      </c>
      <c r="F863" s="5" t="n">
        <v>875</v>
      </c>
      <c r="G863" s="5" t="n"/>
      <c r="H863" s="5" t="n"/>
      <c r="I863" s="5" t="n"/>
      <c r="J863" s="5" t="n">
        <v>175</v>
      </c>
      <c r="K863" s="5" t="n"/>
      <c r="L863" s="5" t="n"/>
      <c r="M863" s="5" t="n"/>
      <c r="N863" s="5" t="n"/>
      <c r="O863" s="5" t="n">
        <v>1050</v>
      </c>
      <c r="P863" s="5" t="n"/>
      <c r="Q863" s="5" t="n">
        <v>1050</v>
      </c>
      <c r="R863" s="5" t="n"/>
    </row>
    <row r="864">
      <c r="A864" s="2" t="inlineStr">
        <is>
          <t>EJ020924.TXT</t>
        </is>
      </c>
      <c r="B864" s="3" t="inlineStr">
        <is>
          <t>005515</t>
        </is>
      </c>
      <c r="C864" s="3" t="inlineStr">
        <is>
          <t>004424</t>
        </is>
      </c>
      <c r="D864" s="4" t="n">
        <v>45516</v>
      </c>
      <c r="E864" s="2" t="inlineStr">
        <is>
          <t>16:02</t>
        </is>
      </c>
      <c r="F864" s="5" t="n">
        <v>274.17</v>
      </c>
      <c r="G864" s="5" t="n"/>
      <c r="H864" s="5" t="n"/>
      <c r="I864" s="5" t="n"/>
      <c r="J864" s="5" t="n">
        <v>54.83</v>
      </c>
      <c r="K864" s="5" t="n"/>
      <c r="L864" s="5" t="n"/>
      <c r="M864" s="5" t="n"/>
      <c r="N864" s="5" t="n"/>
      <c r="O864" s="5" t="n">
        <v>329</v>
      </c>
      <c r="P864" s="5" t="n">
        <v>329</v>
      </c>
      <c r="Q864" s="5" t="n"/>
      <c r="R864" s="5" t="n"/>
    </row>
    <row r="865">
      <c r="A865" s="2" t="inlineStr">
        <is>
          <t>EJ020924.TXT</t>
        </is>
      </c>
      <c r="B865" s="3" t="inlineStr">
        <is>
          <t>005516</t>
        </is>
      </c>
      <c r="C865" s="3" t="inlineStr">
        <is>
          <t>004425</t>
        </is>
      </c>
      <c r="D865" s="4" t="n">
        <v>45517</v>
      </c>
      <c r="E865" s="2" t="inlineStr">
        <is>
          <t>14:16</t>
        </is>
      </c>
      <c r="F865" s="5" t="n">
        <v>583.33</v>
      </c>
      <c r="G865" s="5" t="n"/>
      <c r="H865" s="5" t="n"/>
      <c r="I865" s="5" t="n"/>
      <c r="J865" s="5" t="n">
        <v>116.67</v>
      </c>
      <c r="K865" s="5" t="n"/>
      <c r="L865" s="5" t="n"/>
      <c r="M865" s="5" t="n"/>
      <c r="N865" s="5" t="n"/>
      <c r="O865" s="5" t="n">
        <v>700</v>
      </c>
      <c r="P865" s="5" t="n"/>
      <c r="Q865" s="5" t="n">
        <v>700</v>
      </c>
      <c r="R865" s="5" t="n"/>
    </row>
    <row r="866">
      <c r="A866" s="2" t="inlineStr">
        <is>
          <t>EJ020924.TXT</t>
        </is>
      </c>
      <c r="B866" s="3" t="inlineStr">
        <is>
          <t>005517</t>
        </is>
      </c>
      <c r="C866" s="3" t="inlineStr">
        <is>
          <t>004426</t>
        </is>
      </c>
      <c r="D866" s="4" t="n">
        <v>45517</v>
      </c>
      <c r="E866" s="2" t="inlineStr">
        <is>
          <t>14:17</t>
        </is>
      </c>
      <c r="F866" s="5" t="n">
        <v>833.33</v>
      </c>
      <c r="G866" s="5" t="n"/>
      <c r="H866" s="5" t="n"/>
      <c r="I866" s="5" t="n"/>
      <c r="J866" s="5" t="n">
        <v>166.67</v>
      </c>
      <c r="K866" s="5" t="n"/>
      <c r="L866" s="5" t="n"/>
      <c r="M866" s="5" t="n"/>
      <c r="N866" s="5" t="n"/>
      <c r="O866" s="5" t="n">
        <v>1000</v>
      </c>
      <c r="P866" s="5" t="n"/>
      <c r="Q866" s="5" t="n">
        <v>1000</v>
      </c>
      <c r="R866" s="5" t="n"/>
    </row>
    <row r="867">
      <c r="A867" s="2" t="inlineStr">
        <is>
          <t>EJ020924.TXT</t>
        </is>
      </c>
      <c r="B867" s="3" t="inlineStr">
        <is>
          <t>005518</t>
        </is>
      </c>
      <c r="C867" s="3" t="inlineStr">
        <is>
          <t>004427</t>
        </is>
      </c>
      <c r="D867" s="4" t="n">
        <v>45517</v>
      </c>
      <c r="E867" s="2" t="inlineStr">
        <is>
          <t>14:17</t>
        </is>
      </c>
      <c r="F867" s="5" t="n">
        <v>625</v>
      </c>
      <c r="G867" s="5" t="n"/>
      <c r="H867" s="5" t="n"/>
      <c r="I867" s="5" t="n"/>
      <c r="J867" s="5" t="n">
        <v>125</v>
      </c>
      <c r="K867" s="5" t="n"/>
      <c r="L867" s="5" t="n"/>
      <c r="M867" s="5" t="n"/>
      <c r="N867" s="5" t="n"/>
      <c r="O867" s="5" t="n">
        <v>750</v>
      </c>
      <c r="P867" s="5" t="n"/>
      <c r="Q867" s="5" t="n">
        <v>750</v>
      </c>
      <c r="R867" s="5" t="n"/>
    </row>
    <row r="868">
      <c r="A868" s="2" t="inlineStr">
        <is>
          <t>EJ020924.TXT</t>
        </is>
      </c>
      <c r="B868" s="3" t="inlineStr">
        <is>
          <t>005519</t>
        </is>
      </c>
      <c r="C868" s="3" t="inlineStr">
        <is>
          <t>004428</t>
        </is>
      </c>
      <c r="D868" s="4" t="n">
        <v>45517</v>
      </c>
      <c r="E868" s="2" t="inlineStr">
        <is>
          <t>14:18</t>
        </is>
      </c>
      <c r="F868" s="5" t="n">
        <v>583.33</v>
      </c>
      <c r="G868" s="5" t="n"/>
      <c r="H868" s="5" t="n"/>
      <c r="I868" s="5" t="n"/>
      <c r="J868" s="5" t="n">
        <v>116.67</v>
      </c>
      <c r="K868" s="5" t="n"/>
      <c r="L868" s="5" t="n"/>
      <c r="M868" s="5" t="n"/>
      <c r="N868" s="5" t="n"/>
      <c r="O868" s="5" t="n">
        <v>700</v>
      </c>
      <c r="P868" s="5" t="n"/>
      <c r="Q868" s="5" t="n">
        <v>700</v>
      </c>
      <c r="R868" s="5" t="n"/>
    </row>
    <row r="869">
      <c r="A869" s="2" t="inlineStr">
        <is>
          <t>EJ020924.TXT</t>
        </is>
      </c>
      <c r="B869" s="3" t="inlineStr">
        <is>
          <t>005520</t>
        </is>
      </c>
      <c r="C869" s="3" t="inlineStr">
        <is>
          <t>004429</t>
        </is>
      </c>
      <c r="D869" s="4" t="n">
        <v>45517</v>
      </c>
      <c r="E869" s="2" t="inlineStr">
        <is>
          <t>14:19</t>
        </is>
      </c>
      <c r="F869" s="5" t="n">
        <v>291.67</v>
      </c>
      <c r="G869" s="5" t="n"/>
      <c r="H869" s="5" t="n"/>
      <c r="I869" s="5" t="n"/>
      <c r="J869" s="5" t="n">
        <v>58.33</v>
      </c>
      <c r="K869" s="5" t="n"/>
      <c r="L869" s="5" t="n"/>
      <c r="M869" s="5" t="n"/>
      <c r="N869" s="5" t="n"/>
      <c r="O869" s="5" t="n">
        <v>350</v>
      </c>
      <c r="P869" s="5" t="n"/>
      <c r="Q869" s="5" t="n">
        <v>350</v>
      </c>
      <c r="R869" s="5" t="n"/>
    </row>
    <row r="870">
      <c r="A870" s="2" t="inlineStr">
        <is>
          <t>EJ020924.TXT</t>
        </is>
      </c>
      <c r="B870" s="3" t="inlineStr">
        <is>
          <t>005521</t>
        </is>
      </c>
      <c r="C870" s="3" t="inlineStr">
        <is>
          <t>004430</t>
        </is>
      </c>
      <c r="D870" s="4" t="n">
        <v>45517</v>
      </c>
      <c r="E870" s="2" t="inlineStr">
        <is>
          <t>14:20</t>
        </is>
      </c>
      <c r="F870" s="5" t="n">
        <v>625</v>
      </c>
      <c r="G870" s="5" t="n"/>
      <c r="H870" s="5" t="n"/>
      <c r="I870" s="5" t="n"/>
      <c r="J870" s="5" t="n">
        <v>125</v>
      </c>
      <c r="K870" s="5" t="n"/>
      <c r="L870" s="5" t="n"/>
      <c r="M870" s="5" t="n"/>
      <c r="N870" s="5" t="n"/>
      <c r="O870" s="5" t="n">
        <v>750</v>
      </c>
      <c r="P870" s="5" t="n"/>
      <c r="Q870" s="5" t="n">
        <v>750</v>
      </c>
      <c r="R870" s="5" t="n"/>
    </row>
    <row r="871">
      <c r="A871" s="2" t="inlineStr">
        <is>
          <t>EJ020924.TXT</t>
        </is>
      </c>
      <c r="B871" s="3" t="inlineStr">
        <is>
          <t>005522</t>
        </is>
      </c>
      <c r="C871" s="3" t="inlineStr">
        <is>
          <t>004431</t>
        </is>
      </c>
      <c r="D871" s="4" t="n">
        <v>45517</v>
      </c>
      <c r="E871" s="2" t="inlineStr">
        <is>
          <t>14:33</t>
        </is>
      </c>
      <c r="F871" s="5" t="n">
        <v>780</v>
      </c>
      <c r="G871" s="5" t="n"/>
      <c r="H871" s="5" t="n"/>
      <c r="I871" s="5" t="n"/>
      <c r="J871" s="5" t="n">
        <v>156</v>
      </c>
      <c r="K871" s="5" t="n"/>
      <c r="L871" s="5" t="n"/>
      <c r="M871" s="5" t="n"/>
      <c r="N871" s="5" t="n"/>
      <c r="O871" s="5" t="n">
        <v>936</v>
      </c>
      <c r="P871" s="5" t="n"/>
      <c r="Q871" s="5" t="n">
        <v>936</v>
      </c>
      <c r="R871" s="5" t="n"/>
    </row>
    <row r="872">
      <c r="A872" s="2" t="inlineStr">
        <is>
          <t>EJ020924.TXT</t>
        </is>
      </c>
      <c r="B872" s="3" t="inlineStr">
        <is>
          <t>005523</t>
        </is>
      </c>
      <c r="C872" s="3" t="inlineStr">
        <is>
          <t>004432</t>
        </is>
      </c>
      <c r="D872" s="4" t="n">
        <v>45517</v>
      </c>
      <c r="E872" s="2" t="inlineStr">
        <is>
          <t>14:34</t>
        </is>
      </c>
      <c r="F872" s="5" t="n">
        <v>780</v>
      </c>
      <c r="G872" s="5" t="n"/>
      <c r="H872" s="5" t="n"/>
      <c r="I872" s="5" t="n"/>
      <c r="J872" s="5" t="n">
        <v>156</v>
      </c>
      <c r="K872" s="5" t="n"/>
      <c r="L872" s="5" t="n"/>
      <c r="M872" s="5" t="n"/>
      <c r="N872" s="5" t="n"/>
      <c r="O872" s="5" t="n">
        <v>936</v>
      </c>
      <c r="P872" s="5" t="n"/>
      <c r="Q872" s="5" t="n">
        <v>936</v>
      </c>
      <c r="R872" s="5" t="n"/>
    </row>
    <row r="873">
      <c r="A873" s="2" t="inlineStr">
        <is>
          <t>EJ020924.TXT</t>
        </is>
      </c>
      <c r="B873" s="3" t="inlineStr">
        <is>
          <t>005524</t>
        </is>
      </c>
      <c r="C873" s="3" t="inlineStr">
        <is>
          <t>004433</t>
        </is>
      </c>
      <c r="D873" s="4" t="n">
        <v>45517</v>
      </c>
      <c r="E873" s="2" t="inlineStr">
        <is>
          <t>14:34</t>
        </is>
      </c>
      <c r="F873" s="5" t="n">
        <v>745.83</v>
      </c>
      <c r="G873" s="5" t="n"/>
      <c r="H873" s="5" t="n"/>
      <c r="I873" s="5" t="n"/>
      <c r="J873" s="5" t="n">
        <v>149.17</v>
      </c>
      <c r="K873" s="5" t="n"/>
      <c r="L873" s="5" t="n"/>
      <c r="M873" s="5" t="n"/>
      <c r="N873" s="5" t="n"/>
      <c r="O873" s="5" t="n">
        <v>895</v>
      </c>
      <c r="P873" s="5" t="n"/>
      <c r="Q873" s="5" t="n">
        <v>895</v>
      </c>
      <c r="R873" s="5" t="n"/>
    </row>
    <row r="874">
      <c r="A874" s="2" t="inlineStr">
        <is>
          <t>EJ020924.TXT</t>
        </is>
      </c>
      <c r="B874" s="3" t="inlineStr">
        <is>
          <t>005525</t>
        </is>
      </c>
      <c r="C874" s="3" t="inlineStr">
        <is>
          <t>004434</t>
        </is>
      </c>
      <c r="D874" s="4" t="n">
        <v>45517</v>
      </c>
      <c r="E874" s="2" t="inlineStr">
        <is>
          <t>14:34</t>
        </is>
      </c>
      <c r="F874" s="5" t="n">
        <v>745</v>
      </c>
      <c r="G874" s="5" t="n"/>
      <c r="H874" s="5" t="n"/>
      <c r="I874" s="5" t="n"/>
      <c r="J874" s="5" t="n">
        <v>149</v>
      </c>
      <c r="K874" s="5" t="n"/>
      <c r="L874" s="5" t="n"/>
      <c r="M874" s="5" t="n"/>
      <c r="N874" s="5" t="n"/>
      <c r="O874" s="5" t="n">
        <v>894</v>
      </c>
      <c r="P874" s="5" t="n"/>
      <c r="Q874" s="5" t="n">
        <v>894</v>
      </c>
      <c r="R874" s="5" t="n"/>
    </row>
    <row r="875">
      <c r="A875" s="2" t="inlineStr">
        <is>
          <t>EJ020924.TXT</t>
        </is>
      </c>
      <c r="B875" s="3" t="inlineStr">
        <is>
          <t>005526</t>
        </is>
      </c>
      <c r="C875" s="3" t="inlineStr">
        <is>
          <t>004435</t>
        </is>
      </c>
      <c r="D875" s="4" t="n">
        <v>45517</v>
      </c>
      <c r="E875" s="2" t="inlineStr">
        <is>
          <t>14:34</t>
        </is>
      </c>
      <c r="F875" s="5" t="n">
        <v>822.5</v>
      </c>
      <c r="G875" s="5" t="n"/>
      <c r="H875" s="5" t="n"/>
      <c r="I875" s="5" t="n"/>
      <c r="J875" s="5" t="n">
        <v>164.5</v>
      </c>
      <c r="K875" s="5" t="n"/>
      <c r="L875" s="5" t="n"/>
      <c r="M875" s="5" t="n"/>
      <c r="N875" s="5" t="n"/>
      <c r="O875" s="5" t="n">
        <v>987</v>
      </c>
      <c r="P875" s="5" t="n"/>
      <c r="Q875" s="5" t="n">
        <v>987</v>
      </c>
      <c r="R875" s="5" t="n"/>
    </row>
    <row r="876">
      <c r="A876" s="2" t="inlineStr">
        <is>
          <t>EJ020924.TXT</t>
        </is>
      </c>
      <c r="B876" s="3" t="inlineStr">
        <is>
          <t>005527</t>
        </is>
      </c>
      <c r="C876" s="3" t="inlineStr">
        <is>
          <t>004436</t>
        </is>
      </c>
      <c r="D876" s="4" t="n">
        <v>45517</v>
      </c>
      <c r="E876" s="2" t="inlineStr">
        <is>
          <t>14:35</t>
        </is>
      </c>
      <c r="F876" s="5" t="n">
        <v>822.5</v>
      </c>
      <c r="G876" s="5" t="n"/>
      <c r="H876" s="5" t="n"/>
      <c r="I876" s="5" t="n"/>
      <c r="J876" s="5" t="n">
        <v>164.5</v>
      </c>
      <c r="K876" s="5" t="n"/>
      <c r="L876" s="5" t="n"/>
      <c r="M876" s="5" t="n"/>
      <c r="N876" s="5" t="n"/>
      <c r="O876" s="5" t="n">
        <v>987</v>
      </c>
      <c r="P876" s="5" t="n"/>
      <c r="Q876" s="5" t="n">
        <v>987</v>
      </c>
      <c r="R876" s="5" t="n"/>
    </row>
    <row r="877">
      <c r="A877" s="2" t="inlineStr">
        <is>
          <t>EJ020924.TXT</t>
        </is>
      </c>
      <c r="B877" s="3" t="inlineStr">
        <is>
          <t>005528</t>
        </is>
      </c>
      <c r="C877" s="3" t="inlineStr">
        <is>
          <t>004437</t>
        </is>
      </c>
      <c r="D877" s="4" t="n">
        <v>45517</v>
      </c>
      <c r="E877" s="2" t="inlineStr">
        <is>
          <t>14:35</t>
        </is>
      </c>
      <c r="F877" s="5" t="n">
        <v>822.5</v>
      </c>
      <c r="G877" s="5" t="n"/>
      <c r="H877" s="5" t="n"/>
      <c r="I877" s="5" t="n"/>
      <c r="J877" s="5" t="n">
        <v>164.5</v>
      </c>
      <c r="K877" s="5" t="n"/>
      <c r="L877" s="5" t="n"/>
      <c r="M877" s="5" t="n"/>
      <c r="N877" s="5" t="n"/>
      <c r="O877" s="5" t="n">
        <v>987</v>
      </c>
      <c r="P877" s="5" t="n"/>
      <c r="Q877" s="5" t="n">
        <v>987</v>
      </c>
      <c r="R877" s="5" t="n"/>
    </row>
    <row r="878">
      <c r="A878" s="2" t="inlineStr">
        <is>
          <t>EJ020924.TXT</t>
        </is>
      </c>
      <c r="B878" s="3" t="inlineStr">
        <is>
          <t>005529</t>
        </is>
      </c>
      <c r="C878" s="3" t="inlineStr">
        <is>
          <t>004438</t>
        </is>
      </c>
      <c r="D878" s="4" t="n">
        <v>45517</v>
      </c>
      <c r="E878" s="2" t="inlineStr">
        <is>
          <t>14:35</t>
        </is>
      </c>
      <c r="F878" s="5" t="n">
        <v>822.5</v>
      </c>
      <c r="G878" s="5" t="n"/>
      <c r="H878" s="5" t="n"/>
      <c r="I878" s="5" t="n"/>
      <c r="J878" s="5" t="n">
        <v>164.5</v>
      </c>
      <c r="K878" s="5" t="n"/>
      <c r="L878" s="5" t="n"/>
      <c r="M878" s="5" t="n"/>
      <c r="N878" s="5" t="n"/>
      <c r="O878" s="5" t="n">
        <v>987</v>
      </c>
      <c r="P878" s="5" t="n"/>
      <c r="Q878" s="5" t="n">
        <v>987</v>
      </c>
      <c r="R878" s="5" t="n"/>
    </row>
    <row r="879">
      <c r="A879" s="2" t="inlineStr">
        <is>
          <t>EJ020924.TXT</t>
        </is>
      </c>
      <c r="B879" s="3" t="inlineStr">
        <is>
          <t>005530</t>
        </is>
      </c>
      <c r="C879" s="3" t="inlineStr">
        <is>
          <t>004439</t>
        </is>
      </c>
      <c r="D879" s="4" t="n">
        <v>45517</v>
      </c>
      <c r="E879" s="2" t="inlineStr">
        <is>
          <t>14:36</t>
        </is>
      </c>
      <c r="F879" s="5" t="n">
        <v>815</v>
      </c>
      <c r="G879" s="5" t="n"/>
      <c r="H879" s="5" t="n"/>
      <c r="I879" s="5" t="n"/>
      <c r="J879" s="5" t="n">
        <v>163</v>
      </c>
      <c r="K879" s="5" t="n"/>
      <c r="L879" s="5" t="n"/>
      <c r="M879" s="5" t="n"/>
      <c r="N879" s="5" t="n"/>
      <c r="O879" s="5" t="n">
        <v>978</v>
      </c>
      <c r="P879" s="5" t="n"/>
      <c r="Q879" s="5" t="n">
        <v>978</v>
      </c>
      <c r="R879" s="5" t="n"/>
    </row>
    <row r="880">
      <c r="A880" s="2" t="inlineStr">
        <is>
          <t>EJ020924.TXT</t>
        </is>
      </c>
      <c r="B880" s="3" t="inlineStr">
        <is>
          <t>005531</t>
        </is>
      </c>
      <c r="C880" s="3" t="inlineStr">
        <is>
          <t>004440</t>
        </is>
      </c>
      <c r="D880" s="4" t="n">
        <v>45517</v>
      </c>
      <c r="E880" s="2" t="inlineStr">
        <is>
          <t>14:51</t>
        </is>
      </c>
      <c r="F880" s="5" t="n">
        <v>633.33</v>
      </c>
      <c r="G880" s="5" t="n"/>
      <c r="H880" s="5" t="n"/>
      <c r="I880" s="5" t="n"/>
      <c r="J880" s="5" t="n">
        <v>126.67</v>
      </c>
      <c r="K880" s="5" t="n"/>
      <c r="L880" s="5" t="n"/>
      <c r="M880" s="5" t="n"/>
      <c r="N880" s="5" t="n"/>
      <c r="O880" s="5" t="n">
        <v>760</v>
      </c>
      <c r="P880" s="5" t="n"/>
      <c r="Q880" s="5" t="n">
        <v>760</v>
      </c>
      <c r="R880" s="5" t="n"/>
    </row>
    <row r="881">
      <c r="A881" s="2" t="inlineStr">
        <is>
          <t>EJ020924.TXT</t>
        </is>
      </c>
      <c r="B881" s="3" t="inlineStr">
        <is>
          <t>005532</t>
        </is>
      </c>
      <c r="C881" s="3" t="inlineStr">
        <is>
          <t>004441</t>
        </is>
      </c>
      <c r="D881" s="4" t="n">
        <v>45517</v>
      </c>
      <c r="E881" s="2" t="inlineStr">
        <is>
          <t>15:33</t>
        </is>
      </c>
      <c r="F881" s="5" t="n">
        <v>208.33</v>
      </c>
      <c r="G881" s="5" t="n"/>
      <c r="H881" s="5" t="n"/>
      <c r="I881" s="5" t="n"/>
      <c r="J881" s="5" t="n">
        <v>41.67</v>
      </c>
      <c r="K881" s="5" t="n"/>
      <c r="L881" s="5" t="n"/>
      <c r="M881" s="5" t="n"/>
      <c r="N881" s="5" t="n"/>
      <c r="O881" s="5" t="n">
        <v>250</v>
      </c>
      <c r="P881" s="5" t="n"/>
      <c r="Q881" s="5" t="n">
        <v>250</v>
      </c>
      <c r="R881" s="5" t="n"/>
    </row>
    <row r="882">
      <c r="A882" s="2" t="inlineStr">
        <is>
          <t>EJ020924.TXT</t>
        </is>
      </c>
      <c r="B882" s="3" t="inlineStr">
        <is>
          <t>005533</t>
        </is>
      </c>
      <c r="C882" s="3" t="inlineStr">
        <is>
          <t>004442</t>
        </is>
      </c>
      <c r="D882" s="4" t="n">
        <v>45518</v>
      </c>
      <c r="E882" s="2" t="inlineStr">
        <is>
          <t>15:41</t>
        </is>
      </c>
      <c r="F882" s="5" t="n">
        <v>208.33</v>
      </c>
      <c r="G882" s="5" t="n"/>
      <c r="H882" s="5" t="n"/>
      <c r="I882" s="5" t="n"/>
      <c r="J882" s="5" t="n">
        <v>41.67</v>
      </c>
      <c r="K882" s="5" t="n"/>
      <c r="L882" s="5" t="n"/>
      <c r="M882" s="5" t="n"/>
      <c r="N882" s="5" t="n"/>
      <c r="O882" s="5" t="n">
        <v>250</v>
      </c>
      <c r="P882" s="5" t="n"/>
      <c r="Q882" s="5" t="n">
        <v>250</v>
      </c>
      <c r="R882" s="5" t="n"/>
    </row>
    <row r="883">
      <c r="A883" s="2" t="inlineStr">
        <is>
          <t>EJ020924.TXT</t>
        </is>
      </c>
      <c r="B883" s="3" t="inlineStr">
        <is>
          <t>005534</t>
        </is>
      </c>
      <c r="C883" s="3" t="inlineStr">
        <is>
          <t>004443</t>
        </is>
      </c>
      <c r="D883" s="4" t="n">
        <v>45520</v>
      </c>
      <c r="E883" s="2" t="inlineStr">
        <is>
          <t>15:32</t>
        </is>
      </c>
      <c r="F883" s="5" t="n">
        <v>190.83</v>
      </c>
      <c r="G883" s="5" t="n"/>
      <c r="H883" s="5" t="n"/>
      <c r="I883" s="5" t="n"/>
      <c r="J883" s="5" t="n">
        <v>38.17</v>
      </c>
      <c r="K883" s="5" t="n"/>
      <c r="L883" s="5" t="n"/>
      <c r="M883" s="5" t="n"/>
      <c r="N883" s="5" t="n"/>
      <c r="O883" s="5" t="n">
        <v>229</v>
      </c>
      <c r="P883" s="5" t="n"/>
      <c r="Q883" s="5" t="n">
        <v>229</v>
      </c>
      <c r="R883" s="5" t="n"/>
    </row>
    <row r="884">
      <c r="A884" s="2" t="inlineStr">
        <is>
          <t>EJ020924.TXT</t>
        </is>
      </c>
      <c r="B884" s="3" t="inlineStr">
        <is>
          <t>005535</t>
        </is>
      </c>
      <c r="C884" s="3" t="inlineStr">
        <is>
          <t>004444</t>
        </is>
      </c>
      <c r="D884" s="4" t="n">
        <v>45524</v>
      </c>
      <c r="E884" s="2" t="inlineStr">
        <is>
          <t>14:03</t>
        </is>
      </c>
      <c r="F884" s="5" t="n">
        <v>107.5</v>
      </c>
      <c r="G884" s="5" t="n"/>
      <c r="H884" s="5" t="n"/>
      <c r="I884" s="5" t="n"/>
      <c r="J884" s="5" t="n">
        <v>21.5</v>
      </c>
      <c r="K884" s="5" t="n"/>
      <c r="L884" s="5" t="n"/>
      <c r="M884" s="5" t="n"/>
      <c r="N884" s="5" t="n"/>
      <c r="O884" s="5" t="n">
        <v>129</v>
      </c>
      <c r="P884" s="5" t="n">
        <v>129</v>
      </c>
      <c r="Q884" s="5" t="n"/>
      <c r="R884" s="5" t="n"/>
    </row>
    <row r="885">
      <c r="A885" s="2" t="inlineStr">
        <is>
          <t>EJ020924.TXT</t>
        </is>
      </c>
      <c r="B885" s="3" t="inlineStr">
        <is>
          <t>005536</t>
        </is>
      </c>
      <c r="C885" s="3" t="inlineStr">
        <is>
          <t>004445</t>
        </is>
      </c>
      <c r="D885" s="4" t="n">
        <v>45524</v>
      </c>
      <c r="E885" s="2" t="inlineStr">
        <is>
          <t>14:03</t>
        </is>
      </c>
      <c r="F885" s="5" t="n">
        <v>166.67</v>
      </c>
      <c r="G885" s="5" t="n"/>
      <c r="H885" s="5" t="n"/>
      <c r="I885" s="5" t="n"/>
      <c r="J885" s="5" t="n">
        <v>33.33</v>
      </c>
      <c r="K885" s="5" t="n"/>
      <c r="L885" s="5" t="n"/>
      <c r="M885" s="5" t="n"/>
      <c r="N885" s="5" t="n"/>
      <c r="O885" s="5" t="n">
        <v>200</v>
      </c>
      <c r="P885" s="5" t="n"/>
      <c r="Q885" s="5" t="n">
        <v>200</v>
      </c>
      <c r="R885" s="5" t="n"/>
    </row>
    <row r="886">
      <c r="A886" s="2" t="inlineStr">
        <is>
          <t>EJ020924.TXT</t>
        </is>
      </c>
      <c r="B886" s="3" t="inlineStr">
        <is>
          <t>005537</t>
        </is>
      </c>
      <c r="C886" s="3" t="inlineStr">
        <is>
          <t>004446</t>
        </is>
      </c>
      <c r="D886" s="4" t="n">
        <v>45524</v>
      </c>
      <c r="E886" s="2" t="inlineStr">
        <is>
          <t>15:09</t>
        </is>
      </c>
      <c r="F886" s="5" t="n">
        <v>99.83</v>
      </c>
      <c r="G886" s="5" t="n"/>
      <c r="H886" s="5" t="n"/>
      <c r="I886" s="5" t="n"/>
      <c r="J886" s="5" t="n">
        <v>19.97</v>
      </c>
      <c r="K886" s="5" t="n"/>
      <c r="L886" s="5" t="n"/>
      <c r="M886" s="5" t="n"/>
      <c r="N886" s="5" t="n"/>
      <c r="O886" s="5" t="n">
        <v>119.8</v>
      </c>
      <c r="P886" s="5" t="n"/>
      <c r="Q886" s="5" t="n">
        <v>119.8</v>
      </c>
      <c r="R886" s="5" t="n"/>
    </row>
    <row r="887">
      <c r="A887" s="2" t="inlineStr">
        <is>
          <t>EJ020924.TXT</t>
        </is>
      </c>
      <c r="B887" s="3" t="inlineStr">
        <is>
          <t>005538</t>
        </is>
      </c>
      <c r="C887" s="3" t="inlineStr">
        <is>
          <t>004447</t>
        </is>
      </c>
      <c r="D887" s="4" t="n">
        <v>45524</v>
      </c>
      <c r="E887" s="2" t="inlineStr">
        <is>
          <t>15:43</t>
        </is>
      </c>
      <c r="F887" s="5" t="n">
        <v>208.33</v>
      </c>
      <c r="G887" s="5" t="n"/>
      <c r="H887" s="5" t="n"/>
      <c r="I887" s="5" t="n"/>
      <c r="J887" s="5" t="n">
        <v>41.67</v>
      </c>
      <c r="K887" s="5" t="n"/>
      <c r="L887" s="5" t="n"/>
      <c r="M887" s="5" t="n"/>
      <c r="N887" s="5" t="n"/>
      <c r="O887" s="5" t="n">
        <v>250</v>
      </c>
      <c r="P887" s="5" t="n"/>
      <c r="Q887" s="5" t="n">
        <v>250</v>
      </c>
      <c r="R887" s="5" t="n"/>
    </row>
    <row r="888">
      <c r="A888" s="2" t="inlineStr">
        <is>
          <t>EJ020924.TXT</t>
        </is>
      </c>
      <c r="B888" s="3" t="inlineStr">
        <is>
          <t>005539</t>
        </is>
      </c>
      <c r="C888" s="3" t="inlineStr">
        <is>
          <t>004448</t>
        </is>
      </c>
      <c r="D888" s="4" t="n">
        <v>45525</v>
      </c>
      <c r="E888" s="2" t="inlineStr">
        <is>
          <t>14:47</t>
        </is>
      </c>
      <c r="F888" s="5" t="n">
        <v>3610.33</v>
      </c>
      <c r="G888" s="5" t="n"/>
      <c r="H888" s="5" t="n"/>
      <c r="I888" s="5" t="n"/>
      <c r="J888" s="5" t="n">
        <v>722.0700000000001</v>
      </c>
      <c r="K888" s="5" t="n"/>
      <c r="L888" s="5" t="n"/>
      <c r="M888" s="5" t="n"/>
      <c r="N888" s="5" t="n"/>
      <c r="O888" s="5" t="n">
        <v>4332.4</v>
      </c>
      <c r="P888" s="5" t="n">
        <v>4332.4</v>
      </c>
      <c r="Q888" s="5" t="n"/>
      <c r="R888" s="5" t="n"/>
    </row>
    <row r="889">
      <c r="A889" s="2" t="inlineStr">
        <is>
          <t>EJ020924.TXT</t>
        </is>
      </c>
      <c r="B889" s="3" t="inlineStr">
        <is>
          <t>005540</t>
        </is>
      </c>
      <c r="C889" s="3" t="inlineStr">
        <is>
          <t>004449</t>
        </is>
      </c>
      <c r="D889" s="4" t="n">
        <v>45527</v>
      </c>
      <c r="E889" s="2" t="inlineStr">
        <is>
          <t>15:29</t>
        </is>
      </c>
      <c r="F889" s="5" t="n">
        <v>531.67</v>
      </c>
      <c r="G889" s="5" t="n"/>
      <c r="H889" s="5" t="n"/>
      <c r="I889" s="5" t="n"/>
      <c r="J889" s="5" t="n">
        <v>106.33</v>
      </c>
      <c r="K889" s="5" t="n"/>
      <c r="L889" s="5" t="n"/>
      <c r="M889" s="5" t="n"/>
      <c r="N889" s="5" t="n"/>
      <c r="O889" s="5" t="n">
        <v>638</v>
      </c>
      <c r="P889" s="5" t="n"/>
      <c r="Q889" s="5" t="n">
        <v>638</v>
      </c>
      <c r="R889" s="5" t="n"/>
    </row>
    <row r="890">
      <c r="A890" s="2" t="inlineStr">
        <is>
          <t>EJ020924.TXT</t>
        </is>
      </c>
      <c r="B890" s="3" t="inlineStr">
        <is>
          <t>005541</t>
        </is>
      </c>
      <c r="C890" s="3" t="inlineStr">
        <is>
          <t>004450</t>
        </is>
      </c>
      <c r="D890" s="4" t="n">
        <v>45528</v>
      </c>
      <c r="E890" s="2" t="inlineStr">
        <is>
          <t>16:10</t>
        </is>
      </c>
      <c r="F890" s="5" t="n">
        <v>531.67</v>
      </c>
      <c r="G890" s="5" t="n"/>
      <c r="H890" s="5" t="n"/>
      <c r="I890" s="5" t="n"/>
      <c r="J890" s="5" t="n">
        <v>106.33</v>
      </c>
      <c r="K890" s="5" t="n"/>
      <c r="L890" s="5" t="n"/>
      <c r="M890" s="5" t="n"/>
      <c r="N890" s="5" t="n"/>
      <c r="O890" s="5" t="n">
        <v>638</v>
      </c>
      <c r="P890" s="5" t="n"/>
      <c r="Q890" s="5" t="n">
        <v>638</v>
      </c>
      <c r="R890" s="5" t="n"/>
    </row>
    <row r="891">
      <c r="A891" s="2" t="inlineStr">
        <is>
          <t>EJ020924.TXT</t>
        </is>
      </c>
      <c r="B891" s="3" t="inlineStr">
        <is>
          <t>005542</t>
        </is>
      </c>
      <c r="C891" s="3" t="inlineStr">
        <is>
          <t>004451</t>
        </is>
      </c>
      <c r="D891" s="4" t="n">
        <v>45530</v>
      </c>
      <c r="E891" s="2" t="inlineStr">
        <is>
          <t>15:02</t>
        </is>
      </c>
      <c r="F891" s="5" t="n">
        <v>208.33</v>
      </c>
      <c r="G891" s="5" t="n"/>
      <c r="H891" s="5" t="n"/>
      <c r="I891" s="5" t="n"/>
      <c r="J891" s="5" t="n">
        <v>41.67</v>
      </c>
      <c r="K891" s="5" t="n"/>
      <c r="L891" s="5" t="n"/>
      <c r="M891" s="5" t="n"/>
      <c r="N891" s="5" t="n"/>
      <c r="O891" s="5" t="n">
        <v>250</v>
      </c>
      <c r="P891" s="5" t="n"/>
      <c r="Q891" s="5" t="n">
        <v>250</v>
      </c>
      <c r="R891" s="5" t="n"/>
    </row>
    <row r="892">
      <c r="A892" s="2" t="inlineStr">
        <is>
          <t>EJ020924.TXT</t>
        </is>
      </c>
      <c r="B892" s="3" t="inlineStr">
        <is>
          <t>005543</t>
        </is>
      </c>
      <c r="C892" s="3" t="inlineStr">
        <is>
          <t>004452</t>
        </is>
      </c>
      <c r="D892" s="4" t="n">
        <v>45530</v>
      </c>
      <c r="E892" s="2" t="inlineStr">
        <is>
          <t>15:13</t>
        </is>
      </c>
      <c r="F892" s="5" t="n">
        <v>274.17</v>
      </c>
      <c r="G892" s="5" t="n"/>
      <c r="H892" s="5" t="n"/>
      <c r="I892" s="5" t="n"/>
      <c r="J892" s="5" t="n">
        <v>54.83</v>
      </c>
      <c r="K892" s="5" t="n"/>
      <c r="L892" s="5" t="n"/>
      <c r="M892" s="5" t="n"/>
      <c r="N892" s="5" t="n"/>
      <c r="O892" s="5" t="n">
        <v>329</v>
      </c>
      <c r="P892" s="5" t="n">
        <v>329</v>
      </c>
      <c r="Q892" s="5" t="n"/>
      <c r="R892" s="5" t="n"/>
    </row>
    <row r="893">
      <c r="A893" s="2" t="inlineStr">
        <is>
          <t>EJ020924.TXT</t>
        </is>
      </c>
      <c r="B893" s="3" t="inlineStr">
        <is>
          <t>005544</t>
        </is>
      </c>
      <c r="C893" s="3" t="inlineStr">
        <is>
          <t>004453</t>
        </is>
      </c>
      <c r="D893" s="4" t="n">
        <v>45531</v>
      </c>
      <c r="E893" s="2" t="inlineStr">
        <is>
          <t>09:24</t>
        </is>
      </c>
      <c r="F893" s="5" t="n">
        <v>548.33</v>
      </c>
      <c r="G893" s="5" t="n"/>
      <c r="H893" s="5" t="n"/>
      <c r="I893" s="5" t="n"/>
      <c r="J893" s="5" t="n">
        <v>109.67</v>
      </c>
      <c r="K893" s="5" t="n"/>
      <c r="L893" s="5" t="n"/>
      <c r="M893" s="5" t="n"/>
      <c r="N893" s="5" t="n"/>
      <c r="O893" s="5" t="n">
        <v>658</v>
      </c>
      <c r="P893" s="5" t="n">
        <v>658</v>
      </c>
      <c r="Q893" s="5" t="n"/>
      <c r="R893" s="5" t="n"/>
    </row>
    <row r="894">
      <c r="A894" s="2" t="inlineStr">
        <is>
          <t>EJ020924.TXT</t>
        </is>
      </c>
      <c r="B894" s="3" t="inlineStr">
        <is>
          <t>005545</t>
        </is>
      </c>
      <c r="C894" s="3" t="inlineStr">
        <is>
          <t>004454</t>
        </is>
      </c>
      <c r="D894" s="4" t="n">
        <v>45533</v>
      </c>
      <c r="E894" s="2" t="inlineStr">
        <is>
          <t>09:36</t>
        </is>
      </c>
      <c r="F894" s="5" t="n">
        <v>3240</v>
      </c>
      <c r="G894" s="5" t="n"/>
      <c r="H894" s="5" t="n"/>
      <c r="I894" s="5" t="n"/>
      <c r="J894" s="5" t="n">
        <v>648</v>
      </c>
      <c r="K894" s="5" t="n"/>
      <c r="L894" s="5" t="n"/>
      <c r="M894" s="5" t="n"/>
      <c r="N894" s="5" t="n"/>
      <c r="O894" s="5" t="n">
        <v>3888</v>
      </c>
      <c r="P894" s="5" t="n">
        <v>3888</v>
      </c>
      <c r="Q894" s="5" t="n"/>
      <c r="R894" s="5" t="n"/>
    </row>
    <row r="895">
      <c r="A895" s="2" t="inlineStr">
        <is>
          <t>EJ020924.TXT</t>
        </is>
      </c>
      <c r="B895" s="3" t="inlineStr">
        <is>
          <t>005546</t>
        </is>
      </c>
      <c r="C895" s="3" t="inlineStr">
        <is>
          <t>004455</t>
        </is>
      </c>
      <c r="D895" s="4" t="n">
        <v>45533</v>
      </c>
      <c r="E895" s="2" t="inlineStr">
        <is>
          <t>14:49</t>
        </is>
      </c>
      <c r="F895" s="5" t="n">
        <v>946.67</v>
      </c>
      <c r="G895" s="5" t="n"/>
      <c r="H895" s="5" t="n"/>
      <c r="I895" s="5" t="n"/>
      <c r="J895" s="5" t="n">
        <v>189.33</v>
      </c>
      <c r="K895" s="5" t="n"/>
      <c r="L895" s="5" t="n"/>
      <c r="M895" s="5" t="n"/>
      <c r="N895" s="5" t="n"/>
      <c r="O895" s="5" t="n">
        <v>1136</v>
      </c>
      <c r="P895" s="5" t="n">
        <v>1136</v>
      </c>
      <c r="Q895" s="5" t="n"/>
      <c r="R895" s="5" t="n"/>
    </row>
    <row r="896">
      <c r="A896" s="2" t="inlineStr">
        <is>
          <t>EJ020924.TXT</t>
        </is>
      </c>
      <c r="B896" s="3" t="inlineStr">
        <is>
          <t>005547</t>
        </is>
      </c>
      <c r="C896" s="3" t="inlineStr">
        <is>
          <t>004456</t>
        </is>
      </c>
      <c r="D896" s="4" t="n">
        <v>45534</v>
      </c>
      <c r="E896" s="2" t="inlineStr">
        <is>
          <t>16:30</t>
        </is>
      </c>
      <c r="F896" s="5" t="n">
        <v>208.33</v>
      </c>
      <c r="G896" s="5" t="n"/>
      <c r="H896" s="5" t="n"/>
      <c r="I896" s="5" t="n"/>
      <c r="J896" s="5" t="n">
        <v>41.67</v>
      </c>
      <c r="K896" s="5" t="n"/>
      <c r="L896" s="5" t="n"/>
      <c r="M896" s="5" t="n"/>
      <c r="N896" s="5" t="n"/>
      <c r="O896" s="5" t="n">
        <v>250</v>
      </c>
      <c r="P896" s="5" t="n"/>
      <c r="Q896" s="5" t="n">
        <v>250</v>
      </c>
      <c r="R896" s="5" t="n"/>
    </row>
    <row r="897">
      <c r="A897" s="2" t="inlineStr">
        <is>
          <t>EJ011024.TXT</t>
        </is>
      </c>
      <c r="B897" s="3" t="inlineStr">
        <is>
          <t>005555</t>
        </is>
      </c>
      <c r="C897" s="3" t="inlineStr">
        <is>
          <t>004457</t>
        </is>
      </c>
      <c r="D897" s="4" t="n">
        <v>45537</v>
      </c>
      <c r="E897" s="2" t="inlineStr">
        <is>
          <t>15:08</t>
        </is>
      </c>
      <c r="F897" s="5" t="n">
        <v>208.33</v>
      </c>
      <c r="G897" s="5" t="n"/>
      <c r="H897" s="5" t="n"/>
      <c r="I897" s="5" t="n"/>
      <c r="J897" s="5" t="n">
        <v>41.67</v>
      </c>
      <c r="K897" s="5" t="n"/>
      <c r="L897" s="5" t="n"/>
      <c r="M897" s="5" t="n"/>
      <c r="N897" s="5" t="n"/>
      <c r="O897" s="5" t="n">
        <v>250</v>
      </c>
      <c r="P897" s="5" t="n"/>
      <c r="Q897" s="5" t="n">
        <v>250</v>
      </c>
      <c r="R897" s="5" t="n"/>
    </row>
    <row r="898">
      <c r="A898" s="2" t="inlineStr">
        <is>
          <t>EJ011024.TXT</t>
        </is>
      </c>
      <c r="B898" s="3" t="inlineStr">
        <is>
          <t>005556</t>
        </is>
      </c>
      <c r="C898" s="3" t="inlineStr">
        <is>
          <t>004458</t>
        </is>
      </c>
      <c r="D898" s="4" t="n">
        <v>45539</v>
      </c>
      <c r="E898" s="2" t="inlineStr">
        <is>
          <t>16:54</t>
        </is>
      </c>
      <c r="F898" s="5" t="n">
        <v>548.33</v>
      </c>
      <c r="G898" s="5" t="n"/>
      <c r="H898" s="5" t="n"/>
      <c r="I898" s="5" t="n"/>
      <c r="J898" s="5" t="n">
        <v>109.67</v>
      </c>
      <c r="K898" s="5" t="n"/>
      <c r="L898" s="5" t="n"/>
      <c r="M898" s="5" t="n"/>
      <c r="N898" s="5" t="n"/>
      <c r="O898" s="5" t="n">
        <v>658</v>
      </c>
      <c r="P898" s="5" t="n"/>
      <c r="Q898" s="5" t="n">
        <v>658</v>
      </c>
      <c r="R898" s="5" t="n"/>
    </row>
    <row r="899">
      <c r="A899" s="2" t="inlineStr">
        <is>
          <t>EJ011024.TXT</t>
        </is>
      </c>
      <c r="B899" s="3" t="inlineStr">
        <is>
          <t>005557</t>
        </is>
      </c>
      <c r="C899" s="3" t="inlineStr">
        <is>
          <t>004459</t>
        </is>
      </c>
      <c r="D899" s="4" t="n">
        <v>45541</v>
      </c>
      <c r="E899" s="2" t="inlineStr">
        <is>
          <t>15:42</t>
        </is>
      </c>
      <c r="F899" s="5" t="n">
        <v>208.33</v>
      </c>
      <c r="G899" s="5" t="n"/>
      <c r="H899" s="5" t="n"/>
      <c r="I899" s="5" t="n"/>
      <c r="J899" s="5" t="n">
        <v>41.67</v>
      </c>
      <c r="K899" s="5" t="n"/>
      <c r="L899" s="5" t="n"/>
      <c r="M899" s="5" t="n"/>
      <c r="N899" s="5" t="n"/>
      <c r="O899" s="5" t="n">
        <v>250</v>
      </c>
      <c r="P899" s="5" t="n"/>
      <c r="Q899" s="5" t="n">
        <v>250</v>
      </c>
      <c r="R899" s="5" t="n"/>
    </row>
    <row r="900">
      <c r="A900" s="2" t="inlineStr">
        <is>
          <t>EJ011024.TXT</t>
        </is>
      </c>
      <c r="B900" s="3" t="inlineStr">
        <is>
          <t>005558</t>
        </is>
      </c>
      <c r="C900" s="3" t="inlineStr">
        <is>
          <t>004460</t>
        </is>
      </c>
      <c r="D900" s="4" t="n">
        <v>45544</v>
      </c>
      <c r="E900" s="2" t="inlineStr">
        <is>
          <t>10:27</t>
        </is>
      </c>
      <c r="F900" s="5" t="n">
        <v>500</v>
      </c>
      <c r="G900" s="5" t="n"/>
      <c r="H900" s="5" t="n"/>
      <c r="I900" s="5" t="n"/>
      <c r="J900" s="5" t="n">
        <v>100</v>
      </c>
      <c r="K900" s="5" t="n"/>
      <c r="L900" s="5" t="n"/>
      <c r="M900" s="5" t="n"/>
      <c r="N900" s="5" t="n"/>
      <c r="O900" s="5" t="n">
        <v>600</v>
      </c>
      <c r="P900" s="5" t="n"/>
      <c r="Q900" s="5" t="n">
        <v>600</v>
      </c>
      <c r="R900" s="5" t="n"/>
    </row>
    <row r="901">
      <c r="A901" s="2" t="inlineStr">
        <is>
          <t>EJ011024.TXT</t>
        </is>
      </c>
      <c r="B901" s="3" t="inlineStr">
        <is>
          <t>005559</t>
        </is>
      </c>
      <c r="C901" s="3" t="inlineStr">
        <is>
          <t>004461</t>
        </is>
      </c>
      <c r="D901" s="4" t="n">
        <v>45544</v>
      </c>
      <c r="E901" s="2" t="inlineStr">
        <is>
          <t>10:27</t>
        </is>
      </c>
      <c r="F901" s="5" t="n">
        <v>48.33</v>
      </c>
      <c r="G901" s="5" t="n"/>
      <c r="H901" s="5" t="n"/>
      <c r="I901" s="5" t="n"/>
      <c r="J901" s="5" t="n">
        <v>9.67</v>
      </c>
      <c r="K901" s="5" t="n"/>
      <c r="L901" s="5" t="n"/>
      <c r="M901" s="5" t="n"/>
      <c r="N901" s="5" t="n"/>
      <c r="O901" s="5" t="n">
        <v>58</v>
      </c>
      <c r="P901" s="5" t="n">
        <v>58</v>
      </c>
      <c r="Q901" s="5" t="n"/>
      <c r="R901" s="5" t="n"/>
    </row>
    <row r="902">
      <c r="A902" s="2" t="inlineStr">
        <is>
          <t>EJ011024.TXT</t>
        </is>
      </c>
      <c r="B902" s="3" t="inlineStr">
        <is>
          <t>005560</t>
        </is>
      </c>
      <c r="C902" s="3" t="inlineStr">
        <is>
          <t>004462</t>
        </is>
      </c>
      <c r="D902" s="4" t="n">
        <v>45545</v>
      </c>
      <c r="E902" s="2" t="inlineStr">
        <is>
          <t>17:05</t>
        </is>
      </c>
      <c r="F902" s="5" t="n">
        <v>465.83</v>
      </c>
      <c r="G902" s="5" t="n"/>
      <c r="H902" s="5" t="n"/>
      <c r="I902" s="5" t="n"/>
      <c r="J902" s="5" t="n">
        <v>93.17</v>
      </c>
      <c r="K902" s="5" t="n"/>
      <c r="L902" s="5" t="n"/>
      <c r="M902" s="5" t="n"/>
      <c r="N902" s="5" t="n"/>
      <c r="O902" s="5" t="n">
        <v>559</v>
      </c>
      <c r="P902" s="5" t="n"/>
      <c r="Q902" s="5" t="n">
        <v>559</v>
      </c>
      <c r="R902" s="5" t="n"/>
    </row>
    <row r="903">
      <c r="A903" s="2" t="inlineStr">
        <is>
          <t>EJ011024.TXT</t>
        </is>
      </c>
      <c r="B903" s="3" t="inlineStr">
        <is>
          <t>005561</t>
        </is>
      </c>
      <c r="C903" s="3" t="inlineStr">
        <is>
          <t>004463</t>
        </is>
      </c>
      <c r="D903" s="4" t="n">
        <v>45546</v>
      </c>
      <c r="E903" s="2" t="inlineStr">
        <is>
          <t>10:22</t>
        </is>
      </c>
      <c r="F903" s="5" t="n">
        <v>733.33</v>
      </c>
      <c r="G903" s="5" t="n"/>
      <c r="H903" s="5" t="n"/>
      <c r="I903" s="5" t="n"/>
      <c r="J903" s="5" t="n">
        <v>146.67</v>
      </c>
      <c r="K903" s="5" t="n"/>
      <c r="L903" s="5" t="n"/>
      <c r="M903" s="5" t="n"/>
      <c r="N903" s="5" t="n"/>
      <c r="O903" s="5" t="n">
        <v>880</v>
      </c>
      <c r="P903" s="5" t="n"/>
      <c r="Q903" s="5" t="n">
        <v>880</v>
      </c>
      <c r="R903" s="5" t="n"/>
    </row>
    <row r="904">
      <c r="A904" s="2" t="inlineStr">
        <is>
          <t>EJ011024.TXT</t>
        </is>
      </c>
      <c r="B904" s="3" t="inlineStr">
        <is>
          <t>005562</t>
        </is>
      </c>
      <c r="C904" s="3" t="inlineStr">
        <is>
          <t>004464</t>
        </is>
      </c>
      <c r="D904" s="4" t="n">
        <v>45546</v>
      </c>
      <c r="E904" s="2" t="inlineStr">
        <is>
          <t>11:48</t>
        </is>
      </c>
      <c r="F904" s="5" t="n">
        <v>274.17</v>
      </c>
      <c r="G904" s="5" t="n"/>
      <c r="H904" s="5" t="n"/>
      <c r="I904" s="5" t="n"/>
      <c r="J904" s="5" t="n">
        <v>54.83</v>
      </c>
      <c r="K904" s="5" t="n"/>
      <c r="L904" s="5" t="n"/>
      <c r="M904" s="5" t="n"/>
      <c r="N904" s="5" t="n"/>
      <c r="O904" s="5" t="n">
        <v>329</v>
      </c>
      <c r="P904" s="5" t="n"/>
      <c r="Q904" s="5" t="n">
        <v>329</v>
      </c>
      <c r="R904" s="5" t="n"/>
    </row>
    <row r="905">
      <c r="A905" s="2" t="inlineStr">
        <is>
          <t>EJ011024.TXT</t>
        </is>
      </c>
      <c r="B905" s="3" t="inlineStr">
        <is>
          <t>005563</t>
        </is>
      </c>
      <c r="C905" s="3" t="inlineStr">
        <is>
          <t>004465</t>
        </is>
      </c>
      <c r="D905" s="4" t="n">
        <v>45546</v>
      </c>
      <c r="E905" s="2" t="inlineStr">
        <is>
          <t>11:50</t>
        </is>
      </c>
      <c r="F905" s="5" t="n">
        <v>208.33</v>
      </c>
      <c r="G905" s="5" t="n"/>
      <c r="H905" s="5" t="n"/>
      <c r="I905" s="5" t="n"/>
      <c r="J905" s="5" t="n">
        <v>41.67</v>
      </c>
      <c r="K905" s="5" t="n"/>
      <c r="L905" s="5" t="n"/>
      <c r="M905" s="5" t="n"/>
      <c r="N905" s="5" t="n"/>
      <c r="O905" s="5" t="n">
        <v>250</v>
      </c>
      <c r="P905" s="5" t="n"/>
      <c r="Q905" s="5" t="n">
        <v>250</v>
      </c>
      <c r="R905" s="5" t="n"/>
    </row>
    <row r="906">
      <c r="A906" s="2" t="inlineStr">
        <is>
          <t>EJ011024.TXT</t>
        </is>
      </c>
      <c r="B906" s="3" t="inlineStr">
        <is>
          <t>005564</t>
        </is>
      </c>
      <c r="C906" s="3" t="inlineStr">
        <is>
          <t>004466</t>
        </is>
      </c>
      <c r="D906" s="4" t="n">
        <v>45546</v>
      </c>
      <c r="E906" s="2" t="inlineStr">
        <is>
          <t>11:53</t>
        </is>
      </c>
      <c r="F906" s="5" t="n">
        <v>208.33</v>
      </c>
      <c r="G906" s="5" t="n"/>
      <c r="H906" s="5" t="n"/>
      <c r="I906" s="5" t="n"/>
      <c r="J906" s="5" t="n">
        <v>41.67</v>
      </c>
      <c r="K906" s="5" t="n"/>
      <c r="L906" s="5" t="n"/>
      <c r="M906" s="5" t="n"/>
      <c r="N906" s="5" t="n"/>
      <c r="O906" s="5" t="n">
        <v>250</v>
      </c>
      <c r="P906" s="5" t="n"/>
      <c r="Q906" s="5" t="n">
        <v>250</v>
      </c>
      <c r="R906" s="5" t="n"/>
    </row>
    <row r="907">
      <c r="A907" s="2" t="inlineStr">
        <is>
          <t>EJ011024.TXT</t>
        </is>
      </c>
      <c r="B907" s="3" t="inlineStr">
        <is>
          <t>005565</t>
        </is>
      </c>
      <c r="C907" s="3" t="inlineStr">
        <is>
          <t>004467</t>
        </is>
      </c>
      <c r="D907" s="4" t="n">
        <v>45546</v>
      </c>
      <c r="E907" s="2" t="inlineStr">
        <is>
          <t>12:00</t>
        </is>
      </c>
      <c r="F907" s="5" t="n">
        <v>208.33</v>
      </c>
      <c r="G907" s="5" t="n"/>
      <c r="H907" s="5" t="n"/>
      <c r="I907" s="5" t="n"/>
      <c r="J907" s="5" t="n">
        <v>41.67</v>
      </c>
      <c r="K907" s="5" t="n"/>
      <c r="L907" s="5" t="n"/>
      <c r="M907" s="5" t="n"/>
      <c r="N907" s="5" t="n"/>
      <c r="O907" s="5" t="n">
        <v>250</v>
      </c>
      <c r="P907" s="5" t="n"/>
      <c r="Q907" s="5" t="n">
        <v>250</v>
      </c>
      <c r="R907" s="5" t="n"/>
    </row>
    <row r="908">
      <c r="A908" s="2" t="inlineStr">
        <is>
          <t>EJ011024.TXT</t>
        </is>
      </c>
      <c r="B908" s="3" t="inlineStr">
        <is>
          <t>005566</t>
        </is>
      </c>
      <c r="C908" s="3" t="inlineStr">
        <is>
          <t>004468</t>
        </is>
      </c>
      <c r="D908" s="4" t="n">
        <v>45547</v>
      </c>
      <c r="E908" s="2" t="inlineStr">
        <is>
          <t>14:50</t>
        </is>
      </c>
      <c r="F908" s="5" t="n">
        <v>832.5</v>
      </c>
      <c r="G908" s="5" t="n"/>
      <c r="H908" s="5" t="n"/>
      <c r="I908" s="5" t="n"/>
      <c r="J908" s="5" t="n">
        <v>166.5</v>
      </c>
      <c r="K908" s="5" t="n"/>
      <c r="L908" s="5" t="n"/>
      <c r="M908" s="5" t="n"/>
      <c r="N908" s="5" t="n"/>
      <c r="O908" s="5" t="n">
        <v>999</v>
      </c>
      <c r="P908" s="5" t="n"/>
      <c r="Q908" s="5" t="n">
        <v>999</v>
      </c>
      <c r="R908" s="5" t="n"/>
    </row>
    <row r="909">
      <c r="A909" s="2" t="inlineStr">
        <is>
          <t>EJ011024.TXT</t>
        </is>
      </c>
      <c r="B909" s="3" t="inlineStr">
        <is>
          <t>005567</t>
        </is>
      </c>
      <c r="C909" s="3" t="inlineStr">
        <is>
          <t>004469</t>
        </is>
      </c>
      <c r="D909" s="4" t="n">
        <v>45547</v>
      </c>
      <c r="E909" s="2" t="inlineStr">
        <is>
          <t>14:54</t>
        </is>
      </c>
      <c r="F909" s="5" t="n">
        <v>40.75</v>
      </c>
      <c r="G909" s="5" t="n"/>
      <c r="H909" s="5" t="n"/>
      <c r="I909" s="5" t="n"/>
      <c r="J909" s="5" t="n">
        <v>8.15</v>
      </c>
      <c r="K909" s="5" t="n"/>
      <c r="L909" s="5" t="n"/>
      <c r="M909" s="5" t="n"/>
      <c r="N909" s="5" t="n"/>
      <c r="O909" s="5" t="n">
        <v>48.9</v>
      </c>
      <c r="P909" s="5" t="n"/>
      <c r="Q909" s="5" t="n">
        <v>48.9</v>
      </c>
      <c r="R909" s="5" t="n"/>
    </row>
    <row r="910">
      <c r="A910" s="2" t="inlineStr">
        <is>
          <t>EJ011024.TXT</t>
        </is>
      </c>
      <c r="B910" s="3" t="inlineStr">
        <is>
          <t>005568</t>
        </is>
      </c>
      <c r="C910" s="3" t="inlineStr">
        <is>
          <t>004470</t>
        </is>
      </c>
      <c r="D910" s="4" t="n">
        <v>45547</v>
      </c>
      <c r="E910" s="2" t="inlineStr">
        <is>
          <t>15:03</t>
        </is>
      </c>
      <c r="F910" s="5" t="n">
        <v>733.33</v>
      </c>
      <c r="G910" s="5" t="n"/>
      <c r="H910" s="5" t="n"/>
      <c r="I910" s="5" t="n"/>
      <c r="J910" s="5" t="n">
        <v>146.67</v>
      </c>
      <c r="K910" s="5" t="n"/>
      <c r="L910" s="5" t="n"/>
      <c r="M910" s="5" t="n"/>
      <c r="N910" s="5" t="n"/>
      <c r="O910" s="5" t="n">
        <v>880</v>
      </c>
      <c r="P910" s="5" t="n"/>
      <c r="Q910" s="5" t="n">
        <v>880</v>
      </c>
      <c r="R910" s="5" t="n"/>
    </row>
    <row r="911">
      <c r="A911" s="2" t="inlineStr">
        <is>
          <t>EJ011024.TXT</t>
        </is>
      </c>
      <c r="B911" s="3" t="inlineStr">
        <is>
          <t>005569</t>
        </is>
      </c>
      <c r="C911" s="3" t="inlineStr">
        <is>
          <t>004471</t>
        </is>
      </c>
      <c r="D911" s="4" t="n">
        <v>45548</v>
      </c>
      <c r="E911" s="2" t="inlineStr">
        <is>
          <t>14:59</t>
        </is>
      </c>
      <c r="F911" s="5" t="n">
        <v>274.17</v>
      </c>
      <c r="G911" s="5" t="n"/>
      <c r="H911" s="5" t="n"/>
      <c r="I911" s="5" t="n"/>
      <c r="J911" s="5" t="n">
        <v>54.83</v>
      </c>
      <c r="K911" s="5" t="n"/>
      <c r="L911" s="5" t="n"/>
      <c r="M911" s="5" t="n"/>
      <c r="N911" s="5" t="n"/>
      <c r="O911" s="5" t="n">
        <v>329</v>
      </c>
      <c r="P911" s="5" t="n"/>
      <c r="Q911" s="5" t="n">
        <v>329</v>
      </c>
      <c r="R911" s="5" t="n"/>
    </row>
    <row r="912">
      <c r="A912" s="2" t="inlineStr">
        <is>
          <t>EJ011024.TXT</t>
        </is>
      </c>
      <c r="B912" s="3" t="inlineStr">
        <is>
          <t>005570</t>
        </is>
      </c>
      <c r="C912" s="3" t="inlineStr">
        <is>
          <t>004472</t>
        </is>
      </c>
      <c r="D912" s="4" t="n">
        <v>45552</v>
      </c>
      <c r="E912" s="2" t="inlineStr">
        <is>
          <t>10:29</t>
        </is>
      </c>
      <c r="F912" s="5" t="n">
        <v>548.33</v>
      </c>
      <c r="G912" s="5" t="n"/>
      <c r="H912" s="5" t="n"/>
      <c r="I912" s="5" t="n"/>
      <c r="J912" s="5" t="n">
        <v>109.67</v>
      </c>
      <c r="K912" s="5" t="n"/>
      <c r="L912" s="5" t="n"/>
      <c r="M912" s="5" t="n"/>
      <c r="N912" s="5" t="n"/>
      <c r="O912" s="5" t="n">
        <v>658</v>
      </c>
      <c r="P912" s="5" t="n">
        <v>658</v>
      </c>
      <c r="Q912" s="5" t="n"/>
      <c r="R912" s="5" t="n"/>
    </row>
    <row r="913">
      <c r="A913" s="2" t="inlineStr">
        <is>
          <t>EJ011024.TXT</t>
        </is>
      </c>
      <c r="B913" s="3" t="inlineStr">
        <is>
          <t>005571</t>
        </is>
      </c>
      <c r="C913" s="3" t="inlineStr">
        <is>
          <t>004473</t>
        </is>
      </c>
      <c r="D913" s="4" t="n">
        <v>45552</v>
      </c>
      <c r="E913" s="2" t="inlineStr">
        <is>
          <t>14:34</t>
        </is>
      </c>
      <c r="F913" s="5" t="n">
        <v>313.33</v>
      </c>
      <c r="G913" s="5" t="n"/>
      <c r="H913" s="5" t="n"/>
      <c r="I913" s="5" t="n"/>
      <c r="J913" s="5" t="n">
        <v>62.67</v>
      </c>
      <c r="K913" s="5" t="n"/>
      <c r="L913" s="5" t="n"/>
      <c r="M913" s="5" t="n"/>
      <c r="N913" s="5" t="n"/>
      <c r="O913" s="5" t="n">
        <v>376</v>
      </c>
      <c r="P913" s="5" t="n"/>
      <c r="Q913" s="5" t="n">
        <v>376</v>
      </c>
      <c r="R913" s="5" t="n"/>
    </row>
    <row r="914">
      <c r="A914" s="2" t="inlineStr">
        <is>
          <t>EJ011024.TXT</t>
        </is>
      </c>
      <c r="B914" s="3" t="inlineStr">
        <is>
          <t>005572</t>
        </is>
      </c>
      <c r="C914" s="3" t="inlineStr">
        <is>
          <t>004474</t>
        </is>
      </c>
      <c r="D914" s="4" t="n">
        <v>45552</v>
      </c>
      <c r="E914" s="2" t="inlineStr">
        <is>
          <t>14:44</t>
        </is>
      </c>
      <c r="F914" s="5" t="n">
        <v>816.67</v>
      </c>
      <c r="G914" s="5" t="n"/>
      <c r="H914" s="5" t="n"/>
      <c r="I914" s="5" t="n"/>
      <c r="J914" s="5" t="n">
        <v>163.33</v>
      </c>
      <c r="K914" s="5" t="n"/>
      <c r="L914" s="5" t="n"/>
      <c r="M914" s="5" t="n"/>
      <c r="N914" s="5" t="n"/>
      <c r="O914" s="5" t="n">
        <v>980</v>
      </c>
      <c r="P914" s="5" t="n"/>
      <c r="Q914" s="5" t="n">
        <v>980</v>
      </c>
      <c r="R914" s="5" t="n"/>
    </row>
    <row r="915">
      <c r="A915" s="2" t="inlineStr">
        <is>
          <t>EJ011024.TXT</t>
        </is>
      </c>
      <c r="B915" s="3" t="inlineStr">
        <is>
          <t>005573</t>
        </is>
      </c>
      <c r="C915" s="3" t="inlineStr">
        <is>
          <t>004475</t>
        </is>
      </c>
      <c r="D915" s="4" t="n">
        <v>45553</v>
      </c>
      <c r="E915" s="2" t="inlineStr">
        <is>
          <t>10:41</t>
        </is>
      </c>
      <c r="F915" s="5" t="n">
        <v>548.33</v>
      </c>
      <c r="G915" s="5" t="n"/>
      <c r="H915" s="5" t="n"/>
      <c r="I915" s="5" t="n"/>
      <c r="J915" s="5" t="n">
        <v>109.67</v>
      </c>
      <c r="K915" s="5" t="n"/>
      <c r="L915" s="5" t="n"/>
      <c r="M915" s="5" t="n"/>
      <c r="N915" s="5" t="n"/>
      <c r="O915" s="5" t="n">
        <v>658</v>
      </c>
      <c r="P915" s="5" t="n"/>
      <c r="Q915" s="5" t="n">
        <v>658</v>
      </c>
      <c r="R915" s="5" t="n"/>
    </row>
    <row r="916">
      <c r="A916" s="2" t="inlineStr">
        <is>
          <t>EJ011024.TXT</t>
        </is>
      </c>
      <c r="B916" s="3" t="inlineStr">
        <is>
          <t>005574</t>
        </is>
      </c>
      <c r="C916" s="3" t="inlineStr">
        <is>
          <t>004476</t>
        </is>
      </c>
      <c r="D916" s="4" t="n">
        <v>45559</v>
      </c>
      <c r="E916" s="2" t="inlineStr">
        <is>
          <t>16:00</t>
        </is>
      </c>
      <c r="F916" s="5" t="n">
        <v>415</v>
      </c>
      <c r="G916" s="5" t="n"/>
      <c r="H916" s="5" t="n"/>
      <c r="I916" s="5" t="n"/>
      <c r="J916" s="5" t="n">
        <v>83</v>
      </c>
      <c r="K916" s="5" t="n"/>
      <c r="L916" s="5" t="n"/>
      <c r="M916" s="5" t="n"/>
      <c r="N916" s="5" t="n"/>
      <c r="O916" s="5" t="n">
        <v>498</v>
      </c>
      <c r="P916" s="5" t="n">
        <v>498</v>
      </c>
      <c r="Q916" s="5" t="n"/>
      <c r="R916" s="5" t="n"/>
    </row>
    <row r="917">
      <c r="A917" s="2" t="inlineStr">
        <is>
          <t>EJ011024.TXT</t>
        </is>
      </c>
      <c r="B917" s="3" t="inlineStr">
        <is>
          <t>005575</t>
        </is>
      </c>
      <c r="C917" s="3" t="inlineStr">
        <is>
          <t>004477</t>
        </is>
      </c>
      <c r="D917" s="4" t="n">
        <v>45559</v>
      </c>
      <c r="E917" s="2" t="inlineStr">
        <is>
          <t>16:08</t>
        </is>
      </c>
      <c r="F917" s="5" t="n">
        <v>816.67</v>
      </c>
      <c r="G917" s="5" t="n"/>
      <c r="H917" s="5" t="n"/>
      <c r="I917" s="5" t="n"/>
      <c r="J917" s="5" t="n">
        <v>163.33</v>
      </c>
      <c r="K917" s="5" t="n"/>
      <c r="L917" s="5" t="n"/>
      <c r="M917" s="5" t="n"/>
      <c r="N917" s="5" t="n"/>
      <c r="O917" s="5" t="n">
        <v>980</v>
      </c>
      <c r="P917" s="5" t="n"/>
      <c r="Q917" s="5" t="n">
        <v>980</v>
      </c>
      <c r="R917" s="5" t="n"/>
    </row>
    <row r="918">
      <c r="A918" s="2" t="inlineStr">
        <is>
          <t>EJ011024.TXT</t>
        </is>
      </c>
      <c r="B918" s="3" t="inlineStr">
        <is>
          <t>005576</t>
        </is>
      </c>
      <c r="C918" s="3" t="inlineStr">
        <is>
          <t>004478</t>
        </is>
      </c>
      <c r="D918" s="4" t="n">
        <v>45562</v>
      </c>
      <c r="E918" s="2" t="inlineStr">
        <is>
          <t>15:32</t>
        </is>
      </c>
      <c r="F918" s="5" t="n">
        <v>816.67</v>
      </c>
      <c r="G918" s="5" t="n"/>
      <c r="H918" s="5" t="n"/>
      <c r="I918" s="5" t="n"/>
      <c r="J918" s="5" t="n">
        <v>163.33</v>
      </c>
      <c r="K918" s="5" t="n"/>
      <c r="L918" s="5" t="n"/>
      <c r="M918" s="5" t="n"/>
      <c r="N918" s="5" t="n"/>
      <c r="O918" s="5" t="n">
        <v>980</v>
      </c>
      <c r="P918" s="5" t="n"/>
      <c r="Q918" s="5" t="n">
        <v>980</v>
      </c>
      <c r="R918" s="5" t="n"/>
    </row>
    <row r="919">
      <c r="A919" s="2" t="inlineStr">
        <is>
          <t>EJ011024.TXT</t>
        </is>
      </c>
      <c r="B919" s="3" t="inlineStr">
        <is>
          <t>005577</t>
        </is>
      </c>
      <c r="C919" s="3" t="inlineStr">
        <is>
          <t>004479</t>
        </is>
      </c>
      <c r="D919" s="4" t="n">
        <v>45565</v>
      </c>
      <c r="E919" s="2" t="inlineStr">
        <is>
          <t>09:13</t>
        </is>
      </c>
      <c r="F919" s="5" t="n">
        <v>816.67</v>
      </c>
      <c r="G919" s="5" t="n"/>
      <c r="H919" s="5" t="n"/>
      <c r="I919" s="5" t="n"/>
      <c r="J919" s="5" t="n">
        <v>163.33</v>
      </c>
      <c r="K919" s="5" t="n"/>
      <c r="L919" s="5" t="n"/>
      <c r="M919" s="5" t="n"/>
      <c r="N919" s="5" t="n"/>
      <c r="O919" s="5" t="n">
        <v>980</v>
      </c>
      <c r="P919" s="5" t="n"/>
      <c r="Q919" s="5" t="n">
        <v>980</v>
      </c>
      <c r="R919" s="5" t="n"/>
    </row>
    <row r="920">
      <c r="A920" s="2" t="inlineStr">
        <is>
          <t>EJ011024.TXT</t>
        </is>
      </c>
      <c r="B920" s="3" t="inlineStr">
        <is>
          <t>005578</t>
        </is>
      </c>
      <c r="C920" s="3" t="inlineStr">
        <is>
          <t>004480</t>
        </is>
      </c>
      <c r="D920" s="4" t="n">
        <v>45565</v>
      </c>
      <c r="E920" s="2" t="inlineStr">
        <is>
          <t>13:36</t>
        </is>
      </c>
      <c r="F920" s="5" t="n">
        <v>208.33</v>
      </c>
      <c r="G920" s="5" t="n"/>
      <c r="H920" s="5" t="n"/>
      <c r="I920" s="5" t="n"/>
      <c r="J920" s="5" t="n">
        <v>41.67</v>
      </c>
      <c r="K920" s="5" t="n"/>
      <c r="L920" s="5" t="n"/>
      <c r="M920" s="5" t="n"/>
      <c r="N920" s="5" t="n"/>
      <c r="O920" s="5" t="n">
        <v>250</v>
      </c>
      <c r="P920" s="5" t="n"/>
      <c r="Q920" s="5" t="n">
        <v>250</v>
      </c>
      <c r="R920" s="5" t="n"/>
    </row>
    <row r="921">
      <c r="A921" s="2" t="inlineStr">
        <is>
          <t>EJ011024.TXT</t>
        </is>
      </c>
      <c r="B921" s="3" t="inlineStr">
        <is>
          <t>005579</t>
        </is>
      </c>
      <c r="C921" s="3" t="inlineStr">
        <is>
          <t>004481</t>
        </is>
      </c>
      <c r="D921" s="4" t="n">
        <v>45565</v>
      </c>
      <c r="E921" s="2" t="inlineStr">
        <is>
          <t>16:24</t>
        </is>
      </c>
      <c r="F921" s="5" t="n">
        <v>415.83</v>
      </c>
      <c r="G921" s="5" t="n"/>
      <c r="H921" s="5" t="n"/>
      <c r="I921" s="5" t="n"/>
      <c r="J921" s="5" t="n">
        <v>83.17</v>
      </c>
      <c r="K921" s="5" t="n"/>
      <c r="L921" s="5" t="n"/>
      <c r="M921" s="5" t="n"/>
      <c r="N921" s="5" t="n"/>
      <c r="O921" s="5" t="n">
        <v>499</v>
      </c>
      <c r="P921" s="5" t="n"/>
      <c r="Q921" s="5" t="n">
        <v>499</v>
      </c>
      <c r="R921" s="5" t="n"/>
    </row>
    <row r="922">
      <c r="A922" s="2" t="inlineStr">
        <is>
          <t>EJ051124.TXT</t>
        </is>
      </c>
      <c r="B922" s="3" t="inlineStr">
        <is>
          <t>005587</t>
        </is>
      </c>
      <c r="C922" s="3" t="inlineStr">
        <is>
          <t>004482</t>
        </is>
      </c>
      <c r="D922" s="4" t="n">
        <v>45566</v>
      </c>
      <c r="E922" s="2" t="inlineStr">
        <is>
          <t>16:37</t>
        </is>
      </c>
      <c r="F922" s="5" t="n">
        <v>807.5</v>
      </c>
      <c r="G922" s="5" t="n"/>
      <c r="H922" s="5" t="n"/>
      <c r="I922" s="5" t="n"/>
      <c r="J922" s="5" t="n">
        <v>161.5</v>
      </c>
      <c r="K922" s="5" t="n"/>
      <c r="L922" s="5" t="n"/>
      <c r="M922" s="5" t="n"/>
      <c r="N922" s="5" t="n"/>
      <c r="O922" s="5" t="n">
        <v>969</v>
      </c>
      <c r="P922" s="5" t="n"/>
      <c r="Q922" s="5" t="n">
        <v>969</v>
      </c>
      <c r="R922" s="5" t="n"/>
    </row>
    <row r="923">
      <c r="A923" s="2" t="inlineStr">
        <is>
          <t>EJ051124.TXT</t>
        </is>
      </c>
      <c r="B923" s="3" t="inlineStr">
        <is>
          <t>005588</t>
        </is>
      </c>
      <c r="C923" s="3" t="inlineStr">
        <is>
          <t>004483</t>
        </is>
      </c>
      <c r="D923" s="4" t="n">
        <v>45566</v>
      </c>
      <c r="E923" s="2" t="inlineStr">
        <is>
          <t>16:37</t>
        </is>
      </c>
      <c r="F923" s="5" t="n">
        <v>807.5</v>
      </c>
      <c r="G923" s="5" t="n"/>
      <c r="H923" s="5" t="n"/>
      <c r="I923" s="5" t="n"/>
      <c r="J923" s="5" t="n">
        <v>161.5</v>
      </c>
      <c r="K923" s="5" t="n"/>
      <c r="L923" s="5" t="n"/>
      <c r="M923" s="5" t="n"/>
      <c r="N923" s="5" t="n"/>
      <c r="O923" s="5" t="n">
        <v>969</v>
      </c>
      <c r="P923" s="5" t="n"/>
      <c r="Q923" s="5" t="n">
        <v>969</v>
      </c>
      <c r="R923" s="5" t="n"/>
    </row>
    <row r="924">
      <c r="A924" s="2" t="inlineStr">
        <is>
          <t>EJ051124.TXT</t>
        </is>
      </c>
      <c r="B924" s="3" t="inlineStr">
        <is>
          <t>005589</t>
        </is>
      </c>
      <c r="C924" s="3" t="inlineStr">
        <is>
          <t>004484</t>
        </is>
      </c>
      <c r="D924" s="4" t="n">
        <v>45566</v>
      </c>
      <c r="E924" s="2" t="inlineStr">
        <is>
          <t>16:47</t>
        </is>
      </c>
      <c r="F924" s="5" t="n">
        <v>208.33</v>
      </c>
      <c r="G924" s="5" t="n"/>
      <c r="H924" s="5" t="n"/>
      <c r="I924" s="5" t="n"/>
      <c r="J924" s="5" t="n">
        <v>41.67</v>
      </c>
      <c r="K924" s="5" t="n"/>
      <c r="L924" s="5" t="n"/>
      <c r="M924" s="5" t="n"/>
      <c r="N924" s="5" t="n"/>
      <c r="O924" s="5" t="n">
        <v>250</v>
      </c>
      <c r="P924" s="5" t="n"/>
      <c r="Q924" s="5" t="n">
        <v>250</v>
      </c>
      <c r="R924" s="5" t="n"/>
    </row>
    <row r="925">
      <c r="A925" s="2" t="inlineStr">
        <is>
          <t>EJ051124.TXT</t>
        </is>
      </c>
      <c r="B925" s="3" t="inlineStr">
        <is>
          <t>005590</t>
        </is>
      </c>
      <c r="C925" s="3" t="inlineStr">
        <is>
          <t>004485</t>
        </is>
      </c>
      <c r="D925" s="4" t="n">
        <v>45568</v>
      </c>
      <c r="E925" s="2" t="inlineStr">
        <is>
          <t>14:51</t>
        </is>
      </c>
      <c r="F925" s="5" t="n">
        <v>208.33</v>
      </c>
      <c r="G925" s="5" t="n"/>
      <c r="H925" s="5" t="n"/>
      <c r="I925" s="5" t="n"/>
      <c r="J925" s="5" t="n">
        <v>41.67</v>
      </c>
      <c r="K925" s="5" t="n"/>
      <c r="L925" s="5" t="n"/>
      <c r="M925" s="5" t="n"/>
      <c r="N925" s="5" t="n"/>
      <c r="O925" s="5" t="n">
        <v>250</v>
      </c>
      <c r="P925" s="5" t="n"/>
      <c r="Q925" s="5" t="n">
        <v>250</v>
      </c>
      <c r="R925" s="5" t="n"/>
    </row>
    <row r="926">
      <c r="A926" s="2" t="inlineStr">
        <is>
          <t>EJ051124.TXT</t>
        </is>
      </c>
      <c r="B926" s="3" t="inlineStr">
        <is>
          <t>005591</t>
        </is>
      </c>
      <c r="C926" s="3" t="inlineStr">
        <is>
          <t>004486</t>
        </is>
      </c>
      <c r="D926" s="4" t="n">
        <v>45572</v>
      </c>
      <c r="E926" s="2" t="inlineStr">
        <is>
          <t>11:56</t>
        </is>
      </c>
      <c r="F926" s="5" t="n">
        <v>208.33</v>
      </c>
      <c r="G926" s="5" t="n"/>
      <c r="H926" s="5" t="n"/>
      <c r="I926" s="5" t="n"/>
      <c r="J926" s="5" t="n">
        <v>41.67</v>
      </c>
      <c r="K926" s="5" t="n"/>
      <c r="L926" s="5" t="n"/>
      <c r="M926" s="5" t="n"/>
      <c r="N926" s="5" t="n"/>
      <c r="O926" s="5" t="n">
        <v>250</v>
      </c>
      <c r="P926" s="5" t="n"/>
      <c r="Q926" s="5" t="n">
        <v>250</v>
      </c>
      <c r="R926" s="5" t="n"/>
    </row>
    <row r="927">
      <c r="A927" s="2" t="inlineStr">
        <is>
          <t>EJ051124.TXT</t>
        </is>
      </c>
      <c r="B927" s="3" t="inlineStr">
        <is>
          <t>005592</t>
        </is>
      </c>
      <c r="C927" s="3" t="inlineStr">
        <is>
          <t>004487</t>
        </is>
      </c>
      <c r="D927" s="4" t="n">
        <v>45576</v>
      </c>
      <c r="E927" s="2" t="inlineStr">
        <is>
          <t>15:56</t>
        </is>
      </c>
      <c r="F927" s="5" t="n">
        <v>208.33</v>
      </c>
      <c r="G927" s="5" t="n"/>
      <c r="H927" s="5" t="n"/>
      <c r="I927" s="5" t="n"/>
      <c r="J927" s="5" t="n">
        <v>41.67</v>
      </c>
      <c r="K927" s="5" t="n"/>
      <c r="L927" s="5" t="n"/>
      <c r="M927" s="5" t="n"/>
      <c r="N927" s="5" t="n"/>
      <c r="O927" s="5" t="n">
        <v>250</v>
      </c>
      <c r="P927" s="5" t="n"/>
      <c r="Q927" s="5" t="n">
        <v>250</v>
      </c>
      <c r="R927" s="5" t="n"/>
    </row>
    <row r="928">
      <c r="A928" s="2" t="inlineStr">
        <is>
          <t>EJ051124.TXT</t>
        </is>
      </c>
      <c r="B928" s="3" t="inlineStr">
        <is>
          <t>005593</t>
        </is>
      </c>
      <c r="C928" s="3" t="inlineStr">
        <is>
          <t>004488</t>
        </is>
      </c>
      <c r="D928" s="4" t="n">
        <v>45577</v>
      </c>
      <c r="E928" s="2" t="inlineStr">
        <is>
          <t>15:56</t>
        </is>
      </c>
      <c r="F928" s="5" t="n">
        <v>548.33</v>
      </c>
      <c r="G928" s="5" t="n"/>
      <c r="H928" s="5" t="n"/>
      <c r="I928" s="5" t="n"/>
      <c r="J928" s="5" t="n">
        <v>109.67</v>
      </c>
      <c r="K928" s="5" t="n"/>
      <c r="L928" s="5" t="n"/>
      <c r="M928" s="5" t="n"/>
      <c r="N928" s="5" t="n"/>
      <c r="O928" s="5" t="n">
        <v>658</v>
      </c>
      <c r="P928" s="5" t="n">
        <v>658</v>
      </c>
      <c r="Q928" s="5" t="n"/>
      <c r="R928" s="5" t="n"/>
    </row>
    <row r="929">
      <c r="A929" s="2" t="inlineStr">
        <is>
          <t>EJ051124.TXT</t>
        </is>
      </c>
      <c r="B929" s="3" t="inlineStr">
        <is>
          <t>005594</t>
        </is>
      </c>
      <c r="C929" s="3" t="inlineStr">
        <is>
          <t>004489</t>
        </is>
      </c>
      <c r="D929" s="4" t="n">
        <v>45577</v>
      </c>
      <c r="E929" s="2" t="inlineStr">
        <is>
          <t>18:23</t>
        </is>
      </c>
      <c r="F929" s="5" t="n">
        <v>800</v>
      </c>
      <c r="G929" s="5" t="n"/>
      <c r="H929" s="5" t="n"/>
      <c r="I929" s="5" t="n"/>
      <c r="J929" s="5" t="n">
        <v>160</v>
      </c>
      <c r="K929" s="5" t="n"/>
      <c r="L929" s="5" t="n"/>
      <c r="M929" s="5" t="n"/>
      <c r="N929" s="5" t="n"/>
      <c r="O929" s="5" t="n">
        <v>960</v>
      </c>
      <c r="P929" s="5" t="n"/>
      <c r="Q929" s="5" t="n">
        <v>960</v>
      </c>
      <c r="R929" s="5" t="n"/>
    </row>
    <row r="930">
      <c r="A930" s="2" t="inlineStr">
        <is>
          <t>EJ051124.TXT</t>
        </is>
      </c>
      <c r="B930" s="3" t="inlineStr">
        <is>
          <t>005595</t>
        </is>
      </c>
      <c r="C930" s="3" t="inlineStr">
        <is>
          <t>004490</t>
        </is>
      </c>
      <c r="D930" s="4" t="n">
        <v>45577</v>
      </c>
      <c r="E930" s="2" t="inlineStr">
        <is>
          <t>18:34</t>
        </is>
      </c>
      <c r="F930" s="5" t="n">
        <v>458.33</v>
      </c>
      <c r="G930" s="5" t="n"/>
      <c r="H930" s="5" t="n"/>
      <c r="I930" s="5" t="n"/>
      <c r="J930" s="5" t="n">
        <v>91.67</v>
      </c>
      <c r="K930" s="5" t="n"/>
      <c r="L930" s="5" t="n"/>
      <c r="M930" s="5" t="n"/>
      <c r="N930" s="5" t="n"/>
      <c r="O930" s="5" t="n">
        <v>550</v>
      </c>
      <c r="P930" s="5" t="n"/>
      <c r="Q930" s="5" t="n">
        <v>550</v>
      </c>
      <c r="R930" s="5" t="n"/>
    </row>
    <row r="931">
      <c r="A931" s="2" t="inlineStr">
        <is>
          <t>EJ051124.TXT</t>
        </is>
      </c>
      <c r="B931" s="3" t="inlineStr">
        <is>
          <t>005596</t>
        </is>
      </c>
      <c r="C931" s="3" t="inlineStr">
        <is>
          <t>004491</t>
        </is>
      </c>
      <c r="D931" s="4" t="n">
        <v>45579</v>
      </c>
      <c r="E931" s="2" t="inlineStr">
        <is>
          <t>09:58</t>
        </is>
      </c>
      <c r="F931" s="5" t="n">
        <v>208.33</v>
      </c>
      <c r="G931" s="5" t="n"/>
      <c r="H931" s="5" t="n"/>
      <c r="I931" s="5" t="n"/>
      <c r="J931" s="5" t="n">
        <v>41.67</v>
      </c>
      <c r="K931" s="5" t="n"/>
      <c r="L931" s="5" t="n"/>
      <c r="M931" s="5" t="n"/>
      <c r="N931" s="5" t="n"/>
      <c r="O931" s="5" t="n">
        <v>250</v>
      </c>
      <c r="P931" s="5" t="n"/>
      <c r="Q931" s="5" t="n">
        <v>250</v>
      </c>
      <c r="R931" s="5" t="n"/>
    </row>
    <row r="932">
      <c r="A932" s="2" t="inlineStr">
        <is>
          <t>EJ051124.TXT</t>
        </is>
      </c>
      <c r="B932" s="3" t="inlineStr">
        <is>
          <t>005597</t>
        </is>
      </c>
      <c r="C932" s="3" t="inlineStr">
        <is>
          <t>004492</t>
        </is>
      </c>
      <c r="D932" s="4" t="n">
        <v>45579</v>
      </c>
      <c r="E932" s="2" t="inlineStr">
        <is>
          <t>11:41</t>
        </is>
      </c>
      <c r="F932" s="5" t="n">
        <v>458.33</v>
      </c>
      <c r="G932" s="5" t="n"/>
      <c r="H932" s="5" t="n"/>
      <c r="I932" s="5" t="n"/>
      <c r="J932" s="5" t="n">
        <v>91.67</v>
      </c>
      <c r="K932" s="5" t="n"/>
      <c r="L932" s="5" t="n"/>
      <c r="M932" s="5" t="n"/>
      <c r="N932" s="5" t="n"/>
      <c r="O932" s="5" t="n">
        <v>550</v>
      </c>
      <c r="P932" s="5" t="n"/>
      <c r="Q932" s="5" t="n">
        <v>550</v>
      </c>
      <c r="R932" s="5" t="n"/>
    </row>
    <row r="933">
      <c r="A933" s="2" t="inlineStr">
        <is>
          <t>EJ051124.TXT</t>
        </is>
      </c>
      <c r="B933" s="3" t="inlineStr">
        <is>
          <t>005598</t>
        </is>
      </c>
      <c r="C933" s="3" t="inlineStr">
        <is>
          <t>004493</t>
        </is>
      </c>
      <c r="D933" s="4" t="n">
        <v>45579</v>
      </c>
      <c r="E933" s="2" t="inlineStr">
        <is>
          <t>11:43</t>
        </is>
      </c>
      <c r="F933" s="5" t="n">
        <v>400</v>
      </c>
      <c r="G933" s="5" t="n"/>
      <c r="H933" s="5" t="n"/>
      <c r="I933" s="5" t="n"/>
      <c r="J933" s="5" t="n">
        <v>80</v>
      </c>
      <c r="K933" s="5" t="n"/>
      <c r="L933" s="5" t="n"/>
      <c r="M933" s="5" t="n"/>
      <c r="N933" s="5" t="n"/>
      <c r="O933" s="5" t="n">
        <v>480</v>
      </c>
      <c r="P933" s="5" t="n"/>
      <c r="Q933" s="5" t="n">
        <v>480</v>
      </c>
      <c r="R933" s="5" t="n"/>
    </row>
    <row r="934">
      <c r="A934" s="2" t="inlineStr">
        <is>
          <t>EJ051124.TXT</t>
        </is>
      </c>
      <c r="B934" s="3" t="inlineStr">
        <is>
          <t>005599</t>
        </is>
      </c>
      <c r="C934" s="3" t="inlineStr">
        <is>
          <t>004494</t>
        </is>
      </c>
      <c r="D934" s="4" t="n">
        <v>45579</v>
      </c>
      <c r="E934" s="2" t="inlineStr">
        <is>
          <t>11:44</t>
        </is>
      </c>
      <c r="F934" s="5" t="n">
        <v>208.33</v>
      </c>
      <c r="G934" s="5" t="n"/>
      <c r="H934" s="5" t="n"/>
      <c r="I934" s="5" t="n"/>
      <c r="J934" s="5" t="n">
        <v>41.67</v>
      </c>
      <c r="K934" s="5" t="n"/>
      <c r="L934" s="5" t="n"/>
      <c r="M934" s="5" t="n"/>
      <c r="N934" s="5" t="n"/>
      <c r="O934" s="5" t="n">
        <v>250</v>
      </c>
      <c r="P934" s="5" t="n"/>
      <c r="Q934" s="5" t="n">
        <v>250</v>
      </c>
      <c r="R934" s="5" t="n"/>
    </row>
    <row r="935">
      <c r="A935" s="2" t="inlineStr">
        <is>
          <t>EJ051124.TXT</t>
        </is>
      </c>
      <c r="B935" s="3" t="inlineStr">
        <is>
          <t>005600</t>
        </is>
      </c>
      <c r="C935" s="3" t="inlineStr">
        <is>
          <t>004495</t>
        </is>
      </c>
      <c r="D935" s="4" t="n">
        <v>45580</v>
      </c>
      <c r="E935" s="2" t="inlineStr">
        <is>
          <t>13:36</t>
        </is>
      </c>
      <c r="F935" s="5" t="n">
        <v>274.17</v>
      </c>
      <c r="G935" s="5" t="n"/>
      <c r="H935" s="5" t="n"/>
      <c r="I935" s="5" t="n"/>
      <c r="J935" s="5" t="n">
        <v>54.83</v>
      </c>
      <c r="K935" s="5" t="n"/>
      <c r="L935" s="5" t="n"/>
      <c r="M935" s="5" t="n"/>
      <c r="N935" s="5" t="n"/>
      <c r="O935" s="5" t="n">
        <v>329</v>
      </c>
      <c r="P935" s="5" t="n"/>
      <c r="Q935" s="5" t="n">
        <v>329</v>
      </c>
      <c r="R935" s="5" t="n"/>
    </row>
    <row r="936">
      <c r="A936" s="2" t="inlineStr">
        <is>
          <t>EJ051124.TXT</t>
        </is>
      </c>
      <c r="B936" s="3" t="inlineStr">
        <is>
          <t>005601</t>
        </is>
      </c>
      <c r="C936" s="3" t="inlineStr">
        <is>
          <t>004496</t>
        </is>
      </c>
      <c r="D936" s="4" t="n">
        <v>45580</v>
      </c>
      <c r="E936" s="2" t="inlineStr">
        <is>
          <t>13:40</t>
        </is>
      </c>
      <c r="F936" s="5" t="n">
        <v>208.33</v>
      </c>
      <c r="G936" s="5" t="n"/>
      <c r="H936" s="5" t="n"/>
      <c r="I936" s="5" t="n"/>
      <c r="J936" s="5" t="n">
        <v>41.67</v>
      </c>
      <c r="K936" s="5" t="n"/>
      <c r="L936" s="5" t="n"/>
      <c r="M936" s="5" t="n"/>
      <c r="N936" s="5" t="n"/>
      <c r="O936" s="5" t="n">
        <v>250</v>
      </c>
      <c r="P936" s="5" t="n"/>
      <c r="Q936" s="5" t="n">
        <v>250</v>
      </c>
      <c r="R936" s="5" t="n"/>
    </row>
    <row r="937">
      <c r="A937" s="2" t="inlineStr">
        <is>
          <t>EJ051124.TXT</t>
        </is>
      </c>
      <c r="B937" s="3" t="inlineStr">
        <is>
          <t>005602</t>
        </is>
      </c>
      <c r="C937" s="3" t="inlineStr">
        <is>
          <t>004497</t>
        </is>
      </c>
      <c r="D937" s="4" t="n">
        <v>45580</v>
      </c>
      <c r="E937" s="2" t="inlineStr">
        <is>
          <t>15:19</t>
        </is>
      </c>
      <c r="F937" s="5" t="n">
        <v>495</v>
      </c>
      <c r="G937" s="5" t="n"/>
      <c r="H937" s="5" t="n"/>
      <c r="I937" s="5" t="n"/>
      <c r="J937" s="5" t="n">
        <v>99</v>
      </c>
      <c r="K937" s="5" t="n"/>
      <c r="L937" s="5" t="n"/>
      <c r="M937" s="5" t="n"/>
      <c r="N937" s="5" t="n"/>
      <c r="O937" s="5" t="n">
        <v>594</v>
      </c>
      <c r="P937" s="5" t="n"/>
      <c r="Q937" s="5" t="n">
        <v>594</v>
      </c>
      <c r="R937" s="5" t="n"/>
    </row>
    <row r="938">
      <c r="A938" s="2" t="inlineStr">
        <is>
          <t>EJ051124.TXT</t>
        </is>
      </c>
      <c r="B938" s="3" t="inlineStr">
        <is>
          <t>005603</t>
        </is>
      </c>
      <c r="C938" s="3" t="inlineStr">
        <is>
          <t>004498</t>
        </is>
      </c>
      <c r="D938" s="4" t="n">
        <v>45580</v>
      </c>
      <c r="E938" s="2" t="inlineStr">
        <is>
          <t>16:57</t>
        </is>
      </c>
      <c r="F938" s="5" t="n">
        <v>208.33</v>
      </c>
      <c r="G938" s="5" t="n"/>
      <c r="H938" s="5" t="n"/>
      <c r="I938" s="5" t="n"/>
      <c r="J938" s="5" t="n">
        <v>41.67</v>
      </c>
      <c r="K938" s="5" t="n"/>
      <c r="L938" s="5" t="n"/>
      <c r="M938" s="5" t="n"/>
      <c r="N938" s="5" t="n"/>
      <c r="O938" s="5" t="n">
        <v>250</v>
      </c>
      <c r="P938" s="5" t="n"/>
      <c r="Q938" s="5" t="n">
        <v>250</v>
      </c>
      <c r="R938" s="5" t="n"/>
    </row>
    <row r="939">
      <c r="A939" s="2" t="inlineStr">
        <is>
          <t>EJ051124.TXT</t>
        </is>
      </c>
      <c r="B939" s="3" t="inlineStr">
        <is>
          <t>005604</t>
        </is>
      </c>
      <c r="C939" s="3" t="inlineStr">
        <is>
          <t>004499</t>
        </is>
      </c>
      <c r="D939" s="4" t="n">
        <v>45581</v>
      </c>
      <c r="E939" s="2" t="inlineStr">
        <is>
          <t>14:06</t>
        </is>
      </c>
      <c r="F939" s="5" t="n">
        <v>274.17</v>
      </c>
      <c r="G939" s="5" t="n"/>
      <c r="H939" s="5" t="n"/>
      <c r="I939" s="5" t="n"/>
      <c r="J939" s="5" t="n">
        <v>54.83</v>
      </c>
      <c r="K939" s="5" t="n"/>
      <c r="L939" s="5" t="n"/>
      <c r="M939" s="5" t="n"/>
      <c r="N939" s="5" t="n"/>
      <c r="O939" s="5" t="n">
        <v>329</v>
      </c>
      <c r="P939" s="5" t="n"/>
      <c r="Q939" s="5" t="n">
        <v>329</v>
      </c>
      <c r="R939" s="5" t="n"/>
    </row>
    <row r="940">
      <c r="A940" s="2" t="inlineStr">
        <is>
          <t>EJ051124.TXT</t>
        </is>
      </c>
      <c r="B940" s="3" t="inlineStr">
        <is>
          <t>005605</t>
        </is>
      </c>
      <c r="C940" s="3" t="inlineStr">
        <is>
          <t>004500</t>
        </is>
      </c>
      <c r="D940" s="4" t="n">
        <v>45589</v>
      </c>
      <c r="E940" s="2" t="inlineStr">
        <is>
          <t>11:39</t>
        </is>
      </c>
      <c r="F940" s="5" t="n">
        <v>574.17</v>
      </c>
      <c r="G940" s="5" t="n"/>
      <c r="H940" s="5" t="n"/>
      <c r="I940" s="5" t="n"/>
      <c r="J940" s="5" t="n">
        <v>114.83</v>
      </c>
      <c r="K940" s="5" t="n"/>
      <c r="L940" s="5" t="n"/>
      <c r="M940" s="5" t="n"/>
      <c r="N940" s="5" t="n"/>
      <c r="O940" s="5" t="n">
        <v>689</v>
      </c>
      <c r="P940" s="5" t="n"/>
      <c r="Q940" s="5" t="n">
        <v>689</v>
      </c>
      <c r="R940" s="5" t="n"/>
    </row>
    <row r="941">
      <c r="A941" s="2" t="inlineStr">
        <is>
          <t>EJ051124.TXT</t>
        </is>
      </c>
      <c r="B941" s="3" t="inlineStr">
        <is>
          <t>005606</t>
        </is>
      </c>
      <c r="C941" s="3" t="inlineStr">
        <is>
          <t>004501</t>
        </is>
      </c>
      <c r="D941" s="4" t="n">
        <v>45589</v>
      </c>
      <c r="E941" s="2" t="inlineStr">
        <is>
          <t>11:43</t>
        </is>
      </c>
      <c r="F941" s="5" t="n">
        <v>832.5</v>
      </c>
      <c r="G941" s="5" t="n"/>
      <c r="H941" s="5" t="n"/>
      <c r="I941" s="5" t="n"/>
      <c r="J941" s="5" t="n">
        <v>166.5</v>
      </c>
      <c r="K941" s="5" t="n"/>
      <c r="L941" s="5" t="n"/>
      <c r="M941" s="5" t="n"/>
      <c r="N941" s="5" t="n"/>
      <c r="O941" s="5" t="n">
        <v>999</v>
      </c>
      <c r="P941" s="5" t="n"/>
      <c r="Q941" s="5" t="n">
        <v>999</v>
      </c>
      <c r="R941" s="5" t="n"/>
    </row>
    <row r="942">
      <c r="A942" s="2" t="inlineStr">
        <is>
          <t>EJ051124.TXT</t>
        </is>
      </c>
      <c r="B942" s="3" t="inlineStr">
        <is>
          <t>005607</t>
        </is>
      </c>
      <c r="C942" s="3" t="inlineStr">
        <is>
          <t>004502</t>
        </is>
      </c>
      <c r="D942" s="4" t="n">
        <v>45589</v>
      </c>
      <c r="E942" s="2" t="inlineStr">
        <is>
          <t>12:14</t>
        </is>
      </c>
      <c r="F942" s="5" t="n">
        <v>832.5</v>
      </c>
      <c r="G942" s="5" t="n"/>
      <c r="H942" s="5" t="n"/>
      <c r="I942" s="5" t="n"/>
      <c r="J942" s="5" t="n">
        <v>166.5</v>
      </c>
      <c r="K942" s="5" t="n"/>
      <c r="L942" s="5" t="n"/>
      <c r="M942" s="5" t="n"/>
      <c r="N942" s="5" t="n"/>
      <c r="O942" s="5" t="n">
        <v>999</v>
      </c>
      <c r="P942" s="5" t="n"/>
      <c r="Q942" s="5" t="n">
        <v>999</v>
      </c>
      <c r="R942" s="5" t="n"/>
    </row>
    <row r="943">
      <c r="A943" s="2" t="inlineStr">
        <is>
          <t>EJ051124.TXT</t>
        </is>
      </c>
      <c r="B943" s="3" t="inlineStr">
        <is>
          <t>005608</t>
        </is>
      </c>
      <c r="C943" s="3" t="inlineStr">
        <is>
          <t>004503</t>
        </is>
      </c>
      <c r="D943" s="4" t="n">
        <v>45589</v>
      </c>
      <c r="E943" s="2" t="inlineStr">
        <is>
          <t>12:31</t>
        </is>
      </c>
      <c r="F943" s="5" t="n">
        <v>99.83</v>
      </c>
      <c r="G943" s="5" t="n"/>
      <c r="H943" s="5" t="n"/>
      <c r="I943" s="5" t="n"/>
      <c r="J943" s="5" t="n">
        <v>19.97</v>
      </c>
      <c r="K943" s="5" t="n"/>
      <c r="L943" s="5" t="n"/>
      <c r="M943" s="5" t="n"/>
      <c r="N943" s="5" t="n"/>
      <c r="O943" s="5" t="n">
        <v>119.8</v>
      </c>
      <c r="P943" s="5" t="n"/>
      <c r="Q943" s="5" t="n">
        <v>119.8</v>
      </c>
      <c r="R943" s="5" t="n"/>
    </row>
    <row r="944">
      <c r="A944" s="2" t="inlineStr">
        <is>
          <t>EJ051124.TXT</t>
        </is>
      </c>
      <c r="B944" s="3" t="inlineStr">
        <is>
          <t>005609</t>
        </is>
      </c>
      <c r="C944" s="3" t="inlineStr">
        <is>
          <t>004504</t>
        </is>
      </c>
      <c r="D944" s="4" t="n">
        <v>45590</v>
      </c>
      <c r="E944" s="2" t="inlineStr">
        <is>
          <t>09:16</t>
        </is>
      </c>
      <c r="F944" s="5" t="n">
        <v>524.17</v>
      </c>
      <c r="G944" s="5" t="n"/>
      <c r="H944" s="5" t="n"/>
      <c r="I944" s="5" t="n"/>
      <c r="J944" s="5" t="n">
        <v>104.83</v>
      </c>
      <c r="K944" s="5" t="n"/>
      <c r="L944" s="5" t="n"/>
      <c r="M944" s="5" t="n"/>
      <c r="N944" s="5" t="n"/>
      <c r="O944" s="5" t="n">
        <v>629</v>
      </c>
      <c r="P944" s="5" t="n"/>
      <c r="Q944" s="5" t="n">
        <v>629</v>
      </c>
      <c r="R944" s="5" t="n"/>
    </row>
    <row r="945">
      <c r="A945" s="2" t="inlineStr">
        <is>
          <t>EJ051124.TXT</t>
        </is>
      </c>
      <c r="B945" s="3" t="inlineStr">
        <is>
          <t>005610</t>
        </is>
      </c>
      <c r="C945" s="3" t="inlineStr">
        <is>
          <t>004505</t>
        </is>
      </c>
      <c r="D945" s="4" t="n">
        <v>45590</v>
      </c>
      <c r="E945" s="2" t="inlineStr">
        <is>
          <t>16:14</t>
        </is>
      </c>
      <c r="F945" s="5" t="n">
        <v>440.83</v>
      </c>
      <c r="G945" s="5" t="n"/>
      <c r="H945" s="5" t="n"/>
      <c r="I945" s="5" t="n"/>
      <c r="J945" s="5" t="n">
        <v>88.17</v>
      </c>
      <c r="K945" s="5" t="n"/>
      <c r="L945" s="5" t="n"/>
      <c r="M945" s="5" t="n"/>
      <c r="N945" s="5" t="n"/>
      <c r="O945" s="5" t="n">
        <v>529</v>
      </c>
      <c r="P945" s="5" t="n"/>
      <c r="Q945" s="5" t="n">
        <v>529</v>
      </c>
      <c r="R945" s="5" t="n"/>
    </row>
    <row r="946">
      <c r="A946" s="2" t="inlineStr">
        <is>
          <t>EJ051124.TXT</t>
        </is>
      </c>
      <c r="B946" s="3" t="inlineStr">
        <is>
          <t>005611</t>
        </is>
      </c>
      <c r="C946" s="3" t="inlineStr">
        <is>
          <t>004506</t>
        </is>
      </c>
      <c r="D946" s="4" t="n">
        <v>45590</v>
      </c>
      <c r="E946" s="2" t="inlineStr">
        <is>
          <t>16:34</t>
        </is>
      </c>
      <c r="F946" s="5" t="n">
        <v>440.83</v>
      </c>
      <c r="G946" s="5" t="n"/>
      <c r="H946" s="5" t="n"/>
      <c r="I946" s="5" t="n"/>
      <c r="J946" s="5" t="n">
        <v>88.17</v>
      </c>
      <c r="K946" s="5" t="n"/>
      <c r="L946" s="5" t="n"/>
      <c r="M946" s="5" t="n"/>
      <c r="N946" s="5" t="n"/>
      <c r="O946" s="5" t="n">
        <v>529</v>
      </c>
      <c r="P946" s="5" t="n"/>
      <c r="Q946" s="5" t="n">
        <v>529</v>
      </c>
      <c r="R946" s="5" t="n"/>
    </row>
    <row r="947">
      <c r="A947" s="2" t="inlineStr">
        <is>
          <t>EJ051124.TXT</t>
        </is>
      </c>
      <c r="B947" s="3" t="inlineStr">
        <is>
          <t>005612</t>
        </is>
      </c>
      <c r="C947" s="3" t="inlineStr">
        <is>
          <t>004507</t>
        </is>
      </c>
      <c r="D947" s="4" t="n">
        <v>45590</v>
      </c>
      <c r="E947" s="2" t="inlineStr">
        <is>
          <t>16:54</t>
        </is>
      </c>
      <c r="F947" s="5" t="n">
        <v>440.83</v>
      </c>
      <c r="G947" s="5" t="n"/>
      <c r="H947" s="5" t="n"/>
      <c r="I947" s="5" t="n"/>
      <c r="J947" s="5" t="n">
        <v>88.17</v>
      </c>
      <c r="K947" s="5" t="n"/>
      <c r="L947" s="5" t="n"/>
      <c r="M947" s="5" t="n"/>
      <c r="N947" s="5" t="n"/>
      <c r="O947" s="5" t="n">
        <v>529</v>
      </c>
      <c r="P947" s="5" t="n"/>
      <c r="Q947" s="5" t="n">
        <v>529</v>
      </c>
      <c r="R947" s="5" t="n"/>
    </row>
    <row r="948">
      <c r="A948" s="2" t="inlineStr">
        <is>
          <t>EJ051124.TXT</t>
        </is>
      </c>
      <c r="B948" s="3" t="inlineStr">
        <is>
          <t>005613</t>
        </is>
      </c>
      <c r="C948" s="3" t="inlineStr">
        <is>
          <t>004508</t>
        </is>
      </c>
      <c r="D948" s="4" t="n">
        <v>45593</v>
      </c>
      <c r="E948" s="2" t="inlineStr">
        <is>
          <t>16:35</t>
        </is>
      </c>
      <c r="F948" s="5" t="n">
        <v>440.83</v>
      </c>
      <c r="G948" s="5" t="n"/>
      <c r="H948" s="5" t="n"/>
      <c r="I948" s="5" t="n"/>
      <c r="J948" s="5" t="n">
        <v>88.17</v>
      </c>
      <c r="K948" s="5" t="n"/>
      <c r="L948" s="5" t="n"/>
      <c r="M948" s="5" t="n"/>
      <c r="N948" s="5" t="n"/>
      <c r="O948" s="5" t="n">
        <v>529</v>
      </c>
      <c r="P948" s="5" t="n"/>
      <c r="Q948" s="5" t="n">
        <v>529</v>
      </c>
      <c r="R948" s="5" t="n"/>
    </row>
    <row r="949">
      <c r="A949" s="2" t="inlineStr">
        <is>
          <t>EJ051124.TXT</t>
        </is>
      </c>
      <c r="B949" s="3" t="inlineStr">
        <is>
          <t>005614</t>
        </is>
      </c>
      <c r="C949" s="3" t="inlineStr">
        <is>
          <t>004509</t>
        </is>
      </c>
      <c r="D949" s="4" t="n">
        <v>45593</v>
      </c>
      <c r="E949" s="2" t="inlineStr">
        <is>
          <t>16:36</t>
        </is>
      </c>
      <c r="F949" s="5" t="n">
        <v>708.33</v>
      </c>
      <c r="G949" s="5" t="n"/>
      <c r="H949" s="5" t="n"/>
      <c r="I949" s="5" t="n"/>
      <c r="J949" s="5" t="n">
        <v>141.67</v>
      </c>
      <c r="K949" s="5" t="n"/>
      <c r="L949" s="5" t="n"/>
      <c r="M949" s="5" t="n"/>
      <c r="N949" s="5" t="n"/>
      <c r="O949" s="5" t="n">
        <v>850</v>
      </c>
      <c r="P949" s="5" t="n"/>
      <c r="Q949" s="5" t="n">
        <v>850</v>
      </c>
      <c r="R949" s="5" t="n"/>
    </row>
    <row r="950">
      <c r="A950" s="2" t="inlineStr">
        <is>
          <t>EJ051124.TXT</t>
        </is>
      </c>
      <c r="B950" s="3" t="inlineStr">
        <is>
          <t>005615</t>
        </is>
      </c>
      <c r="C950" s="3" t="inlineStr">
        <is>
          <t>004510</t>
        </is>
      </c>
      <c r="D950" s="4" t="n">
        <v>45593</v>
      </c>
      <c r="E950" s="2" t="inlineStr">
        <is>
          <t>16:57</t>
        </is>
      </c>
      <c r="F950" s="5" t="n">
        <v>440.83</v>
      </c>
      <c r="G950" s="5" t="n"/>
      <c r="H950" s="5" t="n"/>
      <c r="I950" s="5" t="n"/>
      <c r="J950" s="5" t="n">
        <v>88.17</v>
      </c>
      <c r="K950" s="5" t="n"/>
      <c r="L950" s="5" t="n"/>
      <c r="M950" s="5" t="n"/>
      <c r="N950" s="5" t="n"/>
      <c r="O950" s="5" t="n">
        <v>529</v>
      </c>
      <c r="P950" s="5" t="n"/>
      <c r="Q950" s="5" t="n">
        <v>529</v>
      </c>
      <c r="R950" s="5" t="n"/>
    </row>
    <row r="951">
      <c r="A951" s="2" t="inlineStr">
        <is>
          <t>EJ051124.TXT</t>
        </is>
      </c>
      <c r="B951" s="3" t="inlineStr">
        <is>
          <t>005616</t>
        </is>
      </c>
      <c r="C951" s="3" t="inlineStr">
        <is>
          <t>004511</t>
        </is>
      </c>
      <c r="D951" s="4" t="n">
        <v>45594</v>
      </c>
      <c r="E951" s="2" t="inlineStr">
        <is>
          <t>16:24</t>
        </is>
      </c>
      <c r="F951" s="5" t="n">
        <v>708.33</v>
      </c>
      <c r="G951" s="5" t="n"/>
      <c r="H951" s="5" t="n"/>
      <c r="I951" s="5" t="n"/>
      <c r="J951" s="5" t="n">
        <v>141.67</v>
      </c>
      <c r="K951" s="5" t="n"/>
      <c r="L951" s="5" t="n"/>
      <c r="M951" s="5" t="n"/>
      <c r="N951" s="5" t="n"/>
      <c r="O951" s="5" t="n">
        <v>850</v>
      </c>
      <c r="P951" s="5" t="n"/>
      <c r="Q951" s="5" t="n">
        <v>850</v>
      </c>
      <c r="R951" s="5" t="n"/>
    </row>
    <row r="952">
      <c r="A952" s="2" t="inlineStr">
        <is>
          <t>EJ051124.TXT</t>
        </is>
      </c>
      <c r="B952" s="3" t="inlineStr">
        <is>
          <t>005617</t>
        </is>
      </c>
      <c r="C952" s="3" t="inlineStr">
        <is>
          <t>004512</t>
        </is>
      </c>
      <c r="D952" s="4" t="n">
        <v>45594</v>
      </c>
      <c r="E952" s="2" t="inlineStr">
        <is>
          <t>16:39</t>
        </is>
      </c>
      <c r="F952" s="5" t="n">
        <v>791.67</v>
      </c>
      <c r="G952" s="5" t="n"/>
      <c r="H952" s="5" t="n"/>
      <c r="I952" s="5" t="n"/>
      <c r="J952" s="5" t="n">
        <v>158.33</v>
      </c>
      <c r="K952" s="5" t="n"/>
      <c r="L952" s="5" t="n"/>
      <c r="M952" s="5" t="n"/>
      <c r="N952" s="5" t="n"/>
      <c r="O952" s="5" t="n">
        <v>950</v>
      </c>
      <c r="P952" s="5" t="n"/>
      <c r="Q952" s="5" t="n">
        <v>950</v>
      </c>
      <c r="R952" s="5" t="n"/>
    </row>
    <row r="953">
      <c r="A953" s="2" t="inlineStr">
        <is>
          <t>EJ051124.TXT</t>
        </is>
      </c>
      <c r="B953" s="3" t="inlineStr">
        <is>
          <t>005618</t>
        </is>
      </c>
      <c r="C953" s="3" t="inlineStr">
        <is>
          <t>004513</t>
        </is>
      </c>
      <c r="D953" s="4" t="n">
        <v>45594</v>
      </c>
      <c r="E953" s="2" t="inlineStr">
        <is>
          <t>16:42</t>
        </is>
      </c>
      <c r="F953" s="5" t="n">
        <v>791.67</v>
      </c>
      <c r="G953" s="5" t="n"/>
      <c r="H953" s="5" t="n"/>
      <c r="I953" s="5" t="n"/>
      <c r="J953" s="5" t="n">
        <v>158.33</v>
      </c>
      <c r="K953" s="5" t="n"/>
      <c r="L953" s="5" t="n"/>
      <c r="M953" s="5" t="n"/>
      <c r="N953" s="5" t="n"/>
      <c r="O953" s="5" t="n">
        <v>950</v>
      </c>
      <c r="P953" s="5" t="n"/>
      <c r="Q953" s="5" t="n">
        <v>950</v>
      </c>
      <c r="R953" s="5" t="n"/>
    </row>
    <row r="954">
      <c r="A954" s="2" t="inlineStr">
        <is>
          <t>EJ051124.TXT</t>
        </is>
      </c>
      <c r="B954" s="3" t="inlineStr">
        <is>
          <t>005619</t>
        </is>
      </c>
      <c r="C954" s="3" t="inlineStr">
        <is>
          <t>004514</t>
        </is>
      </c>
      <c r="D954" s="4" t="n">
        <v>45594</v>
      </c>
      <c r="E954" s="2" t="inlineStr">
        <is>
          <t>17:18</t>
        </is>
      </c>
      <c r="F954" s="5" t="n">
        <v>274.17</v>
      </c>
      <c r="G954" s="5" t="n"/>
      <c r="H954" s="5" t="n"/>
      <c r="I954" s="5" t="n"/>
      <c r="J954" s="5" t="n">
        <v>54.83</v>
      </c>
      <c r="K954" s="5" t="n"/>
      <c r="L954" s="5" t="n"/>
      <c r="M954" s="5" t="n"/>
      <c r="N954" s="5" t="n"/>
      <c r="O954" s="5" t="n">
        <v>329</v>
      </c>
      <c r="P954" s="5" t="n"/>
      <c r="Q954" s="5" t="n">
        <v>329</v>
      </c>
      <c r="R954" s="5" t="n"/>
    </row>
    <row r="955">
      <c r="A955" s="2" t="inlineStr">
        <is>
          <t>EJ051124.TXT</t>
        </is>
      </c>
      <c r="B955" s="3" t="inlineStr">
        <is>
          <t>005620</t>
        </is>
      </c>
      <c r="C955" s="3" t="inlineStr">
        <is>
          <t>004515</t>
        </is>
      </c>
      <c r="D955" s="4" t="n">
        <v>45595</v>
      </c>
      <c r="E955" s="2" t="inlineStr">
        <is>
          <t>12:40</t>
        </is>
      </c>
      <c r="F955" s="5" t="n">
        <v>533.33</v>
      </c>
      <c r="G955" s="5" t="n"/>
      <c r="H955" s="5" t="n"/>
      <c r="I955" s="5" t="n"/>
      <c r="J955" s="5" t="n">
        <v>106.67</v>
      </c>
      <c r="K955" s="5" t="n"/>
      <c r="L955" s="5" t="n"/>
      <c r="M955" s="5" t="n"/>
      <c r="N955" s="5" t="n"/>
      <c r="O955" s="5" t="n">
        <v>640</v>
      </c>
      <c r="P955" s="5" t="n"/>
      <c r="Q955" s="5" t="n">
        <v>640</v>
      </c>
      <c r="R955" s="5" t="n"/>
    </row>
    <row r="956">
      <c r="A956" s="2" t="inlineStr">
        <is>
          <t>EJ051124.TXT</t>
        </is>
      </c>
      <c r="B956" s="3" t="inlineStr">
        <is>
          <t>005621</t>
        </is>
      </c>
      <c r="C956" s="3" t="inlineStr">
        <is>
          <t>004516</t>
        </is>
      </c>
      <c r="D956" s="4" t="n">
        <v>45600</v>
      </c>
      <c r="E956" s="2" t="inlineStr">
        <is>
          <t>12:42</t>
        </is>
      </c>
      <c r="F956" s="5" t="n">
        <v>825</v>
      </c>
      <c r="G956" s="5" t="n"/>
      <c r="H956" s="5" t="n"/>
      <c r="I956" s="5" t="n"/>
      <c r="J956" s="5" t="n">
        <v>165</v>
      </c>
      <c r="K956" s="5" t="n"/>
      <c r="L956" s="5" t="n"/>
      <c r="M956" s="5" t="n"/>
      <c r="N956" s="5" t="n"/>
      <c r="O956" s="5" t="n">
        <v>990</v>
      </c>
      <c r="P956" s="5" t="n"/>
      <c r="Q956" s="5" t="n">
        <v>990</v>
      </c>
      <c r="R956" s="5" t="n"/>
    </row>
    <row r="957">
      <c r="A957" s="2" t="inlineStr">
        <is>
          <t>EJ051124.TXT</t>
        </is>
      </c>
      <c r="B957" s="3" t="inlineStr">
        <is>
          <t>005622</t>
        </is>
      </c>
      <c r="C957" s="3" t="inlineStr">
        <is>
          <t>004517</t>
        </is>
      </c>
      <c r="D957" s="4" t="n">
        <v>45600</v>
      </c>
      <c r="E957" s="2" t="inlineStr">
        <is>
          <t>12:43</t>
        </is>
      </c>
      <c r="F957" s="5" t="n">
        <v>825</v>
      </c>
      <c r="G957" s="5" t="n"/>
      <c r="H957" s="5" t="n"/>
      <c r="I957" s="5" t="n"/>
      <c r="J957" s="5" t="n">
        <v>165</v>
      </c>
      <c r="K957" s="5" t="n"/>
      <c r="L957" s="5" t="n"/>
      <c r="M957" s="5" t="n"/>
      <c r="N957" s="5" t="n"/>
      <c r="O957" s="5" t="n">
        <v>990</v>
      </c>
      <c r="P957" s="5" t="n"/>
      <c r="Q957" s="5" t="n">
        <v>990</v>
      </c>
      <c r="R957" s="5" t="n"/>
    </row>
    <row r="958">
      <c r="A958" s="2" t="inlineStr">
        <is>
          <t>EJ051124.TXT</t>
        </is>
      </c>
      <c r="B958" s="3" t="inlineStr">
        <is>
          <t>005623</t>
        </is>
      </c>
      <c r="C958" s="3" t="inlineStr">
        <is>
          <t>004518</t>
        </is>
      </c>
      <c r="D958" s="4" t="n">
        <v>45600</v>
      </c>
      <c r="E958" s="2" t="inlineStr">
        <is>
          <t>12:43</t>
        </is>
      </c>
      <c r="F958" s="5" t="n">
        <v>825</v>
      </c>
      <c r="G958" s="5" t="n"/>
      <c r="H958" s="5" t="n"/>
      <c r="I958" s="5" t="n"/>
      <c r="J958" s="5" t="n">
        <v>165</v>
      </c>
      <c r="K958" s="5" t="n"/>
      <c r="L958" s="5" t="n"/>
      <c r="M958" s="5" t="n"/>
      <c r="N958" s="5" t="n"/>
      <c r="O958" s="5" t="n">
        <v>990</v>
      </c>
      <c r="P958" s="5" t="n"/>
      <c r="Q958" s="5" t="n">
        <v>990</v>
      </c>
      <c r="R958" s="5" t="n"/>
    </row>
    <row r="959">
      <c r="A959" s="2" t="inlineStr">
        <is>
          <t>EJ051124.TXT</t>
        </is>
      </c>
      <c r="B959" s="3" t="inlineStr">
        <is>
          <t>005624</t>
        </is>
      </c>
      <c r="C959" s="3" t="inlineStr">
        <is>
          <t>004519</t>
        </is>
      </c>
      <c r="D959" s="4" t="n">
        <v>45600</v>
      </c>
      <c r="E959" s="2" t="inlineStr">
        <is>
          <t>12:43</t>
        </is>
      </c>
      <c r="F959" s="5" t="n">
        <v>577.5</v>
      </c>
      <c r="G959" s="5" t="n"/>
      <c r="H959" s="5" t="n"/>
      <c r="I959" s="5" t="n"/>
      <c r="J959" s="5" t="n">
        <v>115.5</v>
      </c>
      <c r="K959" s="5" t="n"/>
      <c r="L959" s="5" t="n"/>
      <c r="M959" s="5" t="n"/>
      <c r="N959" s="5" t="n"/>
      <c r="O959" s="5" t="n">
        <v>693</v>
      </c>
      <c r="P959" s="5" t="n"/>
      <c r="Q959" s="5" t="n">
        <v>693</v>
      </c>
      <c r="R959" s="5" t="n"/>
    </row>
    <row r="960">
      <c r="A960" s="2" t="inlineStr">
        <is>
          <t>EJ051124.TXT</t>
        </is>
      </c>
      <c r="B960" s="3" t="inlineStr">
        <is>
          <t>005625</t>
        </is>
      </c>
      <c r="C960" s="3" t="inlineStr">
        <is>
          <t>004520</t>
        </is>
      </c>
      <c r="D960" s="4" t="n">
        <v>45600</v>
      </c>
      <c r="E960" s="2" t="inlineStr">
        <is>
          <t>15:24</t>
        </is>
      </c>
      <c r="F960" s="5" t="n">
        <v>208.33</v>
      </c>
      <c r="G960" s="5" t="n"/>
      <c r="H960" s="5" t="n"/>
      <c r="I960" s="5" t="n"/>
      <c r="J960" s="5" t="n">
        <v>41.67</v>
      </c>
      <c r="K960" s="5" t="n"/>
      <c r="L960" s="5" t="n"/>
      <c r="M960" s="5" t="n"/>
      <c r="N960" s="5" t="n"/>
      <c r="O960" s="5" t="n">
        <v>250</v>
      </c>
      <c r="P960" s="5" t="n"/>
      <c r="Q960" s="5" t="n">
        <v>250</v>
      </c>
      <c r="R960" s="5" t="n"/>
    </row>
    <row r="961">
      <c r="A961" s="2" t="inlineStr">
        <is>
          <t>EJ051124.TXT</t>
        </is>
      </c>
      <c r="B961" s="3" t="inlineStr">
        <is>
          <t>005626</t>
        </is>
      </c>
      <c r="C961" s="3" t="inlineStr">
        <is>
          <t>004521</t>
        </is>
      </c>
      <c r="D961" s="4" t="n">
        <v>45601</v>
      </c>
      <c r="E961" s="2" t="inlineStr">
        <is>
          <t>12:46</t>
        </is>
      </c>
      <c r="F961" s="5" t="n">
        <v>132.42</v>
      </c>
      <c r="G961" s="5" t="n"/>
      <c r="H961" s="5" t="n"/>
      <c r="I961" s="5" t="n"/>
      <c r="J961" s="5" t="n">
        <v>26.48</v>
      </c>
      <c r="K961" s="5" t="n"/>
      <c r="L961" s="5" t="n"/>
      <c r="M961" s="5" t="n"/>
      <c r="N961" s="5" t="n"/>
      <c r="O961" s="5" t="n">
        <v>158.9</v>
      </c>
      <c r="P961" s="5" t="n"/>
      <c r="Q961" s="5" t="n">
        <v>158.9</v>
      </c>
      <c r="R961" s="5" t="n"/>
    </row>
    <row r="962">
      <c r="A962" s="2" t="inlineStr">
        <is>
          <t>EJ051124.TXT</t>
        </is>
      </c>
      <c r="B962" s="3" t="inlineStr">
        <is>
          <t>005627</t>
        </is>
      </c>
      <c r="C962" s="3" t="inlineStr">
        <is>
          <t>004522</t>
        </is>
      </c>
      <c r="D962" s="4" t="n">
        <v>45601</v>
      </c>
      <c r="E962" s="2" t="inlineStr">
        <is>
          <t>17:19</t>
        </is>
      </c>
      <c r="F962" s="5" t="n">
        <v>166.67</v>
      </c>
      <c r="G962" s="5" t="n"/>
      <c r="H962" s="5" t="n"/>
      <c r="I962" s="5" t="n"/>
      <c r="J962" s="5" t="n">
        <v>33.33</v>
      </c>
      <c r="K962" s="5" t="n"/>
      <c r="L962" s="5" t="n"/>
      <c r="M962" s="5" t="n"/>
      <c r="N962" s="5" t="n"/>
      <c r="O962" s="5" t="n">
        <v>200</v>
      </c>
      <c r="P962" s="5" t="n"/>
      <c r="Q962" s="5" t="n">
        <v>200</v>
      </c>
      <c r="R962" s="5" t="n"/>
    </row>
    <row r="963">
      <c r="A963" s="2" t="inlineStr">
        <is>
          <t>EJ051124.TXT</t>
        </is>
      </c>
      <c r="B963" s="3" t="inlineStr">
        <is>
          <t>005628</t>
        </is>
      </c>
      <c r="C963" s="3" t="inlineStr">
        <is>
          <t>004523</t>
        </is>
      </c>
      <c r="D963" s="4" t="n">
        <v>45601</v>
      </c>
      <c r="E963" s="2" t="inlineStr">
        <is>
          <t>17:19</t>
        </is>
      </c>
      <c r="F963" s="5" t="n">
        <v>24.17</v>
      </c>
      <c r="G963" s="5" t="n"/>
      <c r="H963" s="5" t="n"/>
      <c r="I963" s="5" t="n"/>
      <c r="J963" s="5" t="n">
        <v>4.83</v>
      </c>
      <c r="K963" s="5" t="n"/>
      <c r="L963" s="5" t="n"/>
      <c r="M963" s="5" t="n"/>
      <c r="N963" s="5" t="n"/>
      <c r="O963" s="5" t="n">
        <v>29</v>
      </c>
      <c r="P963" s="5" t="n">
        <v>29</v>
      </c>
      <c r="Q963" s="5" t="n"/>
      <c r="R963" s="5" t="n"/>
    </row>
    <row r="964">
      <c r="A964" s="2" t="inlineStr">
        <is>
          <t>EJ051124.TXT</t>
        </is>
      </c>
      <c r="B964" s="3" t="inlineStr">
        <is>
          <t>005629</t>
        </is>
      </c>
      <c r="C964" s="3" t="inlineStr">
        <is>
          <t>004524</t>
        </is>
      </c>
      <c r="D964" s="4" t="n">
        <v>45601</v>
      </c>
      <c r="E964" s="2" t="inlineStr">
        <is>
          <t>17:22</t>
        </is>
      </c>
      <c r="F964" s="5" t="n">
        <v>208.33</v>
      </c>
      <c r="G964" s="5" t="n"/>
      <c r="H964" s="5" t="n"/>
      <c r="I964" s="5" t="n"/>
      <c r="J964" s="5" t="n">
        <v>41.67</v>
      </c>
      <c r="K964" s="5" t="n"/>
      <c r="L964" s="5" t="n"/>
      <c r="M964" s="5" t="n"/>
      <c r="N964" s="5" t="n"/>
      <c r="O964" s="5" t="n">
        <v>250</v>
      </c>
      <c r="P964" s="5" t="n"/>
      <c r="Q964" s="5" t="n">
        <v>250</v>
      </c>
      <c r="R964" s="5" t="n"/>
    </row>
    <row r="965">
      <c r="A965" s="2" t="inlineStr">
        <is>
          <t>EJ301124.TXT</t>
        </is>
      </c>
      <c r="B965" s="3" t="inlineStr">
        <is>
          <t>005637</t>
        </is>
      </c>
      <c r="C965" s="3" t="inlineStr">
        <is>
          <t>004525</t>
        </is>
      </c>
      <c r="D965" s="4" t="n">
        <v>45602</v>
      </c>
      <c r="E965" s="2" t="inlineStr">
        <is>
          <t>09:48</t>
        </is>
      </c>
      <c r="F965" s="5" t="n">
        <v>208.33</v>
      </c>
      <c r="G965" s="5" t="n"/>
      <c r="H965" s="5" t="n"/>
      <c r="I965" s="5" t="n"/>
      <c r="J965" s="5" t="n">
        <v>41.67</v>
      </c>
      <c r="K965" s="5" t="n"/>
      <c r="L965" s="5" t="n"/>
      <c r="M965" s="5" t="n"/>
      <c r="N965" s="5" t="n"/>
      <c r="O965" s="5" t="n">
        <v>250</v>
      </c>
      <c r="P965" s="5" t="n"/>
      <c r="Q965" s="5" t="n">
        <v>250</v>
      </c>
      <c r="R965" s="5" t="n"/>
    </row>
    <row r="966">
      <c r="A966" s="2" t="inlineStr">
        <is>
          <t>EJ301124.TXT</t>
        </is>
      </c>
      <c r="B966" s="3" t="inlineStr">
        <is>
          <t>005638</t>
        </is>
      </c>
      <c r="C966" s="3" t="inlineStr">
        <is>
          <t>004526</t>
        </is>
      </c>
      <c r="D966" s="4" t="n">
        <v>45604</v>
      </c>
      <c r="E966" s="2" t="inlineStr">
        <is>
          <t>18:23</t>
        </is>
      </c>
      <c r="F966" s="5" t="n">
        <v>324.17</v>
      </c>
      <c r="G966" s="5" t="n"/>
      <c r="H966" s="5" t="n"/>
      <c r="I966" s="5" t="n"/>
      <c r="J966" s="5" t="n">
        <v>64.83</v>
      </c>
      <c r="K966" s="5" t="n"/>
      <c r="L966" s="5" t="n"/>
      <c r="M966" s="5" t="n"/>
      <c r="N966" s="5" t="n"/>
      <c r="O966" s="5" t="n">
        <v>389</v>
      </c>
      <c r="P966" s="5" t="n">
        <v>389</v>
      </c>
      <c r="Q966" s="5" t="n"/>
      <c r="R966" s="5" t="n"/>
    </row>
    <row r="967">
      <c r="A967" s="2" t="inlineStr">
        <is>
          <t>EJ301124.TXT</t>
        </is>
      </c>
      <c r="B967" s="3" t="inlineStr">
        <is>
          <t>005639</t>
        </is>
      </c>
      <c r="C967" s="3" t="inlineStr">
        <is>
          <t>004527</t>
        </is>
      </c>
      <c r="D967" s="4" t="n">
        <v>45604</v>
      </c>
      <c r="E967" s="2" t="inlineStr">
        <is>
          <t>18:40</t>
        </is>
      </c>
      <c r="F967" s="5" t="n">
        <v>33.25</v>
      </c>
      <c r="G967" s="5" t="n"/>
      <c r="H967" s="5" t="n"/>
      <c r="I967" s="5" t="n"/>
      <c r="J967" s="5" t="n">
        <v>6.65</v>
      </c>
      <c r="K967" s="5" t="n"/>
      <c r="L967" s="5" t="n"/>
      <c r="M967" s="5" t="n"/>
      <c r="N967" s="5" t="n"/>
      <c r="O967" s="5" t="n">
        <v>39.9</v>
      </c>
      <c r="P967" s="5" t="n">
        <v>39.9</v>
      </c>
      <c r="Q967" s="5" t="n"/>
      <c r="R967" s="5" t="n"/>
    </row>
    <row r="968">
      <c r="A968" s="2" t="inlineStr">
        <is>
          <t>EJ301124.TXT</t>
        </is>
      </c>
      <c r="B968" s="3" t="inlineStr">
        <is>
          <t>005640</t>
        </is>
      </c>
      <c r="C968" s="3" t="inlineStr">
        <is>
          <t>004528</t>
        </is>
      </c>
      <c r="D968" s="4" t="n">
        <v>45605</v>
      </c>
      <c r="E968" s="2" t="inlineStr">
        <is>
          <t>16:17</t>
        </is>
      </c>
      <c r="F968" s="5" t="n">
        <v>93.15000000000001</v>
      </c>
      <c r="G968" s="5" t="n"/>
      <c r="H968" s="5" t="n"/>
      <c r="I968" s="5" t="n"/>
      <c r="J968" s="5" t="n">
        <v>18.63</v>
      </c>
      <c r="K968" s="5" t="n"/>
      <c r="L968" s="5" t="n"/>
      <c r="M968" s="5" t="n"/>
      <c r="N968" s="5" t="n"/>
      <c r="O968" s="5" t="n">
        <v>111.78</v>
      </c>
      <c r="P968" s="5" t="n">
        <v>111.78</v>
      </c>
      <c r="Q968" s="5" t="n"/>
      <c r="R968" s="5" t="n"/>
    </row>
    <row r="969">
      <c r="A969" s="2" t="inlineStr">
        <is>
          <t>EJ301124.TXT</t>
        </is>
      </c>
      <c r="B969" s="3" t="inlineStr">
        <is>
          <t>005641</t>
        </is>
      </c>
      <c r="C969" s="3" t="inlineStr">
        <is>
          <t>004529</t>
        </is>
      </c>
      <c r="D969" s="4" t="n">
        <v>45605</v>
      </c>
      <c r="E969" s="2" t="inlineStr">
        <is>
          <t>16:18</t>
        </is>
      </c>
      <c r="F969" s="5" t="n">
        <v>163.35</v>
      </c>
      <c r="G969" s="5" t="n"/>
      <c r="H969" s="5" t="n"/>
      <c r="I969" s="5" t="n"/>
      <c r="J969" s="5" t="n">
        <v>32.67</v>
      </c>
      <c r="K969" s="5" t="n"/>
      <c r="L969" s="5" t="n"/>
      <c r="M969" s="5" t="n"/>
      <c r="N969" s="5" t="n"/>
      <c r="O969" s="5" t="n">
        <v>196.02</v>
      </c>
      <c r="P969" s="5" t="n">
        <v>196.02</v>
      </c>
      <c r="Q969" s="5" t="n"/>
      <c r="R969" s="5" t="n"/>
    </row>
    <row r="970">
      <c r="A970" s="2" t="inlineStr">
        <is>
          <t>EJ301124.TXT</t>
        </is>
      </c>
      <c r="B970" s="3" t="inlineStr">
        <is>
          <t>005642</t>
        </is>
      </c>
      <c r="C970" s="3" t="inlineStr">
        <is>
          <t>004530</t>
        </is>
      </c>
      <c r="D970" s="4" t="n">
        <v>45614</v>
      </c>
      <c r="E970" s="2" t="inlineStr">
        <is>
          <t>15:40</t>
        </is>
      </c>
      <c r="F970" s="5" t="n">
        <v>830</v>
      </c>
      <c r="G970" s="5" t="n"/>
      <c r="H970" s="5" t="n"/>
      <c r="I970" s="5" t="n"/>
      <c r="J970" s="5" t="n">
        <v>166</v>
      </c>
      <c r="K970" s="5" t="n"/>
      <c r="L970" s="5" t="n"/>
      <c r="M970" s="5" t="n"/>
      <c r="N970" s="5" t="n"/>
      <c r="O970" s="5" t="n">
        <v>996</v>
      </c>
      <c r="P970" s="5" t="n"/>
      <c r="Q970" s="5" t="n">
        <v>996</v>
      </c>
      <c r="R970" s="5" t="n"/>
    </row>
    <row r="971">
      <c r="A971" s="2" t="inlineStr">
        <is>
          <t>EJ301124.TXT</t>
        </is>
      </c>
      <c r="B971" s="3" t="inlineStr">
        <is>
          <t>005643</t>
        </is>
      </c>
      <c r="C971" s="3" t="inlineStr">
        <is>
          <t>004531</t>
        </is>
      </c>
      <c r="D971" s="4" t="n">
        <v>45614</v>
      </c>
      <c r="E971" s="2" t="inlineStr">
        <is>
          <t>16:36</t>
        </is>
      </c>
      <c r="F971" s="5" t="n">
        <v>208.33</v>
      </c>
      <c r="G971" s="5" t="n"/>
      <c r="H971" s="5" t="n"/>
      <c r="I971" s="5" t="n"/>
      <c r="J971" s="5" t="n">
        <v>41.67</v>
      </c>
      <c r="K971" s="5" t="n"/>
      <c r="L971" s="5" t="n"/>
      <c r="M971" s="5" t="n"/>
      <c r="N971" s="5" t="n"/>
      <c r="O971" s="5" t="n">
        <v>250</v>
      </c>
      <c r="P971" s="5" t="n"/>
      <c r="Q971" s="5" t="n">
        <v>250</v>
      </c>
      <c r="R971" s="5" t="n"/>
    </row>
    <row r="972">
      <c r="A972" s="2" t="inlineStr">
        <is>
          <t>EJ301124.TXT</t>
        </is>
      </c>
      <c r="B972" s="3" t="inlineStr">
        <is>
          <t>005644</t>
        </is>
      </c>
      <c r="C972" s="3" t="inlineStr">
        <is>
          <t>004532</t>
        </is>
      </c>
      <c r="D972" s="4" t="n">
        <v>45615</v>
      </c>
      <c r="E972" s="2" t="inlineStr">
        <is>
          <t>11:56</t>
        </is>
      </c>
      <c r="F972" s="5" t="n">
        <v>190.83</v>
      </c>
      <c r="G972" s="5" t="n"/>
      <c r="H972" s="5" t="n"/>
      <c r="I972" s="5" t="n"/>
      <c r="J972" s="5" t="n">
        <v>38.17</v>
      </c>
      <c r="K972" s="5" t="n"/>
      <c r="L972" s="5" t="n"/>
      <c r="M972" s="5" t="n"/>
      <c r="N972" s="5" t="n"/>
      <c r="O972" s="5" t="n">
        <v>229</v>
      </c>
      <c r="P972" s="5" t="n">
        <v>229</v>
      </c>
      <c r="Q972" s="5" t="n"/>
      <c r="R972" s="5" t="n"/>
    </row>
    <row r="973">
      <c r="A973" s="2" t="inlineStr">
        <is>
          <t>EJ301124.TXT</t>
        </is>
      </c>
      <c r="B973" s="3" t="inlineStr">
        <is>
          <t>005645</t>
        </is>
      </c>
      <c r="C973" s="3" t="inlineStr">
        <is>
          <t>004533</t>
        </is>
      </c>
      <c r="D973" s="4" t="n">
        <v>45621</v>
      </c>
      <c r="E973" s="2" t="inlineStr">
        <is>
          <t>11:36</t>
        </is>
      </c>
      <c r="F973" s="5" t="n">
        <v>199.17</v>
      </c>
      <c r="G973" s="5" t="n"/>
      <c r="H973" s="5" t="n"/>
      <c r="I973" s="5" t="n"/>
      <c r="J973" s="5" t="n">
        <v>39.83</v>
      </c>
      <c r="K973" s="5" t="n"/>
      <c r="L973" s="5" t="n"/>
      <c r="M973" s="5" t="n"/>
      <c r="N973" s="5" t="n"/>
      <c r="O973" s="5" t="n">
        <v>239</v>
      </c>
      <c r="P973" s="5" t="n">
        <v>239</v>
      </c>
      <c r="Q973" s="5" t="n"/>
      <c r="R973" s="5" t="n"/>
    </row>
    <row r="974">
      <c r="A974" s="2" t="inlineStr">
        <is>
          <t>EJ301124.TXT</t>
        </is>
      </c>
      <c r="B974" s="3" t="inlineStr">
        <is>
          <t>005646</t>
        </is>
      </c>
      <c r="C974" s="3" t="inlineStr">
        <is>
          <t>004534</t>
        </is>
      </c>
      <c r="D974" s="4" t="n">
        <v>45625</v>
      </c>
      <c r="E974" s="2" t="inlineStr">
        <is>
          <t>17:20</t>
        </is>
      </c>
      <c r="F974" s="5" t="n">
        <v>208.33</v>
      </c>
      <c r="G974" s="5" t="n"/>
      <c r="H974" s="5" t="n"/>
      <c r="I974" s="5" t="n"/>
      <c r="J974" s="5" t="n">
        <v>41.67</v>
      </c>
      <c r="K974" s="5" t="n"/>
      <c r="L974" s="5" t="n"/>
      <c r="M974" s="5" t="n"/>
      <c r="N974" s="5" t="n"/>
      <c r="O974" s="5" t="n">
        <v>250</v>
      </c>
      <c r="P974" s="5" t="n"/>
      <c r="Q974" s="5" t="n">
        <v>250</v>
      </c>
      <c r="R974" s="5" t="n"/>
    </row>
    <row r="975">
      <c r="A975" s="2" t="inlineStr">
        <is>
          <t>EJ301124.TXT</t>
        </is>
      </c>
      <c r="B975" s="3" t="inlineStr">
        <is>
          <t>005647</t>
        </is>
      </c>
      <c r="C975" s="3" t="inlineStr">
        <is>
          <t>004535</t>
        </is>
      </c>
      <c r="D975" s="4" t="n">
        <v>45626</v>
      </c>
      <c r="E975" s="2" t="inlineStr">
        <is>
          <t>15:32</t>
        </is>
      </c>
      <c r="F975" s="5" t="n">
        <v>1210.75</v>
      </c>
      <c r="G975" s="5" t="n"/>
      <c r="H975" s="5" t="n"/>
      <c r="I975" s="5" t="n"/>
      <c r="J975" s="5" t="n">
        <v>242.15</v>
      </c>
      <c r="K975" s="5" t="n"/>
      <c r="L975" s="5" t="n"/>
      <c r="M975" s="5" t="n"/>
      <c r="N975" s="5" t="n"/>
      <c r="O975" s="5" t="n">
        <v>1452.9</v>
      </c>
      <c r="P975" s="5" t="n">
        <v>1452.9</v>
      </c>
      <c r="Q975" s="5" t="n"/>
      <c r="R975" s="5" t="n"/>
    </row>
    <row r="976">
      <c r="A976" s="2" t="inlineStr">
        <is>
          <t>EJ301124.TXT</t>
        </is>
      </c>
      <c r="B976" s="3" t="inlineStr">
        <is>
          <t>005648</t>
        </is>
      </c>
      <c r="C976" s="3" t="inlineStr">
        <is>
          <t>004536</t>
        </is>
      </c>
      <c r="D976" s="4" t="n">
        <v>45626</v>
      </c>
      <c r="E976" s="2" t="inlineStr">
        <is>
          <t>16:29</t>
        </is>
      </c>
      <c r="F976" s="5" t="n">
        <v>274.17</v>
      </c>
      <c r="G976" s="5" t="n"/>
      <c r="H976" s="5" t="n"/>
      <c r="I976" s="5" t="n"/>
      <c r="J976" s="5" t="n">
        <v>54.83</v>
      </c>
      <c r="K976" s="5" t="n"/>
      <c r="L976" s="5" t="n"/>
      <c r="M976" s="5" t="n"/>
      <c r="N976" s="5" t="n"/>
      <c r="O976" s="5" t="n">
        <v>329</v>
      </c>
      <c r="P976" s="5" t="n">
        <v>329</v>
      </c>
      <c r="Q976" s="5" t="n"/>
      <c r="R976" s="5" t="n"/>
    </row>
    <row r="977">
      <c r="A977" s="2" t="inlineStr">
        <is>
          <t>EJ020125.TXT</t>
        </is>
      </c>
      <c r="B977" s="3" t="inlineStr">
        <is>
          <t>005656</t>
        </is>
      </c>
      <c r="C977" s="3" t="inlineStr">
        <is>
          <t>004537</t>
        </is>
      </c>
      <c r="D977" s="4" t="n">
        <v>45629</v>
      </c>
      <c r="E977" s="2" t="inlineStr">
        <is>
          <t>16:04</t>
        </is>
      </c>
      <c r="F977" s="5" t="n">
        <v>124.17</v>
      </c>
      <c r="G977" s="5" t="n"/>
      <c r="H977" s="5" t="n"/>
      <c r="I977" s="5" t="n"/>
      <c r="J977" s="5" t="n">
        <v>24.83</v>
      </c>
      <c r="K977" s="5" t="n"/>
      <c r="L977" s="5" t="n"/>
      <c r="M977" s="5" t="n"/>
      <c r="N977" s="5" t="n"/>
      <c r="O977" s="5" t="n">
        <v>149</v>
      </c>
      <c r="P977" s="5" t="n">
        <v>149</v>
      </c>
      <c r="Q977" s="5" t="n"/>
      <c r="R977" s="5" t="n"/>
    </row>
    <row r="978">
      <c r="A978" s="2" t="inlineStr">
        <is>
          <t>EJ020125.TXT</t>
        </is>
      </c>
      <c r="B978" s="3" t="inlineStr">
        <is>
          <t>005657</t>
        </is>
      </c>
      <c r="C978" s="3" t="inlineStr">
        <is>
          <t>004538</t>
        </is>
      </c>
      <c r="D978" s="4" t="n">
        <v>45629</v>
      </c>
      <c r="E978" s="2" t="inlineStr">
        <is>
          <t>17:35</t>
        </is>
      </c>
      <c r="F978" s="5" t="n">
        <v>208.33</v>
      </c>
      <c r="G978" s="5" t="n"/>
      <c r="H978" s="5" t="n"/>
      <c r="I978" s="5" t="n"/>
      <c r="J978" s="5" t="n">
        <v>41.67</v>
      </c>
      <c r="K978" s="5" t="n"/>
      <c r="L978" s="5" t="n"/>
      <c r="M978" s="5" t="n"/>
      <c r="N978" s="5" t="n"/>
      <c r="O978" s="5" t="n">
        <v>250</v>
      </c>
      <c r="P978" s="5" t="n"/>
      <c r="Q978" s="5" t="n">
        <v>250</v>
      </c>
      <c r="R978" s="5" t="n"/>
    </row>
    <row r="979">
      <c r="A979" s="2" t="inlineStr">
        <is>
          <t>EJ020125.TXT</t>
        </is>
      </c>
      <c r="B979" s="3" t="inlineStr">
        <is>
          <t>005658</t>
        </is>
      </c>
      <c r="C979" s="3" t="inlineStr">
        <is>
          <t>004539</t>
        </is>
      </c>
      <c r="D979" s="4" t="n">
        <v>45632</v>
      </c>
      <c r="E979" s="2" t="inlineStr">
        <is>
          <t>11:59</t>
        </is>
      </c>
      <c r="F979" s="5" t="n">
        <v>548.33</v>
      </c>
      <c r="G979" s="5" t="n"/>
      <c r="H979" s="5" t="n"/>
      <c r="I979" s="5" t="n"/>
      <c r="J979" s="5" t="n">
        <v>109.67</v>
      </c>
      <c r="K979" s="5" t="n"/>
      <c r="L979" s="5" t="n"/>
      <c r="M979" s="5" t="n"/>
      <c r="N979" s="5" t="n"/>
      <c r="O979" s="5" t="n">
        <v>658</v>
      </c>
      <c r="P979" s="5" t="n"/>
      <c r="Q979" s="5" t="n">
        <v>658</v>
      </c>
      <c r="R979" s="5" t="n"/>
    </row>
    <row r="980">
      <c r="A980" s="2" t="inlineStr">
        <is>
          <t>EJ020125.TXT</t>
        </is>
      </c>
      <c r="B980" s="3" t="inlineStr">
        <is>
          <t>005659</t>
        </is>
      </c>
      <c r="C980" s="3" t="inlineStr">
        <is>
          <t>004540</t>
        </is>
      </c>
      <c r="D980" s="4" t="n">
        <v>45632</v>
      </c>
      <c r="E980" s="2" t="inlineStr">
        <is>
          <t>11:59</t>
        </is>
      </c>
      <c r="F980" s="5" t="n">
        <v>548.33</v>
      </c>
      <c r="G980" s="5" t="n"/>
      <c r="H980" s="5" t="n"/>
      <c r="I980" s="5" t="n"/>
      <c r="J980" s="5" t="n">
        <v>109.67</v>
      </c>
      <c r="K980" s="5" t="n"/>
      <c r="L980" s="5" t="n"/>
      <c r="M980" s="5" t="n"/>
      <c r="N980" s="5" t="n"/>
      <c r="O980" s="5" t="n">
        <v>658</v>
      </c>
      <c r="P980" s="5" t="n"/>
      <c r="Q980" s="5" t="n">
        <v>658</v>
      </c>
      <c r="R980" s="5" t="n"/>
    </row>
    <row r="981">
      <c r="A981" s="2" t="inlineStr">
        <is>
          <t>EJ020125.TXT</t>
        </is>
      </c>
      <c r="B981" s="3" t="inlineStr">
        <is>
          <t>005660</t>
        </is>
      </c>
      <c r="C981" s="3" t="inlineStr">
        <is>
          <t>004541</t>
        </is>
      </c>
      <c r="D981" s="4" t="n">
        <v>45632</v>
      </c>
      <c r="E981" s="2" t="inlineStr">
        <is>
          <t>18:13</t>
        </is>
      </c>
      <c r="F981" s="5" t="n">
        <v>166.33</v>
      </c>
      <c r="G981" s="5" t="n"/>
      <c r="H981" s="5" t="n"/>
      <c r="I981" s="5" t="n"/>
      <c r="J981" s="5" t="n">
        <v>33.27</v>
      </c>
      <c r="K981" s="5" t="n"/>
      <c r="L981" s="5" t="n"/>
      <c r="M981" s="5" t="n"/>
      <c r="N981" s="5" t="n"/>
      <c r="O981" s="5" t="n">
        <v>199.6</v>
      </c>
      <c r="P981" s="5" t="n"/>
      <c r="Q981" s="5" t="n">
        <v>199.6</v>
      </c>
      <c r="R981" s="5" t="n"/>
    </row>
    <row r="982">
      <c r="A982" s="2" t="inlineStr">
        <is>
          <t>EJ020125.TXT</t>
        </is>
      </c>
      <c r="B982" s="3" t="inlineStr">
        <is>
          <t>005661</t>
        </is>
      </c>
      <c r="C982" s="3" t="inlineStr">
        <is>
          <t>004542</t>
        </is>
      </c>
      <c r="D982" s="4" t="n">
        <v>45635</v>
      </c>
      <c r="E982" s="2" t="inlineStr">
        <is>
          <t>14:35</t>
        </is>
      </c>
      <c r="F982" s="5" t="n">
        <v>648.17</v>
      </c>
      <c r="G982" s="5" t="n"/>
      <c r="H982" s="5" t="n"/>
      <c r="I982" s="5" t="n"/>
      <c r="J982" s="5" t="n">
        <v>129.63</v>
      </c>
      <c r="K982" s="5" t="n"/>
      <c r="L982" s="5" t="n"/>
      <c r="M982" s="5" t="n"/>
      <c r="N982" s="5" t="n"/>
      <c r="O982" s="5" t="n">
        <v>777.8</v>
      </c>
      <c r="P982" s="5" t="n"/>
      <c r="Q982" s="5" t="n">
        <v>777.8</v>
      </c>
      <c r="R982" s="5" t="n"/>
    </row>
    <row r="983">
      <c r="A983" s="2" t="inlineStr">
        <is>
          <t>EJ020125.TXT</t>
        </is>
      </c>
      <c r="B983" s="3" t="inlineStr">
        <is>
          <t>005662</t>
        </is>
      </c>
      <c r="C983" s="3" t="inlineStr">
        <is>
          <t>004543</t>
        </is>
      </c>
      <c r="D983" s="4" t="n">
        <v>45637</v>
      </c>
      <c r="E983" s="2" t="inlineStr">
        <is>
          <t>11:36</t>
        </is>
      </c>
      <c r="F983" s="5" t="n">
        <v>1096.67</v>
      </c>
      <c r="G983" s="5" t="n"/>
      <c r="H983" s="5" t="n"/>
      <c r="I983" s="5" t="n"/>
      <c r="J983" s="5" t="n">
        <v>219.33</v>
      </c>
      <c r="K983" s="5" t="n"/>
      <c r="L983" s="5" t="n"/>
      <c r="M983" s="5" t="n"/>
      <c r="N983" s="5" t="n"/>
      <c r="O983" s="5" t="n">
        <v>1316</v>
      </c>
      <c r="P983" s="5" t="n">
        <v>1316</v>
      </c>
      <c r="Q983" s="5" t="n"/>
      <c r="R983" s="5" t="n"/>
    </row>
    <row r="984">
      <c r="A984" s="2" t="inlineStr">
        <is>
          <t>EJ020125.TXT</t>
        </is>
      </c>
      <c r="B984" s="3" t="inlineStr">
        <is>
          <t>005663</t>
        </is>
      </c>
      <c r="C984" s="3" t="inlineStr">
        <is>
          <t>004544</t>
        </is>
      </c>
      <c r="D984" s="4" t="n">
        <v>45638</v>
      </c>
      <c r="E984" s="2" t="inlineStr">
        <is>
          <t>12:56</t>
        </is>
      </c>
      <c r="F984" s="5" t="n">
        <v>548.33</v>
      </c>
      <c r="G984" s="5" t="n"/>
      <c r="H984" s="5" t="n"/>
      <c r="I984" s="5" t="n"/>
      <c r="J984" s="5" t="n">
        <v>109.67</v>
      </c>
      <c r="K984" s="5" t="n"/>
      <c r="L984" s="5" t="n"/>
      <c r="M984" s="5" t="n"/>
      <c r="N984" s="5" t="n"/>
      <c r="O984" s="5" t="n">
        <v>658</v>
      </c>
      <c r="P984" s="5" t="n"/>
      <c r="Q984" s="5" t="n">
        <v>658</v>
      </c>
      <c r="R984" s="5" t="n"/>
    </row>
    <row r="985">
      <c r="A985" s="2" t="inlineStr">
        <is>
          <t>EJ020125.TXT</t>
        </is>
      </c>
      <c r="B985" s="3" t="inlineStr">
        <is>
          <t>005664</t>
        </is>
      </c>
      <c r="C985" s="3" t="inlineStr">
        <is>
          <t>004545</t>
        </is>
      </c>
      <c r="D985" s="4" t="n">
        <v>45643</v>
      </c>
      <c r="E985" s="2" t="inlineStr">
        <is>
          <t>14:57</t>
        </is>
      </c>
      <c r="F985" s="5" t="n">
        <v>548.33</v>
      </c>
      <c r="G985" s="5" t="n"/>
      <c r="H985" s="5" t="n"/>
      <c r="I985" s="5" t="n"/>
      <c r="J985" s="5" t="n">
        <v>109.67</v>
      </c>
      <c r="K985" s="5" t="n"/>
      <c r="L985" s="5" t="n"/>
      <c r="M985" s="5" t="n"/>
      <c r="N985" s="5" t="n"/>
      <c r="O985" s="5" t="n">
        <v>658</v>
      </c>
      <c r="P985" s="5" t="n"/>
      <c r="Q985" s="5" t="n">
        <v>658</v>
      </c>
      <c r="R985" s="5" t="n"/>
    </row>
    <row r="986">
      <c r="A986" s="2" t="inlineStr">
        <is>
          <t>EJ020125.TXT</t>
        </is>
      </c>
      <c r="B986" s="3" t="inlineStr">
        <is>
          <t>005665</t>
        </is>
      </c>
      <c r="C986" s="3" t="inlineStr">
        <is>
          <t>004546</t>
        </is>
      </c>
      <c r="D986" s="4" t="n">
        <v>45644</v>
      </c>
      <c r="E986" s="2" t="inlineStr">
        <is>
          <t>11:36</t>
        </is>
      </c>
      <c r="F986" s="5" t="n">
        <v>749.58</v>
      </c>
      <c r="G986" s="5" t="n"/>
      <c r="H986" s="5" t="n"/>
      <c r="I986" s="5" t="n"/>
      <c r="J986" s="5" t="n">
        <v>149.92</v>
      </c>
      <c r="K986" s="5" t="n"/>
      <c r="L986" s="5" t="n"/>
      <c r="M986" s="5" t="n"/>
      <c r="N986" s="5" t="n"/>
      <c r="O986" s="5" t="n">
        <v>899.5</v>
      </c>
      <c r="P986" s="5" t="n"/>
      <c r="Q986" s="5" t="n">
        <v>899.5</v>
      </c>
      <c r="R986" s="5" t="n"/>
    </row>
    <row r="987">
      <c r="A987" s="2" t="inlineStr">
        <is>
          <t>EJ020125.TXT</t>
        </is>
      </c>
      <c r="B987" s="3" t="inlineStr">
        <is>
          <t>005666</t>
        </is>
      </c>
      <c r="C987" s="3" t="inlineStr">
        <is>
          <t>004547</t>
        </is>
      </c>
      <c r="D987" s="4" t="n">
        <v>45644</v>
      </c>
      <c r="E987" s="2" t="inlineStr">
        <is>
          <t>11:36</t>
        </is>
      </c>
      <c r="F987" s="5" t="n">
        <v>749.58</v>
      </c>
      <c r="G987" s="5" t="n"/>
      <c r="H987" s="5" t="n"/>
      <c r="I987" s="5" t="n"/>
      <c r="J987" s="5" t="n">
        <v>149.92</v>
      </c>
      <c r="K987" s="5" t="n"/>
      <c r="L987" s="5" t="n"/>
      <c r="M987" s="5" t="n"/>
      <c r="N987" s="5" t="n"/>
      <c r="O987" s="5" t="n">
        <v>899.5</v>
      </c>
      <c r="P987" s="5" t="n"/>
      <c r="Q987" s="5" t="n">
        <v>899.5</v>
      </c>
      <c r="R987" s="5" t="n"/>
    </row>
    <row r="988">
      <c r="A988" s="2" t="inlineStr">
        <is>
          <t>EJ020125.TXT</t>
        </is>
      </c>
      <c r="B988" s="3" t="inlineStr">
        <is>
          <t>005667</t>
        </is>
      </c>
      <c r="C988" s="3" t="inlineStr">
        <is>
          <t>004548</t>
        </is>
      </c>
      <c r="D988" s="4" t="n">
        <v>45644</v>
      </c>
      <c r="E988" s="2" t="inlineStr">
        <is>
          <t>11:36</t>
        </is>
      </c>
      <c r="F988" s="5" t="n">
        <v>299.83</v>
      </c>
      <c r="G988" s="5" t="n"/>
      <c r="H988" s="5" t="n"/>
      <c r="I988" s="5" t="n"/>
      <c r="J988" s="5" t="n">
        <v>59.97</v>
      </c>
      <c r="K988" s="5" t="n"/>
      <c r="L988" s="5" t="n"/>
      <c r="M988" s="5" t="n"/>
      <c r="N988" s="5" t="n"/>
      <c r="O988" s="5" t="n">
        <v>359.8</v>
      </c>
      <c r="P988" s="5" t="n"/>
      <c r="Q988" s="5" t="n">
        <v>359.8</v>
      </c>
      <c r="R988" s="5" t="n"/>
    </row>
    <row r="989">
      <c r="A989" s="2" t="inlineStr">
        <is>
          <t>EJ020125.TXT</t>
        </is>
      </c>
      <c r="B989" s="3" t="inlineStr">
        <is>
          <t>005668</t>
        </is>
      </c>
      <c r="C989" s="3" t="inlineStr">
        <is>
          <t>004549</t>
        </is>
      </c>
      <c r="D989" s="4" t="n">
        <v>45644</v>
      </c>
      <c r="E989" s="2" t="inlineStr">
        <is>
          <t>14:52</t>
        </is>
      </c>
      <c r="F989" s="5" t="n">
        <v>548.33</v>
      </c>
      <c r="G989" s="5" t="n"/>
      <c r="H989" s="5" t="n"/>
      <c r="I989" s="5" t="n"/>
      <c r="J989" s="5" t="n">
        <v>109.67</v>
      </c>
      <c r="K989" s="5" t="n"/>
      <c r="L989" s="5" t="n"/>
      <c r="M989" s="5" t="n"/>
      <c r="N989" s="5" t="n"/>
      <c r="O989" s="5" t="n">
        <v>658</v>
      </c>
      <c r="P989" s="5" t="n"/>
      <c r="Q989" s="5" t="n">
        <v>658</v>
      </c>
      <c r="R989" s="5" t="n"/>
    </row>
    <row r="990">
      <c r="A990" s="2" t="inlineStr">
        <is>
          <t>EJ020125.TXT</t>
        </is>
      </c>
      <c r="B990" s="3" t="inlineStr">
        <is>
          <t>005669</t>
        </is>
      </c>
      <c r="C990" s="3" t="inlineStr">
        <is>
          <t>004550</t>
        </is>
      </c>
      <c r="D990" s="4" t="n">
        <v>45644</v>
      </c>
      <c r="E990" s="2" t="inlineStr">
        <is>
          <t>14:56</t>
        </is>
      </c>
      <c r="F990" s="5" t="n">
        <v>73.33</v>
      </c>
      <c r="G990" s="5" t="n"/>
      <c r="H990" s="5" t="n"/>
      <c r="I990" s="5" t="n"/>
      <c r="J990" s="5" t="n">
        <v>14.67</v>
      </c>
      <c r="K990" s="5" t="n"/>
      <c r="L990" s="5" t="n"/>
      <c r="M990" s="5" t="n"/>
      <c r="N990" s="5" t="n"/>
      <c r="O990" s="5" t="n">
        <v>88</v>
      </c>
      <c r="P990" s="5" t="n">
        <v>88</v>
      </c>
      <c r="Q990" s="5" t="n"/>
      <c r="R990" s="5" t="n"/>
    </row>
    <row r="991">
      <c r="A991" s="2" t="inlineStr">
        <is>
          <t>EJ020125.TXT</t>
        </is>
      </c>
      <c r="B991" s="3" t="inlineStr">
        <is>
          <t>005670</t>
        </is>
      </c>
      <c r="C991" s="3" t="inlineStr">
        <is>
          <t>004551</t>
        </is>
      </c>
      <c r="D991" s="4" t="n">
        <v>45644</v>
      </c>
      <c r="E991" s="2" t="inlineStr">
        <is>
          <t>15:42</t>
        </is>
      </c>
      <c r="F991" s="5" t="n">
        <v>424.08</v>
      </c>
      <c r="G991" s="5" t="n"/>
      <c r="H991" s="5" t="n"/>
      <c r="I991" s="5" t="n"/>
      <c r="J991" s="5" t="n">
        <v>84.81999999999999</v>
      </c>
      <c r="K991" s="5" t="n"/>
      <c r="L991" s="5" t="n"/>
      <c r="M991" s="5" t="n"/>
      <c r="N991" s="5" t="n"/>
      <c r="O991" s="5" t="n">
        <v>508.9</v>
      </c>
      <c r="P991" s="5" t="n"/>
      <c r="Q991" s="5" t="n">
        <v>508.9</v>
      </c>
      <c r="R991" s="5" t="n"/>
    </row>
    <row r="992">
      <c r="A992" s="2" t="inlineStr">
        <is>
          <t>EJ020125.TXT</t>
        </is>
      </c>
      <c r="B992" s="3" t="inlineStr">
        <is>
          <t>005671</t>
        </is>
      </c>
      <c r="C992" s="3" t="inlineStr">
        <is>
          <t>004552</t>
        </is>
      </c>
      <c r="D992" s="4" t="n">
        <v>45645</v>
      </c>
      <c r="E992" s="2" t="inlineStr">
        <is>
          <t>16:37</t>
        </is>
      </c>
      <c r="F992" s="5" t="n">
        <v>83</v>
      </c>
      <c r="G992" s="5" t="n"/>
      <c r="H992" s="5" t="n"/>
      <c r="I992" s="5" t="n"/>
      <c r="J992" s="5" t="n">
        <v>16.6</v>
      </c>
      <c r="K992" s="5" t="n"/>
      <c r="L992" s="5" t="n"/>
      <c r="M992" s="5" t="n"/>
      <c r="N992" s="5" t="n"/>
      <c r="O992" s="5" t="n">
        <v>99.59999999999999</v>
      </c>
      <c r="P992" s="5" t="n"/>
      <c r="Q992" s="5" t="n">
        <v>99.59999999999999</v>
      </c>
      <c r="R992" s="5" t="n"/>
    </row>
    <row r="993">
      <c r="A993" s="2" t="inlineStr">
        <is>
          <t>EJ020125.TXT</t>
        </is>
      </c>
      <c r="B993" s="3" t="inlineStr">
        <is>
          <t>005672</t>
        </is>
      </c>
      <c r="C993" s="3" t="inlineStr">
        <is>
          <t>004553</t>
        </is>
      </c>
      <c r="D993" s="4" t="n">
        <v>45645</v>
      </c>
      <c r="E993" s="2" t="inlineStr">
        <is>
          <t>17:31</t>
        </is>
      </c>
      <c r="F993" s="5" t="n">
        <v>329.17</v>
      </c>
      <c r="G993" s="5" t="n"/>
      <c r="H993" s="5" t="n"/>
      <c r="I993" s="5" t="n"/>
      <c r="J993" s="5" t="n">
        <v>65.83</v>
      </c>
      <c r="K993" s="5" t="n"/>
      <c r="L993" s="5" t="n"/>
      <c r="M993" s="5" t="n"/>
      <c r="N993" s="5" t="n"/>
      <c r="O993" s="5" t="n">
        <v>395</v>
      </c>
      <c r="P993" s="5" t="n"/>
      <c r="Q993" s="5" t="n">
        <v>395</v>
      </c>
      <c r="R993" s="5" t="n"/>
    </row>
    <row r="994">
      <c r="A994" s="2" t="inlineStr">
        <is>
          <t>EJ020125.TXT</t>
        </is>
      </c>
      <c r="B994" s="3" t="inlineStr">
        <is>
          <t>005673</t>
        </is>
      </c>
      <c r="C994" s="3" t="inlineStr">
        <is>
          <t>004554</t>
        </is>
      </c>
      <c r="D994" s="4" t="n">
        <v>45645</v>
      </c>
      <c r="E994" s="2" t="inlineStr">
        <is>
          <t>18:17</t>
        </is>
      </c>
      <c r="F994" s="5" t="n">
        <v>548.33</v>
      </c>
      <c r="G994" s="5" t="n"/>
      <c r="H994" s="5" t="n"/>
      <c r="I994" s="5" t="n"/>
      <c r="J994" s="5" t="n">
        <v>109.67</v>
      </c>
      <c r="K994" s="5" t="n"/>
      <c r="L994" s="5" t="n"/>
      <c r="M994" s="5" t="n"/>
      <c r="N994" s="5" t="n"/>
      <c r="O994" s="5" t="n">
        <v>658</v>
      </c>
      <c r="P994" s="5" t="n"/>
      <c r="Q994" s="5" t="n">
        <v>658</v>
      </c>
      <c r="R994" s="5" t="n"/>
    </row>
    <row r="995">
      <c r="A995" s="2" t="inlineStr">
        <is>
          <t>EJ020125.TXT</t>
        </is>
      </c>
      <c r="B995" s="3" t="inlineStr">
        <is>
          <t>005674</t>
        </is>
      </c>
      <c r="C995" s="3" t="inlineStr">
        <is>
          <t>004555</t>
        </is>
      </c>
      <c r="D995" s="4" t="n">
        <v>45645</v>
      </c>
      <c r="E995" s="2" t="inlineStr">
        <is>
          <t>18:17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/>
      <c r="Q995" s="5" t="n">
        <v>658</v>
      </c>
      <c r="R995" s="5" t="n"/>
    </row>
    <row r="996">
      <c r="A996" s="2" t="inlineStr">
        <is>
          <t>EJ020125.TXT</t>
        </is>
      </c>
      <c r="B996" s="3" t="inlineStr">
        <is>
          <t>005675</t>
        </is>
      </c>
      <c r="C996" s="3" t="inlineStr">
        <is>
          <t>004556</t>
        </is>
      </c>
      <c r="D996" s="4" t="n">
        <v>45646</v>
      </c>
      <c r="E996" s="2" t="inlineStr">
        <is>
          <t>10:07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/>
      <c r="Q996" s="5" t="n">
        <v>658</v>
      </c>
      <c r="R996" s="5" t="n"/>
    </row>
    <row r="997">
      <c r="A997" s="2" t="inlineStr">
        <is>
          <t>EJ020125.TXT</t>
        </is>
      </c>
      <c r="B997" s="3" t="inlineStr">
        <is>
          <t>005676</t>
        </is>
      </c>
      <c r="C997" s="3" t="inlineStr">
        <is>
          <t>004557</t>
        </is>
      </c>
      <c r="D997" s="4" t="n">
        <v>45646</v>
      </c>
      <c r="E997" s="2" t="inlineStr">
        <is>
          <t>10:07</t>
        </is>
      </c>
      <c r="F997" s="5" t="n">
        <v>548.33</v>
      </c>
      <c r="G997" s="5" t="n"/>
      <c r="H997" s="5" t="n"/>
      <c r="I997" s="5" t="n"/>
      <c r="J997" s="5" t="n">
        <v>109.67</v>
      </c>
      <c r="K997" s="5" t="n"/>
      <c r="L997" s="5" t="n"/>
      <c r="M997" s="5" t="n"/>
      <c r="N997" s="5" t="n"/>
      <c r="O997" s="5" t="n">
        <v>658</v>
      </c>
      <c r="P997" s="5" t="n"/>
      <c r="Q997" s="5" t="n">
        <v>658</v>
      </c>
      <c r="R997" s="5" t="n"/>
    </row>
    <row r="998">
      <c r="A998" s="2" t="inlineStr">
        <is>
          <t>EJ020125.TXT</t>
        </is>
      </c>
      <c r="B998" s="3" t="inlineStr">
        <is>
          <t>005677</t>
        </is>
      </c>
      <c r="C998" s="3" t="inlineStr">
        <is>
          <t>004558</t>
        </is>
      </c>
      <c r="D998" s="4" t="n">
        <v>45646</v>
      </c>
      <c r="E998" s="2" t="inlineStr">
        <is>
          <t>10:16</t>
        </is>
      </c>
      <c r="F998" s="5" t="n">
        <v>208.33</v>
      </c>
      <c r="G998" s="5" t="n"/>
      <c r="H998" s="5" t="n"/>
      <c r="I998" s="5" t="n"/>
      <c r="J998" s="5" t="n">
        <v>41.67</v>
      </c>
      <c r="K998" s="5" t="n"/>
      <c r="L998" s="5" t="n"/>
      <c r="M998" s="5" t="n"/>
      <c r="N998" s="5" t="n"/>
      <c r="O998" s="5" t="n">
        <v>250</v>
      </c>
      <c r="P998" s="5" t="n"/>
      <c r="Q998" s="5" t="n">
        <v>250</v>
      </c>
      <c r="R998" s="5" t="n"/>
    </row>
    <row r="999">
      <c r="A999" s="2" t="inlineStr">
        <is>
          <t>EJ020125.TXT</t>
        </is>
      </c>
      <c r="B999" s="3" t="inlineStr">
        <is>
          <t>005678</t>
        </is>
      </c>
      <c r="C999" s="3" t="inlineStr">
        <is>
          <t>004559</t>
        </is>
      </c>
      <c r="D999" s="4" t="n">
        <v>45649</v>
      </c>
      <c r="E999" s="2" t="inlineStr">
        <is>
          <t>14:50</t>
        </is>
      </c>
      <c r="F999" s="5" t="n">
        <v>208.33</v>
      </c>
      <c r="G999" s="5" t="n"/>
      <c r="H999" s="5" t="n"/>
      <c r="I999" s="5" t="n"/>
      <c r="J999" s="5" t="n">
        <v>41.67</v>
      </c>
      <c r="K999" s="5" t="n"/>
      <c r="L999" s="5" t="n"/>
      <c r="M999" s="5" t="n"/>
      <c r="N999" s="5" t="n"/>
      <c r="O999" s="5" t="n">
        <v>250</v>
      </c>
      <c r="P999" s="5" t="n"/>
      <c r="Q999" s="5" t="n">
        <v>250</v>
      </c>
      <c r="R999" s="5" t="n"/>
    </row>
    <row r="1000">
      <c r="A1000" s="2" t="inlineStr">
        <is>
          <t>EJ020125.TXT</t>
        </is>
      </c>
      <c r="B1000" s="3" t="inlineStr">
        <is>
          <t>005679</t>
        </is>
      </c>
      <c r="C1000" s="3" t="inlineStr">
        <is>
          <t>004560</t>
        </is>
      </c>
      <c r="D1000" s="4" t="n">
        <v>45653</v>
      </c>
      <c r="E1000" s="2" t="inlineStr">
        <is>
          <t>11:13</t>
        </is>
      </c>
      <c r="F1000" s="5" t="n">
        <v>41.58</v>
      </c>
      <c r="G1000" s="5" t="n"/>
      <c r="H1000" s="5" t="n"/>
      <c r="I1000" s="5" t="n"/>
      <c r="J1000" s="5" t="n">
        <v>8.32</v>
      </c>
      <c r="K1000" s="5" t="n"/>
      <c r="L1000" s="5" t="n"/>
      <c r="M1000" s="5" t="n"/>
      <c r="N1000" s="5" t="n"/>
      <c r="O1000" s="5" t="n">
        <v>49.9</v>
      </c>
      <c r="P1000" s="5" t="n"/>
      <c r="Q1000" s="5" t="n">
        <v>49.9</v>
      </c>
      <c r="R1000" s="5" t="n"/>
    </row>
    <row r="1001">
      <c r="A1001" s="2" t="inlineStr">
        <is>
          <t>EJ020125.TXT</t>
        </is>
      </c>
      <c r="B1001" s="3" t="inlineStr">
        <is>
          <t>005680</t>
        </is>
      </c>
      <c r="C1001" s="3" t="inlineStr">
        <is>
          <t>004561</t>
        </is>
      </c>
      <c r="D1001" s="4" t="n">
        <v>45653</v>
      </c>
      <c r="E1001" s="2" t="inlineStr">
        <is>
          <t>11:18</t>
        </is>
      </c>
      <c r="F1001" s="5" t="n">
        <v>208.33</v>
      </c>
      <c r="G1001" s="5" t="n"/>
      <c r="H1001" s="5" t="n"/>
      <c r="I1001" s="5" t="n"/>
      <c r="J1001" s="5" t="n">
        <v>41.67</v>
      </c>
      <c r="K1001" s="5" t="n"/>
      <c r="L1001" s="5" t="n"/>
      <c r="M1001" s="5" t="n"/>
      <c r="N1001" s="5" t="n"/>
      <c r="O1001" s="5" t="n">
        <v>250</v>
      </c>
      <c r="P1001" s="5" t="n"/>
      <c r="Q1001" s="5" t="n">
        <v>250</v>
      </c>
      <c r="R1001" s="5" t="n"/>
    </row>
    <row r="1002">
      <c r="A1002" s="2" t="inlineStr">
        <is>
          <t>EJ020125.TXT</t>
        </is>
      </c>
      <c r="B1002" s="3" t="inlineStr">
        <is>
          <t>005681</t>
        </is>
      </c>
      <c r="C1002" s="3" t="inlineStr">
        <is>
          <t>004562</t>
        </is>
      </c>
      <c r="D1002" s="4" t="n">
        <v>45656</v>
      </c>
      <c r="E1002" s="2" t="inlineStr">
        <is>
          <t>17:51</t>
        </is>
      </c>
      <c r="F1002" s="5" t="n">
        <v>274.17</v>
      </c>
      <c r="G1002" s="5" t="n"/>
      <c r="H1002" s="5" t="n"/>
      <c r="I1002" s="5" t="n"/>
      <c r="J1002" s="5" t="n">
        <v>54.83</v>
      </c>
      <c r="K1002" s="5" t="n"/>
      <c r="L1002" s="5" t="n"/>
      <c r="M1002" s="5" t="n"/>
      <c r="N1002" s="5" t="n"/>
      <c r="O1002" s="5" t="n">
        <v>329</v>
      </c>
      <c r="P1002" s="5" t="n">
        <v>329</v>
      </c>
      <c r="Q1002" s="5" t="n"/>
      <c r="R1002" s="5" t="n"/>
    </row>
    <row r="1003">
      <c r="A1003" s="2" t="inlineStr">
        <is>
          <t>EJ030225.TXT</t>
        </is>
      </c>
      <c r="B1003" s="3" t="inlineStr">
        <is>
          <t>005689</t>
        </is>
      </c>
      <c r="C1003" s="3" t="inlineStr">
        <is>
          <t>004563</t>
        </is>
      </c>
      <c r="D1003" s="4" t="n">
        <v>45663</v>
      </c>
      <c r="E1003" s="2" t="inlineStr">
        <is>
          <t>14:36</t>
        </is>
      </c>
      <c r="F1003" s="5" t="n">
        <v>822.5</v>
      </c>
      <c r="G1003" s="5" t="n"/>
      <c r="H1003" s="5" t="n"/>
      <c r="I1003" s="5" t="n"/>
      <c r="J1003" s="5" t="n">
        <v>164.5</v>
      </c>
      <c r="K1003" s="5" t="n"/>
      <c r="L1003" s="5" t="n"/>
      <c r="M1003" s="5" t="n"/>
      <c r="N1003" s="5" t="n"/>
      <c r="O1003" s="5" t="n">
        <v>987</v>
      </c>
      <c r="P1003" s="5" t="n"/>
      <c r="Q1003" s="5" t="n">
        <v>987</v>
      </c>
      <c r="R1003" s="5" t="n"/>
    </row>
    <row r="1004">
      <c r="A1004" s="2" t="inlineStr">
        <is>
          <t>EJ030225.TXT</t>
        </is>
      </c>
      <c r="B1004" s="3" t="inlineStr">
        <is>
          <t>005690</t>
        </is>
      </c>
      <c r="C1004" s="3" t="inlineStr">
        <is>
          <t>004564</t>
        </is>
      </c>
      <c r="D1004" s="4" t="n">
        <v>45665</v>
      </c>
      <c r="E1004" s="2" t="inlineStr">
        <is>
          <t>16:16</t>
        </is>
      </c>
      <c r="F1004" s="5" t="n">
        <v>149.92</v>
      </c>
      <c r="G1004" s="5" t="n"/>
      <c r="H1004" s="5" t="n"/>
      <c r="I1004" s="5" t="n"/>
      <c r="J1004" s="5" t="n">
        <v>29.98</v>
      </c>
      <c r="K1004" s="5" t="n"/>
      <c r="L1004" s="5" t="n"/>
      <c r="M1004" s="5" t="n"/>
      <c r="N1004" s="5" t="n"/>
      <c r="O1004" s="5" t="n">
        <v>179.9</v>
      </c>
      <c r="P1004" s="5" t="n"/>
      <c r="Q1004" s="5" t="n">
        <v>179.9</v>
      </c>
      <c r="R1004" s="5" t="n"/>
    </row>
    <row r="1005">
      <c r="A1005" s="2" t="inlineStr">
        <is>
          <t>EJ030225.TXT</t>
        </is>
      </c>
      <c r="B1005" s="3" t="inlineStr">
        <is>
          <t>005691</t>
        </is>
      </c>
      <c r="C1005" s="3" t="inlineStr">
        <is>
          <t>004565</t>
        </is>
      </c>
      <c r="D1005" s="4" t="n">
        <v>45667</v>
      </c>
      <c r="E1005" s="2" t="inlineStr">
        <is>
          <t>16:53</t>
        </is>
      </c>
      <c r="F1005" s="5" t="n">
        <v>208.33</v>
      </c>
      <c r="G1005" s="5" t="n"/>
      <c r="H1005" s="5" t="n"/>
      <c r="I1005" s="5" t="n"/>
      <c r="J1005" s="5" t="n">
        <v>41.67</v>
      </c>
      <c r="K1005" s="5" t="n"/>
      <c r="L1005" s="5" t="n"/>
      <c r="M1005" s="5" t="n"/>
      <c r="N1005" s="5" t="n"/>
      <c r="O1005" s="5" t="n">
        <v>250</v>
      </c>
      <c r="P1005" s="5" t="n"/>
      <c r="Q1005" s="5" t="n">
        <v>250</v>
      </c>
      <c r="R1005" s="5" t="n"/>
    </row>
    <row r="1006">
      <c r="A1006" s="2" t="inlineStr">
        <is>
          <t>EJ030225.TXT</t>
        </is>
      </c>
      <c r="B1006" s="3" t="inlineStr">
        <is>
          <t>005692</t>
        </is>
      </c>
      <c r="C1006" s="3" t="inlineStr">
        <is>
          <t>004566</t>
        </is>
      </c>
      <c r="D1006" s="4" t="n">
        <v>45667</v>
      </c>
      <c r="E1006" s="2" t="inlineStr">
        <is>
          <t>18:05</t>
        </is>
      </c>
      <c r="F1006" s="5" t="n">
        <v>57.5</v>
      </c>
      <c r="G1006" s="5" t="n"/>
      <c r="H1006" s="5" t="n"/>
      <c r="I1006" s="5" t="n"/>
      <c r="J1006" s="5" t="n">
        <v>11.5</v>
      </c>
      <c r="K1006" s="5" t="n"/>
      <c r="L1006" s="5" t="n"/>
      <c r="M1006" s="5" t="n"/>
      <c r="N1006" s="5" t="n"/>
      <c r="O1006" s="5" t="n">
        <v>69</v>
      </c>
      <c r="P1006" s="5" t="n"/>
      <c r="Q1006" s="5" t="n">
        <v>69</v>
      </c>
      <c r="R1006" s="5" t="n"/>
    </row>
    <row r="1007">
      <c r="A1007" s="2" t="inlineStr">
        <is>
          <t>EJ030225.TXT</t>
        </is>
      </c>
      <c r="B1007" s="3" t="inlineStr">
        <is>
          <t>005693</t>
        </is>
      </c>
      <c r="C1007" s="3" t="inlineStr">
        <is>
          <t>004567</t>
        </is>
      </c>
      <c r="D1007" s="4" t="n">
        <v>45670</v>
      </c>
      <c r="E1007" s="2" t="inlineStr">
        <is>
          <t>12:22</t>
        </is>
      </c>
      <c r="F1007" s="5" t="n">
        <v>149.92</v>
      </c>
      <c r="G1007" s="5" t="n"/>
      <c r="H1007" s="5" t="n"/>
      <c r="I1007" s="5" t="n"/>
      <c r="J1007" s="5" t="n">
        <v>29.98</v>
      </c>
      <c r="K1007" s="5" t="n"/>
      <c r="L1007" s="5" t="n"/>
      <c r="M1007" s="5" t="n"/>
      <c r="N1007" s="5" t="n"/>
      <c r="O1007" s="5" t="n">
        <v>179.9</v>
      </c>
      <c r="P1007" s="5" t="n">
        <v>179.9</v>
      </c>
      <c r="Q1007" s="5" t="n"/>
      <c r="R1007" s="5" t="n"/>
    </row>
    <row r="1008">
      <c r="A1008" s="2" t="inlineStr">
        <is>
          <t>EJ030225.TXT</t>
        </is>
      </c>
      <c r="B1008" s="3" t="inlineStr">
        <is>
          <t>005694</t>
        </is>
      </c>
      <c r="C1008" s="3" t="inlineStr">
        <is>
          <t>004568</t>
        </is>
      </c>
      <c r="D1008" s="4" t="n">
        <v>45670</v>
      </c>
      <c r="E1008" s="2" t="inlineStr">
        <is>
          <t>12:29</t>
        </is>
      </c>
      <c r="F1008" s="5" t="n">
        <v>248.33</v>
      </c>
      <c r="G1008" s="5" t="n"/>
      <c r="H1008" s="5" t="n"/>
      <c r="I1008" s="5" t="n"/>
      <c r="J1008" s="5" t="n">
        <v>49.67</v>
      </c>
      <c r="K1008" s="5" t="n"/>
      <c r="L1008" s="5" t="n"/>
      <c r="M1008" s="5" t="n"/>
      <c r="N1008" s="5" t="n"/>
      <c r="O1008" s="5" t="n">
        <v>298</v>
      </c>
      <c r="P1008" s="5" t="n">
        <v>298</v>
      </c>
      <c r="Q1008" s="5" t="n"/>
      <c r="R1008" s="5" t="n"/>
    </row>
    <row r="1009">
      <c r="A1009" s="2" t="inlineStr">
        <is>
          <t>EJ030225.TXT</t>
        </is>
      </c>
      <c r="B1009" s="3" t="inlineStr">
        <is>
          <t>005695</t>
        </is>
      </c>
      <c r="C1009" s="3" t="inlineStr">
        <is>
          <t>004569</t>
        </is>
      </c>
      <c r="D1009" s="4" t="n">
        <v>45670</v>
      </c>
      <c r="E1009" s="2" t="inlineStr">
        <is>
          <t>16:37</t>
        </is>
      </c>
      <c r="F1009" s="5" t="n">
        <v>208.33</v>
      </c>
      <c r="G1009" s="5" t="n"/>
      <c r="H1009" s="5" t="n"/>
      <c r="I1009" s="5" t="n"/>
      <c r="J1009" s="5" t="n">
        <v>41.67</v>
      </c>
      <c r="K1009" s="5" t="n"/>
      <c r="L1009" s="5" t="n"/>
      <c r="M1009" s="5" t="n"/>
      <c r="N1009" s="5" t="n"/>
      <c r="O1009" s="5" t="n">
        <v>250</v>
      </c>
      <c r="P1009" s="5" t="n"/>
      <c r="Q1009" s="5" t="n">
        <v>250</v>
      </c>
      <c r="R1009" s="5" t="n"/>
    </row>
    <row r="1010">
      <c r="A1010" s="2" t="inlineStr">
        <is>
          <t>EJ030225.TXT</t>
        </is>
      </c>
      <c r="B1010" s="3" t="inlineStr">
        <is>
          <t>005696</t>
        </is>
      </c>
      <c r="C1010" s="3" t="inlineStr">
        <is>
          <t>004570</t>
        </is>
      </c>
      <c r="D1010" s="4" t="n">
        <v>45671</v>
      </c>
      <c r="E1010" s="2" t="inlineStr">
        <is>
          <t>15:17</t>
        </is>
      </c>
      <c r="F1010" s="5" t="n">
        <v>548.33</v>
      </c>
      <c r="G1010" s="5" t="n"/>
      <c r="H1010" s="5" t="n"/>
      <c r="I1010" s="5" t="n"/>
      <c r="J1010" s="5" t="n">
        <v>109.67</v>
      </c>
      <c r="K1010" s="5" t="n"/>
      <c r="L1010" s="5" t="n"/>
      <c r="M1010" s="5" t="n"/>
      <c r="N1010" s="5" t="n"/>
      <c r="O1010" s="5" t="n">
        <v>658</v>
      </c>
      <c r="P1010" s="5" t="n"/>
      <c r="Q1010" s="5" t="n">
        <v>658</v>
      </c>
      <c r="R1010" s="5" t="n"/>
    </row>
    <row r="1011">
      <c r="A1011" s="2" t="inlineStr">
        <is>
          <t>EJ030225.TXT</t>
        </is>
      </c>
      <c r="B1011" s="3" t="inlineStr">
        <is>
          <t>005697</t>
        </is>
      </c>
      <c r="C1011" s="3" t="inlineStr">
        <is>
          <t>004571</t>
        </is>
      </c>
      <c r="D1011" s="4" t="n">
        <v>45672</v>
      </c>
      <c r="E1011" s="2" t="inlineStr">
        <is>
          <t>10:59</t>
        </is>
      </c>
      <c r="F1011" s="5" t="n">
        <v>190.83</v>
      </c>
      <c r="G1011" s="5" t="n"/>
      <c r="H1011" s="5" t="n"/>
      <c r="I1011" s="5" t="n"/>
      <c r="J1011" s="5" t="n">
        <v>38.17</v>
      </c>
      <c r="K1011" s="5" t="n"/>
      <c r="L1011" s="5" t="n"/>
      <c r="M1011" s="5" t="n"/>
      <c r="N1011" s="5" t="n"/>
      <c r="O1011" s="5" t="n">
        <v>229</v>
      </c>
      <c r="P1011" s="5" t="n"/>
      <c r="Q1011" s="5" t="n">
        <v>229</v>
      </c>
      <c r="R1011" s="5" t="n"/>
    </row>
    <row r="1012">
      <c r="A1012" s="2" t="inlineStr">
        <is>
          <t>EJ030225.TXT</t>
        </is>
      </c>
      <c r="B1012" s="3" t="inlineStr">
        <is>
          <t>005698</t>
        </is>
      </c>
      <c r="C1012" s="3" t="inlineStr">
        <is>
          <t>004572</t>
        </is>
      </c>
      <c r="D1012" s="4" t="n">
        <v>45672</v>
      </c>
      <c r="E1012" s="2" t="inlineStr">
        <is>
          <t>14:50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/>
      <c r="Q1012" s="5" t="n">
        <v>658</v>
      </c>
      <c r="R1012" s="5" t="n"/>
    </row>
    <row r="1013">
      <c r="A1013" s="2" t="inlineStr">
        <is>
          <t>EJ030225.TXT</t>
        </is>
      </c>
      <c r="B1013" s="3" t="inlineStr">
        <is>
          <t>005699</t>
        </is>
      </c>
      <c r="C1013" s="3" t="inlineStr">
        <is>
          <t>004573</t>
        </is>
      </c>
      <c r="D1013" s="4" t="n">
        <v>45673</v>
      </c>
      <c r="E1013" s="2" t="inlineStr">
        <is>
          <t>15:41</t>
        </is>
      </c>
      <c r="F1013" s="5" t="n">
        <v>208.33</v>
      </c>
      <c r="G1013" s="5" t="n"/>
      <c r="H1013" s="5" t="n"/>
      <c r="I1013" s="5" t="n"/>
      <c r="J1013" s="5" t="n">
        <v>41.67</v>
      </c>
      <c r="K1013" s="5" t="n"/>
      <c r="L1013" s="5" t="n"/>
      <c r="M1013" s="5" t="n"/>
      <c r="N1013" s="5" t="n"/>
      <c r="O1013" s="5" t="n">
        <v>250</v>
      </c>
      <c r="P1013" s="5" t="n"/>
      <c r="Q1013" s="5" t="n">
        <v>250</v>
      </c>
      <c r="R1013" s="5" t="n"/>
    </row>
    <row r="1014">
      <c r="A1014" s="2" t="inlineStr">
        <is>
          <t>EJ030225.TXT</t>
        </is>
      </c>
      <c r="B1014" s="3" t="inlineStr">
        <is>
          <t>005700</t>
        </is>
      </c>
      <c r="C1014" s="3" t="inlineStr">
        <is>
          <t>004574</t>
        </is>
      </c>
      <c r="D1014" s="4" t="n">
        <v>45673</v>
      </c>
      <c r="E1014" s="2" t="inlineStr">
        <is>
          <t>16:00</t>
        </is>
      </c>
      <c r="F1014" s="5" t="n">
        <v>274.17</v>
      </c>
      <c r="G1014" s="5" t="n"/>
      <c r="H1014" s="5" t="n"/>
      <c r="I1014" s="5" t="n"/>
      <c r="J1014" s="5" t="n">
        <v>54.83</v>
      </c>
      <c r="K1014" s="5" t="n"/>
      <c r="L1014" s="5" t="n"/>
      <c r="M1014" s="5" t="n"/>
      <c r="N1014" s="5" t="n"/>
      <c r="O1014" s="5" t="n">
        <v>329</v>
      </c>
      <c r="P1014" s="5" t="n"/>
      <c r="Q1014" s="5" t="n">
        <v>329</v>
      </c>
      <c r="R1014" s="5" t="n"/>
    </row>
    <row r="1015">
      <c r="A1015" s="2" t="inlineStr">
        <is>
          <t>EJ030225.TXT</t>
        </is>
      </c>
      <c r="B1015" s="3" t="inlineStr">
        <is>
          <t>005701</t>
        </is>
      </c>
      <c r="C1015" s="3" t="inlineStr">
        <is>
          <t>004575</t>
        </is>
      </c>
      <c r="D1015" s="4" t="n">
        <v>45673</v>
      </c>
      <c r="E1015" s="2" t="inlineStr">
        <is>
          <t>18:13</t>
        </is>
      </c>
      <c r="F1015" s="5" t="n">
        <v>274.17</v>
      </c>
      <c r="G1015" s="5" t="n"/>
      <c r="H1015" s="5" t="n"/>
      <c r="I1015" s="5" t="n"/>
      <c r="J1015" s="5" t="n">
        <v>54.83</v>
      </c>
      <c r="K1015" s="5" t="n"/>
      <c r="L1015" s="5" t="n"/>
      <c r="M1015" s="5" t="n"/>
      <c r="N1015" s="5" t="n"/>
      <c r="O1015" s="5" t="n">
        <v>329</v>
      </c>
      <c r="P1015" s="5" t="n">
        <v>329</v>
      </c>
      <c r="Q1015" s="5" t="n"/>
      <c r="R1015" s="5" t="n"/>
    </row>
    <row r="1016">
      <c r="A1016" s="2" t="inlineStr">
        <is>
          <t>EJ030225.TXT</t>
        </is>
      </c>
      <c r="B1016" s="3" t="inlineStr">
        <is>
          <t>005702</t>
        </is>
      </c>
      <c r="C1016" s="3" t="inlineStr">
        <is>
          <t>004576</t>
        </is>
      </c>
      <c r="D1016" s="4" t="n">
        <v>45674</v>
      </c>
      <c r="E1016" s="2" t="inlineStr">
        <is>
          <t>17:34</t>
        </is>
      </c>
      <c r="F1016" s="5" t="n">
        <v>208.33</v>
      </c>
      <c r="G1016" s="5" t="n"/>
      <c r="H1016" s="5" t="n"/>
      <c r="I1016" s="5" t="n"/>
      <c r="J1016" s="5" t="n">
        <v>41.67</v>
      </c>
      <c r="K1016" s="5" t="n"/>
      <c r="L1016" s="5" t="n"/>
      <c r="M1016" s="5" t="n"/>
      <c r="N1016" s="5" t="n"/>
      <c r="O1016" s="5" t="n">
        <v>250</v>
      </c>
      <c r="P1016" s="5" t="n"/>
      <c r="Q1016" s="5" t="n">
        <v>250</v>
      </c>
      <c r="R1016" s="5" t="n"/>
    </row>
    <row r="1017">
      <c r="A1017" s="2" t="inlineStr">
        <is>
          <t>EJ030225.TXT</t>
        </is>
      </c>
      <c r="B1017" s="3" t="inlineStr">
        <is>
          <t>005703</t>
        </is>
      </c>
      <c r="C1017" s="3" t="inlineStr">
        <is>
          <t>004577</t>
        </is>
      </c>
      <c r="D1017" s="4" t="n">
        <v>45675</v>
      </c>
      <c r="E1017" s="2" t="inlineStr">
        <is>
          <t>15:09</t>
        </is>
      </c>
      <c r="F1017" s="5" t="n">
        <v>33.25</v>
      </c>
      <c r="G1017" s="5" t="n"/>
      <c r="H1017" s="5" t="n"/>
      <c r="I1017" s="5" t="n"/>
      <c r="J1017" s="5" t="n">
        <v>6.65</v>
      </c>
      <c r="K1017" s="5" t="n"/>
      <c r="L1017" s="5" t="n"/>
      <c r="M1017" s="5" t="n"/>
      <c r="N1017" s="5" t="n"/>
      <c r="O1017" s="5" t="n">
        <v>39.9</v>
      </c>
      <c r="P1017" s="5" t="n">
        <v>39.9</v>
      </c>
      <c r="Q1017" s="5" t="n"/>
      <c r="R1017" s="5" t="n"/>
    </row>
    <row r="1018">
      <c r="A1018" s="2" t="inlineStr">
        <is>
          <t>EJ030225.TXT</t>
        </is>
      </c>
      <c r="B1018" s="3" t="inlineStr">
        <is>
          <t>005704</t>
        </is>
      </c>
      <c r="C1018" s="3" t="inlineStr">
        <is>
          <t>004578</t>
        </is>
      </c>
      <c r="D1018" s="4" t="n">
        <v>45678</v>
      </c>
      <c r="E1018" s="2" t="inlineStr">
        <is>
          <t>16:53</t>
        </is>
      </c>
      <c r="F1018" s="5" t="n">
        <v>274.17</v>
      </c>
      <c r="G1018" s="5" t="n"/>
      <c r="H1018" s="5" t="n"/>
      <c r="I1018" s="5" t="n"/>
      <c r="J1018" s="5" t="n">
        <v>54.83</v>
      </c>
      <c r="K1018" s="5" t="n"/>
      <c r="L1018" s="5" t="n"/>
      <c r="M1018" s="5" t="n"/>
      <c r="N1018" s="5" t="n"/>
      <c r="O1018" s="5" t="n">
        <v>329</v>
      </c>
      <c r="P1018" s="5" t="n">
        <v>329</v>
      </c>
      <c r="Q1018" s="5" t="n"/>
      <c r="R1018" s="5" t="n"/>
    </row>
    <row r="1019">
      <c r="A1019" s="2" t="inlineStr">
        <is>
          <t>EJ030225.TXT</t>
        </is>
      </c>
      <c r="B1019" s="3" t="inlineStr">
        <is>
          <t>005705</t>
        </is>
      </c>
      <c r="C1019" s="3" t="inlineStr">
        <is>
          <t>004579</t>
        </is>
      </c>
      <c r="D1019" s="4" t="n">
        <v>45684</v>
      </c>
      <c r="E1019" s="2" t="inlineStr">
        <is>
          <t>12:13</t>
        </is>
      </c>
      <c r="F1019" s="5" t="n">
        <v>33.25</v>
      </c>
      <c r="G1019" s="5" t="n"/>
      <c r="H1019" s="5" t="n"/>
      <c r="I1019" s="5" t="n"/>
      <c r="J1019" s="5" t="n">
        <v>6.65</v>
      </c>
      <c r="K1019" s="5" t="n"/>
      <c r="L1019" s="5" t="n"/>
      <c r="M1019" s="5" t="n"/>
      <c r="N1019" s="5" t="n"/>
      <c r="O1019" s="5" t="n">
        <v>39.9</v>
      </c>
      <c r="P1019" s="5" t="n">
        <v>39.9</v>
      </c>
      <c r="Q1019" s="5" t="n"/>
      <c r="R1019" s="5" t="n"/>
    </row>
    <row r="1020">
      <c r="A1020" s="2" t="inlineStr">
        <is>
          <t>EJ030225.TXT</t>
        </is>
      </c>
      <c r="B1020" s="3" t="inlineStr">
        <is>
          <t>005706</t>
        </is>
      </c>
      <c r="C1020" s="3" t="inlineStr">
        <is>
          <t>004580</t>
        </is>
      </c>
      <c r="D1020" s="4" t="n">
        <v>45685</v>
      </c>
      <c r="E1020" s="2" t="inlineStr">
        <is>
          <t>10:10</t>
        </is>
      </c>
      <c r="F1020" s="5" t="n">
        <v>274.17</v>
      </c>
      <c r="G1020" s="5" t="n"/>
      <c r="H1020" s="5" t="n"/>
      <c r="I1020" s="5" t="n"/>
      <c r="J1020" s="5" t="n">
        <v>54.83</v>
      </c>
      <c r="K1020" s="5" t="n"/>
      <c r="L1020" s="5" t="n"/>
      <c r="M1020" s="5" t="n"/>
      <c r="N1020" s="5" t="n"/>
      <c r="O1020" s="5" t="n">
        <v>329</v>
      </c>
      <c r="P1020" s="5" t="n">
        <v>329</v>
      </c>
      <c r="Q1020" s="5" t="n"/>
      <c r="R1020" s="5" t="n"/>
    </row>
    <row r="1021">
      <c r="A1021" s="2" t="inlineStr">
        <is>
          <t>EJ030225.TXT</t>
        </is>
      </c>
      <c r="B1021" s="3" t="inlineStr">
        <is>
          <t>005707</t>
        </is>
      </c>
      <c r="C1021" s="3" t="inlineStr">
        <is>
          <t>004581</t>
        </is>
      </c>
      <c r="D1021" s="4" t="n">
        <v>45685</v>
      </c>
      <c r="E1021" s="2" t="inlineStr">
        <is>
          <t>12:39</t>
        </is>
      </c>
      <c r="F1021" s="5" t="n">
        <v>465</v>
      </c>
      <c r="G1021" s="5" t="n"/>
      <c r="H1021" s="5" t="n"/>
      <c r="I1021" s="5" t="n"/>
      <c r="J1021" s="5" t="n">
        <v>93</v>
      </c>
      <c r="K1021" s="5" t="n"/>
      <c r="L1021" s="5" t="n"/>
      <c r="M1021" s="5" t="n"/>
      <c r="N1021" s="5" t="n"/>
      <c r="O1021" s="5" t="n">
        <v>558</v>
      </c>
      <c r="P1021" s="5" t="n">
        <v>558</v>
      </c>
      <c r="Q1021" s="5" t="n"/>
      <c r="R1021" s="5" t="n"/>
    </row>
    <row r="1022">
      <c r="A1022" s="2" t="inlineStr">
        <is>
          <t>EJ030225.TXT</t>
        </is>
      </c>
      <c r="B1022" s="3" t="inlineStr">
        <is>
          <t>005708</t>
        </is>
      </c>
      <c r="C1022" s="3" t="inlineStr">
        <is>
          <t>004582</t>
        </is>
      </c>
      <c r="D1022" s="4" t="n">
        <v>45685</v>
      </c>
      <c r="E1022" s="2" t="inlineStr">
        <is>
          <t>14:45</t>
        </is>
      </c>
      <c r="F1022" s="5" t="n">
        <v>274.17</v>
      </c>
      <c r="G1022" s="5" t="n"/>
      <c r="H1022" s="5" t="n"/>
      <c r="I1022" s="5" t="n"/>
      <c r="J1022" s="5" t="n">
        <v>54.83</v>
      </c>
      <c r="K1022" s="5" t="n"/>
      <c r="L1022" s="5" t="n"/>
      <c r="M1022" s="5" t="n"/>
      <c r="N1022" s="5" t="n"/>
      <c r="O1022" s="5" t="n">
        <v>329</v>
      </c>
      <c r="P1022" s="5" t="n"/>
      <c r="Q1022" s="5" t="n">
        <v>329</v>
      </c>
      <c r="R1022" s="5" t="n"/>
    </row>
    <row r="1023">
      <c r="A1023" s="2" t="inlineStr">
        <is>
          <t>EJ030225.TXT</t>
        </is>
      </c>
      <c r="B1023" s="3" t="inlineStr">
        <is>
          <t>005709</t>
        </is>
      </c>
      <c r="C1023" s="3" t="inlineStr">
        <is>
          <t>004583</t>
        </is>
      </c>
      <c r="D1023" s="4" t="n">
        <v>45686</v>
      </c>
      <c r="E1023" s="2" t="inlineStr">
        <is>
          <t>12:12</t>
        </is>
      </c>
      <c r="F1023" s="5" t="n">
        <v>33.25</v>
      </c>
      <c r="G1023" s="5" t="n"/>
      <c r="H1023" s="5" t="n"/>
      <c r="I1023" s="5" t="n"/>
      <c r="J1023" s="5" t="n">
        <v>6.65</v>
      </c>
      <c r="K1023" s="5" t="n"/>
      <c r="L1023" s="5" t="n"/>
      <c r="M1023" s="5" t="n"/>
      <c r="N1023" s="5" t="n"/>
      <c r="O1023" s="5" t="n">
        <v>39.9</v>
      </c>
      <c r="P1023" s="5" t="n">
        <v>39.9</v>
      </c>
      <c r="Q1023" s="5" t="n"/>
      <c r="R1023" s="5" t="n"/>
    </row>
    <row r="1024">
      <c r="A1024" s="2" t="inlineStr">
        <is>
          <t>EJ030225.TXT</t>
        </is>
      </c>
      <c r="B1024" s="3" t="inlineStr">
        <is>
          <t>005710</t>
        </is>
      </c>
      <c r="C1024" s="3" t="inlineStr">
        <is>
          <t>004584</t>
        </is>
      </c>
      <c r="D1024" s="4" t="n">
        <v>45686</v>
      </c>
      <c r="E1024" s="2" t="inlineStr">
        <is>
          <t>15:04</t>
        </is>
      </c>
      <c r="F1024" s="5" t="n">
        <v>66.5</v>
      </c>
      <c r="G1024" s="5" t="n"/>
      <c r="H1024" s="5" t="n"/>
      <c r="I1024" s="5" t="n"/>
      <c r="J1024" s="5" t="n">
        <v>13.3</v>
      </c>
      <c r="K1024" s="5" t="n"/>
      <c r="L1024" s="5" t="n"/>
      <c r="M1024" s="5" t="n"/>
      <c r="N1024" s="5" t="n"/>
      <c r="O1024" s="5" t="n">
        <v>79.8</v>
      </c>
      <c r="P1024" s="5" t="n"/>
      <c r="Q1024" s="5" t="n">
        <v>79.8</v>
      </c>
      <c r="R1024" s="5" t="n"/>
    </row>
    <row r="1025">
      <c r="A1025" s="2" t="inlineStr">
        <is>
          <t>EJ030225.TXT</t>
        </is>
      </c>
      <c r="B1025" s="3" t="inlineStr">
        <is>
          <t>005711</t>
        </is>
      </c>
      <c r="C1025" s="3" t="inlineStr">
        <is>
          <t>004585</t>
        </is>
      </c>
      <c r="D1025" s="4" t="n">
        <v>45686</v>
      </c>
      <c r="E1025" s="2" t="inlineStr">
        <is>
          <t>16:27</t>
        </is>
      </c>
      <c r="F1025" s="5" t="n">
        <v>240.75</v>
      </c>
      <c r="G1025" s="5" t="n"/>
      <c r="H1025" s="5" t="n"/>
      <c r="I1025" s="5" t="n"/>
      <c r="J1025" s="5" t="n">
        <v>48.15</v>
      </c>
      <c r="K1025" s="5" t="n"/>
      <c r="L1025" s="5" t="n"/>
      <c r="M1025" s="5" t="n"/>
      <c r="N1025" s="5" t="n"/>
      <c r="O1025" s="5" t="n">
        <v>288.9</v>
      </c>
      <c r="P1025" s="5" t="n">
        <v>288.9</v>
      </c>
      <c r="Q1025" s="5" t="n"/>
      <c r="R1025" s="5" t="n"/>
    </row>
    <row r="1026">
      <c r="A1026" s="2" t="inlineStr">
        <is>
          <t>EJ030225.TXT</t>
        </is>
      </c>
      <c r="B1026" s="3" t="inlineStr">
        <is>
          <t>005712</t>
        </is>
      </c>
      <c r="C1026" s="3" t="inlineStr">
        <is>
          <t>004586</t>
        </is>
      </c>
      <c r="D1026" s="4" t="n">
        <v>45686</v>
      </c>
      <c r="E1026" s="2" t="inlineStr">
        <is>
          <t>16:43</t>
        </is>
      </c>
      <c r="F1026" s="5" t="n">
        <v>208.33</v>
      </c>
      <c r="G1026" s="5" t="n"/>
      <c r="H1026" s="5" t="n"/>
      <c r="I1026" s="5" t="n"/>
      <c r="J1026" s="5" t="n">
        <v>41.67</v>
      </c>
      <c r="K1026" s="5" t="n"/>
      <c r="L1026" s="5" t="n"/>
      <c r="M1026" s="5" t="n"/>
      <c r="N1026" s="5" t="n"/>
      <c r="O1026" s="5" t="n">
        <v>250</v>
      </c>
      <c r="P1026" s="5" t="n"/>
      <c r="Q1026" s="5" t="n">
        <v>250</v>
      </c>
      <c r="R1026" s="5" t="n"/>
    </row>
    <row r="1027">
      <c r="A1027" s="2" t="inlineStr">
        <is>
          <t>EJ030225.TXT</t>
        </is>
      </c>
      <c r="B1027" s="3" t="inlineStr">
        <is>
          <t>005713</t>
        </is>
      </c>
      <c r="C1027" s="3" t="inlineStr">
        <is>
          <t>004587</t>
        </is>
      </c>
      <c r="D1027" s="4" t="n">
        <v>45688</v>
      </c>
      <c r="E1027" s="2" t="inlineStr">
        <is>
          <t>16:06</t>
        </is>
      </c>
      <c r="F1027" s="5" t="n">
        <v>548.33</v>
      </c>
      <c r="G1027" s="5" t="n"/>
      <c r="H1027" s="5" t="n"/>
      <c r="I1027" s="5" t="n"/>
      <c r="J1027" s="5" t="n">
        <v>109.67</v>
      </c>
      <c r="K1027" s="5" t="n"/>
      <c r="L1027" s="5" t="n"/>
      <c r="M1027" s="5" t="n"/>
      <c r="N1027" s="5" t="n"/>
      <c r="O1027" s="5" t="n">
        <v>658</v>
      </c>
      <c r="P1027" s="5" t="n">
        <v>658</v>
      </c>
      <c r="Q1027" s="5" t="n"/>
      <c r="R1027" s="5" t="n"/>
    </row>
    <row r="1028">
      <c r="A1028" s="2" t="inlineStr">
        <is>
          <t>EJ030225.TXT</t>
        </is>
      </c>
      <c r="B1028" s="3" t="inlineStr">
        <is>
          <t>005714</t>
        </is>
      </c>
      <c r="C1028" s="3" t="inlineStr">
        <is>
          <t>004588</t>
        </is>
      </c>
      <c r="D1028" s="4" t="n">
        <v>45688</v>
      </c>
      <c r="E1028" s="2" t="inlineStr">
        <is>
          <t>17:19</t>
        </is>
      </c>
      <c r="F1028" s="5" t="n">
        <v>548.33</v>
      </c>
      <c r="G1028" s="5" t="n"/>
      <c r="H1028" s="5" t="n"/>
      <c r="I1028" s="5" t="n"/>
      <c r="J1028" s="5" t="n">
        <v>109.67</v>
      </c>
      <c r="K1028" s="5" t="n"/>
      <c r="L1028" s="5" t="n"/>
      <c r="M1028" s="5" t="n"/>
      <c r="N1028" s="5" t="n"/>
      <c r="O1028" s="5" t="n">
        <v>658</v>
      </c>
      <c r="P1028" s="5" t="n"/>
      <c r="Q1028" s="5" t="n">
        <v>658</v>
      </c>
      <c r="R1028" s="5" t="n"/>
    </row>
    <row r="1029">
      <c r="A1029" s="2" t="inlineStr">
        <is>
          <t>EJ030225.TXT</t>
        </is>
      </c>
      <c r="B1029" s="3" t="inlineStr">
        <is>
          <t>005715</t>
        </is>
      </c>
      <c r="C1029" s="3" t="inlineStr">
        <is>
          <t>004589</t>
        </is>
      </c>
      <c r="D1029" s="4" t="n">
        <v>45688</v>
      </c>
      <c r="E1029" s="2" t="inlineStr">
        <is>
          <t>17:39</t>
        </is>
      </c>
      <c r="F1029" s="5" t="n">
        <v>208.33</v>
      </c>
      <c r="G1029" s="5" t="n"/>
      <c r="H1029" s="5" t="n"/>
      <c r="I1029" s="5" t="n"/>
      <c r="J1029" s="5" t="n">
        <v>41.67</v>
      </c>
      <c r="K1029" s="5" t="n"/>
      <c r="L1029" s="5" t="n"/>
      <c r="M1029" s="5" t="n"/>
      <c r="N1029" s="5" t="n"/>
      <c r="O1029" s="5" t="n">
        <v>250</v>
      </c>
      <c r="P1029" s="5" t="n"/>
      <c r="Q1029" s="5" t="n">
        <v>250</v>
      </c>
      <c r="R1029" s="5" t="n"/>
    </row>
    <row r="1030">
      <c r="A1030" s="2" t="inlineStr">
        <is>
          <t>EJ030225.TXT</t>
        </is>
      </c>
      <c r="B1030" s="3" t="inlineStr">
        <is>
          <t>005716</t>
        </is>
      </c>
      <c r="C1030" s="3" t="inlineStr">
        <is>
          <t>004590</t>
        </is>
      </c>
      <c r="D1030" s="4" t="n">
        <v>45691</v>
      </c>
      <c r="E1030" s="2" t="inlineStr">
        <is>
          <t>10:41</t>
        </is>
      </c>
      <c r="F1030" s="5" t="n">
        <v>274.17</v>
      </c>
      <c r="G1030" s="5" t="n"/>
      <c r="H1030" s="5" t="n"/>
      <c r="I1030" s="5" t="n"/>
      <c r="J1030" s="5" t="n">
        <v>54.83</v>
      </c>
      <c r="K1030" s="5" t="n"/>
      <c r="L1030" s="5" t="n"/>
      <c r="M1030" s="5" t="n"/>
      <c r="N1030" s="5" t="n"/>
      <c r="O1030" s="5" t="n">
        <v>329</v>
      </c>
      <c r="P1030" s="5" t="n"/>
      <c r="Q1030" s="5" t="n">
        <v>329</v>
      </c>
      <c r="R1030" s="5" t="n"/>
    </row>
    <row r="1031">
      <c r="A1031" s="2" t="inlineStr">
        <is>
          <t>EJ030225.TXT</t>
        </is>
      </c>
      <c r="B1031" s="3" t="inlineStr">
        <is>
          <t>005717</t>
        </is>
      </c>
      <c r="C1031" s="3" t="inlineStr">
        <is>
          <t>004591</t>
        </is>
      </c>
      <c r="D1031" s="4" t="n">
        <v>45691</v>
      </c>
      <c r="E1031" s="2" t="inlineStr">
        <is>
          <t>10:41</t>
        </is>
      </c>
      <c r="F1031" s="5" t="n">
        <v>274.17</v>
      </c>
      <c r="G1031" s="5" t="n"/>
      <c r="H1031" s="5" t="n"/>
      <c r="I1031" s="5" t="n"/>
      <c r="J1031" s="5" t="n">
        <v>54.83</v>
      </c>
      <c r="K1031" s="5" t="n"/>
      <c r="L1031" s="5" t="n"/>
      <c r="M1031" s="5" t="n"/>
      <c r="N1031" s="5" t="n"/>
      <c r="O1031" s="5" t="n">
        <v>329</v>
      </c>
      <c r="P1031" s="5" t="n"/>
      <c r="Q1031" s="5" t="n">
        <v>329</v>
      </c>
      <c r="R1031" s="5" t="n"/>
    </row>
    <row r="1032">
      <c r="A1032" s="2" t="inlineStr">
        <is>
          <t>EJ010325.TXT</t>
        </is>
      </c>
      <c r="B1032" s="3" t="inlineStr">
        <is>
          <t>005725</t>
        </is>
      </c>
      <c r="C1032" s="3" t="inlineStr">
        <is>
          <t>004592</t>
        </is>
      </c>
      <c r="D1032" s="4" t="n">
        <v>45691</v>
      </c>
      <c r="E1032" s="2" t="inlineStr">
        <is>
          <t>14:34</t>
        </is>
      </c>
      <c r="F1032" s="5" t="n">
        <v>1370.83</v>
      </c>
      <c r="G1032" s="5" t="n"/>
      <c r="H1032" s="5" t="n"/>
      <c r="I1032" s="5" t="n"/>
      <c r="J1032" s="5" t="n">
        <v>274.17</v>
      </c>
      <c r="K1032" s="5" t="n"/>
      <c r="L1032" s="5" t="n"/>
      <c r="M1032" s="5" t="n"/>
      <c r="N1032" s="5" t="n"/>
      <c r="O1032" s="5" t="n">
        <v>1645</v>
      </c>
      <c r="P1032" s="5" t="n">
        <v>1645</v>
      </c>
      <c r="Q1032" s="5" t="n"/>
      <c r="R1032" s="5" t="n"/>
    </row>
    <row r="1033">
      <c r="A1033" s="2" t="inlineStr">
        <is>
          <t>EJ010325.TXT</t>
        </is>
      </c>
      <c r="B1033" s="3" t="inlineStr">
        <is>
          <t>005726</t>
        </is>
      </c>
      <c r="C1033" s="3" t="inlineStr">
        <is>
          <t>004593</t>
        </is>
      </c>
      <c r="D1033" s="4" t="n">
        <v>45691</v>
      </c>
      <c r="E1033" s="2" t="inlineStr">
        <is>
          <t>14:35</t>
        </is>
      </c>
      <c r="F1033" s="5" t="n">
        <v>1595</v>
      </c>
      <c r="G1033" s="5" t="n"/>
      <c r="H1033" s="5" t="n"/>
      <c r="I1033" s="5" t="n"/>
      <c r="J1033" s="5" t="n">
        <v>319</v>
      </c>
      <c r="K1033" s="5" t="n"/>
      <c r="L1033" s="5" t="n"/>
      <c r="M1033" s="5" t="n"/>
      <c r="N1033" s="5" t="n"/>
      <c r="O1033" s="5" t="n">
        <v>1914</v>
      </c>
      <c r="P1033" s="5" t="n">
        <v>1914</v>
      </c>
      <c r="Q1033" s="5" t="n"/>
      <c r="R1033" s="5" t="n"/>
    </row>
    <row r="1034">
      <c r="A1034" s="2" t="inlineStr">
        <is>
          <t>EJ010325.TXT</t>
        </is>
      </c>
      <c r="B1034" s="3" t="inlineStr">
        <is>
          <t>005727</t>
        </is>
      </c>
      <c r="C1034" s="3" t="inlineStr">
        <is>
          <t>004594</t>
        </is>
      </c>
      <c r="D1034" s="4" t="n">
        <v>45691</v>
      </c>
      <c r="E1034" s="2" t="inlineStr">
        <is>
          <t>14:35</t>
        </is>
      </c>
      <c r="F1034" s="5" t="n">
        <v>1595</v>
      </c>
      <c r="G1034" s="5" t="n"/>
      <c r="H1034" s="5" t="n"/>
      <c r="I1034" s="5" t="n"/>
      <c r="J1034" s="5" t="n">
        <v>319</v>
      </c>
      <c r="K1034" s="5" t="n"/>
      <c r="L1034" s="5" t="n"/>
      <c r="M1034" s="5" t="n"/>
      <c r="N1034" s="5" t="n"/>
      <c r="O1034" s="5" t="n">
        <v>1914</v>
      </c>
      <c r="P1034" s="5" t="n">
        <v>1914</v>
      </c>
      <c r="Q1034" s="5" t="n"/>
      <c r="R1034" s="5" t="n"/>
    </row>
    <row r="1035">
      <c r="A1035" s="2" t="inlineStr">
        <is>
          <t>EJ010325.TXT</t>
        </is>
      </c>
      <c r="B1035" s="3" t="inlineStr">
        <is>
          <t>005728</t>
        </is>
      </c>
      <c r="C1035" s="3" t="inlineStr">
        <is>
          <t>004595</t>
        </is>
      </c>
      <c r="D1035" s="4" t="n">
        <v>45694</v>
      </c>
      <c r="E1035" s="2" t="inlineStr">
        <is>
          <t>12:47</t>
        </is>
      </c>
      <c r="F1035" s="5" t="n">
        <v>830</v>
      </c>
      <c r="G1035" s="5" t="n"/>
      <c r="H1035" s="5" t="n"/>
      <c r="I1035" s="5" t="n"/>
      <c r="J1035" s="5" t="n">
        <v>166</v>
      </c>
      <c r="K1035" s="5" t="n"/>
      <c r="L1035" s="5" t="n"/>
      <c r="M1035" s="5" t="n"/>
      <c r="N1035" s="5" t="n"/>
      <c r="O1035" s="5" t="n">
        <v>996</v>
      </c>
      <c r="P1035" s="5" t="n"/>
      <c r="Q1035" s="5" t="n">
        <v>996</v>
      </c>
      <c r="R1035" s="5" t="n"/>
    </row>
    <row r="1036">
      <c r="A1036" s="2" t="inlineStr">
        <is>
          <t>EJ010325.TXT</t>
        </is>
      </c>
      <c r="B1036" s="3" t="inlineStr">
        <is>
          <t>005729</t>
        </is>
      </c>
      <c r="C1036" s="3" t="inlineStr">
        <is>
          <t>004596</t>
        </is>
      </c>
      <c r="D1036" s="4" t="n">
        <v>45694</v>
      </c>
      <c r="E1036" s="2" t="inlineStr">
        <is>
          <t>17:45</t>
        </is>
      </c>
      <c r="F1036" s="5" t="n">
        <v>548.33</v>
      </c>
      <c r="G1036" s="5" t="n"/>
      <c r="H1036" s="5" t="n"/>
      <c r="I1036" s="5" t="n"/>
      <c r="J1036" s="5" t="n">
        <v>109.67</v>
      </c>
      <c r="K1036" s="5" t="n"/>
      <c r="L1036" s="5" t="n"/>
      <c r="M1036" s="5" t="n"/>
      <c r="N1036" s="5" t="n"/>
      <c r="O1036" s="5" t="n">
        <v>658</v>
      </c>
      <c r="P1036" s="5" t="n"/>
      <c r="Q1036" s="5" t="n">
        <v>658</v>
      </c>
      <c r="R1036" s="5" t="n"/>
    </row>
    <row r="1037">
      <c r="A1037" s="2" t="inlineStr">
        <is>
          <t>EJ010325.TXT</t>
        </is>
      </c>
      <c r="B1037" s="3" t="inlineStr">
        <is>
          <t>005730</t>
        </is>
      </c>
      <c r="C1037" s="3" t="inlineStr">
        <is>
          <t>004597</t>
        </is>
      </c>
      <c r="D1037" s="4" t="n">
        <v>45695</v>
      </c>
      <c r="E1037" s="2" t="inlineStr">
        <is>
          <t>16:53</t>
        </is>
      </c>
      <c r="F1037" s="5" t="n">
        <v>208.33</v>
      </c>
      <c r="G1037" s="5" t="n"/>
      <c r="H1037" s="5" t="n"/>
      <c r="I1037" s="5" t="n"/>
      <c r="J1037" s="5" t="n">
        <v>41.67</v>
      </c>
      <c r="K1037" s="5" t="n"/>
      <c r="L1037" s="5" t="n"/>
      <c r="M1037" s="5" t="n"/>
      <c r="N1037" s="5" t="n"/>
      <c r="O1037" s="5" t="n">
        <v>250</v>
      </c>
      <c r="P1037" s="5" t="n"/>
      <c r="Q1037" s="5" t="n">
        <v>250</v>
      </c>
      <c r="R1037" s="5" t="n"/>
    </row>
    <row r="1038">
      <c r="A1038" s="2" t="inlineStr">
        <is>
          <t>EJ010325.TXT</t>
        </is>
      </c>
      <c r="B1038" s="3" t="inlineStr">
        <is>
          <t>005731</t>
        </is>
      </c>
      <c r="C1038" s="3" t="inlineStr">
        <is>
          <t>004598</t>
        </is>
      </c>
      <c r="D1038" s="4" t="n">
        <v>45698</v>
      </c>
      <c r="E1038" s="2" t="inlineStr">
        <is>
          <t>15:37</t>
        </is>
      </c>
      <c r="F1038" s="5" t="n">
        <v>124.17</v>
      </c>
      <c r="G1038" s="5" t="n"/>
      <c r="H1038" s="5" t="n"/>
      <c r="I1038" s="5" t="n"/>
      <c r="J1038" s="5" t="n">
        <v>24.83</v>
      </c>
      <c r="K1038" s="5" t="n"/>
      <c r="L1038" s="5" t="n"/>
      <c r="M1038" s="5" t="n"/>
      <c r="N1038" s="5" t="n"/>
      <c r="O1038" s="5" t="n">
        <v>149</v>
      </c>
      <c r="P1038" s="5" t="n">
        <v>149</v>
      </c>
      <c r="Q1038" s="5" t="n"/>
      <c r="R1038" s="5" t="n"/>
    </row>
    <row r="1039">
      <c r="A1039" s="2" t="inlineStr">
        <is>
          <t>EJ010325.TXT</t>
        </is>
      </c>
      <c r="B1039" s="3" t="inlineStr">
        <is>
          <t>005732</t>
        </is>
      </c>
      <c r="C1039" s="3" t="inlineStr">
        <is>
          <t>004599</t>
        </is>
      </c>
      <c r="D1039" s="4" t="n">
        <v>45699</v>
      </c>
      <c r="E1039" s="2" t="inlineStr">
        <is>
          <t>11:31</t>
        </is>
      </c>
      <c r="F1039" s="5" t="n">
        <v>465.83</v>
      </c>
      <c r="G1039" s="5" t="n"/>
      <c r="H1039" s="5" t="n"/>
      <c r="I1039" s="5" t="n"/>
      <c r="J1039" s="5" t="n">
        <v>93.17</v>
      </c>
      <c r="K1039" s="5" t="n"/>
      <c r="L1039" s="5" t="n"/>
      <c r="M1039" s="5" t="n"/>
      <c r="N1039" s="5" t="n"/>
      <c r="O1039" s="5" t="n">
        <v>559</v>
      </c>
      <c r="P1039" s="5" t="n">
        <v>559</v>
      </c>
      <c r="Q1039" s="5" t="n"/>
      <c r="R1039" s="5" t="n"/>
    </row>
    <row r="1040">
      <c r="A1040" s="2" t="inlineStr">
        <is>
          <t>EJ010325.TXT</t>
        </is>
      </c>
      <c r="B1040" s="3" t="inlineStr">
        <is>
          <t>005733</t>
        </is>
      </c>
      <c r="C1040" s="3" t="inlineStr">
        <is>
          <t>004600</t>
        </is>
      </c>
      <c r="D1040" s="4" t="n">
        <v>45701</v>
      </c>
      <c r="E1040" s="2" t="inlineStr">
        <is>
          <t>15:40</t>
        </is>
      </c>
      <c r="F1040" s="5" t="n">
        <v>531.67</v>
      </c>
      <c r="G1040" s="5" t="n"/>
      <c r="H1040" s="5" t="n"/>
      <c r="I1040" s="5" t="n"/>
      <c r="J1040" s="5" t="n">
        <v>106.33</v>
      </c>
      <c r="K1040" s="5" t="n"/>
      <c r="L1040" s="5" t="n"/>
      <c r="M1040" s="5" t="n"/>
      <c r="N1040" s="5" t="n"/>
      <c r="O1040" s="5" t="n">
        <v>638</v>
      </c>
      <c r="P1040" s="5" t="n"/>
      <c r="Q1040" s="5" t="n">
        <v>638</v>
      </c>
      <c r="R1040" s="5" t="n"/>
    </row>
    <row r="1041">
      <c r="A1041" s="2" t="inlineStr">
        <is>
          <t>EJ010325.TXT</t>
        </is>
      </c>
      <c r="B1041" s="3" t="inlineStr">
        <is>
          <t>005734</t>
        </is>
      </c>
      <c r="C1041" s="3" t="inlineStr">
        <is>
          <t>004601</t>
        </is>
      </c>
      <c r="D1041" s="4" t="n">
        <v>45703</v>
      </c>
      <c r="E1041" s="2" t="inlineStr">
        <is>
          <t>17:39</t>
        </is>
      </c>
      <c r="F1041" s="5" t="n">
        <v>548.33</v>
      </c>
      <c r="G1041" s="5" t="n"/>
      <c r="H1041" s="5" t="n"/>
      <c r="I1041" s="5" t="n"/>
      <c r="J1041" s="5" t="n">
        <v>109.67</v>
      </c>
      <c r="K1041" s="5" t="n"/>
      <c r="L1041" s="5" t="n"/>
      <c r="M1041" s="5" t="n"/>
      <c r="N1041" s="5" t="n"/>
      <c r="O1041" s="5" t="n">
        <v>658</v>
      </c>
      <c r="P1041" s="5" t="n">
        <v>658</v>
      </c>
      <c r="Q1041" s="5" t="n"/>
      <c r="R1041" s="5" t="n"/>
    </row>
    <row r="1042">
      <c r="A1042" s="2" t="inlineStr">
        <is>
          <t>EJ010325.TXT</t>
        </is>
      </c>
      <c r="B1042" s="3" t="inlineStr">
        <is>
          <t>005735</t>
        </is>
      </c>
      <c r="C1042" s="3" t="inlineStr">
        <is>
          <t>004602</t>
        </is>
      </c>
      <c r="D1042" s="4" t="n">
        <v>45705</v>
      </c>
      <c r="E1042" s="2" t="inlineStr">
        <is>
          <t>16:57</t>
        </is>
      </c>
      <c r="F1042" s="5" t="n">
        <v>208.33</v>
      </c>
      <c r="G1042" s="5" t="n"/>
      <c r="H1042" s="5" t="n"/>
      <c r="I1042" s="5" t="n"/>
      <c r="J1042" s="5" t="n">
        <v>41.67</v>
      </c>
      <c r="K1042" s="5" t="n"/>
      <c r="L1042" s="5" t="n"/>
      <c r="M1042" s="5" t="n"/>
      <c r="N1042" s="5" t="n"/>
      <c r="O1042" s="5" t="n">
        <v>250</v>
      </c>
      <c r="P1042" s="5" t="n"/>
      <c r="Q1042" s="5" t="n">
        <v>250</v>
      </c>
      <c r="R1042" s="5" t="n"/>
    </row>
    <row r="1043">
      <c r="A1043" s="2" t="inlineStr">
        <is>
          <t>EJ010325.TXT</t>
        </is>
      </c>
      <c r="B1043" s="3" t="inlineStr">
        <is>
          <t>005736</t>
        </is>
      </c>
      <c r="C1043" s="3" t="inlineStr">
        <is>
          <t>004603</t>
        </is>
      </c>
      <c r="D1043" s="4" t="n">
        <v>45707</v>
      </c>
      <c r="E1043" s="2" t="inlineStr">
        <is>
          <t>14:17</t>
        </is>
      </c>
      <c r="F1043" s="5" t="n">
        <v>816.67</v>
      </c>
      <c r="G1043" s="5" t="n"/>
      <c r="H1043" s="5" t="n"/>
      <c r="I1043" s="5" t="n"/>
      <c r="J1043" s="5" t="n">
        <v>163.33</v>
      </c>
      <c r="K1043" s="5" t="n"/>
      <c r="L1043" s="5" t="n"/>
      <c r="M1043" s="5" t="n"/>
      <c r="N1043" s="5" t="n"/>
      <c r="O1043" s="5" t="n">
        <v>980</v>
      </c>
      <c r="P1043" s="5" t="n"/>
      <c r="Q1043" s="5" t="n">
        <v>980</v>
      </c>
      <c r="R1043" s="5" t="n"/>
    </row>
    <row r="1044">
      <c r="A1044" s="2" t="inlineStr">
        <is>
          <t>EJ010325.TXT</t>
        </is>
      </c>
      <c r="B1044" s="3" t="inlineStr">
        <is>
          <t>005737</t>
        </is>
      </c>
      <c r="C1044" s="3" t="inlineStr">
        <is>
          <t>004604</t>
        </is>
      </c>
      <c r="D1044" s="4" t="n">
        <v>45707</v>
      </c>
      <c r="E1044" s="2" t="inlineStr">
        <is>
          <t>14:17</t>
        </is>
      </c>
      <c r="F1044" s="5" t="n">
        <v>733.33</v>
      </c>
      <c r="G1044" s="5" t="n"/>
      <c r="H1044" s="5" t="n"/>
      <c r="I1044" s="5" t="n"/>
      <c r="J1044" s="5" t="n">
        <v>146.67</v>
      </c>
      <c r="K1044" s="5" t="n"/>
      <c r="L1044" s="5" t="n"/>
      <c r="M1044" s="5" t="n"/>
      <c r="N1044" s="5" t="n"/>
      <c r="O1044" s="5" t="n">
        <v>880</v>
      </c>
      <c r="P1044" s="5" t="n"/>
      <c r="Q1044" s="5" t="n">
        <v>880</v>
      </c>
      <c r="R1044" s="5" t="n"/>
    </row>
    <row r="1045">
      <c r="A1045" s="2" t="inlineStr">
        <is>
          <t>EJ010325.TXT</t>
        </is>
      </c>
      <c r="B1045" s="3" t="inlineStr">
        <is>
          <t>005738</t>
        </is>
      </c>
      <c r="C1045" s="3" t="inlineStr">
        <is>
          <t>004605</t>
        </is>
      </c>
      <c r="D1045" s="4" t="n">
        <v>45708</v>
      </c>
      <c r="E1045" s="2" t="inlineStr">
        <is>
          <t>15:41</t>
        </is>
      </c>
      <c r="F1045" s="5" t="n">
        <v>548.33</v>
      </c>
      <c r="G1045" s="5" t="n"/>
      <c r="H1045" s="5" t="n"/>
      <c r="I1045" s="5" t="n"/>
      <c r="J1045" s="5" t="n">
        <v>109.67</v>
      </c>
      <c r="K1045" s="5" t="n"/>
      <c r="L1045" s="5" t="n"/>
      <c r="M1045" s="5" t="n"/>
      <c r="N1045" s="5" t="n"/>
      <c r="O1045" s="5" t="n">
        <v>658</v>
      </c>
      <c r="P1045" s="5" t="n"/>
      <c r="Q1045" s="5" t="n">
        <v>658</v>
      </c>
      <c r="R1045" s="5" t="n"/>
    </row>
    <row r="1046">
      <c r="A1046" s="2" t="inlineStr">
        <is>
          <t>EJ010325.TXT</t>
        </is>
      </c>
      <c r="B1046" s="3" t="inlineStr">
        <is>
          <t>005739</t>
        </is>
      </c>
      <c r="C1046" s="3" t="inlineStr">
        <is>
          <t>004606</t>
        </is>
      </c>
      <c r="D1046" s="4" t="n">
        <v>45709</v>
      </c>
      <c r="E1046" s="2" t="inlineStr">
        <is>
          <t>14:52</t>
        </is>
      </c>
      <c r="F1046" s="5" t="n">
        <v>548.33</v>
      </c>
      <c r="G1046" s="5" t="n"/>
      <c r="H1046" s="5" t="n"/>
      <c r="I1046" s="5" t="n"/>
      <c r="J1046" s="5" t="n">
        <v>109.67</v>
      </c>
      <c r="K1046" s="5" t="n"/>
      <c r="L1046" s="5" t="n"/>
      <c r="M1046" s="5" t="n"/>
      <c r="N1046" s="5" t="n"/>
      <c r="O1046" s="5" t="n">
        <v>658</v>
      </c>
      <c r="P1046" s="5" t="n">
        <v>658</v>
      </c>
      <c r="Q1046" s="5" t="n"/>
      <c r="R1046" s="5" t="n"/>
    </row>
    <row r="1047">
      <c r="A1047" s="2" t="inlineStr">
        <is>
          <t>EJ010325.TXT</t>
        </is>
      </c>
      <c r="B1047" s="3" t="inlineStr">
        <is>
          <t>005740</t>
        </is>
      </c>
      <c r="C1047" s="3" t="inlineStr">
        <is>
          <t>004607</t>
        </is>
      </c>
      <c r="D1047" s="4" t="n">
        <v>45709</v>
      </c>
      <c r="E1047" s="2" t="inlineStr">
        <is>
          <t>15:29</t>
        </is>
      </c>
      <c r="F1047" s="5" t="n">
        <v>208.33</v>
      </c>
      <c r="G1047" s="5" t="n"/>
      <c r="H1047" s="5" t="n"/>
      <c r="I1047" s="5" t="n"/>
      <c r="J1047" s="5" t="n">
        <v>41.67</v>
      </c>
      <c r="K1047" s="5" t="n"/>
      <c r="L1047" s="5" t="n"/>
      <c r="M1047" s="5" t="n"/>
      <c r="N1047" s="5" t="n"/>
      <c r="O1047" s="5" t="n">
        <v>250</v>
      </c>
      <c r="P1047" s="5" t="n"/>
      <c r="Q1047" s="5" t="n">
        <v>250</v>
      </c>
      <c r="R1047" s="5" t="n"/>
    </row>
    <row r="1048">
      <c r="A1048" s="2" t="inlineStr">
        <is>
          <t>EJ010325.TXT</t>
        </is>
      </c>
      <c r="B1048" s="3" t="inlineStr">
        <is>
          <t>005741</t>
        </is>
      </c>
      <c r="C1048" s="3" t="inlineStr">
        <is>
          <t>004608</t>
        </is>
      </c>
      <c r="D1048" s="4" t="n">
        <v>45712</v>
      </c>
      <c r="E1048" s="2" t="inlineStr">
        <is>
          <t>16:55</t>
        </is>
      </c>
      <c r="F1048" s="5" t="n">
        <v>99.83</v>
      </c>
      <c r="G1048" s="5" t="n"/>
      <c r="H1048" s="5" t="n"/>
      <c r="I1048" s="5" t="n"/>
      <c r="J1048" s="5" t="n">
        <v>19.97</v>
      </c>
      <c r="K1048" s="5" t="n"/>
      <c r="L1048" s="5" t="n"/>
      <c r="M1048" s="5" t="n"/>
      <c r="N1048" s="5" t="n"/>
      <c r="O1048" s="5" t="n">
        <v>119.8</v>
      </c>
      <c r="P1048" s="5" t="n"/>
      <c r="Q1048" s="5" t="n">
        <v>119.8</v>
      </c>
      <c r="R1048" s="5" t="n"/>
    </row>
    <row r="1049">
      <c r="A1049" s="2" t="inlineStr">
        <is>
          <t>EJ010325.TXT</t>
        </is>
      </c>
      <c r="B1049" s="3" t="inlineStr">
        <is>
          <t>005742</t>
        </is>
      </c>
      <c r="C1049" s="3" t="inlineStr">
        <is>
          <t>004609</t>
        </is>
      </c>
      <c r="D1049" s="4" t="n">
        <v>45713</v>
      </c>
      <c r="E1049" s="2" t="inlineStr">
        <is>
          <t>10:24</t>
        </is>
      </c>
      <c r="F1049" s="5" t="n">
        <v>458.33</v>
      </c>
      <c r="G1049" s="5" t="n"/>
      <c r="H1049" s="5" t="n"/>
      <c r="I1049" s="5" t="n"/>
      <c r="J1049" s="5" t="n">
        <v>91.67</v>
      </c>
      <c r="K1049" s="5" t="n"/>
      <c r="L1049" s="5" t="n"/>
      <c r="M1049" s="5" t="n"/>
      <c r="N1049" s="5" t="n"/>
      <c r="O1049" s="5" t="n">
        <v>550</v>
      </c>
      <c r="P1049" s="5" t="n"/>
      <c r="Q1049" s="5" t="n">
        <v>550</v>
      </c>
      <c r="R1049" s="5" t="n"/>
    </row>
    <row r="1050">
      <c r="A1050" s="2" t="inlineStr">
        <is>
          <t>EJ010325.TXT</t>
        </is>
      </c>
      <c r="B1050" s="3" t="inlineStr">
        <is>
          <t>005743</t>
        </is>
      </c>
      <c r="C1050" s="3" t="inlineStr">
        <is>
          <t>004610</t>
        </is>
      </c>
      <c r="D1050" s="4" t="n">
        <v>45713</v>
      </c>
      <c r="E1050" s="2" t="inlineStr">
        <is>
          <t>10:24</t>
        </is>
      </c>
      <c r="F1050" s="5" t="n">
        <v>416.67</v>
      </c>
      <c r="G1050" s="5" t="n"/>
      <c r="H1050" s="5" t="n"/>
      <c r="I1050" s="5" t="n"/>
      <c r="J1050" s="5" t="n">
        <v>83.33</v>
      </c>
      <c r="K1050" s="5" t="n"/>
      <c r="L1050" s="5" t="n"/>
      <c r="M1050" s="5" t="n"/>
      <c r="N1050" s="5" t="n"/>
      <c r="O1050" s="5" t="n">
        <v>500</v>
      </c>
      <c r="P1050" s="5" t="n"/>
      <c r="Q1050" s="5" t="n">
        <v>500</v>
      </c>
      <c r="R1050" s="5" t="n"/>
    </row>
    <row r="1051">
      <c r="A1051" s="2" t="inlineStr">
        <is>
          <t>EJ010325.TXT</t>
        </is>
      </c>
      <c r="B1051" s="3" t="inlineStr">
        <is>
          <t>005744</t>
        </is>
      </c>
      <c r="C1051" s="3" t="inlineStr">
        <is>
          <t>004611</t>
        </is>
      </c>
      <c r="D1051" s="4" t="n">
        <v>45713</v>
      </c>
      <c r="E1051" s="2" t="inlineStr">
        <is>
          <t>12:05</t>
        </is>
      </c>
      <c r="F1051" s="5" t="n">
        <v>833.33</v>
      </c>
      <c r="G1051" s="5" t="n"/>
      <c r="H1051" s="5" t="n"/>
      <c r="I1051" s="5" t="n"/>
      <c r="J1051" s="5" t="n">
        <v>166.67</v>
      </c>
      <c r="K1051" s="5" t="n"/>
      <c r="L1051" s="5" t="n"/>
      <c r="M1051" s="5" t="n"/>
      <c r="N1051" s="5" t="n"/>
      <c r="O1051" s="5" t="n">
        <v>1000</v>
      </c>
      <c r="P1051" s="5" t="n"/>
      <c r="Q1051" s="5" t="n">
        <v>1000</v>
      </c>
      <c r="R1051" s="5" t="n"/>
    </row>
    <row r="1052">
      <c r="A1052" s="2" t="inlineStr">
        <is>
          <t>EJ010325.TXT</t>
        </is>
      </c>
      <c r="B1052" s="3" t="inlineStr">
        <is>
          <t>005745</t>
        </is>
      </c>
      <c r="C1052" s="3" t="inlineStr">
        <is>
          <t>004612</t>
        </is>
      </c>
      <c r="D1052" s="4" t="n">
        <v>45713</v>
      </c>
      <c r="E1052" s="2" t="inlineStr">
        <is>
          <t>12:06</t>
        </is>
      </c>
      <c r="F1052" s="5" t="n">
        <v>416.67</v>
      </c>
      <c r="G1052" s="5" t="n"/>
      <c r="H1052" s="5" t="n"/>
      <c r="I1052" s="5" t="n"/>
      <c r="J1052" s="5" t="n">
        <v>83.33</v>
      </c>
      <c r="K1052" s="5" t="n"/>
      <c r="L1052" s="5" t="n"/>
      <c r="M1052" s="5" t="n"/>
      <c r="N1052" s="5" t="n"/>
      <c r="O1052" s="5" t="n">
        <v>500</v>
      </c>
      <c r="P1052" s="5" t="n"/>
      <c r="Q1052" s="5" t="n">
        <v>500</v>
      </c>
      <c r="R1052" s="5" t="n"/>
    </row>
    <row r="1053">
      <c r="A1053" s="2" t="inlineStr">
        <is>
          <t>EJ010325.TXT</t>
        </is>
      </c>
      <c r="B1053" s="3" t="inlineStr">
        <is>
          <t>005746</t>
        </is>
      </c>
      <c r="C1053" s="3" t="inlineStr">
        <is>
          <t>004613</t>
        </is>
      </c>
      <c r="D1053" s="4" t="n">
        <v>45713</v>
      </c>
      <c r="E1053" s="2" t="inlineStr">
        <is>
          <t>15:53</t>
        </is>
      </c>
      <c r="F1053" s="5" t="n">
        <v>1063.33</v>
      </c>
      <c r="G1053" s="5" t="n"/>
      <c r="H1053" s="5" t="n"/>
      <c r="I1053" s="5" t="n"/>
      <c r="J1053" s="5" t="n">
        <v>212.67</v>
      </c>
      <c r="K1053" s="5" t="n"/>
      <c r="L1053" s="5" t="n"/>
      <c r="M1053" s="5" t="n"/>
      <c r="N1053" s="5" t="n"/>
      <c r="O1053" s="5" t="n">
        <v>1276</v>
      </c>
      <c r="P1053" s="5" t="n"/>
      <c r="Q1053" s="5" t="n">
        <v>1276</v>
      </c>
      <c r="R1053" s="5" t="n"/>
    </row>
    <row r="1054">
      <c r="A1054" s="2" t="inlineStr">
        <is>
          <t>EJ010325.TXT</t>
        </is>
      </c>
      <c r="B1054" s="3" t="inlineStr">
        <is>
          <t>005747</t>
        </is>
      </c>
      <c r="C1054" s="3" t="inlineStr">
        <is>
          <t>004614</t>
        </is>
      </c>
      <c r="D1054" s="4" t="n">
        <v>45716</v>
      </c>
      <c r="E1054" s="2" t="inlineStr">
        <is>
          <t>18:33</t>
        </is>
      </c>
      <c r="F1054" s="5" t="n">
        <v>689.17</v>
      </c>
      <c r="G1054" s="5" t="n"/>
      <c r="H1054" s="5" t="n"/>
      <c r="I1054" s="5" t="n"/>
      <c r="J1054" s="5" t="n">
        <v>137.83</v>
      </c>
      <c r="K1054" s="5" t="n"/>
      <c r="L1054" s="5" t="n"/>
      <c r="M1054" s="5" t="n"/>
      <c r="N1054" s="5" t="n"/>
      <c r="O1054" s="5" t="n">
        <v>827</v>
      </c>
      <c r="P1054" s="5" t="n"/>
      <c r="Q1054" s="5" t="n">
        <v>827</v>
      </c>
      <c r="R1054" s="5" t="n"/>
    </row>
    <row r="1055">
      <c r="A1055" s="2" t="inlineStr">
        <is>
          <t>EJ290325.TXT</t>
        </is>
      </c>
      <c r="B1055" s="3" t="inlineStr">
        <is>
          <t>005755</t>
        </is>
      </c>
      <c r="C1055" s="3" t="inlineStr">
        <is>
          <t>004615</t>
        </is>
      </c>
      <c r="D1055" s="4" t="n">
        <v>45720</v>
      </c>
      <c r="E1055" s="2" t="inlineStr">
        <is>
          <t>11:04</t>
        </is>
      </c>
      <c r="F1055" s="5" t="n">
        <v>416.67</v>
      </c>
      <c r="G1055" s="5" t="n"/>
      <c r="H1055" s="5" t="n"/>
      <c r="I1055" s="5" t="n"/>
      <c r="J1055" s="5" t="n">
        <v>83.33</v>
      </c>
      <c r="K1055" s="5" t="n"/>
      <c r="L1055" s="5" t="n"/>
      <c r="M1055" s="5" t="n"/>
      <c r="N1055" s="5" t="n"/>
      <c r="O1055" s="5" t="n">
        <v>500</v>
      </c>
      <c r="P1055" s="5" t="n"/>
      <c r="Q1055" s="5" t="n">
        <v>500</v>
      </c>
      <c r="R1055" s="5" t="n"/>
    </row>
    <row r="1056">
      <c r="A1056" s="2" t="inlineStr">
        <is>
          <t>EJ290325.TXT</t>
        </is>
      </c>
      <c r="B1056" s="3" t="inlineStr">
        <is>
          <t>005756</t>
        </is>
      </c>
      <c r="C1056" s="3" t="inlineStr">
        <is>
          <t>004616</t>
        </is>
      </c>
      <c r="D1056" s="4" t="n">
        <v>45720</v>
      </c>
      <c r="E1056" s="2" t="inlineStr">
        <is>
          <t>16:20</t>
        </is>
      </c>
      <c r="F1056" s="5" t="n">
        <v>548.33</v>
      </c>
      <c r="G1056" s="5" t="n"/>
      <c r="H1056" s="5" t="n"/>
      <c r="I1056" s="5" t="n"/>
      <c r="J1056" s="5" t="n">
        <v>109.67</v>
      </c>
      <c r="K1056" s="5" t="n"/>
      <c r="L1056" s="5" t="n"/>
      <c r="M1056" s="5" t="n"/>
      <c r="N1056" s="5" t="n"/>
      <c r="O1056" s="5" t="n">
        <v>658</v>
      </c>
      <c r="P1056" s="5" t="n"/>
      <c r="Q1056" s="5" t="n">
        <v>658</v>
      </c>
      <c r="R1056" s="5" t="n"/>
    </row>
    <row r="1057">
      <c r="A1057" s="2" t="inlineStr">
        <is>
          <t>EJ290325.TXT</t>
        </is>
      </c>
      <c r="B1057" s="3" t="inlineStr">
        <is>
          <t>005757</t>
        </is>
      </c>
      <c r="C1057" s="3" t="inlineStr">
        <is>
          <t>004617</t>
        </is>
      </c>
      <c r="D1057" s="4" t="n">
        <v>45720</v>
      </c>
      <c r="E1057" s="2" t="inlineStr">
        <is>
          <t>17:46</t>
        </is>
      </c>
      <c r="F1057" s="5" t="n">
        <v>247.5</v>
      </c>
      <c r="G1057" s="5" t="n"/>
      <c r="H1057" s="5" t="n"/>
      <c r="I1057" s="5" t="n"/>
      <c r="J1057" s="5" t="n">
        <v>49.5</v>
      </c>
      <c r="K1057" s="5" t="n"/>
      <c r="L1057" s="5" t="n"/>
      <c r="M1057" s="5" t="n"/>
      <c r="N1057" s="5" t="n"/>
      <c r="O1057" s="5" t="n">
        <v>297</v>
      </c>
      <c r="P1057" s="5" t="n">
        <v>297</v>
      </c>
      <c r="Q1057" s="5" t="n"/>
      <c r="R1057" s="5" t="n"/>
    </row>
    <row r="1058">
      <c r="A1058" s="2" t="inlineStr">
        <is>
          <t>EJ290325.TXT</t>
        </is>
      </c>
      <c r="B1058" s="3" t="inlineStr">
        <is>
          <t>005758</t>
        </is>
      </c>
      <c r="C1058" s="3" t="inlineStr">
        <is>
          <t>004618</t>
        </is>
      </c>
      <c r="D1058" s="4" t="n">
        <v>45720</v>
      </c>
      <c r="E1058" s="2" t="inlineStr">
        <is>
          <t>18:21</t>
        </is>
      </c>
      <c r="F1058" s="5" t="n">
        <v>822.5</v>
      </c>
      <c r="G1058" s="5" t="n"/>
      <c r="H1058" s="5" t="n"/>
      <c r="I1058" s="5" t="n"/>
      <c r="J1058" s="5" t="n">
        <v>164.5</v>
      </c>
      <c r="K1058" s="5" t="n"/>
      <c r="L1058" s="5" t="n"/>
      <c r="M1058" s="5" t="n"/>
      <c r="N1058" s="5" t="n"/>
      <c r="O1058" s="5" t="n">
        <v>987</v>
      </c>
      <c r="P1058" s="5" t="n"/>
      <c r="Q1058" s="5" t="n">
        <v>987</v>
      </c>
      <c r="R1058" s="5" t="n"/>
    </row>
    <row r="1059">
      <c r="A1059" s="2" t="inlineStr">
        <is>
          <t>EJ290325.TXT</t>
        </is>
      </c>
      <c r="B1059" s="3" t="inlineStr">
        <is>
          <t>005759</t>
        </is>
      </c>
      <c r="C1059" s="3" t="inlineStr">
        <is>
          <t>004619</t>
        </is>
      </c>
      <c r="D1059" s="4" t="n">
        <v>45720</v>
      </c>
      <c r="E1059" s="2" t="inlineStr">
        <is>
          <t>18:23</t>
        </is>
      </c>
      <c r="F1059" s="5" t="n">
        <v>822.5</v>
      </c>
      <c r="G1059" s="5" t="n"/>
      <c r="H1059" s="5" t="n"/>
      <c r="I1059" s="5" t="n"/>
      <c r="J1059" s="5" t="n">
        <v>164.5</v>
      </c>
      <c r="K1059" s="5" t="n"/>
      <c r="L1059" s="5" t="n"/>
      <c r="M1059" s="5" t="n"/>
      <c r="N1059" s="5" t="n"/>
      <c r="O1059" s="5" t="n">
        <v>987</v>
      </c>
      <c r="P1059" s="5" t="n"/>
      <c r="Q1059" s="5" t="n">
        <v>987</v>
      </c>
      <c r="R1059" s="5" t="n"/>
    </row>
    <row r="1060">
      <c r="A1060" s="2" t="inlineStr">
        <is>
          <t>EJ290325.TXT</t>
        </is>
      </c>
      <c r="B1060" s="3" t="inlineStr">
        <is>
          <t>005760</t>
        </is>
      </c>
      <c r="C1060" s="3" t="inlineStr">
        <is>
          <t>004620</t>
        </is>
      </c>
      <c r="D1060" s="4" t="n">
        <v>45721</v>
      </c>
      <c r="E1060" s="2" t="inlineStr">
        <is>
          <t>10:28</t>
        </is>
      </c>
      <c r="F1060" s="5" t="n">
        <v>416.67</v>
      </c>
      <c r="G1060" s="5" t="n"/>
      <c r="H1060" s="5" t="n"/>
      <c r="I1060" s="5" t="n"/>
      <c r="J1060" s="5" t="n">
        <v>83.33</v>
      </c>
      <c r="K1060" s="5" t="n"/>
      <c r="L1060" s="5" t="n"/>
      <c r="M1060" s="5" t="n"/>
      <c r="N1060" s="5" t="n"/>
      <c r="O1060" s="5" t="n">
        <v>500</v>
      </c>
      <c r="P1060" s="5" t="n"/>
      <c r="Q1060" s="5" t="n">
        <v>500</v>
      </c>
      <c r="R1060" s="5" t="n"/>
    </row>
    <row r="1061">
      <c r="A1061" s="2" t="inlineStr">
        <is>
          <t>EJ290325.TXT</t>
        </is>
      </c>
      <c r="B1061" s="3" t="inlineStr">
        <is>
          <t>005761</t>
        </is>
      </c>
      <c r="C1061" s="3" t="inlineStr">
        <is>
          <t>004621</t>
        </is>
      </c>
      <c r="D1061" s="4" t="n">
        <v>45723</v>
      </c>
      <c r="E1061" s="2" t="inlineStr">
        <is>
          <t>16:01</t>
        </is>
      </c>
      <c r="F1061" s="5" t="n">
        <v>833.33</v>
      </c>
      <c r="G1061" s="5" t="n"/>
      <c r="H1061" s="5" t="n"/>
      <c r="I1061" s="5" t="n"/>
      <c r="J1061" s="5" t="n">
        <v>166.67</v>
      </c>
      <c r="K1061" s="5" t="n"/>
      <c r="L1061" s="5" t="n"/>
      <c r="M1061" s="5" t="n"/>
      <c r="N1061" s="5" t="n"/>
      <c r="O1061" s="5" t="n">
        <v>1000</v>
      </c>
      <c r="P1061" s="5" t="n">
        <v>1000</v>
      </c>
      <c r="Q1061" s="5" t="n"/>
      <c r="R1061" s="5" t="n"/>
    </row>
    <row r="1062">
      <c r="A1062" s="2" t="inlineStr">
        <is>
          <t>EJ290325.TXT</t>
        </is>
      </c>
      <c r="B1062" s="3" t="inlineStr">
        <is>
          <t>005762</t>
        </is>
      </c>
      <c r="C1062" s="3" t="inlineStr">
        <is>
          <t>004622</t>
        </is>
      </c>
      <c r="D1062" s="4" t="n">
        <v>45724</v>
      </c>
      <c r="E1062" s="2" t="inlineStr">
        <is>
          <t>17:39</t>
        </is>
      </c>
      <c r="F1062" s="5" t="n">
        <v>199.17</v>
      </c>
      <c r="G1062" s="5" t="n"/>
      <c r="H1062" s="5" t="n"/>
      <c r="I1062" s="5" t="n"/>
      <c r="J1062" s="5" t="n">
        <v>39.83</v>
      </c>
      <c r="K1062" s="5" t="n"/>
      <c r="L1062" s="5" t="n"/>
      <c r="M1062" s="5" t="n"/>
      <c r="N1062" s="5" t="n"/>
      <c r="O1062" s="5" t="n">
        <v>239</v>
      </c>
      <c r="P1062" s="5" t="n">
        <v>239</v>
      </c>
      <c r="Q1062" s="5" t="n"/>
      <c r="R1062" s="5" t="n"/>
    </row>
    <row r="1063">
      <c r="A1063" s="2" t="inlineStr">
        <is>
          <t>EJ290325.TXT</t>
        </is>
      </c>
      <c r="B1063" s="3" t="inlineStr">
        <is>
          <t>005763</t>
        </is>
      </c>
      <c r="C1063" s="3" t="inlineStr">
        <is>
          <t>004623</t>
        </is>
      </c>
      <c r="D1063" s="4" t="n">
        <v>45724</v>
      </c>
      <c r="E1063" s="2" t="inlineStr">
        <is>
          <t>18:31</t>
        </is>
      </c>
      <c r="F1063" s="5" t="n">
        <v>73.33</v>
      </c>
      <c r="G1063" s="5" t="n"/>
      <c r="H1063" s="5" t="n"/>
      <c r="I1063" s="5" t="n"/>
      <c r="J1063" s="5" t="n">
        <v>14.67</v>
      </c>
      <c r="K1063" s="5" t="n"/>
      <c r="L1063" s="5" t="n"/>
      <c r="M1063" s="5" t="n"/>
      <c r="N1063" s="5" t="n"/>
      <c r="O1063" s="5" t="n">
        <v>88</v>
      </c>
      <c r="P1063" s="5" t="n">
        <v>88</v>
      </c>
      <c r="Q1063" s="5" t="n"/>
      <c r="R1063" s="5" t="n"/>
    </row>
    <row r="1064">
      <c r="A1064" s="2" t="inlineStr">
        <is>
          <t>EJ290325.TXT</t>
        </is>
      </c>
      <c r="B1064" s="3" t="inlineStr">
        <is>
          <t>005764</t>
        </is>
      </c>
      <c r="C1064" s="3" t="inlineStr">
        <is>
          <t>004624</t>
        </is>
      </c>
      <c r="D1064" s="4" t="n">
        <v>45726</v>
      </c>
      <c r="E1064" s="2" t="inlineStr">
        <is>
          <t>11:34</t>
        </is>
      </c>
      <c r="F1064" s="5" t="n">
        <v>49.92</v>
      </c>
      <c r="G1064" s="5" t="n"/>
      <c r="H1064" s="5" t="n"/>
      <c r="I1064" s="5" t="n"/>
      <c r="J1064" s="5" t="n">
        <v>9.98</v>
      </c>
      <c r="K1064" s="5" t="n"/>
      <c r="L1064" s="5" t="n"/>
      <c r="M1064" s="5" t="n"/>
      <c r="N1064" s="5" t="n"/>
      <c r="O1064" s="5" t="n">
        <v>59.9</v>
      </c>
      <c r="P1064" s="5" t="n"/>
      <c r="Q1064" s="5" t="n">
        <v>59.9</v>
      </c>
      <c r="R1064" s="5" t="n"/>
    </row>
    <row r="1065">
      <c r="A1065" s="2" t="inlineStr">
        <is>
          <t>EJ290325.TXT</t>
        </is>
      </c>
      <c r="B1065" s="3" t="inlineStr">
        <is>
          <t>005765</t>
        </is>
      </c>
      <c r="C1065" s="3" t="inlineStr">
        <is>
          <t>004625</t>
        </is>
      </c>
      <c r="D1065" s="4" t="n">
        <v>45728</v>
      </c>
      <c r="E1065" s="2" t="inlineStr">
        <is>
          <t>18:32</t>
        </is>
      </c>
      <c r="F1065" s="5" t="n">
        <v>274.17</v>
      </c>
      <c r="G1065" s="5" t="n"/>
      <c r="H1065" s="5" t="n"/>
      <c r="I1065" s="5" t="n"/>
      <c r="J1065" s="5" t="n">
        <v>54.83</v>
      </c>
      <c r="K1065" s="5" t="n"/>
      <c r="L1065" s="5" t="n"/>
      <c r="M1065" s="5" t="n"/>
      <c r="N1065" s="5" t="n"/>
      <c r="O1065" s="5" t="n">
        <v>329</v>
      </c>
      <c r="P1065" s="5" t="n"/>
      <c r="Q1065" s="5" t="n">
        <v>329</v>
      </c>
      <c r="R1065" s="5" t="n"/>
    </row>
    <row r="1066">
      <c r="A1066" s="2" t="inlineStr">
        <is>
          <t>EJ290325.TXT</t>
        </is>
      </c>
      <c r="B1066" s="3" t="inlineStr">
        <is>
          <t>005766</t>
        </is>
      </c>
      <c r="C1066" s="3" t="inlineStr">
        <is>
          <t>004626</t>
        </is>
      </c>
      <c r="D1066" s="4" t="n">
        <v>45729</v>
      </c>
      <c r="E1066" s="2" t="inlineStr">
        <is>
          <t>15:59</t>
        </is>
      </c>
      <c r="F1066" s="5" t="n">
        <v>324.17</v>
      </c>
      <c r="G1066" s="5" t="n"/>
      <c r="H1066" s="5" t="n"/>
      <c r="I1066" s="5" t="n"/>
      <c r="J1066" s="5" t="n">
        <v>64.83</v>
      </c>
      <c r="K1066" s="5" t="n"/>
      <c r="L1066" s="5" t="n"/>
      <c r="M1066" s="5" t="n"/>
      <c r="N1066" s="5" t="n"/>
      <c r="O1066" s="5" t="n">
        <v>389</v>
      </c>
      <c r="P1066" s="5" t="n">
        <v>389</v>
      </c>
      <c r="Q1066" s="5" t="n"/>
      <c r="R1066" s="5" t="n"/>
    </row>
    <row r="1067">
      <c r="A1067" s="2" t="inlineStr">
        <is>
          <t>EJ290325.TXT</t>
        </is>
      </c>
      <c r="B1067" s="3" t="inlineStr">
        <is>
          <t>005767</t>
        </is>
      </c>
      <c r="C1067" s="3" t="inlineStr">
        <is>
          <t>004627</t>
        </is>
      </c>
      <c r="D1067" s="4" t="n">
        <v>45731</v>
      </c>
      <c r="E1067" s="2" t="inlineStr">
        <is>
          <t>15:39</t>
        </is>
      </c>
      <c r="F1067" s="5" t="n">
        <v>4579.17</v>
      </c>
      <c r="G1067" s="5" t="n"/>
      <c r="H1067" s="5" t="n"/>
      <c r="I1067" s="5" t="n"/>
      <c r="J1067" s="5" t="n">
        <v>915.83</v>
      </c>
      <c r="K1067" s="5" t="n"/>
      <c r="L1067" s="5" t="n"/>
      <c r="M1067" s="5" t="n"/>
      <c r="N1067" s="5" t="n"/>
      <c r="O1067" s="5" t="n">
        <v>5495</v>
      </c>
      <c r="P1067" s="5" t="n">
        <v>5495</v>
      </c>
      <c r="Q1067" s="5" t="n"/>
      <c r="R1067" s="5" t="n"/>
    </row>
    <row r="1068">
      <c r="A1068" s="2" t="inlineStr">
        <is>
          <t>EJ290325.TXT</t>
        </is>
      </c>
      <c r="B1068" s="3" t="inlineStr">
        <is>
          <t>005768</t>
        </is>
      </c>
      <c r="C1068" s="3" t="inlineStr">
        <is>
          <t>004628</t>
        </is>
      </c>
      <c r="D1068" s="4" t="n">
        <v>45737</v>
      </c>
      <c r="E1068" s="2" t="inlineStr">
        <is>
          <t>15:09</t>
        </is>
      </c>
      <c r="F1068" s="5" t="n">
        <v>99.83</v>
      </c>
      <c r="G1068" s="5" t="n"/>
      <c r="H1068" s="5" t="n"/>
      <c r="I1068" s="5" t="n"/>
      <c r="J1068" s="5" t="n">
        <v>19.97</v>
      </c>
      <c r="K1068" s="5" t="n"/>
      <c r="L1068" s="5" t="n"/>
      <c r="M1068" s="5" t="n"/>
      <c r="N1068" s="5" t="n"/>
      <c r="O1068" s="5" t="n">
        <v>119.8</v>
      </c>
      <c r="P1068" s="5" t="n"/>
      <c r="Q1068" s="5" t="n">
        <v>119.8</v>
      </c>
      <c r="R1068" s="5" t="n"/>
    </row>
    <row r="1069">
      <c r="A1069" s="2" t="inlineStr">
        <is>
          <t>EJ290325.TXT</t>
        </is>
      </c>
      <c r="B1069" s="3" t="inlineStr">
        <is>
          <t>005769</t>
        </is>
      </c>
      <c r="C1069" s="3" t="inlineStr">
        <is>
          <t>004629</t>
        </is>
      </c>
      <c r="D1069" s="4" t="n">
        <v>45737</v>
      </c>
      <c r="E1069" s="2" t="inlineStr">
        <is>
          <t>15:32</t>
        </is>
      </c>
      <c r="F1069" s="5" t="n">
        <v>274.17</v>
      </c>
      <c r="G1069" s="5" t="n"/>
      <c r="H1069" s="5" t="n"/>
      <c r="I1069" s="5" t="n"/>
      <c r="J1069" s="5" t="n">
        <v>54.83</v>
      </c>
      <c r="K1069" s="5" t="n"/>
      <c r="L1069" s="5" t="n"/>
      <c r="M1069" s="5" t="n"/>
      <c r="N1069" s="5" t="n"/>
      <c r="O1069" s="5" t="n">
        <v>329</v>
      </c>
      <c r="P1069" s="5" t="n"/>
      <c r="Q1069" s="5" t="n">
        <v>329</v>
      </c>
      <c r="R1069" s="5" t="n"/>
    </row>
    <row r="1070">
      <c r="A1070" s="2" t="inlineStr">
        <is>
          <t>EJ290325.TXT</t>
        </is>
      </c>
      <c r="B1070" s="3" t="inlineStr">
        <is>
          <t>005770</t>
        </is>
      </c>
      <c r="C1070" s="3" t="inlineStr">
        <is>
          <t>004630</t>
        </is>
      </c>
      <c r="D1070" s="4" t="n">
        <v>45738</v>
      </c>
      <c r="E1070" s="2" t="inlineStr">
        <is>
          <t>17:50</t>
        </is>
      </c>
      <c r="F1070" s="5" t="n">
        <v>274.17</v>
      </c>
      <c r="G1070" s="5" t="n"/>
      <c r="H1070" s="5" t="n"/>
      <c r="I1070" s="5" t="n"/>
      <c r="J1070" s="5" t="n">
        <v>54.83</v>
      </c>
      <c r="K1070" s="5" t="n"/>
      <c r="L1070" s="5" t="n"/>
      <c r="M1070" s="5" t="n"/>
      <c r="N1070" s="5" t="n"/>
      <c r="O1070" s="5" t="n">
        <v>329</v>
      </c>
      <c r="P1070" s="5" t="n"/>
      <c r="Q1070" s="5" t="n">
        <v>329</v>
      </c>
      <c r="R1070" s="5" t="n"/>
    </row>
    <row r="1071">
      <c r="A1071" s="2" t="inlineStr">
        <is>
          <t>EJ290325.TXT</t>
        </is>
      </c>
      <c r="B1071" s="3" t="inlineStr">
        <is>
          <t>005771</t>
        </is>
      </c>
      <c r="C1071" s="3" t="inlineStr">
        <is>
          <t>004631</t>
        </is>
      </c>
      <c r="D1071" s="4" t="n">
        <v>45740</v>
      </c>
      <c r="E1071" s="2" t="inlineStr">
        <is>
          <t>11:20</t>
        </is>
      </c>
      <c r="F1071" s="5" t="n">
        <v>190.83</v>
      </c>
      <c r="G1071" s="5" t="n"/>
      <c r="H1071" s="5" t="n"/>
      <c r="I1071" s="5" t="n"/>
      <c r="J1071" s="5" t="n">
        <v>38.17</v>
      </c>
      <c r="K1071" s="5" t="n"/>
      <c r="L1071" s="5" t="n"/>
      <c r="M1071" s="5" t="n"/>
      <c r="N1071" s="5" t="n"/>
      <c r="O1071" s="5" t="n">
        <v>229</v>
      </c>
      <c r="P1071" s="5" t="n">
        <v>229</v>
      </c>
      <c r="Q1071" s="5" t="n"/>
      <c r="R1071" s="5" t="n"/>
    </row>
    <row r="1072">
      <c r="A1072" s="2" t="inlineStr">
        <is>
          <t>EJ290325.TXT</t>
        </is>
      </c>
      <c r="B1072" s="3" t="inlineStr">
        <is>
          <t>005772</t>
        </is>
      </c>
      <c r="C1072" s="3" t="inlineStr">
        <is>
          <t>004632</t>
        </is>
      </c>
      <c r="D1072" s="4" t="n">
        <v>45742</v>
      </c>
      <c r="E1072" s="2" t="inlineStr">
        <is>
          <t>12:39</t>
        </is>
      </c>
      <c r="F1072" s="5" t="n">
        <v>1412.5</v>
      </c>
      <c r="G1072" s="5" t="n"/>
      <c r="H1072" s="5" t="n"/>
      <c r="I1072" s="5" t="n"/>
      <c r="J1072" s="5" t="n">
        <v>282.5</v>
      </c>
      <c r="K1072" s="5" t="n"/>
      <c r="L1072" s="5" t="n"/>
      <c r="M1072" s="5" t="n"/>
      <c r="N1072" s="5" t="n"/>
      <c r="O1072" s="5" t="n">
        <v>1695</v>
      </c>
      <c r="P1072" s="5" t="n">
        <v>1695</v>
      </c>
      <c r="Q1072" s="5" t="n"/>
      <c r="R1072" s="5" t="n"/>
    </row>
    <row r="1073">
      <c r="A1073" s="2" t="inlineStr">
        <is>
          <t>EJ290325.TXT</t>
        </is>
      </c>
      <c r="B1073" s="3" t="inlineStr">
        <is>
          <t>005773</t>
        </is>
      </c>
      <c r="C1073" s="3" t="inlineStr">
        <is>
          <t>004633</t>
        </is>
      </c>
      <c r="D1073" s="4" t="n">
        <v>45742</v>
      </c>
      <c r="E1073" s="2" t="inlineStr">
        <is>
          <t>19:00</t>
        </is>
      </c>
      <c r="F1073" s="5" t="n">
        <v>797.5</v>
      </c>
      <c r="G1073" s="5" t="n"/>
      <c r="H1073" s="5" t="n"/>
      <c r="I1073" s="5" t="n"/>
      <c r="J1073" s="5" t="n">
        <v>159.5</v>
      </c>
      <c r="K1073" s="5" t="n"/>
      <c r="L1073" s="5" t="n"/>
      <c r="M1073" s="5" t="n"/>
      <c r="N1073" s="5" t="n"/>
      <c r="O1073" s="5" t="n">
        <v>957</v>
      </c>
      <c r="P1073" s="5" t="n"/>
      <c r="Q1073" s="5" t="n">
        <v>957</v>
      </c>
      <c r="R1073" s="5" t="n"/>
    </row>
    <row r="1074">
      <c r="A1074" s="2" t="inlineStr">
        <is>
          <t>EJ290325.TXT</t>
        </is>
      </c>
      <c r="B1074" s="3" t="inlineStr">
        <is>
          <t>005774</t>
        </is>
      </c>
      <c r="C1074" s="3" t="inlineStr">
        <is>
          <t>004634</t>
        </is>
      </c>
      <c r="D1074" s="4" t="n">
        <v>45742</v>
      </c>
      <c r="E1074" s="2" t="inlineStr">
        <is>
          <t>19:00</t>
        </is>
      </c>
      <c r="F1074" s="5" t="n">
        <v>531.67</v>
      </c>
      <c r="G1074" s="5" t="n"/>
      <c r="H1074" s="5" t="n"/>
      <c r="I1074" s="5" t="n"/>
      <c r="J1074" s="5" t="n">
        <v>106.33</v>
      </c>
      <c r="K1074" s="5" t="n"/>
      <c r="L1074" s="5" t="n"/>
      <c r="M1074" s="5" t="n"/>
      <c r="N1074" s="5" t="n"/>
      <c r="O1074" s="5" t="n">
        <v>638</v>
      </c>
      <c r="P1074" s="5" t="n"/>
      <c r="Q1074" s="5" t="n">
        <v>638</v>
      </c>
      <c r="R1074" s="5" t="n"/>
    </row>
    <row r="1075">
      <c r="A1075" s="2" t="inlineStr">
        <is>
          <t>EJ290325.TXT</t>
        </is>
      </c>
      <c r="B1075" s="3" t="inlineStr">
        <is>
          <t>005775</t>
        </is>
      </c>
      <c r="C1075" s="3" t="inlineStr">
        <is>
          <t>004635</t>
        </is>
      </c>
      <c r="D1075" s="4" t="n">
        <v>45742</v>
      </c>
      <c r="E1075" s="2" t="inlineStr">
        <is>
          <t>19:03</t>
        </is>
      </c>
      <c r="F1075" s="5" t="n">
        <v>789.17</v>
      </c>
      <c r="G1075" s="5" t="n"/>
      <c r="H1075" s="5" t="n"/>
      <c r="I1075" s="5" t="n"/>
      <c r="J1075" s="5" t="n">
        <v>157.83</v>
      </c>
      <c r="K1075" s="5" t="n"/>
      <c r="L1075" s="5" t="n"/>
      <c r="M1075" s="5" t="n"/>
      <c r="N1075" s="5" t="n"/>
      <c r="O1075" s="5" t="n">
        <v>947</v>
      </c>
      <c r="P1075" s="5" t="n"/>
      <c r="Q1075" s="5" t="n">
        <v>947</v>
      </c>
      <c r="R1075" s="5" t="n"/>
    </row>
    <row r="1076">
      <c r="A1076" s="2" t="inlineStr">
        <is>
          <t>EJ290325.TXT</t>
        </is>
      </c>
      <c r="B1076" s="3" t="inlineStr">
        <is>
          <t>005776</t>
        </is>
      </c>
      <c r="C1076" s="3" t="inlineStr">
        <is>
          <t>004636</t>
        </is>
      </c>
      <c r="D1076" s="4" t="n">
        <v>45742</v>
      </c>
      <c r="E1076" s="2" t="inlineStr">
        <is>
          <t>19:03</t>
        </is>
      </c>
      <c r="F1076" s="5" t="n">
        <v>274.17</v>
      </c>
      <c r="G1076" s="5" t="n"/>
      <c r="H1076" s="5" t="n"/>
      <c r="I1076" s="5" t="n"/>
      <c r="J1076" s="5" t="n">
        <v>54.83</v>
      </c>
      <c r="K1076" s="5" t="n"/>
      <c r="L1076" s="5" t="n"/>
      <c r="M1076" s="5" t="n"/>
      <c r="N1076" s="5" t="n"/>
      <c r="O1076" s="5" t="n">
        <v>329</v>
      </c>
      <c r="P1076" s="5" t="n"/>
      <c r="Q1076" s="5" t="n">
        <v>329</v>
      </c>
      <c r="R1076" s="5" t="n"/>
    </row>
    <row r="1077">
      <c r="A1077" s="2" t="inlineStr">
        <is>
          <t>EJ290325.TXT</t>
        </is>
      </c>
      <c r="B1077" s="3" t="inlineStr">
        <is>
          <t>005777</t>
        </is>
      </c>
      <c r="C1077" s="3" t="inlineStr">
        <is>
          <t>004637</t>
        </is>
      </c>
      <c r="D1077" s="4" t="n">
        <v>45742</v>
      </c>
      <c r="E1077" s="2" t="inlineStr">
        <is>
          <t>19:03</t>
        </is>
      </c>
      <c r="F1077" s="5" t="n">
        <v>265.83</v>
      </c>
      <c r="G1077" s="5" t="n"/>
      <c r="H1077" s="5" t="n"/>
      <c r="I1077" s="5" t="n"/>
      <c r="J1077" s="5" t="n">
        <v>53.17</v>
      </c>
      <c r="K1077" s="5" t="n"/>
      <c r="L1077" s="5" t="n"/>
      <c r="M1077" s="5" t="n"/>
      <c r="N1077" s="5" t="n"/>
      <c r="O1077" s="5" t="n">
        <v>319</v>
      </c>
      <c r="P1077" s="5" t="n"/>
      <c r="Q1077" s="5" t="n">
        <v>319</v>
      </c>
      <c r="R1077" s="5" t="n"/>
    </row>
    <row r="1078">
      <c r="A1078" s="2" t="inlineStr">
        <is>
          <t>EJ290325.TXT</t>
        </is>
      </c>
      <c r="B1078" s="3" t="inlineStr">
        <is>
          <t>005778</t>
        </is>
      </c>
      <c r="C1078" s="3" t="inlineStr">
        <is>
          <t>004638</t>
        </is>
      </c>
      <c r="D1078" s="4" t="n">
        <v>45742</v>
      </c>
      <c r="E1078" s="2" t="inlineStr">
        <is>
          <t>19:04</t>
        </is>
      </c>
      <c r="F1078" s="5" t="n">
        <v>257.5</v>
      </c>
      <c r="G1078" s="5" t="n"/>
      <c r="H1078" s="5" t="n"/>
      <c r="I1078" s="5" t="n"/>
      <c r="J1078" s="5" t="n">
        <v>51.5</v>
      </c>
      <c r="K1078" s="5" t="n"/>
      <c r="L1078" s="5" t="n"/>
      <c r="M1078" s="5" t="n"/>
      <c r="N1078" s="5" t="n"/>
      <c r="O1078" s="5" t="n">
        <v>309</v>
      </c>
      <c r="P1078" s="5" t="n"/>
      <c r="Q1078" s="5" t="n">
        <v>309</v>
      </c>
      <c r="R1078" s="5" t="n"/>
    </row>
    <row r="1079">
      <c r="A1079" s="2" t="inlineStr">
        <is>
          <t>EJ290325.TXT</t>
        </is>
      </c>
      <c r="B1079" s="3" t="inlineStr">
        <is>
          <t>005779</t>
        </is>
      </c>
      <c r="C1079" s="3" t="inlineStr">
        <is>
          <t>004639</t>
        </is>
      </c>
      <c r="D1079" s="4" t="n">
        <v>45742</v>
      </c>
      <c r="E1079" s="2" t="inlineStr">
        <is>
          <t>19:05</t>
        </is>
      </c>
      <c r="F1079" s="5" t="n">
        <v>531.67</v>
      </c>
      <c r="G1079" s="5" t="n"/>
      <c r="H1079" s="5" t="n"/>
      <c r="I1079" s="5" t="n"/>
      <c r="J1079" s="5" t="n">
        <v>106.33</v>
      </c>
      <c r="K1079" s="5" t="n"/>
      <c r="L1079" s="5" t="n"/>
      <c r="M1079" s="5" t="n"/>
      <c r="N1079" s="5" t="n"/>
      <c r="O1079" s="5" t="n">
        <v>638</v>
      </c>
      <c r="P1079" s="5" t="n"/>
      <c r="Q1079" s="5" t="n">
        <v>638</v>
      </c>
      <c r="R1079" s="5" t="n"/>
    </row>
    <row r="1080">
      <c r="A1080" s="2" t="inlineStr">
        <is>
          <t>EJ290325.TXT</t>
        </is>
      </c>
      <c r="B1080" s="3" t="inlineStr">
        <is>
          <t>005780</t>
        </is>
      </c>
      <c r="C1080" s="3" t="inlineStr">
        <is>
          <t>004640</t>
        </is>
      </c>
      <c r="D1080" s="4" t="n">
        <v>45742</v>
      </c>
      <c r="E1080" s="2" t="inlineStr">
        <is>
          <t>19:05</t>
        </is>
      </c>
      <c r="F1080" s="5" t="n">
        <v>531.67</v>
      </c>
      <c r="G1080" s="5" t="n"/>
      <c r="H1080" s="5" t="n"/>
      <c r="I1080" s="5" t="n"/>
      <c r="J1080" s="5" t="n">
        <v>106.33</v>
      </c>
      <c r="K1080" s="5" t="n"/>
      <c r="L1080" s="5" t="n"/>
      <c r="M1080" s="5" t="n"/>
      <c r="N1080" s="5" t="n"/>
      <c r="O1080" s="5" t="n">
        <v>638</v>
      </c>
      <c r="P1080" s="5" t="n"/>
      <c r="Q1080" s="5" t="n">
        <v>638</v>
      </c>
      <c r="R1080" s="5" t="n"/>
    </row>
    <row r="1081">
      <c r="A1081" s="2" t="inlineStr">
        <is>
          <t>EJ290325.TXT</t>
        </is>
      </c>
      <c r="B1081" s="3" t="inlineStr">
        <is>
          <t>005781</t>
        </is>
      </c>
      <c r="C1081" s="3" t="inlineStr">
        <is>
          <t>004641</t>
        </is>
      </c>
      <c r="D1081" s="4" t="n">
        <v>45743</v>
      </c>
      <c r="E1081" s="2" t="inlineStr">
        <is>
          <t>11:07</t>
        </is>
      </c>
      <c r="F1081" s="5" t="n">
        <v>82.5</v>
      </c>
      <c r="G1081" s="5" t="n"/>
      <c r="H1081" s="5" t="n"/>
      <c r="I1081" s="5" t="n"/>
      <c r="J1081" s="5" t="n">
        <v>16.5</v>
      </c>
      <c r="K1081" s="5" t="n"/>
      <c r="L1081" s="5" t="n"/>
      <c r="M1081" s="5" t="n"/>
      <c r="N1081" s="5" t="n"/>
      <c r="O1081" s="5" t="n">
        <v>99</v>
      </c>
      <c r="P1081" s="5" t="n"/>
      <c r="Q1081" s="5" t="n">
        <v>99</v>
      </c>
      <c r="R1081" s="5" t="n"/>
    </row>
    <row r="1082">
      <c r="A1082" s="2" t="inlineStr">
        <is>
          <t>EJ290325.TXT</t>
        </is>
      </c>
      <c r="B1082" s="3" t="inlineStr">
        <is>
          <t>005782</t>
        </is>
      </c>
      <c r="C1082" s="3" t="inlineStr">
        <is>
          <t>004642</t>
        </is>
      </c>
      <c r="D1082" s="4" t="n">
        <v>45743</v>
      </c>
      <c r="E1082" s="2" t="inlineStr">
        <is>
          <t>11:36</t>
        </is>
      </c>
      <c r="F1082" s="5" t="n">
        <v>124.17</v>
      </c>
      <c r="G1082" s="5" t="n"/>
      <c r="H1082" s="5" t="n"/>
      <c r="I1082" s="5" t="n"/>
      <c r="J1082" s="5" t="n">
        <v>24.83</v>
      </c>
      <c r="K1082" s="5" t="n"/>
      <c r="L1082" s="5" t="n"/>
      <c r="M1082" s="5" t="n"/>
      <c r="N1082" s="5" t="n"/>
      <c r="O1082" s="5" t="n">
        <v>149</v>
      </c>
      <c r="P1082" s="5" t="n">
        <v>149</v>
      </c>
      <c r="Q1082" s="5" t="n"/>
      <c r="R1082" s="5" t="n"/>
    </row>
    <row r="1083">
      <c r="A1083" s="2" t="inlineStr">
        <is>
          <t>EJ290325.TXT</t>
        </is>
      </c>
      <c r="B1083" s="3" t="inlineStr">
        <is>
          <t>005783</t>
        </is>
      </c>
      <c r="C1083" s="3" t="inlineStr">
        <is>
          <t>004643</t>
        </is>
      </c>
      <c r="D1083" s="4" t="n">
        <v>45744</v>
      </c>
      <c r="E1083" s="2" t="inlineStr">
        <is>
          <t>12:41</t>
        </is>
      </c>
      <c r="F1083" s="5" t="n">
        <v>833.33</v>
      </c>
      <c r="G1083" s="5" t="n"/>
      <c r="H1083" s="5" t="n"/>
      <c r="I1083" s="5" t="n"/>
      <c r="J1083" s="5" t="n">
        <v>166.67</v>
      </c>
      <c r="K1083" s="5" t="n"/>
      <c r="L1083" s="5" t="n"/>
      <c r="M1083" s="5" t="n"/>
      <c r="N1083" s="5" t="n"/>
      <c r="O1083" s="5" t="n">
        <v>1000</v>
      </c>
      <c r="P1083" s="5" t="n"/>
      <c r="Q1083" s="5" t="n">
        <v>1000</v>
      </c>
      <c r="R1083" s="5" t="n"/>
    </row>
    <row r="1084">
      <c r="A1084" s="2" t="inlineStr">
        <is>
          <t>EJ290325.TXT</t>
        </is>
      </c>
      <c r="B1084" s="3" t="inlineStr">
        <is>
          <t>005784</t>
        </is>
      </c>
      <c r="C1084" s="3" t="inlineStr">
        <is>
          <t>004644</t>
        </is>
      </c>
      <c r="D1084" s="4" t="n">
        <v>45744</v>
      </c>
      <c r="E1084" s="2" t="inlineStr">
        <is>
          <t>12:42</t>
        </is>
      </c>
      <c r="F1084" s="5" t="n">
        <v>315.83</v>
      </c>
      <c r="G1084" s="5" t="n"/>
      <c r="H1084" s="5" t="n"/>
      <c r="I1084" s="5" t="n"/>
      <c r="J1084" s="5" t="n">
        <v>63.17</v>
      </c>
      <c r="K1084" s="5" t="n"/>
      <c r="L1084" s="5" t="n"/>
      <c r="M1084" s="5" t="n"/>
      <c r="N1084" s="5" t="n"/>
      <c r="O1084" s="5" t="n">
        <v>379</v>
      </c>
      <c r="P1084" s="5" t="n"/>
      <c r="Q1084" s="5" t="n">
        <v>379</v>
      </c>
      <c r="R1084" s="5" t="n"/>
    </row>
    <row r="1085">
      <c r="A1085" s="2" t="inlineStr">
        <is>
          <t>EJ010725.TXT</t>
        </is>
      </c>
      <c r="B1085" s="3" t="inlineStr">
        <is>
          <t>005793</t>
        </is>
      </c>
      <c r="C1085" s="3" t="inlineStr">
        <is>
          <t>004645</t>
        </is>
      </c>
      <c r="D1085" s="4" t="n">
        <v>45754</v>
      </c>
      <c r="E1085" s="2" t="inlineStr">
        <is>
          <t>16:10</t>
        </is>
      </c>
      <c r="F1085" s="5" t="n">
        <v>548.33</v>
      </c>
      <c r="G1085" s="5" t="n"/>
      <c r="H1085" s="5" t="n"/>
      <c r="I1085" s="5" t="n"/>
      <c r="J1085" s="5" t="n">
        <v>109.67</v>
      </c>
      <c r="K1085" s="5" t="n"/>
      <c r="L1085" s="5" t="n"/>
      <c r="M1085" s="5" t="n"/>
      <c r="N1085" s="5" t="n"/>
      <c r="O1085" s="5" t="n">
        <v>658</v>
      </c>
      <c r="P1085" s="5" t="n"/>
      <c r="Q1085" s="5" t="n">
        <v>658</v>
      </c>
      <c r="R1085" s="5" t="n"/>
    </row>
    <row r="1086">
      <c r="A1086" s="2" t="inlineStr">
        <is>
          <t>EJ010725.TXT</t>
        </is>
      </c>
      <c r="B1086" s="3" t="inlineStr">
        <is>
          <t>005794</t>
        </is>
      </c>
      <c r="C1086" s="3" t="inlineStr">
        <is>
          <t>004646</t>
        </is>
      </c>
      <c r="D1086" s="4" t="n">
        <v>45754</v>
      </c>
      <c r="E1086" s="2" t="inlineStr">
        <is>
          <t>16:13</t>
        </is>
      </c>
      <c r="F1086" s="5" t="n">
        <v>208.33</v>
      </c>
      <c r="G1086" s="5" t="n"/>
      <c r="H1086" s="5" t="n"/>
      <c r="I1086" s="5" t="n"/>
      <c r="J1086" s="5" t="n">
        <v>41.67</v>
      </c>
      <c r="K1086" s="5" t="n"/>
      <c r="L1086" s="5" t="n"/>
      <c r="M1086" s="5" t="n"/>
      <c r="N1086" s="5" t="n"/>
      <c r="O1086" s="5" t="n">
        <v>250</v>
      </c>
      <c r="P1086" s="5" t="n"/>
      <c r="Q1086" s="5" t="n">
        <v>250</v>
      </c>
      <c r="R1086" s="5" t="n"/>
    </row>
    <row r="1087">
      <c r="A1087" s="2" t="inlineStr">
        <is>
          <t>EJ010725.TXT</t>
        </is>
      </c>
      <c r="B1087" s="3" t="inlineStr">
        <is>
          <t>005795</t>
        </is>
      </c>
      <c r="C1087" s="3" t="inlineStr">
        <is>
          <t>004647</t>
        </is>
      </c>
      <c r="D1087" s="4" t="n">
        <v>45754</v>
      </c>
      <c r="E1087" s="2" t="inlineStr">
        <is>
          <t>16:38</t>
        </is>
      </c>
      <c r="F1087" s="5" t="n">
        <v>82.5</v>
      </c>
      <c r="G1087" s="5" t="n"/>
      <c r="H1087" s="5" t="n"/>
      <c r="I1087" s="5" t="n"/>
      <c r="J1087" s="5" t="n">
        <v>16.5</v>
      </c>
      <c r="K1087" s="5" t="n"/>
      <c r="L1087" s="5" t="n"/>
      <c r="M1087" s="5" t="n"/>
      <c r="N1087" s="5" t="n"/>
      <c r="O1087" s="5" t="n">
        <v>99</v>
      </c>
      <c r="P1087" s="5" t="n">
        <v>99</v>
      </c>
      <c r="Q1087" s="5" t="n"/>
      <c r="R1087" s="5" t="n"/>
    </row>
    <row r="1088">
      <c r="A1088" s="2" t="inlineStr">
        <is>
          <t>EJ010725.TXT</t>
        </is>
      </c>
      <c r="B1088" s="3" t="inlineStr">
        <is>
          <t>005796</t>
        </is>
      </c>
      <c r="C1088" s="3" t="inlineStr">
        <is>
          <t>004648</t>
        </is>
      </c>
      <c r="D1088" s="4" t="n">
        <v>45754</v>
      </c>
      <c r="E1088" s="2" t="inlineStr">
        <is>
          <t>16:54</t>
        </is>
      </c>
      <c r="F1088" s="5" t="n">
        <v>465.83</v>
      </c>
      <c r="G1088" s="5" t="n"/>
      <c r="H1088" s="5" t="n"/>
      <c r="I1088" s="5" t="n"/>
      <c r="J1088" s="5" t="n">
        <v>93.17</v>
      </c>
      <c r="K1088" s="5" t="n"/>
      <c r="L1088" s="5" t="n"/>
      <c r="M1088" s="5" t="n"/>
      <c r="N1088" s="5" t="n"/>
      <c r="O1088" s="5" t="n">
        <v>559</v>
      </c>
      <c r="P1088" s="5" t="n"/>
      <c r="Q1088" s="5" t="n">
        <v>559</v>
      </c>
      <c r="R1088" s="5" t="n"/>
    </row>
    <row r="1089">
      <c r="A1089" s="2" t="inlineStr">
        <is>
          <t>EJ010725.TXT</t>
        </is>
      </c>
      <c r="B1089" s="3" t="inlineStr">
        <is>
          <t>005797</t>
        </is>
      </c>
      <c r="C1089" s="3" t="inlineStr">
        <is>
          <t>004649</t>
        </is>
      </c>
      <c r="D1089" s="4" t="n">
        <v>45754</v>
      </c>
      <c r="E1089" s="2" t="inlineStr">
        <is>
          <t>17:01</t>
        </is>
      </c>
      <c r="F1089" s="5" t="n">
        <v>83.17</v>
      </c>
      <c r="G1089" s="5" t="n"/>
      <c r="H1089" s="5" t="n"/>
      <c r="I1089" s="5" t="n"/>
      <c r="J1089" s="5" t="n">
        <v>16.63</v>
      </c>
      <c r="K1089" s="5" t="n"/>
      <c r="L1089" s="5" t="n"/>
      <c r="M1089" s="5" t="n"/>
      <c r="N1089" s="5" t="n"/>
      <c r="O1089" s="5" t="n">
        <v>99.8</v>
      </c>
      <c r="P1089" s="5" t="n"/>
      <c r="Q1089" s="5" t="n">
        <v>99.8</v>
      </c>
      <c r="R1089" s="5" t="n"/>
    </row>
    <row r="1090">
      <c r="A1090" s="2" t="inlineStr">
        <is>
          <t>EJ010725.TXT</t>
        </is>
      </c>
      <c r="B1090" s="3" t="inlineStr">
        <is>
          <t>005798</t>
        </is>
      </c>
      <c r="C1090" s="3" t="inlineStr">
        <is>
          <t>004650</t>
        </is>
      </c>
      <c r="D1090" s="4" t="n">
        <v>45755</v>
      </c>
      <c r="E1090" s="2" t="inlineStr">
        <is>
          <t>10:33</t>
        </is>
      </c>
      <c r="F1090" s="5" t="n">
        <v>274.17</v>
      </c>
      <c r="G1090" s="5" t="n"/>
      <c r="H1090" s="5" t="n"/>
      <c r="I1090" s="5" t="n"/>
      <c r="J1090" s="5" t="n">
        <v>54.83</v>
      </c>
      <c r="K1090" s="5" t="n"/>
      <c r="L1090" s="5" t="n"/>
      <c r="M1090" s="5" t="n"/>
      <c r="N1090" s="5" t="n"/>
      <c r="O1090" s="5" t="n">
        <v>329</v>
      </c>
      <c r="P1090" s="5" t="n"/>
      <c r="Q1090" s="5" t="n">
        <v>329</v>
      </c>
      <c r="R1090" s="5" t="n"/>
    </row>
    <row r="1091">
      <c r="A1091" s="2" t="inlineStr">
        <is>
          <t>EJ010725.TXT</t>
        </is>
      </c>
      <c r="B1091" s="3" t="inlineStr">
        <is>
          <t>005799</t>
        </is>
      </c>
      <c r="C1091" s="3" t="inlineStr">
        <is>
          <t>004651</t>
        </is>
      </c>
      <c r="D1091" s="4" t="n">
        <v>45755</v>
      </c>
      <c r="E1091" s="2" t="inlineStr">
        <is>
          <t>16:01</t>
        </is>
      </c>
      <c r="F1091" s="5" t="n">
        <v>208.33</v>
      </c>
      <c r="G1091" s="5" t="n"/>
      <c r="H1091" s="5" t="n"/>
      <c r="I1091" s="5" t="n"/>
      <c r="J1091" s="5" t="n">
        <v>41.67</v>
      </c>
      <c r="K1091" s="5" t="n"/>
      <c r="L1091" s="5" t="n"/>
      <c r="M1091" s="5" t="n"/>
      <c r="N1091" s="5" t="n"/>
      <c r="O1091" s="5" t="n">
        <v>250</v>
      </c>
      <c r="P1091" s="5" t="n"/>
      <c r="Q1091" s="5" t="n">
        <v>250</v>
      </c>
      <c r="R1091" s="5" t="n"/>
    </row>
    <row r="1092">
      <c r="A1092" s="2" t="inlineStr">
        <is>
          <t>EJ010725.TXT</t>
        </is>
      </c>
      <c r="B1092" s="3" t="inlineStr">
        <is>
          <t>005800</t>
        </is>
      </c>
      <c r="C1092" s="3" t="inlineStr">
        <is>
          <t>004652</t>
        </is>
      </c>
      <c r="D1092" s="4" t="n">
        <v>45756</v>
      </c>
      <c r="E1092" s="2" t="inlineStr">
        <is>
          <t>14:53</t>
        </is>
      </c>
      <c r="F1092" s="5" t="n">
        <v>41.58</v>
      </c>
      <c r="G1092" s="5" t="n"/>
      <c r="H1092" s="5" t="n"/>
      <c r="I1092" s="5" t="n"/>
      <c r="J1092" s="5" t="n">
        <v>8.32</v>
      </c>
      <c r="K1092" s="5" t="n"/>
      <c r="L1092" s="5" t="n"/>
      <c r="M1092" s="5" t="n"/>
      <c r="N1092" s="5" t="n"/>
      <c r="O1092" s="5" t="n">
        <v>49.9</v>
      </c>
      <c r="P1092" s="5" t="n">
        <v>49.9</v>
      </c>
      <c r="Q1092" s="5" t="n"/>
      <c r="R1092" s="5" t="n"/>
    </row>
    <row r="1093">
      <c r="A1093" s="2" t="inlineStr">
        <is>
          <t>EJ010725.TXT</t>
        </is>
      </c>
      <c r="B1093" s="3" t="inlineStr">
        <is>
          <t>005801</t>
        </is>
      </c>
      <c r="C1093" s="3" t="inlineStr">
        <is>
          <t>004653</t>
        </is>
      </c>
      <c r="D1093" s="4" t="n">
        <v>45757</v>
      </c>
      <c r="E1093" s="2" t="inlineStr">
        <is>
          <t>14:26</t>
        </is>
      </c>
      <c r="F1093" s="5" t="n">
        <v>548.33</v>
      </c>
      <c r="G1093" s="5" t="n"/>
      <c r="H1093" s="5" t="n"/>
      <c r="I1093" s="5" t="n"/>
      <c r="J1093" s="5" t="n">
        <v>109.67</v>
      </c>
      <c r="K1093" s="5" t="n"/>
      <c r="L1093" s="5" t="n"/>
      <c r="M1093" s="5" t="n"/>
      <c r="N1093" s="5" t="n"/>
      <c r="O1093" s="5" t="n">
        <v>658</v>
      </c>
      <c r="P1093" s="5" t="n">
        <v>658</v>
      </c>
      <c r="Q1093" s="5" t="n"/>
      <c r="R1093" s="5" t="n"/>
    </row>
    <row r="1094">
      <c r="A1094" s="2" t="inlineStr">
        <is>
          <t>EJ010725.TXT</t>
        </is>
      </c>
      <c r="B1094" s="3" t="inlineStr">
        <is>
          <t>005802</t>
        </is>
      </c>
      <c r="C1094" s="3" t="inlineStr">
        <is>
          <t>004654</t>
        </is>
      </c>
      <c r="D1094" s="4" t="n">
        <v>45758</v>
      </c>
      <c r="E1094" s="2" t="inlineStr">
        <is>
          <t>10:44</t>
        </is>
      </c>
      <c r="F1094" s="5" t="n">
        <v>626.67</v>
      </c>
      <c r="G1094" s="5" t="n"/>
      <c r="H1094" s="5" t="n"/>
      <c r="I1094" s="5" t="n"/>
      <c r="J1094" s="5" t="n">
        <v>125.33</v>
      </c>
      <c r="K1094" s="5" t="n"/>
      <c r="L1094" s="5" t="n"/>
      <c r="M1094" s="5" t="n"/>
      <c r="N1094" s="5" t="n"/>
      <c r="O1094" s="5" t="n">
        <v>752</v>
      </c>
      <c r="P1094" s="5" t="n">
        <v>752</v>
      </c>
      <c r="Q1094" s="5" t="n"/>
      <c r="R1094" s="5" t="n"/>
    </row>
    <row r="1095">
      <c r="A1095" s="2" t="inlineStr">
        <is>
          <t>EJ010725.TXT</t>
        </is>
      </c>
      <c r="B1095" s="3" t="inlineStr">
        <is>
          <t>005803</t>
        </is>
      </c>
      <c r="C1095" s="3" t="inlineStr">
        <is>
          <t>004655</t>
        </is>
      </c>
      <c r="D1095" s="4" t="n">
        <v>45758</v>
      </c>
      <c r="E1095" s="2" t="inlineStr">
        <is>
          <t>17:22</t>
        </is>
      </c>
      <c r="F1095" s="5" t="n">
        <v>656.67</v>
      </c>
      <c r="G1095" s="5" t="n"/>
      <c r="H1095" s="5" t="n"/>
      <c r="I1095" s="5" t="n"/>
      <c r="J1095" s="5" t="n">
        <v>131.33</v>
      </c>
      <c r="K1095" s="5" t="n"/>
      <c r="L1095" s="5" t="n"/>
      <c r="M1095" s="5" t="n"/>
      <c r="N1095" s="5" t="n"/>
      <c r="O1095" s="5" t="n">
        <v>788</v>
      </c>
      <c r="P1095" s="5" t="n"/>
      <c r="Q1095" s="5" t="n">
        <v>788</v>
      </c>
      <c r="R1095" s="5" t="n"/>
    </row>
    <row r="1096">
      <c r="A1096" s="2" t="inlineStr">
        <is>
          <t>EJ010725.TXT</t>
        </is>
      </c>
      <c r="B1096" s="3" t="inlineStr">
        <is>
          <t>005804</t>
        </is>
      </c>
      <c r="C1096" s="3" t="inlineStr">
        <is>
          <t>004656</t>
        </is>
      </c>
      <c r="D1096" s="4" t="n">
        <v>45762</v>
      </c>
      <c r="E1096" s="2" t="inlineStr">
        <is>
          <t>17:30</t>
        </is>
      </c>
      <c r="F1096" s="5" t="n">
        <v>845</v>
      </c>
      <c r="G1096" s="5" t="n"/>
      <c r="H1096" s="5" t="n"/>
      <c r="I1096" s="5" t="n"/>
      <c r="J1096" s="5" t="n">
        <v>169</v>
      </c>
      <c r="K1096" s="5" t="n"/>
      <c r="L1096" s="5" t="n"/>
      <c r="M1096" s="5" t="n"/>
      <c r="N1096" s="5" t="n"/>
      <c r="O1096" s="5" t="n">
        <v>1014</v>
      </c>
      <c r="P1096" s="5" t="n">
        <v>1014</v>
      </c>
      <c r="Q1096" s="5" t="n"/>
      <c r="R1096" s="5" t="n"/>
    </row>
    <row r="1097">
      <c r="A1097" s="2" t="inlineStr">
        <is>
          <t>EJ010725.TXT</t>
        </is>
      </c>
      <c r="B1097" s="3" t="inlineStr">
        <is>
          <t>005805</t>
        </is>
      </c>
      <c r="C1097" s="3" t="inlineStr">
        <is>
          <t>004657</t>
        </is>
      </c>
      <c r="D1097" s="4" t="n">
        <v>45765</v>
      </c>
      <c r="E1097" s="2" t="inlineStr">
        <is>
          <t>12:41</t>
        </is>
      </c>
      <c r="F1097" s="5" t="n">
        <v>208.33</v>
      </c>
      <c r="G1097" s="5" t="n"/>
      <c r="H1097" s="5" t="n"/>
      <c r="I1097" s="5" t="n"/>
      <c r="J1097" s="5" t="n">
        <v>41.67</v>
      </c>
      <c r="K1097" s="5" t="n"/>
      <c r="L1097" s="5" t="n"/>
      <c r="M1097" s="5" t="n"/>
      <c r="N1097" s="5" t="n"/>
      <c r="O1097" s="5" t="n">
        <v>250</v>
      </c>
      <c r="P1097" s="5" t="n"/>
      <c r="Q1097" s="5" t="n">
        <v>250</v>
      </c>
      <c r="R1097" s="5" t="n"/>
    </row>
    <row r="1098">
      <c r="A1098" s="2" t="inlineStr">
        <is>
          <t>EJ010725.TXT</t>
        </is>
      </c>
      <c r="B1098" s="3" t="inlineStr">
        <is>
          <t>005806</t>
        </is>
      </c>
      <c r="C1098" s="3" t="inlineStr">
        <is>
          <t>004658</t>
        </is>
      </c>
      <c r="D1098" s="4" t="n">
        <v>45766</v>
      </c>
      <c r="E1098" s="2" t="inlineStr">
        <is>
          <t>15:25</t>
        </is>
      </c>
      <c r="F1098" s="5" t="n">
        <v>107.42</v>
      </c>
      <c r="G1098" s="5" t="n"/>
      <c r="H1098" s="5" t="n"/>
      <c r="I1098" s="5" t="n"/>
      <c r="J1098" s="5" t="n">
        <v>21.48</v>
      </c>
      <c r="K1098" s="5" t="n"/>
      <c r="L1098" s="5" t="n"/>
      <c r="M1098" s="5" t="n"/>
      <c r="N1098" s="5" t="n"/>
      <c r="O1098" s="5" t="n">
        <v>128.9</v>
      </c>
      <c r="P1098" s="5" t="n"/>
      <c r="Q1098" s="5" t="n">
        <v>128.9</v>
      </c>
      <c r="R1098" s="5" t="n"/>
    </row>
    <row r="1099">
      <c r="A1099" s="2" t="inlineStr">
        <is>
          <t>EJ010725.TXT</t>
        </is>
      </c>
      <c r="B1099" s="3" t="inlineStr">
        <is>
          <t>005807</t>
        </is>
      </c>
      <c r="C1099" s="3" t="inlineStr">
        <is>
          <t>004659</t>
        </is>
      </c>
      <c r="D1099" s="4" t="n">
        <v>45770</v>
      </c>
      <c r="E1099" s="2" t="inlineStr">
        <is>
          <t>15:56</t>
        </is>
      </c>
      <c r="F1099" s="5" t="n">
        <v>208.33</v>
      </c>
      <c r="G1099" s="5" t="n"/>
      <c r="H1099" s="5" t="n"/>
      <c r="I1099" s="5" t="n"/>
      <c r="J1099" s="5" t="n">
        <v>41.67</v>
      </c>
      <c r="K1099" s="5" t="n"/>
      <c r="L1099" s="5" t="n"/>
      <c r="M1099" s="5" t="n"/>
      <c r="N1099" s="5" t="n"/>
      <c r="O1099" s="5" t="n">
        <v>250</v>
      </c>
      <c r="P1099" s="5" t="n"/>
      <c r="Q1099" s="5" t="n">
        <v>250</v>
      </c>
      <c r="R1099" s="5" t="n"/>
    </row>
    <row r="1100">
      <c r="A1100" s="2" t="inlineStr">
        <is>
          <t>EJ010725.TXT</t>
        </is>
      </c>
      <c r="B1100" s="3" t="inlineStr">
        <is>
          <t>005808</t>
        </is>
      </c>
      <c r="C1100" s="3" t="inlineStr">
        <is>
          <t>004660</t>
        </is>
      </c>
      <c r="D1100" s="4" t="n">
        <v>45770</v>
      </c>
      <c r="E1100" s="2" t="inlineStr">
        <is>
          <t>17:13</t>
        </is>
      </c>
      <c r="F1100" s="5" t="n">
        <v>66.5</v>
      </c>
      <c r="G1100" s="5" t="n"/>
      <c r="H1100" s="5" t="n"/>
      <c r="I1100" s="5" t="n"/>
      <c r="J1100" s="5" t="n">
        <v>13.3</v>
      </c>
      <c r="K1100" s="5" t="n"/>
      <c r="L1100" s="5" t="n"/>
      <c r="M1100" s="5" t="n"/>
      <c r="N1100" s="5" t="n"/>
      <c r="O1100" s="5" t="n">
        <v>79.8</v>
      </c>
      <c r="P1100" s="5" t="n">
        <v>79.8</v>
      </c>
      <c r="Q1100" s="5" t="n"/>
      <c r="R1100" s="5" t="n"/>
    </row>
    <row r="1101">
      <c r="A1101" s="2" t="inlineStr">
        <is>
          <t>EJ010725.TXT</t>
        </is>
      </c>
      <c r="B1101" s="3" t="inlineStr">
        <is>
          <t>005809</t>
        </is>
      </c>
      <c r="C1101" s="3" t="inlineStr">
        <is>
          <t>004661</t>
        </is>
      </c>
      <c r="D1101" s="4" t="n">
        <v>45775</v>
      </c>
      <c r="E1101" s="2" t="inlineStr">
        <is>
          <t>10:23</t>
        </is>
      </c>
      <c r="F1101" s="5" t="n">
        <v>82.5</v>
      </c>
      <c r="G1101" s="5" t="n"/>
      <c r="H1101" s="5" t="n"/>
      <c r="I1101" s="5" t="n"/>
      <c r="J1101" s="5" t="n">
        <v>16.5</v>
      </c>
      <c r="K1101" s="5" t="n"/>
      <c r="L1101" s="5" t="n"/>
      <c r="M1101" s="5" t="n"/>
      <c r="N1101" s="5" t="n"/>
      <c r="O1101" s="5" t="n">
        <v>99</v>
      </c>
      <c r="P1101" s="5" t="n"/>
      <c r="Q1101" s="5" t="n">
        <v>99</v>
      </c>
      <c r="R1101" s="5" t="n"/>
    </row>
    <row r="1102">
      <c r="A1102" s="2" t="inlineStr">
        <is>
          <t>EJ010725.TXT</t>
        </is>
      </c>
      <c r="B1102" s="3" t="inlineStr">
        <is>
          <t>005810</t>
        </is>
      </c>
      <c r="C1102" s="3" t="inlineStr">
        <is>
          <t>004662</t>
        </is>
      </c>
      <c r="D1102" s="4" t="n">
        <v>45777</v>
      </c>
      <c r="E1102" s="2" t="inlineStr">
        <is>
          <t>10:38</t>
        </is>
      </c>
      <c r="F1102" s="5" t="n">
        <v>315.75</v>
      </c>
      <c r="G1102" s="5" t="n"/>
      <c r="H1102" s="5" t="n"/>
      <c r="I1102" s="5" t="n"/>
      <c r="J1102" s="5" t="n">
        <v>63.15</v>
      </c>
      <c r="K1102" s="5" t="n"/>
      <c r="L1102" s="5" t="n"/>
      <c r="M1102" s="5" t="n"/>
      <c r="N1102" s="5" t="n"/>
      <c r="O1102" s="5" t="n">
        <v>378.9</v>
      </c>
      <c r="P1102" s="5" t="n">
        <v>378.9</v>
      </c>
      <c r="Q1102" s="5" t="n"/>
      <c r="R1102" s="5" t="n"/>
    </row>
    <row r="1103">
      <c r="A1103" s="2" t="inlineStr">
        <is>
          <t>EJ010725.TXT</t>
        </is>
      </c>
      <c r="B1103" s="3" t="inlineStr">
        <is>
          <t>005811</t>
        </is>
      </c>
      <c r="C1103" s="3" t="inlineStr">
        <is>
          <t>004663</t>
        </is>
      </c>
      <c r="D1103" s="4" t="n">
        <v>45777</v>
      </c>
      <c r="E1103" s="2" t="inlineStr">
        <is>
          <t>15:23</t>
        </is>
      </c>
      <c r="F1103" s="5" t="n">
        <v>274.17</v>
      </c>
      <c r="G1103" s="5" t="n"/>
      <c r="H1103" s="5" t="n"/>
      <c r="I1103" s="5" t="n"/>
      <c r="J1103" s="5" t="n">
        <v>54.83</v>
      </c>
      <c r="K1103" s="5" t="n"/>
      <c r="L1103" s="5" t="n"/>
      <c r="M1103" s="5" t="n"/>
      <c r="N1103" s="5" t="n"/>
      <c r="O1103" s="5" t="n">
        <v>329</v>
      </c>
      <c r="P1103" s="5" t="n">
        <v>329</v>
      </c>
      <c r="Q1103" s="5" t="n"/>
      <c r="R1103" s="5" t="n"/>
    </row>
    <row r="1104">
      <c r="A1104" s="2" t="inlineStr">
        <is>
          <t>EJ010725.TXT</t>
        </is>
      </c>
      <c r="B1104" s="3" t="inlineStr">
        <is>
          <t>005812</t>
        </is>
      </c>
      <c r="C1104" s="3" t="inlineStr">
        <is>
          <t>004664</t>
        </is>
      </c>
      <c r="D1104" s="4" t="n">
        <v>45782</v>
      </c>
      <c r="E1104" s="2" t="inlineStr">
        <is>
          <t>09:49</t>
        </is>
      </c>
      <c r="F1104" s="5" t="n">
        <v>208.33</v>
      </c>
      <c r="G1104" s="5" t="n"/>
      <c r="H1104" s="5" t="n"/>
      <c r="I1104" s="5" t="n"/>
      <c r="J1104" s="5" t="n">
        <v>41.67</v>
      </c>
      <c r="K1104" s="5" t="n"/>
      <c r="L1104" s="5" t="n"/>
      <c r="M1104" s="5" t="n"/>
      <c r="N1104" s="5" t="n"/>
      <c r="O1104" s="5" t="n">
        <v>250</v>
      </c>
      <c r="P1104" s="5" t="n"/>
      <c r="Q1104" s="5" t="n">
        <v>250</v>
      </c>
      <c r="R1104" s="5" t="n"/>
    </row>
    <row r="1105">
      <c r="A1105" s="2" t="inlineStr">
        <is>
          <t>EJ010725.TXT</t>
        </is>
      </c>
      <c r="B1105" s="3" t="inlineStr">
        <is>
          <t>005813</t>
        </is>
      </c>
      <c r="C1105" s="3" t="inlineStr">
        <is>
          <t>004665</t>
        </is>
      </c>
      <c r="D1105" s="4" t="n">
        <v>45782</v>
      </c>
      <c r="E1105" s="2" t="inlineStr">
        <is>
          <t>14:49</t>
        </is>
      </c>
      <c r="F1105" s="5" t="n">
        <v>548.33</v>
      </c>
      <c r="G1105" s="5" t="n"/>
      <c r="H1105" s="5" t="n"/>
      <c r="I1105" s="5" t="n"/>
      <c r="J1105" s="5" t="n">
        <v>109.67</v>
      </c>
      <c r="K1105" s="5" t="n"/>
      <c r="L1105" s="5" t="n"/>
      <c r="M1105" s="5" t="n"/>
      <c r="N1105" s="5" t="n"/>
      <c r="O1105" s="5" t="n">
        <v>658</v>
      </c>
      <c r="P1105" s="5" t="n">
        <v>658</v>
      </c>
      <c r="Q1105" s="5" t="n"/>
      <c r="R1105" s="5" t="n"/>
    </row>
    <row r="1106">
      <c r="A1106" s="2" t="inlineStr">
        <is>
          <t>EJ010725.TXT</t>
        </is>
      </c>
      <c r="B1106" s="3" t="inlineStr">
        <is>
          <t>005814</t>
        </is>
      </c>
      <c r="C1106" s="3" t="inlineStr">
        <is>
          <t>004666</t>
        </is>
      </c>
      <c r="D1106" s="4" t="n">
        <v>45783</v>
      </c>
      <c r="E1106" s="2" t="inlineStr">
        <is>
          <t>13:59</t>
        </is>
      </c>
      <c r="F1106" s="5" t="n">
        <v>274.17</v>
      </c>
      <c r="G1106" s="5" t="n"/>
      <c r="H1106" s="5" t="n"/>
      <c r="I1106" s="5" t="n"/>
      <c r="J1106" s="5" t="n">
        <v>54.83</v>
      </c>
      <c r="K1106" s="5" t="n"/>
      <c r="L1106" s="5" t="n"/>
      <c r="M1106" s="5" t="n"/>
      <c r="N1106" s="5" t="n"/>
      <c r="O1106" s="5" t="n">
        <v>329</v>
      </c>
      <c r="P1106" s="5" t="n"/>
      <c r="Q1106" s="5" t="n">
        <v>329</v>
      </c>
      <c r="R1106" s="5" t="n"/>
    </row>
    <row r="1107">
      <c r="A1107" s="2" t="inlineStr">
        <is>
          <t>EJ010725.TXT</t>
        </is>
      </c>
      <c r="B1107" s="3" t="inlineStr">
        <is>
          <t>005815</t>
        </is>
      </c>
      <c r="C1107" s="3" t="inlineStr">
        <is>
          <t>004667</t>
        </is>
      </c>
      <c r="D1107" s="4" t="n">
        <v>45786</v>
      </c>
      <c r="E1107" s="2" t="inlineStr">
        <is>
          <t>16:03</t>
        </is>
      </c>
      <c r="F1107" s="5" t="n">
        <v>548.33</v>
      </c>
      <c r="G1107" s="5" t="n"/>
      <c r="H1107" s="5" t="n"/>
      <c r="I1107" s="5" t="n"/>
      <c r="J1107" s="5" t="n">
        <v>109.67</v>
      </c>
      <c r="K1107" s="5" t="n"/>
      <c r="L1107" s="5" t="n"/>
      <c r="M1107" s="5" t="n"/>
      <c r="N1107" s="5" t="n"/>
      <c r="O1107" s="5" t="n">
        <v>658</v>
      </c>
      <c r="P1107" s="5" t="n"/>
      <c r="Q1107" s="5" t="n">
        <v>658</v>
      </c>
      <c r="R1107" s="5" t="n"/>
    </row>
    <row r="1108">
      <c r="A1108" s="2" t="inlineStr">
        <is>
          <t>EJ010725.TXT</t>
        </is>
      </c>
      <c r="B1108" s="3" t="inlineStr">
        <is>
          <t>005816</t>
        </is>
      </c>
      <c r="C1108" s="3" t="inlineStr">
        <is>
          <t>004668</t>
        </is>
      </c>
      <c r="D1108" s="4" t="n">
        <v>45786</v>
      </c>
      <c r="E1108" s="2" t="inlineStr">
        <is>
          <t>16:05</t>
        </is>
      </c>
      <c r="F1108" s="5" t="n">
        <v>208.33</v>
      </c>
      <c r="G1108" s="5" t="n"/>
      <c r="H1108" s="5" t="n"/>
      <c r="I1108" s="5" t="n"/>
      <c r="J1108" s="5" t="n">
        <v>41.67</v>
      </c>
      <c r="K1108" s="5" t="n"/>
      <c r="L1108" s="5" t="n"/>
      <c r="M1108" s="5" t="n"/>
      <c r="N1108" s="5" t="n"/>
      <c r="O1108" s="5" t="n">
        <v>250</v>
      </c>
      <c r="P1108" s="5" t="n"/>
      <c r="Q1108" s="5" t="n">
        <v>250</v>
      </c>
      <c r="R1108" s="5" t="n"/>
    </row>
    <row r="1109">
      <c r="A1109" s="2" t="inlineStr">
        <is>
          <t>EJ010725.TXT</t>
        </is>
      </c>
      <c r="B1109" s="3" t="inlineStr">
        <is>
          <t>005817</t>
        </is>
      </c>
      <c r="C1109" s="3" t="inlineStr">
        <is>
          <t>004669</t>
        </is>
      </c>
      <c r="D1109" s="4" t="n">
        <v>45794</v>
      </c>
      <c r="E1109" s="2" t="inlineStr">
        <is>
          <t>17:14</t>
        </is>
      </c>
      <c r="F1109" s="5" t="n">
        <v>274.17</v>
      </c>
      <c r="G1109" s="5" t="n"/>
      <c r="H1109" s="5" t="n"/>
      <c r="I1109" s="5" t="n"/>
      <c r="J1109" s="5" t="n">
        <v>54.83</v>
      </c>
      <c r="K1109" s="5" t="n"/>
      <c r="L1109" s="5" t="n"/>
      <c r="M1109" s="5" t="n"/>
      <c r="N1109" s="5" t="n"/>
      <c r="O1109" s="5" t="n">
        <v>329</v>
      </c>
      <c r="P1109" s="5" t="n">
        <v>329</v>
      </c>
      <c r="Q1109" s="5" t="n"/>
      <c r="R1109" s="5" t="n"/>
    </row>
    <row r="1110">
      <c r="A1110" s="2" t="inlineStr">
        <is>
          <t>EJ010725.TXT</t>
        </is>
      </c>
      <c r="B1110" s="3" t="inlineStr">
        <is>
          <t>005818</t>
        </is>
      </c>
      <c r="C1110" s="3" t="inlineStr">
        <is>
          <t>004670</t>
        </is>
      </c>
      <c r="D1110" s="4" t="n">
        <v>45795</v>
      </c>
      <c r="E1110" s="2" t="inlineStr">
        <is>
          <t>18:35</t>
        </is>
      </c>
      <c r="F1110" s="5" t="n">
        <v>74.92</v>
      </c>
      <c r="G1110" s="5" t="n"/>
      <c r="H1110" s="5" t="n"/>
      <c r="I1110" s="5" t="n"/>
      <c r="J1110" s="5" t="n">
        <v>14.98</v>
      </c>
      <c r="K1110" s="5" t="n"/>
      <c r="L1110" s="5" t="n"/>
      <c r="M1110" s="5" t="n"/>
      <c r="N1110" s="5" t="n"/>
      <c r="O1110" s="5" t="n">
        <v>89.90000000000001</v>
      </c>
      <c r="P1110" s="5" t="n">
        <v>89.90000000000001</v>
      </c>
      <c r="Q1110" s="5" t="n"/>
      <c r="R1110" s="5" t="n"/>
    </row>
    <row r="1111">
      <c r="A1111" s="2" t="inlineStr">
        <is>
          <t>EJ010725.TXT</t>
        </is>
      </c>
      <c r="B1111" s="3" t="inlineStr">
        <is>
          <t>005820</t>
        </is>
      </c>
      <c r="C1111" s="3" t="inlineStr">
        <is>
          <t>004671</t>
        </is>
      </c>
      <c r="D1111" s="4" t="n">
        <v>45805</v>
      </c>
      <c r="E1111" s="2" t="inlineStr">
        <is>
          <t>14:49</t>
        </is>
      </c>
      <c r="F1111" s="5" t="n">
        <v>548.33</v>
      </c>
      <c r="G1111" s="5" t="n"/>
      <c r="H1111" s="5" t="n"/>
      <c r="I1111" s="5" t="n"/>
      <c r="J1111" s="5" t="n">
        <v>109.67</v>
      </c>
      <c r="K1111" s="5" t="n"/>
      <c r="L1111" s="5" t="n"/>
      <c r="M1111" s="5" t="n"/>
      <c r="N1111" s="5" t="n"/>
      <c r="O1111" s="5" t="n">
        <v>658</v>
      </c>
      <c r="P1111" s="5" t="n">
        <v>658</v>
      </c>
      <c r="Q1111" s="5" t="n"/>
      <c r="R1111" s="5" t="n"/>
    </row>
    <row r="1112">
      <c r="A1112" s="2" t="inlineStr">
        <is>
          <t>EJ010725.TXT</t>
        </is>
      </c>
      <c r="B1112" s="3" t="inlineStr">
        <is>
          <t>005821</t>
        </is>
      </c>
      <c r="C1112" s="3" t="inlineStr">
        <is>
          <t>004672</t>
        </is>
      </c>
      <c r="D1112" s="4" t="n">
        <v>45813</v>
      </c>
      <c r="E1112" s="2" t="inlineStr">
        <is>
          <t>16:58</t>
        </is>
      </c>
      <c r="F1112" s="5" t="n">
        <v>865</v>
      </c>
      <c r="G1112" s="5" t="n"/>
      <c r="H1112" s="5" t="n"/>
      <c r="I1112" s="5" t="n"/>
      <c r="J1112" s="5" t="n">
        <v>173</v>
      </c>
      <c r="K1112" s="5" t="n"/>
      <c r="L1112" s="5" t="n"/>
      <c r="M1112" s="5" t="n"/>
      <c r="N1112" s="5" t="n"/>
      <c r="O1112" s="5" t="n">
        <v>1038</v>
      </c>
      <c r="P1112" s="5" t="n"/>
      <c r="Q1112" s="5" t="n">
        <v>1038</v>
      </c>
      <c r="R1112" s="5" t="n"/>
    </row>
    <row r="1113">
      <c r="A1113" s="2" t="inlineStr">
        <is>
          <t>EJ010725.TXT</t>
        </is>
      </c>
      <c r="B1113" s="3" t="inlineStr">
        <is>
          <t>005822</t>
        </is>
      </c>
      <c r="C1113" s="3" t="inlineStr">
        <is>
          <t>004673</t>
        </is>
      </c>
      <c r="D1113" s="4" t="n">
        <v>45815</v>
      </c>
      <c r="E1113" s="2" t="inlineStr">
        <is>
          <t>15:32</t>
        </is>
      </c>
      <c r="F1113" s="5" t="n">
        <v>33.25</v>
      </c>
      <c r="G1113" s="5" t="n"/>
      <c r="H1113" s="5" t="n"/>
      <c r="I1113" s="5" t="n"/>
      <c r="J1113" s="5" t="n">
        <v>6.65</v>
      </c>
      <c r="K1113" s="5" t="n"/>
      <c r="L1113" s="5" t="n"/>
      <c r="M1113" s="5" t="n"/>
      <c r="N1113" s="5" t="n"/>
      <c r="O1113" s="5" t="n">
        <v>39.9</v>
      </c>
      <c r="P1113" s="5" t="n">
        <v>39.9</v>
      </c>
      <c r="Q1113" s="5" t="n"/>
      <c r="R1113" s="5" t="n"/>
    </row>
    <row r="1114">
      <c r="A1114" s="2" t="inlineStr">
        <is>
          <t>EJ010725.TXT</t>
        </is>
      </c>
      <c r="B1114" s="3" t="inlineStr">
        <is>
          <t>005823</t>
        </is>
      </c>
      <c r="C1114" s="3" t="inlineStr">
        <is>
          <t>004674</t>
        </is>
      </c>
      <c r="D1114" s="4" t="n">
        <v>45820</v>
      </c>
      <c r="E1114" s="2" t="inlineStr">
        <is>
          <t>09:30</t>
        </is>
      </c>
      <c r="F1114" s="5" t="n">
        <v>199.17</v>
      </c>
      <c r="G1114" s="5" t="n"/>
      <c r="H1114" s="5" t="n"/>
      <c r="I1114" s="5" t="n"/>
      <c r="J1114" s="5" t="n">
        <v>39.83</v>
      </c>
      <c r="K1114" s="5" t="n"/>
      <c r="L1114" s="5" t="n"/>
      <c r="M1114" s="5" t="n"/>
      <c r="N1114" s="5" t="n"/>
      <c r="O1114" s="5" t="n">
        <v>239</v>
      </c>
      <c r="P1114" s="5" t="n">
        <v>239</v>
      </c>
      <c r="Q1114" s="5" t="n"/>
      <c r="R1114" s="5" t="n"/>
    </row>
    <row r="1115">
      <c r="A1115" s="2" t="inlineStr">
        <is>
          <t>EJ010725.TXT</t>
        </is>
      </c>
      <c r="B1115" s="3" t="inlineStr">
        <is>
          <t>005824</t>
        </is>
      </c>
      <c r="C1115" s="3" t="inlineStr">
        <is>
          <t>004675</t>
        </is>
      </c>
      <c r="D1115" s="4" t="n">
        <v>45820</v>
      </c>
      <c r="E1115" s="2" t="inlineStr">
        <is>
          <t>14:45</t>
        </is>
      </c>
      <c r="F1115" s="5" t="n">
        <v>250</v>
      </c>
      <c r="G1115" s="5" t="n"/>
      <c r="H1115" s="5" t="n"/>
      <c r="I1115" s="5" t="n"/>
      <c r="J1115" s="5" t="n">
        <v>50</v>
      </c>
      <c r="K1115" s="5" t="n"/>
      <c r="L1115" s="5" t="n"/>
      <c r="M1115" s="5" t="n"/>
      <c r="N1115" s="5" t="n"/>
      <c r="O1115" s="5" t="n">
        <v>300</v>
      </c>
      <c r="P1115" s="5" t="n"/>
      <c r="Q1115" s="5" t="n">
        <v>300</v>
      </c>
      <c r="R1115" s="5" t="n"/>
    </row>
    <row r="1116">
      <c r="A1116" s="2" t="inlineStr">
        <is>
          <t>EJ010725.TXT</t>
        </is>
      </c>
      <c r="B1116" s="3" t="inlineStr">
        <is>
          <t>005825</t>
        </is>
      </c>
      <c r="C1116" s="3" t="inlineStr">
        <is>
          <t>004676</t>
        </is>
      </c>
      <c r="D1116" s="4" t="n">
        <v>45820</v>
      </c>
      <c r="E1116" s="2" t="inlineStr">
        <is>
          <t>14:46</t>
        </is>
      </c>
      <c r="F1116" s="5" t="n">
        <v>24.17</v>
      </c>
      <c r="G1116" s="5" t="n"/>
      <c r="H1116" s="5" t="n"/>
      <c r="I1116" s="5" t="n"/>
      <c r="J1116" s="5" t="n">
        <v>4.83</v>
      </c>
      <c r="K1116" s="5" t="n"/>
      <c r="L1116" s="5" t="n"/>
      <c r="M1116" s="5" t="n"/>
      <c r="N1116" s="5" t="n"/>
      <c r="O1116" s="5" t="n">
        <v>29</v>
      </c>
      <c r="P1116" s="5" t="n">
        <v>29</v>
      </c>
      <c r="Q1116" s="5" t="n"/>
      <c r="R1116" s="5" t="n"/>
    </row>
    <row r="1117">
      <c r="A1117" s="2" t="inlineStr">
        <is>
          <t>EJ010725.TXT</t>
        </is>
      </c>
      <c r="B1117" s="3" t="inlineStr">
        <is>
          <t>005826</t>
        </is>
      </c>
      <c r="C1117" s="3" t="inlineStr">
        <is>
          <t>004677</t>
        </is>
      </c>
      <c r="D1117" s="4" t="n">
        <v>45834</v>
      </c>
      <c r="E1117" s="2" t="inlineStr">
        <is>
          <t>15:26</t>
        </is>
      </c>
      <c r="F1117" s="5" t="n">
        <v>199.17</v>
      </c>
      <c r="G1117" s="5" t="n"/>
      <c r="H1117" s="5" t="n"/>
      <c r="I1117" s="5" t="n"/>
      <c r="J1117" s="5" t="n">
        <v>39.83</v>
      </c>
      <c r="K1117" s="5" t="n"/>
      <c r="L1117" s="5" t="n"/>
      <c r="M1117" s="5" t="n"/>
      <c r="N1117" s="5" t="n"/>
      <c r="O1117" s="5" t="n">
        <v>239</v>
      </c>
      <c r="P1117" s="5" t="n">
        <v>239</v>
      </c>
      <c r="Q1117" s="5" t="n"/>
      <c r="R1117" s="5" t="n"/>
    </row>
    <row r="1118">
      <c r="A1118" s="2" t="inlineStr">
        <is>
          <t>EJ010725.TXT</t>
        </is>
      </c>
      <c r="B1118" s="3" t="inlineStr">
        <is>
          <t>005827</t>
        </is>
      </c>
      <c r="C1118" s="3" t="inlineStr">
        <is>
          <t>004678</t>
        </is>
      </c>
      <c r="D1118" s="4" t="n">
        <v>45835</v>
      </c>
      <c r="E1118" s="2" t="inlineStr">
        <is>
          <t>17:12</t>
        </is>
      </c>
      <c r="F1118" s="5" t="n">
        <v>274.17</v>
      </c>
      <c r="G1118" s="5" t="n"/>
      <c r="H1118" s="5" t="n"/>
      <c r="I1118" s="5" t="n"/>
      <c r="J1118" s="5" t="n">
        <v>54.83</v>
      </c>
      <c r="K1118" s="5" t="n"/>
      <c r="L1118" s="5" t="n"/>
      <c r="M1118" s="5" t="n"/>
      <c r="N1118" s="5" t="n"/>
      <c r="O1118" s="5" t="n">
        <v>329</v>
      </c>
      <c r="P1118" s="5" t="n"/>
      <c r="Q1118" s="5" t="n">
        <v>329</v>
      </c>
      <c r="R1118" s="5" t="n"/>
    </row>
    <row r="1119">
      <c r="A1119" s="2" t="inlineStr">
        <is>
          <t>EJ310725.TXT</t>
        </is>
      </c>
      <c r="B1119" s="3" t="inlineStr">
        <is>
          <t>005835</t>
        </is>
      </c>
      <c r="C1119" s="3" t="inlineStr">
        <is>
          <t>004679</t>
        </is>
      </c>
      <c r="D1119" s="4" t="n">
        <v>45845</v>
      </c>
      <c r="E1119" s="2" t="inlineStr">
        <is>
          <t>10:59</t>
        </is>
      </c>
      <c r="F1119" s="5" t="n">
        <v>190.83</v>
      </c>
      <c r="G1119" s="5" t="n"/>
      <c r="H1119" s="5" t="n"/>
      <c r="I1119" s="5" t="n"/>
      <c r="J1119" s="5" t="n">
        <v>38.17</v>
      </c>
      <c r="K1119" s="5" t="n"/>
      <c r="L1119" s="5" t="n"/>
      <c r="M1119" s="5" t="n"/>
      <c r="N1119" s="5" t="n"/>
      <c r="O1119" s="5" t="n">
        <v>229</v>
      </c>
      <c r="P1119" s="5" t="n">
        <v>229</v>
      </c>
      <c r="Q1119" s="5" t="n"/>
      <c r="R1119" s="5" t="n"/>
    </row>
    <row r="1120">
      <c r="A1120" s="2" t="inlineStr">
        <is>
          <t>EJ310725.TXT</t>
        </is>
      </c>
      <c r="B1120" s="3" t="inlineStr">
        <is>
          <t>005836</t>
        </is>
      </c>
      <c r="C1120" s="3" t="inlineStr">
        <is>
          <t>004680</t>
        </is>
      </c>
      <c r="D1120" s="4" t="n">
        <v>45845</v>
      </c>
      <c r="E1120" s="2" t="inlineStr">
        <is>
          <t>16:48</t>
        </is>
      </c>
      <c r="F1120" s="5" t="n">
        <v>274.17</v>
      </c>
      <c r="G1120" s="5" t="n"/>
      <c r="H1120" s="5" t="n"/>
      <c r="I1120" s="5" t="n"/>
      <c r="J1120" s="5" t="n">
        <v>54.83</v>
      </c>
      <c r="K1120" s="5" t="n"/>
      <c r="L1120" s="5" t="n"/>
      <c r="M1120" s="5" t="n"/>
      <c r="N1120" s="5" t="n"/>
      <c r="O1120" s="5" t="n">
        <v>329</v>
      </c>
      <c r="P1120" s="5" t="n"/>
      <c r="Q1120" s="5" t="n">
        <v>329</v>
      </c>
      <c r="R1120" s="5" t="n"/>
    </row>
    <row r="1121">
      <c r="A1121" s="2" t="inlineStr">
        <is>
          <t>EJ310725.TXT</t>
        </is>
      </c>
      <c r="B1121" s="3" t="inlineStr">
        <is>
          <t>005837</t>
        </is>
      </c>
      <c r="C1121" s="3" t="inlineStr">
        <is>
          <t>004681</t>
        </is>
      </c>
      <c r="D1121" s="4" t="n">
        <v>45846</v>
      </c>
      <c r="E1121" s="2" t="inlineStr">
        <is>
          <t>11:39</t>
        </is>
      </c>
      <c r="F1121" s="5" t="n">
        <v>1645</v>
      </c>
      <c r="G1121" s="5" t="n"/>
      <c r="H1121" s="5" t="n"/>
      <c r="I1121" s="5" t="n"/>
      <c r="J1121" s="5" t="n">
        <v>329</v>
      </c>
      <c r="K1121" s="5" t="n"/>
      <c r="L1121" s="5" t="n"/>
      <c r="M1121" s="5" t="n"/>
      <c r="N1121" s="5" t="n"/>
      <c r="O1121" s="5" t="n">
        <v>1974</v>
      </c>
      <c r="P1121" s="5" t="n">
        <v>1974</v>
      </c>
      <c r="Q1121" s="5" t="n"/>
      <c r="R1121" s="5" t="n"/>
    </row>
    <row r="1122">
      <c r="A1122" s="2" t="inlineStr">
        <is>
          <t>EJ310725.TXT</t>
        </is>
      </c>
      <c r="B1122" s="3" t="inlineStr">
        <is>
          <t>005838</t>
        </is>
      </c>
      <c r="C1122" s="3" t="inlineStr">
        <is>
          <t>004682</t>
        </is>
      </c>
      <c r="D1122" s="4" t="n">
        <v>45849</v>
      </c>
      <c r="E1122" s="2" t="inlineStr">
        <is>
          <t>17:08</t>
        </is>
      </c>
      <c r="F1122" s="5" t="n">
        <v>190.83</v>
      </c>
      <c r="G1122" s="5" t="n"/>
      <c r="H1122" s="5" t="n"/>
      <c r="I1122" s="5" t="n"/>
      <c r="J1122" s="5" t="n">
        <v>38.17</v>
      </c>
      <c r="K1122" s="5" t="n"/>
      <c r="L1122" s="5" t="n"/>
      <c r="M1122" s="5" t="n"/>
      <c r="N1122" s="5" t="n"/>
      <c r="O1122" s="5" t="n">
        <v>229</v>
      </c>
      <c r="P1122" s="5" t="n">
        <v>229</v>
      </c>
      <c r="Q1122" s="5" t="n"/>
      <c r="R1122" s="5" t="n"/>
    </row>
    <row r="1123">
      <c r="A1123" s="2" t="inlineStr">
        <is>
          <t>EJ310725.TXT</t>
        </is>
      </c>
      <c r="B1123" s="3" t="inlineStr">
        <is>
          <t>005839</t>
        </is>
      </c>
      <c r="C1123" s="3" t="inlineStr">
        <is>
          <t>004683</t>
        </is>
      </c>
      <c r="D1123" s="4" t="n">
        <v>45853</v>
      </c>
      <c r="E1123" s="2" t="inlineStr">
        <is>
          <t>10:51</t>
        </is>
      </c>
      <c r="F1123" s="5" t="n">
        <v>832.5</v>
      </c>
      <c r="G1123" s="5" t="n"/>
      <c r="H1123" s="5" t="n"/>
      <c r="I1123" s="5" t="n"/>
      <c r="J1123" s="5" t="n">
        <v>166.5</v>
      </c>
      <c r="K1123" s="5" t="n"/>
      <c r="L1123" s="5" t="n"/>
      <c r="M1123" s="5" t="n"/>
      <c r="N1123" s="5" t="n"/>
      <c r="O1123" s="5" t="n">
        <v>999</v>
      </c>
      <c r="P1123" s="5" t="n"/>
      <c r="Q1123" s="5" t="n">
        <v>999</v>
      </c>
      <c r="R1123" s="5" t="n"/>
    </row>
    <row r="1124">
      <c r="A1124" s="2" t="inlineStr">
        <is>
          <t>EJ310725.TXT</t>
        </is>
      </c>
      <c r="B1124" s="3" t="inlineStr">
        <is>
          <t>005840</t>
        </is>
      </c>
      <c r="C1124" s="3" t="inlineStr">
        <is>
          <t>004684</t>
        </is>
      </c>
      <c r="D1124" s="4" t="n">
        <v>45853</v>
      </c>
      <c r="E1124" s="2" t="inlineStr">
        <is>
          <t>10:52</t>
        </is>
      </c>
      <c r="F1124" s="5" t="n">
        <v>833.33</v>
      </c>
      <c r="G1124" s="5" t="n"/>
      <c r="H1124" s="5" t="n"/>
      <c r="I1124" s="5" t="n"/>
      <c r="J1124" s="5" t="n">
        <v>166.67</v>
      </c>
      <c r="K1124" s="5" t="n"/>
      <c r="L1124" s="5" t="n"/>
      <c r="M1124" s="5" t="n"/>
      <c r="N1124" s="5" t="n"/>
      <c r="O1124" s="5" t="n">
        <v>1000</v>
      </c>
      <c r="P1124" s="5" t="n"/>
      <c r="Q1124" s="5" t="n">
        <v>1000</v>
      </c>
      <c r="R1124" s="5" t="n"/>
    </row>
    <row r="1125">
      <c r="A1125" s="2" t="inlineStr">
        <is>
          <t>EJ310725.TXT</t>
        </is>
      </c>
      <c r="B1125" s="3" t="inlineStr">
        <is>
          <t>005841</t>
        </is>
      </c>
      <c r="C1125" s="3" t="inlineStr">
        <is>
          <t>004685</t>
        </is>
      </c>
      <c r="D1125" s="4" t="n">
        <v>45853</v>
      </c>
      <c r="E1125" s="2" t="inlineStr">
        <is>
          <t>10:53</t>
        </is>
      </c>
      <c r="F1125" s="5" t="n">
        <v>825</v>
      </c>
      <c r="G1125" s="5" t="n"/>
      <c r="H1125" s="5" t="n"/>
      <c r="I1125" s="5" t="n"/>
      <c r="J1125" s="5" t="n">
        <v>165</v>
      </c>
      <c r="K1125" s="5" t="n"/>
      <c r="L1125" s="5" t="n"/>
      <c r="M1125" s="5" t="n"/>
      <c r="N1125" s="5" t="n"/>
      <c r="O1125" s="5" t="n">
        <v>990</v>
      </c>
      <c r="P1125" s="5" t="n"/>
      <c r="Q1125" s="5" t="n">
        <v>990</v>
      </c>
      <c r="R1125" s="5" t="n"/>
    </row>
    <row r="1126">
      <c r="A1126" s="2" t="inlineStr">
        <is>
          <t>EJ310725.TXT</t>
        </is>
      </c>
      <c r="B1126" s="3" t="inlineStr">
        <is>
          <t>005842</t>
        </is>
      </c>
      <c r="C1126" s="3" t="inlineStr">
        <is>
          <t>004686</t>
        </is>
      </c>
      <c r="D1126" s="4" t="n">
        <v>45853</v>
      </c>
      <c r="E1126" s="2" t="inlineStr">
        <is>
          <t>10:54</t>
        </is>
      </c>
      <c r="F1126" s="5" t="n">
        <v>690.83</v>
      </c>
      <c r="G1126" s="5" t="n"/>
      <c r="H1126" s="5" t="n"/>
      <c r="I1126" s="5" t="n"/>
      <c r="J1126" s="5" t="n">
        <v>138.17</v>
      </c>
      <c r="K1126" s="5" t="n"/>
      <c r="L1126" s="5" t="n"/>
      <c r="M1126" s="5" t="n"/>
      <c r="N1126" s="5" t="n"/>
      <c r="O1126" s="5" t="n">
        <v>829</v>
      </c>
      <c r="P1126" s="5" t="n"/>
      <c r="Q1126" s="5" t="n">
        <v>829</v>
      </c>
      <c r="R1126" s="5" t="n"/>
    </row>
    <row r="1127">
      <c r="A1127" s="2" t="inlineStr">
        <is>
          <t>EJ310725.TXT</t>
        </is>
      </c>
      <c r="B1127" s="3" t="inlineStr">
        <is>
          <t>005843</t>
        </is>
      </c>
      <c r="C1127" s="3" t="inlineStr">
        <is>
          <t>004687</t>
        </is>
      </c>
      <c r="D1127" s="4" t="n">
        <v>45853</v>
      </c>
      <c r="E1127" s="2" t="inlineStr">
        <is>
          <t>10:55</t>
        </is>
      </c>
      <c r="F1127" s="5" t="n">
        <v>833.33</v>
      </c>
      <c r="G1127" s="5" t="n"/>
      <c r="H1127" s="5" t="n"/>
      <c r="I1127" s="5" t="n"/>
      <c r="J1127" s="5" t="n">
        <v>166.67</v>
      </c>
      <c r="K1127" s="5" t="n"/>
      <c r="L1127" s="5" t="n"/>
      <c r="M1127" s="5" t="n"/>
      <c r="N1127" s="5" t="n"/>
      <c r="O1127" s="5" t="n">
        <v>1000</v>
      </c>
      <c r="P1127" s="5" t="n"/>
      <c r="Q1127" s="5" t="n">
        <v>1000</v>
      </c>
      <c r="R1127" s="5" t="n"/>
    </row>
    <row r="1128">
      <c r="A1128" s="2" t="inlineStr">
        <is>
          <t>EJ310725.TXT</t>
        </is>
      </c>
      <c r="B1128" s="3" t="inlineStr">
        <is>
          <t>005844</t>
        </is>
      </c>
      <c r="C1128" s="3" t="inlineStr">
        <is>
          <t>004688</t>
        </is>
      </c>
      <c r="D1128" s="4" t="n">
        <v>45853</v>
      </c>
      <c r="E1128" s="2" t="inlineStr">
        <is>
          <t>10:56</t>
        </is>
      </c>
      <c r="F1128" s="5" t="n">
        <v>674.17</v>
      </c>
      <c r="G1128" s="5" t="n"/>
      <c r="H1128" s="5" t="n"/>
      <c r="I1128" s="5" t="n"/>
      <c r="J1128" s="5" t="n">
        <v>134.83</v>
      </c>
      <c r="K1128" s="5" t="n"/>
      <c r="L1128" s="5" t="n"/>
      <c r="M1128" s="5" t="n"/>
      <c r="N1128" s="5" t="n"/>
      <c r="O1128" s="5" t="n">
        <v>809</v>
      </c>
      <c r="P1128" s="5" t="n"/>
      <c r="Q1128" s="5" t="n">
        <v>809</v>
      </c>
      <c r="R1128" s="5" t="n"/>
    </row>
    <row r="1129">
      <c r="A1129" s="2" t="inlineStr">
        <is>
          <t>EJ310725.TXT</t>
        </is>
      </c>
      <c r="B1129" s="3" t="inlineStr">
        <is>
          <t>005845</t>
        </is>
      </c>
      <c r="C1129" s="3" t="inlineStr">
        <is>
          <t>004689</t>
        </is>
      </c>
      <c r="D1129" s="4" t="n">
        <v>45853</v>
      </c>
      <c r="E1129" s="2" t="inlineStr">
        <is>
          <t>11:00</t>
        </is>
      </c>
      <c r="F1129" s="5" t="n">
        <v>40.75</v>
      </c>
      <c r="G1129" s="5" t="n"/>
      <c r="H1129" s="5" t="n"/>
      <c r="I1129" s="5" t="n"/>
      <c r="J1129" s="5" t="n">
        <v>8.15</v>
      </c>
      <c r="K1129" s="5" t="n"/>
      <c r="L1129" s="5" t="n"/>
      <c r="M1129" s="5" t="n"/>
      <c r="N1129" s="5" t="n"/>
      <c r="O1129" s="5" t="n">
        <v>48.9</v>
      </c>
      <c r="P1129" s="5" t="n"/>
      <c r="Q1129" s="5" t="n">
        <v>48.9</v>
      </c>
      <c r="R1129" s="5" t="n"/>
    </row>
    <row r="1130">
      <c r="A1130" s="2" t="inlineStr">
        <is>
          <t>EJ310725.TXT</t>
        </is>
      </c>
      <c r="B1130" s="3" t="inlineStr">
        <is>
          <t>005846</t>
        </is>
      </c>
      <c r="C1130" s="3" t="inlineStr">
        <is>
          <t>004690</t>
        </is>
      </c>
      <c r="D1130" s="4" t="n">
        <v>45854</v>
      </c>
      <c r="E1130" s="2" t="inlineStr">
        <is>
          <t>13:34</t>
        </is>
      </c>
      <c r="F1130" s="5" t="n">
        <v>375</v>
      </c>
      <c r="G1130" s="5" t="n"/>
      <c r="H1130" s="5" t="n"/>
      <c r="I1130" s="5" t="n"/>
      <c r="J1130" s="5" t="n">
        <v>75</v>
      </c>
      <c r="K1130" s="5" t="n"/>
      <c r="L1130" s="5" t="n"/>
      <c r="M1130" s="5" t="n"/>
      <c r="N1130" s="5" t="n"/>
      <c r="O1130" s="5" t="n">
        <v>450</v>
      </c>
      <c r="P1130" s="5" t="n"/>
      <c r="Q1130" s="5" t="n">
        <v>450</v>
      </c>
      <c r="R1130" s="5" t="n"/>
    </row>
    <row r="1131">
      <c r="A1131" s="2" t="inlineStr">
        <is>
          <t>EJ310725.TXT</t>
        </is>
      </c>
      <c r="B1131" s="3" t="inlineStr">
        <is>
          <t>005847</t>
        </is>
      </c>
      <c r="C1131" s="3" t="inlineStr">
        <is>
          <t>004691</t>
        </is>
      </c>
      <c r="D1131" s="4" t="n">
        <v>45854</v>
      </c>
      <c r="E1131" s="2" t="inlineStr">
        <is>
          <t>13:34</t>
        </is>
      </c>
      <c r="F1131" s="5" t="n">
        <v>525.83</v>
      </c>
      <c r="G1131" s="5" t="n"/>
      <c r="H1131" s="5" t="n"/>
      <c r="I1131" s="5" t="n"/>
      <c r="J1131" s="5" t="n">
        <v>105.17</v>
      </c>
      <c r="K1131" s="5" t="n"/>
      <c r="L1131" s="5" t="n"/>
      <c r="M1131" s="5" t="n"/>
      <c r="N1131" s="5" t="n"/>
      <c r="O1131" s="5" t="n">
        <v>631</v>
      </c>
      <c r="P1131" s="5" t="n"/>
      <c r="Q1131" s="5" t="n">
        <v>631</v>
      </c>
      <c r="R1131" s="5" t="n"/>
    </row>
    <row r="1132">
      <c r="A1132" s="2" t="inlineStr">
        <is>
          <t>EJ310725.TXT</t>
        </is>
      </c>
      <c r="B1132" s="3" t="inlineStr">
        <is>
          <t>005848</t>
        </is>
      </c>
      <c r="C1132" s="3" t="inlineStr">
        <is>
          <t>004692</t>
        </is>
      </c>
      <c r="D1132" s="4" t="n">
        <v>45854</v>
      </c>
      <c r="E1132" s="2" t="inlineStr">
        <is>
          <t>14:46</t>
        </is>
      </c>
      <c r="F1132" s="5" t="n">
        <v>822.5</v>
      </c>
      <c r="G1132" s="5" t="n"/>
      <c r="H1132" s="5" t="n"/>
      <c r="I1132" s="5" t="n"/>
      <c r="J1132" s="5" t="n">
        <v>164.5</v>
      </c>
      <c r="K1132" s="5" t="n"/>
      <c r="L1132" s="5" t="n"/>
      <c r="M1132" s="5" t="n"/>
      <c r="N1132" s="5" t="n"/>
      <c r="O1132" s="5" t="n">
        <v>987</v>
      </c>
      <c r="P1132" s="5" t="n"/>
      <c r="Q1132" s="5" t="n">
        <v>987</v>
      </c>
      <c r="R1132" s="5" t="n"/>
    </row>
    <row r="1133">
      <c r="A1133" s="2" t="inlineStr">
        <is>
          <t>EJ310725.TXT</t>
        </is>
      </c>
      <c r="B1133" s="3" t="inlineStr">
        <is>
          <t>005849</t>
        </is>
      </c>
      <c r="C1133" s="3" t="inlineStr">
        <is>
          <t>004693</t>
        </is>
      </c>
      <c r="D1133" s="4" t="n">
        <v>45854</v>
      </c>
      <c r="E1133" s="2" t="inlineStr">
        <is>
          <t>14:46</t>
        </is>
      </c>
      <c r="F1133" s="5" t="n">
        <v>822.5</v>
      </c>
      <c r="G1133" s="5" t="n"/>
      <c r="H1133" s="5" t="n"/>
      <c r="I1133" s="5" t="n"/>
      <c r="J1133" s="5" t="n">
        <v>164.5</v>
      </c>
      <c r="K1133" s="5" t="n"/>
      <c r="L1133" s="5" t="n"/>
      <c r="M1133" s="5" t="n"/>
      <c r="N1133" s="5" t="n"/>
      <c r="O1133" s="5" t="n">
        <v>987</v>
      </c>
      <c r="P1133" s="5" t="n"/>
      <c r="Q1133" s="5" t="n">
        <v>987</v>
      </c>
      <c r="R1133" s="5" t="n"/>
    </row>
    <row r="1134">
      <c r="A1134" s="2" t="inlineStr">
        <is>
          <t>EJ310725.TXT</t>
        </is>
      </c>
      <c r="B1134" s="3" t="inlineStr">
        <is>
          <t>005850</t>
        </is>
      </c>
      <c r="C1134" s="3" t="inlineStr">
        <is>
          <t>004694</t>
        </is>
      </c>
      <c r="D1134" s="4" t="n">
        <v>45854</v>
      </c>
      <c r="E1134" s="2" t="inlineStr">
        <is>
          <t>14:47</t>
        </is>
      </c>
      <c r="F1134" s="5" t="n">
        <v>274.17</v>
      </c>
      <c r="G1134" s="5" t="n"/>
      <c r="H1134" s="5" t="n"/>
      <c r="I1134" s="5" t="n"/>
      <c r="J1134" s="5" t="n">
        <v>54.83</v>
      </c>
      <c r="K1134" s="5" t="n"/>
      <c r="L1134" s="5" t="n"/>
      <c r="M1134" s="5" t="n"/>
      <c r="N1134" s="5" t="n"/>
      <c r="O1134" s="5" t="n">
        <v>329</v>
      </c>
      <c r="P1134" s="5" t="n"/>
      <c r="Q1134" s="5" t="n">
        <v>329</v>
      </c>
      <c r="R1134" s="5" t="n"/>
    </row>
    <row r="1135">
      <c r="A1135" s="2" t="inlineStr">
        <is>
          <t>EJ310725.TXT</t>
        </is>
      </c>
      <c r="B1135" s="3" t="inlineStr">
        <is>
          <t>005851</t>
        </is>
      </c>
      <c r="C1135" s="3" t="inlineStr">
        <is>
          <t>004695</t>
        </is>
      </c>
      <c r="D1135" s="4" t="n">
        <v>45856</v>
      </c>
      <c r="E1135" s="2" t="inlineStr">
        <is>
          <t>09:48</t>
        </is>
      </c>
      <c r="F1135" s="5" t="n">
        <v>799.17</v>
      </c>
      <c r="G1135" s="5" t="n"/>
      <c r="H1135" s="5" t="n"/>
      <c r="I1135" s="5" t="n"/>
      <c r="J1135" s="5" t="n">
        <v>159.83</v>
      </c>
      <c r="K1135" s="5" t="n"/>
      <c r="L1135" s="5" t="n"/>
      <c r="M1135" s="5" t="n"/>
      <c r="N1135" s="5" t="n"/>
      <c r="O1135" s="5" t="n">
        <v>959</v>
      </c>
      <c r="P1135" s="5" t="n"/>
      <c r="Q1135" s="5" t="n">
        <v>959</v>
      </c>
      <c r="R1135" s="5" t="n"/>
    </row>
    <row r="1136">
      <c r="A1136" s="2" t="inlineStr">
        <is>
          <t>EJ310725.TXT</t>
        </is>
      </c>
      <c r="B1136" s="3" t="inlineStr">
        <is>
          <t>005852</t>
        </is>
      </c>
      <c r="C1136" s="3" t="inlineStr">
        <is>
          <t>004696</t>
        </is>
      </c>
      <c r="D1136" s="4" t="n">
        <v>45856</v>
      </c>
      <c r="E1136" s="2" t="inlineStr">
        <is>
          <t>09:49</t>
        </is>
      </c>
      <c r="F1136" s="5" t="n">
        <v>799.17</v>
      </c>
      <c r="G1136" s="5" t="n"/>
      <c r="H1136" s="5" t="n"/>
      <c r="I1136" s="5" t="n"/>
      <c r="J1136" s="5" t="n">
        <v>159.83</v>
      </c>
      <c r="K1136" s="5" t="n"/>
      <c r="L1136" s="5" t="n"/>
      <c r="M1136" s="5" t="n"/>
      <c r="N1136" s="5" t="n"/>
      <c r="O1136" s="5" t="n">
        <v>959</v>
      </c>
      <c r="P1136" s="5" t="n"/>
      <c r="Q1136" s="5" t="n">
        <v>959</v>
      </c>
      <c r="R1136" s="5" t="n"/>
    </row>
    <row r="1137">
      <c r="A1137" s="2" t="inlineStr">
        <is>
          <t>EJ310725.TXT</t>
        </is>
      </c>
      <c r="B1137" s="3" t="inlineStr">
        <is>
          <t>005853</t>
        </is>
      </c>
      <c r="C1137" s="3" t="inlineStr">
        <is>
          <t>004697</t>
        </is>
      </c>
      <c r="D1137" s="4" t="n">
        <v>45856</v>
      </c>
      <c r="E1137" s="2" t="inlineStr">
        <is>
          <t>09:49</t>
        </is>
      </c>
      <c r="F1137" s="5" t="n">
        <v>799.17</v>
      </c>
      <c r="G1137" s="5" t="n"/>
      <c r="H1137" s="5" t="n"/>
      <c r="I1137" s="5" t="n"/>
      <c r="J1137" s="5" t="n">
        <v>159.83</v>
      </c>
      <c r="K1137" s="5" t="n"/>
      <c r="L1137" s="5" t="n"/>
      <c r="M1137" s="5" t="n"/>
      <c r="N1137" s="5" t="n"/>
      <c r="O1137" s="5" t="n">
        <v>959</v>
      </c>
      <c r="P1137" s="5" t="n"/>
      <c r="Q1137" s="5" t="n">
        <v>959</v>
      </c>
      <c r="R1137" s="5" t="n"/>
    </row>
    <row r="1138">
      <c r="A1138" s="2" t="inlineStr">
        <is>
          <t>EJ310725.TXT</t>
        </is>
      </c>
      <c r="B1138" s="3" t="inlineStr">
        <is>
          <t>005854</t>
        </is>
      </c>
      <c r="C1138" s="3" t="inlineStr">
        <is>
          <t>004698</t>
        </is>
      </c>
      <c r="D1138" s="4" t="n">
        <v>45856</v>
      </c>
      <c r="E1138" s="2" t="inlineStr">
        <is>
          <t>09:50</t>
        </is>
      </c>
      <c r="F1138" s="5" t="n">
        <v>799.17</v>
      </c>
      <c r="G1138" s="5" t="n"/>
      <c r="H1138" s="5" t="n"/>
      <c r="I1138" s="5" t="n"/>
      <c r="J1138" s="5" t="n">
        <v>159.83</v>
      </c>
      <c r="K1138" s="5" t="n"/>
      <c r="L1138" s="5" t="n"/>
      <c r="M1138" s="5" t="n"/>
      <c r="N1138" s="5" t="n"/>
      <c r="O1138" s="5" t="n">
        <v>959</v>
      </c>
      <c r="P1138" s="5" t="n"/>
      <c r="Q1138" s="5" t="n">
        <v>959</v>
      </c>
      <c r="R1138" s="5" t="n"/>
    </row>
    <row r="1139">
      <c r="A1139" s="2" t="inlineStr">
        <is>
          <t>EJ310725.TXT</t>
        </is>
      </c>
      <c r="B1139" s="3" t="inlineStr">
        <is>
          <t>005855</t>
        </is>
      </c>
      <c r="C1139" s="3" t="inlineStr">
        <is>
          <t>004699</t>
        </is>
      </c>
      <c r="D1139" s="4" t="n">
        <v>45856</v>
      </c>
      <c r="E1139" s="2" t="inlineStr">
        <is>
          <t>09:50</t>
        </is>
      </c>
      <c r="F1139" s="5" t="n">
        <v>799.17</v>
      </c>
      <c r="G1139" s="5" t="n"/>
      <c r="H1139" s="5" t="n"/>
      <c r="I1139" s="5" t="n"/>
      <c r="J1139" s="5" t="n">
        <v>159.83</v>
      </c>
      <c r="K1139" s="5" t="n"/>
      <c r="L1139" s="5" t="n"/>
      <c r="M1139" s="5" t="n"/>
      <c r="N1139" s="5" t="n"/>
      <c r="O1139" s="5" t="n">
        <v>959</v>
      </c>
      <c r="P1139" s="5" t="n"/>
      <c r="Q1139" s="5" t="n">
        <v>959</v>
      </c>
      <c r="R1139" s="5" t="n"/>
    </row>
    <row r="1140">
      <c r="A1140" s="2" t="inlineStr">
        <is>
          <t>EJ310725.TXT</t>
        </is>
      </c>
      <c r="B1140" s="3" t="inlineStr">
        <is>
          <t>005856</t>
        </is>
      </c>
      <c r="C1140" s="3" t="inlineStr">
        <is>
          <t>004700</t>
        </is>
      </c>
      <c r="D1140" s="4" t="n">
        <v>45856</v>
      </c>
      <c r="E1140" s="2" t="inlineStr">
        <is>
          <t>09:51</t>
        </is>
      </c>
      <c r="F1140" s="5" t="n">
        <v>799.17</v>
      </c>
      <c r="G1140" s="5" t="n"/>
      <c r="H1140" s="5" t="n"/>
      <c r="I1140" s="5" t="n"/>
      <c r="J1140" s="5" t="n">
        <v>159.83</v>
      </c>
      <c r="K1140" s="5" t="n"/>
      <c r="L1140" s="5" t="n"/>
      <c r="M1140" s="5" t="n"/>
      <c r="N1140" s="5" t="n"/>
      <c r="O1140" s="5" t="n">
        <v>959</v>
      </c>
      <c r="P1140" s="5" t="n"/>
      <c r="Q1140" s="5" t="n">
        <v>959</v>
      </c>
      <c r="R1140" s="5" t="n"/>
    </row>
    <row r="1141">
      <c r="A1141" s="2" t="inlineStr">
        <is>
          <t>EJ310725.TXT</t>
        </is>
      </c>
      <c r="B1141" s="3" t="inlineStr">
        <is>
          <t>005857</t>
        </is>
      </c>
      <c r="C1141" s="3" t="inlineStr">
        <is>
          <t>004701</t>
        </is>
      </c>
      <c r="D1141" s="4" t="n">
        <v>45856</v>
      </c>
      <c r="E1141" s="2" t="inlineStr">
        <is>
          <t>09:51</t>
        </is>
      </c>
      <c r="F1141" s="5" t="n">
        <v>795</v>
      </c>
      <c r="G1141" s="5" t="n"/>
      <c r="H1141" s="5" t="n"/>
      <c r="I1141" s="5" t="n"/>
      <c r="J1141" s="5" t="n">
        <v>159</v>
      </c>
      <c r="K1141" s="5" t="n"/>
      <c r="L1141" s="5" t="n"/>
      <c r="M1141" s="5" t="n"/>
      <c r="N1141" s="5" t="n"/>
      <c r="O1141" s="5" t="n">
        <v>954</v>
      </c>
      <c r="P1141" s="5" t="n"/>
      <c r="Q1141" s="5" t="n">
        <v>954</v>
      </c>
      <c r="R1141" s="5" t="n"/>
    </row>
    <row r="1142">
      <c r="A1142" s="2" t="inlineStr">
        <is>
          <t>EJ310725.TXT</t>
        </is>
      </c>
      <c r="B1142" s="3" t="inlineStr">
        <is>
          <t>005858</t>
        </is>
      </c>
      <c r="C1142" s="3" t="inlineStr">
        <is>
          <t>004702</t>
        </is>
      </c>
      <c r="D1142" s="4" t="n">
        <v>45861</v>
      </c>
      <c r="E1142" s="2" t="inlineStr">
        <is>
          <t>14:12</t>
        </is>
      </c>
      <c r="F1142" s="5" t="n">
        <v>548.33</v>
      </c>
      <c r="G1142" s="5" t="n"/>
      <c r="H1142" s="5" t="n"/>
      <c r="I1142" s="5" t="n"/>
      <c r="J1142" s="5" t="n">
        <v>109.67</v>
      </c>
      <c r="K1142" s="5" t="n"/>
      <c r="L1142" s="5" t="n"/>
      <c r="M1142" s="5" t="n"/>
      <c r="N1142" s="5" t="n"/>
      <c r="O1142" s="5" t="n">
        <v>658</v>
      </c>
      <c r="P1142" s="5" t="n"/>
      <c r="Q1142" s="5" t="n">
        <v>658</v>
      </c>
      <c r="R1142" s="5" t="n"/>
    </row>
    <row r="1143">
      <c r="A1143" s="2" t="inlineStr">
        <is>
          <t>EJ310725.TXT</t>
        </is>
      </c>
      <c r="B1143" s="3" t="inlineStr">
        <is>
          <t>005859</t>
        </is>
      </c>
      <c r="C1143" s="3" t="inlineStr">
        <is>
          <t>004703</t>
        </is>
      </c>
      <c r="D1143" s="4" t="n">
        <v>45861</v>
      </c>
      <c r="E1143" s="2" t="inlineStr">
        <is>
          <t>14:15</t>
        </is>
      </c>
      <c r="F1143" s="5" t="n">
        <v>110</v>
      </c>
      <c r="G1143" s="5" t="n"/>
      <c r="H1143" s="5" t="n"/>
      <c r="I1143" s="5" t="n"/>
      <c r="J1143" s="5" t="n">
        <v>22</v>
      </c>
      <c r="K1143" s="5" t="n"/>
      <c r="L1143" s="5" t="n"/>
      <c r="M1143" s="5" t="n"/>
      <c r="N1143" s="5" t="n"/>
      <c r="O1143" s="5" t="n">
        <v>132</v>
      </c>
      <c r="P1143" s="5" t="n"/>
      <c r="Q1143" s="5" t="n">
        <v>132</v>
      </c>
      <c r="R1143" s="5" t="n"/>
    </row>
    <row r="1144">
      <c r="A1144" s="2" t="inlineStr">
        <is>
          <t>EJ310725.TXT</t>
        </is>
      </c>
      <c r="B1144" s="3" t="inlineStr">
        <is>
          <t>005860</t>
        </is>
      </c>
      <c r="C1144" s="3" t="inlineStr">
        <is>
          <t>004704</t>
        </is>
      </c>
      <c r="D1144" s="4" t="n">
        <v>45863</v>
      </c>
      <c r="E1144" s="2" t="inlineStr">
        <is>
          <t>16:38</t>
        </is>
      </c>
      <c r="F1144" s="5" t="n">
        <v>124.17</v>
      </c>
      <c r="G1144" s="5" t="n"/>
      <c r="H1144" s="5" t="n"/>
      <c r="I1144" s="5" t="n"/>
      <c r="J1144" s="5" t="n">
        <v>24.83</v>
      </c>
      <c r="K1144" s="5" t="n"/>
      <c r="L1144" s="5" t="n"/>
      <c r="M1144" s="5" t="n"/>
      <c r="N1144" s="5" t="n"/>
      <c r="O1144" s="5" t="n">
        <v>149</v>
      </c>
      <c r="P1144" s="5" t="n">
        <v>149</v>
      </c>
      <c r="Q1144" s="5" t="n"/>
      <c r="R1144" s="5" t="n"/>
    </row>
    <row r="1145">
      <c r="A1145" s="2" t="inlineStr">
        <is>
          <t>EJ310725.TXT</t>
        </is>
      </c>
      <c r="B1145" s="3" t="inlineStr">
        <is>
          <t>005861</t>
        </is>
      </c>
      <c r="C1145" s="3" t="inlineStr">
        <is>
          <t>004705</t>
        </is>
      </c>
      <c r="D1145" s="4" t="n">
        <v>45868</v>
      </c>
      <c r="E1145" s="2" t="inlineStr">
        <is>
          <t>17:33</t>
        </is>
      </c>
      <c r="F1145" s="5" t="n">
        <v>597.5</v>
      </c>
      <c r="G1145" s="5" t="n"/>
      <c r="H1145" s="5" t="n"/>
      <c r="I1145" s="5" t="n"/>
      <c r="J1145" s="5" t="n">
        <v>119.5</v>
      </c>
      <c r="K1145" s="5" t="n"/>
      <c r="L1145" s="5" t="n"/>
      <c r="M1145" s="5" t="n"/>
      <c r="N1145" s="5" t="n"/>
      <c r="O1145" s="5" t="n">
        <v>717</v>
      </c>
      <c r="P1145" s="5" t="n"/>
      <c r="Q1145" s="5" t="n">
        <v>717</v>
      </c>
      <c r="R1145" s="5" t="n"/>
    </row>
    <row r="1146">
      <c r="A1146" s="2" t="inlineStr">
        <is>
          <t>EJ020925.TXT</t>
        </is>
      </c>
      <c r="B1146" s="3" t="inlineStr">
        <is>
          <t>005870</t>
        </is>
      </c>
      <c r="C1146" s="3" t="inlineStr">
        <is>
          <t>004706</t>
        </is>
      </c>
      <c r="D1146" s="4" t="n">
        <v>45875</v>
      </c>
      <c r="E1146" s="2" t="inlineStr">
        <is>
          <t>16:53</t>
        </is>
      </c>
      <c r="F1146" s="5" t="n">
        <v>82.5</v>
      </c>
      <c r="G1146" s="5" t="n"/>
      <c r="H1146" s="5" t="n"/>
      <c r="I1146" s="5" t="n"/>
      <c r="J1146" s="5" t="n">
        <v>16.5</v>
      </c>
      <c r="K1146" s="5" t="n"/>
      <c r="L1146" s="5" t="n"/>
      <c r="M1146" s="5" t="n"/>
      <c r="N1146" s="5" t="n"/>
      <c r="O1146" s="5" t="n">
        <v>99</v>
      </c>
      <c r="P1146" s="5" t="n"/>
      <c r="Q1146" s="5" t="n">
        <v>99</v>
      </c>
      <c r="R1146" s="5" t="n"/>
    </row>
    <row r="1147">
      <c r="A1147" s="2" t="inlineStr">
        <is>
          <t>EJ020925.TXT</t>
        </is>
      </c>
      <c r="B1147" s="3" t="inlineStr">
        <is>
          <t>005871</t>
        </is>
      </c>
      <c r="C1147" s="3" t="inlineStr">
        <is>
          <t>004707</t>
        </is>
      </c>
      <c r="D1147" s="4" t="n">
        <v>45883</v>
      </c>
      <c r="E1147" s="2" t="inlineStr">
        <is>
          <t>16:39</t>
        </is>
      </c>
      <c r="F1147" s="5" t="n">
        <v>548.33</v>
      </c>
      <c r="G1147" s="5" t="n"/>
      <c r="H1147" s="5" t="n"/>
      <c r="I1147" s="5" t="n"/>
      <c r="J1147" s="5" t="n">
        <v>109.67</v>
      </c>
      <c r="K1147" s="5" t="n"/>
      <c r="L1147" s="5" t="n"/>
      <c r="M1147" s="5" t="n"/>
      <c r="N1147" s="5" t="n"/>
      <c r="O1147" s="5" t="n">
        <v>658</v>
      </c>
      <c r="P1147" s="5" t="n">
        <v>658</v>
      </c>
      <c r="Q1147" s="5" t="n"/>
      <c r="R1147" s="5" t="n"/>
    </row>
    <row r="1148">
      <c r="A1148" s="2" t="inlineStr">
        <is>
          <t>EJ020925.TXT</t>
        </is>
      </c>
      <c r="B1148" s="3" t="inlineStr">
        <is>
          <t>005872</t>
        </is>
      </c>
      <c r="C1148" s="3" t="inlineStr">
        <is>
          <t>004708</t>
        </is>
      </c>
      <c r="D1148" s="4" t="n">
        <v>45889</v>
      </c>
      <c r="E1148" s="2" t="inlineStr">
        <is>
          <t>14:37</t>
        </is>
      </c>
      <c r="F1148" s="5" t="n">
        <v>274.17</v>
      </c>
      <c r="G1148" s="5" t="n"/>
      <c r="H1148" s="5" t="n"/>
      <c r="I1148" s="5" t="n"/>
      <c r="J1148" s="5" t="n">
        <v>54.83</v>
      </c>
      <c r="K1148" s="5" t="n"/>
      <c r="L1148" s="5" t="n"/>
      <c r="M1148" s="5" t="n"/>
      <c r="N1148" s="5" t="n"/>
      <c r="O1148" s="5" t="n">
        <v>329</v>
      </c>
      <c r="P1148" s="5" t="n"/>
      <c r="Q1148" s="5" t="n">
        <v>329</v>
      </c>
      <c r="R1148" s="5" t="n"/>
    </row>
    <row r="1149">
      <c r="A1149" s="2" t="inlineStr">
        <is>
          <t>EJ020925.TXT</t>
        </is>
      </c>
      <c r="B1149" s="3" t="inlineStr">
        <is>
          <t>005873</t>
        </is>
      </c>
      <c r="C1149" s="3" t="inlineStr">
        <is>
          <t>004709</t>
        </is>
      </c>
      <c r="D1149" s="4" t="n">
        <v>45890</v>
      </c>
      <c r="E1149" s="2" t="inlineStr">
        <is>
          <t>09:43</t>
        </is>
      </c>
      <c r="F1149" s="5" t="n">
        <v>82.5</v>
      </c>
      <c r="G1149" s="5" t="n"/>
      <c r="H1149" s="5" t="n"/>
      <c r="I1149" s="5" t="n"/>
      <c r="J1149" s="5" t="n">
        <v>16.5</v>
      </c>
      <c r="K1149" s="5" t="n"/>
      <c r="L1149" s="5" t="n"/>
      <c r="M1149" s="5" t="n"/>
      <c r="N1149" s="5" t="n"/>
      <c r="O1149" s="5" t="n">
        <v>99</v>
      </c>
      <c r="P1149" s="5" t="n"/>
      <c r="Q1149" s="5" t="n">
        <v>99</v>
      </c>
      <c r="R1149" s="5" t="n"/>
    </row>
    <row r="1150">
      <c r="A1150" s="2" t="inlineStr">
        <is>
          <t>EJ020925.TXT</t>
        </is>
      </c>
      <c r="B1150" s="3" t="inlineStr">
        <is>
          <t>005874</t>
        </is>
      </c>
      <c r="C1150" s="3" t="inlineStr">
        <is>
          <t>004710</t>
        </is>
      </c>
      <c r="D1150" s="4" t="n">
        <v>45891</v>
      </c>
      <c r="E1150" s="2" t="inlineStr">
        <is>
          <t>16:59</t>
        </is>
      </c>
      <c r="F1150" s="5" t="n">
        <v>548.33</v>
      </c>
      <c r="G1150" s="5" t="n"/>
      <c r="H1150" s="5" t="n"/>
      <c r="I1150" s="5" t="n"/>
      <c r="J1150" s="5" t="n">
        <v>109.67</v>
      </c>
      <c r="K1150" s="5" t="n"/>
      <c r="L1150" s="5" t="n"/>
      <c r="M1150" s="5" t="n"/>
      <c r="N1150" s="5" t="n"/>
      <c r="O1150" s="5" t="n">
        <v>658</v>
      </c>
      <c r="P1150" s="5" t="n"/>
      <c r="Q1150" s="5" t="n">
        <v>658</v>
      </c>
      <c r="R1150" s="5" t="n"/>
    </row>
    <row r="1151">
      <c r="A1151" s="2" t="inlineStr">
        <is>
          <t>EJ020925.TXT</t>
        </is>
      </c>
      <c r="B1151" s="3" t="inlineStr">
        <is>
          <t>005875</t>
        </is>
      </c>
      <c r="C1151" s="3" t="inlineStr">
        <is>
          <t>004711</t>
        </is>
      </c>
      <c r="D1151" s="4" t="n">
        <v>45896</v>
      </c>
      <c r="E1151" s="2" t="inlineStr">
        <is>
          <t>13:45</t>
        </is>
      </c>
      <c r="F1151" s="5" t="n">
        <v>822.5</v>
      </c>
      <c r="G1151" s="5" t="n"/>
      <c r="H1151" s="5" t="n"/>
      <c r="I1151" s="5" t="n"/>
      <c r="J1151" s="5" t="n">
        <v>164.5</v>
      </c>
      <c r="K1151" s="5" t="n"/>
      <c r="L1151" s="5" t="n"/>
      <c r="M1151" s="5" t="n"/>
      <c r="N1151" s="5" t="n"/>
      <c r="O1151" s="5" t="n">
        <v>987</v>
      </c>
      <c r="P1151" s="5" t="n">
        <v>987</v>
      </c>
      <c r="Q1151" s="5" t="n"/>
      <c r="R1151" s="5" t="n"/>
    </row>
    <row r="1152">
      <c r="A1152" s="2" t="inlineStr">
        <is>
          <t>EJ020925.TXT</t>
        </is>
      </c>
      <c r="B1152" s="3" t="inlineStr">
        <is>
          <t>005876</t>
        </is>
      </c>
      <c r="C1152" s="3" t="inlineStr">
        <is>
          <t>004712</t>
        </is>
      </c>
      <c r="D1152" s="4" t="n">
        <v>45896</v>
      </c>
      <c r="E1152" s="2" t="inlineStr">
        <is>
          <t>15:09</t>
        </is>
      </c>
      <c r="F1152" s="5" t="n">
        <v>333.33</v>
      </c>
      <c r="G1152" s="5" t="n"/>
      <c r="H1152" s="5" t="n"/>
      <c r="I1152" s="5" t="n"/>
      <c r="J1152" s="5" t="n">
        <v>66.67</v>
      </c>
      <c r="K1152" s="5" t="n"/>
      <c r="L1152" s="5" t="n"/>
      <c r="M1152" s="5" t="n"/>
      <c r="N1152" s="5" t="n"/>
      <c r="O1152" s="5" t="n">
        <v>400</v>
      </c>
      <c r="P1152" s="5" t="n"/>
      <c r="Q1152" s="5" t="n">
        <v>400</v>
      </c>
      <c r="R1152" s="5" t="n"/>
    </row>
    <row r="1153">
      <c r="A1153" s="2" t="inlineStr">
        <is>
          <t>EJ020925.TXT</t>
        </is>
      </c>
      <c r="B1153" s="3" t="inlineStr">
        <is>
          <t>005877</t>
        </is>
      </c>
      <c r="C1153" s="3" t="inlineStr">
        <is>
          <t>004713</t>
        </is>
      </c>
      <c r="D1153" s="4" t="n">
        <v>45896</v>
      </c>
      <c r="E1153" s="2" t="inlineStr">
        <is>
          <t>15:09</t>
        </is>
      </c>
      <c r="F1153" s="5" t="n">
        <v>355.83</v>
      </c>
      <c r="G1153" s="5" t="n"/>
      <c r="H1153" s="5" t="n"/>
      <c r="I1153" s="5" t="n"/>
      <c r="J1153" s="5" t="n">
        <v>71.17</v>
      </c>
      <c r="K1153" s="5" t="n"/>
      <c r="L1153" s="5" t="n"/>
      <c r="M1153" s="5" t="n"/>
      <c r="N1153" s="5" t="n"/>
      <c r="O1153" s="5" t="n">
        <v>427</v>
      </c>
      <c r="P1153" s="5" t="n">
        <v>427</v>
      </c>
      <c r="Q1153" s="5" t="n"/>
      <c r="R1153" s="5" t="n"/>
    </row>
    <row r="1154">
      <c r="A1154" s="2" t="inlineStr">
        <is>
          <t>EJ020925.TXT</t>
        </is>
      </c>
      <c r="B1154" s="3" t="inlineStr">
        <is>
          <t>005878</t>
        </is>
      </c>
      <c r="C1154" s="3" t="inlineStr">
        <is>
          <t>004714</t>
        </is>
      </c>
      <c r="D1154" s="4" t="n">
        <v>45896</v>
      </c>
      <c r="E1154" s="2" t="inlineStr">
        <is>
          <t>15:37</t>
        </is>
      </c>
      <c r="F1154" s="5" t="n">
        <v>274.17</v>
      </c>
      <c r="G1154" s="5" t="n"/>
      <c r="H1154" s="5" t="n"/>
      <c r="I1154" s="5" t="n"/>
      <c r="J1154" s="5" t="n">
        <v>54.83</v>
      </c>
      <c r="K1154" s="5" t="n"/>
      <c r="L1154" s="5" t="n"/>
      <c r="M1154" s="5" t="n"/>
      <c r="N1154" s="5" t="n"/>
      <c r="O1154" s="5" t="n">
        <v>329</v>
      </c>
      <c r="P1154" s="5" t="n"/>
      <c r="Q1154" s="5" t="n">
        <v>329</v>
      </c>
      <c r="R1154" s="5" t="n"/>
    </row>
  </sheetData>
  <autoFilter ref="A1:R1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AJ_TVA1_CALCULE</t>
        </is>
      </c>
      <c r="T1" s="1" t="inlineStr">
        <is>
          <t>AJ_ECART_TVA1</t>
        </is>
      </c>
      <c r="U1" s="1" t="inlineStr">
        <is>
          <t>AJ_TTC_CALCULE</t>
        </is>
      </c>
      <c r="V1" s="1" t="inlineStr">
        <is>
          <t>AJ_ECART_TTC</t>
        </is>
      </c>
      <c r="W1" s="1" t="inlineStr">
        <is>
          <t>AJ_SOLDE_DU</t>
        </is>
      </c>
      <c r="X1" s="1" t="inlineStr">
        <is>
          <t>AJ_SOLDE_TOUS_MDP</t>
        </is>
      </c>
    </row>
    <row r="2">
      <c r="A2" s="2" t="inlineStr">
        <is>
          <t>EJ310123.TXT</t>
        </is>
      </c>
      <c r="B2" s="3" t="inlineStr">
        <is>
          <t>004517</t>
        </is>
      </c>
      <c r="C2" s="3" t="inlineStr">
        <is>
          <t>003562</t>
        </is>
      </c>
      <c r="D2" s="4" t="n">
        <v>44928</v>
      </c>
      <c r="E2" s="2" t="inlineStr">
        <is>
          <t>11:25</t>
        </is>
      </c>
      <c r="F2" s="5" t="n">
        <v>249.17</v>
      </c>
      <c r="G2" s="5" t="n"/>
      <c r="H2" s="5" t="n"/>
      <c r="I2" s="5" t="n"/>
      <c r="J2" s="5" t="n">
        <v>49.83</v>
      </c>
      <c r="K2" s="5" t="n"/>
      <c r="L2" s="5" t="n"/>
      <c r="M2" s="5" t="n"/>
      <c r="N2" s="5" t="n"/>
      <c r="O2" s="5" t="n">
        <v>299</v>
      </c>
      <c r="P2" s="5" t="n">
        <v>299</v>
      </c>
      <c r="Q2" s="5" t="n"/>
      <c r="R2" s="5" t="n"/>
      <c r="S2" s="5">
        <f>F2*20%</f>
        <v/>
      </c>
      <c r="T2" s="5">
        <f>J2-S2</f>
        <v/>
      </c>
      <c r="U2" s="5">
        <f>F2+J2</f>
        <v/>
      </c>
      <c r="V2" s="5">
        <f>O2-U2</f>
        <v/>
      </c>
      <c r="W2" s="5">
        <f>O2-(P2+R2)</f>
        <v/>
      </c>
      <c r="X2" s="5">
        <f>O2-(P2+Q2+R2)</f>
        <v/>
      </c>
    </row>
    <row r="3">
      <c r="A3" s="2" t="inlineStr">
        <is>
          <t>EJ310123.TXT</t>
        </is>
      </c>
      <c r="B3" s="3" t="inlineStr">
        <is>
          <t>004518</t>
        </is>
      </c>
      <c r="C3" s="3" t="inlineStr">
        <is>
          <t>003563</t>
        </is>
      </c>
      <c r="D3" s="4" t="n">
        <v>44928</v>
      </c>
      <c r="E3" s="2" t="inlineStr">
        <is>
          <t>12:34</t>
        </is>
      </c>
      <c r="F3" s="5" t="n">
        <v>208.33</v>
      </c>
      <c r="G3" s="5" t="n"/>
      <c r="H3" s="5" t="n"/>
      <c r="I3" s="5" t="n"/>
      <c r="J3" s="5" t="n">
        <v>41.67</v>
      </c>
      <c r="K3" s="5" t="n"/>
      <c r="L3" s="5" t="n"/>
      <c r="M3" s="5" t="n"/>
      <c r="N3" s="5" t="n"/>
      <c r="O3" s="5" t="n">
        <v>250</v>
      </c>
      <c r="P3" s="5" t="n"/>
      <c r="Q3" s="5" t="n">
        <v>250</v>
      </c>
      <c r="R3" s="5" t="n"/>
      <c r="S3" s="5">
        <f>F3*20%</f>
        <v/>
      </c>
      <c r="T3" s="5">
        <f>J3-S3</f>
        <v/>
      </c>
      <c r="U3" s="5">
        <f>F3+J3</f>
        <v/>
      </c>
      <c r="V3" s="5">
        <f>O3-U3</f>
        <v/>
      </c>
      <c r="W3" s="5">
        <f>O3-(P3+R3)</f>
        <v/>
      </c>
      <c r="X3" s="5">
        <f>O3-(P3+Q3+R3)</f>
        <v/>
      </c>
    </row>
    <row r="4">
      <c r="A4" s="2" t="inlineStr">
        <is>
          <t>EJ310123.TXT</t>
        </is>
      </c>
      <c r="B4" s="3" t="inlineStr">
        <is>
          <t>004519</t>
        </is>
      </c>
      <c r="C4" s="3" t="inlineStr">
        <is>
          <t>003564</t>
        </is>
      </c>
      <c r="D4" s="4" t="n">
        <v>44928</v>
      </c>
      <c r="E4" s="2" t="inlineStr">
        <is>
          <t>16:36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/>
      <c r="Q4" s="5" t="n">
        <v>580</v>
      </c>
      <c r="R4" s="5" t="n"/>
      <c r="S4" s="5">
        <f>F4*20%</f>
        <v/>
      </c>
      <c r="T4" s="5">
        <f>J4-S4</f>
        <v/>
      </c>
      <c r="U4" s="5">
        <f>F4+J4</f>
        <v/>
      </c>
      <c r="V4" s="5">
        <f>O4-U4</f>
        <v/>
      </c>
      <c r="W4" s="5">
        <f>O4-(P4+R4)</f>
        <v/>
      </c>
      <c r="X4" s="5">
        <f>O4-(P4+Q4+R4)</f>
        <v/>
      </c>
    </row>
    <row r="5">
      <c r="A5" s="2" t="inlineStr">
        <is>
          <t>EJ310123.TXT</t>
        </is>
      </c>
      <c r="B5" s="3" t="inlineStr">
        <is>
          <t>004520</t>
        </is>
      </c>
      <c r="C5" s="3" t="inlineStr">
        <is>
          <t>003565</t>
        </is>
      </c>
      <c r="D5" s="4" t="n">
        <v>44929</v>
      </c>
      <c r="E5" s="2" t="inlineStr">
        <is>
          <t>15:02</t>
        </is>
      </c>
      <c r="F5" s="5" t="n">
        <v>720.83</v>
      </c>
      <c r="G5" s="5" t="n"/>
      <c r="H5" s="5" t="n"/>
      <c r="I5" s="5" t="n"/>
      <c r="J5" s="5" t="n">
        <v>144.17</v>
      </c>
      <c r="K5" s="5" t="n"/>
      <c r="L5" s="5" t="n"/>
      <c r="M5" s="5" t="n"/>
      <c r="N5" s="5" t="n"/>
      <c r="O5" s="5" t="n">
        <v>865</v>
      </c>
      <c r="P5" s="5" t="n"/>
      <c r="Q5" s="5" t="n">
        <v>865</v>
      </c>
      <c r="R5" s="5" t="n"/>
      <c r="S5" s="5">
        <f>F5*20%</f>
        <v/>
      </c>
      <c r="T5" s="5">
        <f>J5-S5</f>
        <v/>
      </c>
      <c r="U5" s="5">
        <f>F5+J5</f>
        <v/>
      </c>
      <c r="V5" s="5">
        <f>O5-U5</f>
        <v/>
      </c>
      <c r="W5" s="5">
        <f>O5-(P5+R5)</f>
        <v/>
      </c>
      <c r="X5" s="5">
        <f>O5-(P5+Q5+R5)</f>
        <v/>
      </c>
    </row>
    <row r="6">
      <c r="A6" s="2" t="inlineStr">
        <is>
          <t>EJ310123.TXT</t>
        </is>
      </c>
      <c r="B6" s="3" t="inlineStr">
        <is>
          <t>004521</t>
        </is>
      </c>
      <c r="C6" s="3" t="inlineStr">
        <is>
          <t>003566</t>
        </is>
      </c>
      <c r="D6" s="4" t="n">
        <v>44929</v>
      </c>
      <c r="E6" s="2" t="inlineStr">
        <is>
          <t>15:03</t>
        </is>
      </c>
      <c r="F6" s="5" t="n">
        <v>144.17</v>
      </c>
      <c r="G6" s="5" t="n"/>
      <c r="H6" s="5" t="n"/>
      <c r="I6" s="5" t="n"/>
      <c r="J6" s="5" t="n">
        <v>28.83</v>
      </c>
      <c r="K6" s="5" t="n"/>
      <c r="L6" s="5" t="n"/>
      <c r="M6" s="5" t="n"/>
      <c r="N6" s="5" t="n"/>
      <c r="O6" s="5" t="n">
        <v>173</v>
      </c>
      <c r="P6" s="5" t="n"/>
      <c r="Q6" s="5" t="n">
        <v>173</v>
      </c>
      <c r="R6" s="5" t="n"/>
      <c r="S6" s="5">
        <f>F6*20%</f>
        <v/>
      </c>
      <c r="T6" s="5">
        <f>J6-S6</f>
        <v/>
      </c>
      <c r="U6" s="5">
        <f>F6+J6</f>
        <v/>
      </c>
      <c r="V6" s="5">
        <f>O6-U6</f>
        <v/>
      </c>
      <c r="W6" s="5">
        <f>O6-(P6+R6)</f>
        <v/>
      </c>
      <c r="X6" s="5">
        <f>O6-(P6+Q6+R6)</f>
        <v/>
      </c>
    </row>
    <row r="7">
      <c r="A7" s="2" t="inlineStr">
        <is>
          <t>EJ310123.TXT</t>
        </is>
      </c>
      <c r="B7" s="3" t="inlineStr">
        <is>
          <t>004522</t>
        </is>
      </c>
      <c r="C7" s="3" t="inlineStr">
        <is>
          <t>003567</t>
        </is>
      </c>
      <c r="D7" s="4" t="n">
        <v>44929</v>
      </c>
      <c r="E7" s="2" t="inlineStr">
        <is>
          <t>15:19</t>
        </is>
      </c>
      <c r="F7" s="5" t="n">
        <v>823.33</v>
      </c>
      <c r="G7" s="5" t="n"/>
      <c r="H7" s="5" t="n"/>
      <c r="I7" s="5" t="n"/>
      <c r="J7" s="5" t="n">
        <v>164.67</v>
      </c>
      <c r="K7" s="5" t="n"/>
      <c r="L7" s="5" t="n"/>
      <c r="M7" s="5" t="n"/>
      <c r="N7" s="5" t="n"/>
      <c r="O7" s="5" t="n">
        <v>988</v>
      </c>
      <c r="P7" s="5" t="n"/>
      <c r="Q7" s="5" t="n">
        <v>988</v>
      </c>
      <c r="R7" s="5" t="n"/>
      <c r="S7" s="5">
        <f>F7*20%</f>
        <v/>
      </c>
      <c r="T7" s="5">
        <f>J7-S7</f>
        <v/>
      </c>
      <c r="U7" s="5">
        <f>F7+J7</f>
        <v/>
      </c>
      <c r="V7" s="5">
        <f>O7-U7</f>
        <v/>
      </c>
      <c r="W7" s="5">
        <f>O7-(P7+R7)</f>
        <v/>
      </c>
      <c r="X7" s="5">
        <f>O7-(P7+Q7+R7)</f>
        <v/>
      </c>
    </row>
    <row r="8">
      <c r="A8" s="2" t="inlineStr">
        <is>
          <t>EJ310123.TXT</t>
        </is>
      </c>
      <c r="B8" s="3" t="inlineStr">
        <is>
          <t>004523</t>
        </is>
      </c>
      <c r="C8" s="3" t="inlineStr">
        <is>
          <t>003568</t>
        </is>
      </c>
      <c r="D8" s="4" t="n">
        <v>44929</v>
      </c>
      <c r="E8" s="2" t="inlineStr">
        <is>
          <t>15:19</t>
        </is>
      </c>
      <c r="F8" s="5" t="n">
        <v>823.33</v>
      </c>
      <c r="G8" s="5" t="n"/>
      <c r="H8" s="5" t="n"/>
      <c r="I8" s="5" t="n"/>
      <c r="J8" s="5" t="n">
        <v>164.67</v>
      </c>
      <c r="K8" s="5" t="n"/>
      <c r="L8" s="5" t="n"/>
      <c r="M8" s="5" t="n"/>
      <c r="N8" s="5" t="n"/>
      <c r="O8" s="5" t="n">
        <v>988</v>
      </c>
      <c r="P8" s="5" t="n"/>
      <c r="Q8" s="5" t="n">
        <v>988</v>
      </c>
      <c r="R8" s="5" t="n"/>
      <c r="S8" s="5">
        <f>F8*20%</f>
        <v/>
      </c>
      <c r="T8" s="5">
        <f>J8-S8</f>
        <v/>
      </c>
      <c r="U8" s="5">
        <f>F8+J8</f>
        <v/>
      </c>
      <c r="V8" s="5">
        <f>O8-U8</f>
        <v/>
      </c>
      <c r="W8" s="5">
        <f>O8-(P8+R8)</f>
        <v/>
      </c>
      <c r="X8" s="5">
        <f>O8-(P8+Q8+R8)</f>
        <v/>
      </c>
    </row>
    <row r="9">
      <c r="A9" s="2" t="inlineStr">
        <is>
          <t>EJ310123.TXT</t>
        </is>
      </c>
      <c r="B9" s="3" t="inlineStr">
        <is>
          <t>004524</t>
        </is>
      </c>
      <c r="C9" s="3" t="inlineStr">
        <is>
          <t>003569</t>
        </is>
      </c>
      <c r="D9" s="4" t="n">
        <v>44929</v>
      </c>
      <c r="E9" s="2" t="inlineStr">
        <is>
          <t>15:45</t>
        </is>
      </c>
      <c r="F9" s="5" t="n">
        <v>1450</v>
      </c>
      <c r="G9" s="5" t="n"/>
      <c r="H9" s="5" t="n"/>
      <c r="I9" s="5" t="n"/>
      <c r="J9" s="5" t="n">
        <v>290</v>
      </c>
      <c r="K9" s="5" t="n"/>
      <c r="L9" s="5" t="n"/>
      <c r="M9" s="5" t="n"/>
      <c r="N9" s="5" t="n"/>
      <c r="O9" s="5" t="n">
        <v>1740</v>
      </c>
      <c r="P9" s="5" t="n">
        <v>1740</v>
      </c>
      <c r="Q9" s="5" t="n"/>
      <c r="R9" s="5" t="n"/>
      <c r="S9" s="5">
        <f>F9*20%</f>
        <v/>
      </c>
      <c r="T9" s="5">
        <f>J9-S9</f>
        <v/>
      </c>
      <c r="U9" s="5">
        <f>F9+J9</f>
        <v/>
      </c>
      <c r="V9" s="5">
        <f>O9-U9</f>
        <v/>
      </c>
      <c r="W9" s="5">
        <f>O9-(P9+R9)</f>
        <v/>
      </c>
      <c r="X9" s="5">
        <f>O9-(P9+Q9+R9)</f>
        <v/>
      </c>
    </row>
    <row r="10">
      <c r="A10" s="2" t="inlineStr">
        <is>
          <t>EJ310123.TXT</t>
        </is>
      </c>
      <c r="B10" s="3" t="inlineStr">
        <is>
          <t>004525</t>
        </is>
      </c>
      <c r="C10" s="3" t="inlineStr">
        <is>
          <t>003570</t>
        </is>
      </c>
      <c r="D10" s="4" t="n">
        <v>44929</v>
      </c>
      <c r="E10" s="2" t="inlineStr">
        <is>
          <t>16:16</t>
        </is>
      </c>
      <c r="F10" s="5" t="n">
        <v>498.33</v>
      </c>
      <c r="G10" s="5" t="n"/>
      <c r="H10" s="5" t="n"/>
      <c r="I10" s="5" t="n"/>
      <c r="J10" s="5" t="n">
        <v>99.67</v>
      </c>
      <c r="K10" s="5" t="n"/>
      <c r="L10" s="5" t="n"/>
      <c r="M10" s="5" t="n"/>
      <c r="N10" s="5" t="n"/>
      <c r="O10" s="5" t="n">
        <v>598</v>
      </c>
      <c r="P10" s="5" t="n">
        <v>598</v>
      </c>
      <c r="Q10" s="5" t="n"/>
      <c r="R10" s="5" t="n"/>
      <c r="S10" s="5">
        <f>F10*20%</f>
        <v/>
      </c>
      <c r="T10" s="5">
        <f>J10-S10</f>
        <v/>
      </c>
      <c r="U10" s="5">
        <f>F10+J10</f>
        <v/>
      </c>
      <c r="V10" s="5">
        <f>O10-U10</f>
        <v/>
      </c>
      <c r="W10" s="5">
        <f>O10-(P10+R10)</f>
        <v/>
      </c>
      <c r="X10" s="5">
        <f>O10-(P10+Q10+R10)</f>
        <v/>
      </c>
    </row>
    <row r="11">
      <c r="A11" s="2" t="inlineStr">
        <is>
          <t>EJ310123.TXT</t>
        </is>
      </c>
      <c r="B11" s="3" t="inlineStr">
        <is>
          <t>004526</t>
        </is>
      </c>
      <c r="C11" s="3" t="inlineStr">
        <is>
          <t>003571</t>
        </is>
      </c>
      <c r="D11" s="4" t="n">
        <v>44930</v>
      </c>
      <c r="E11" s="2" t="inlineStr">
        <is>
          <t>10:54</t>
        </is>
      </c>
      <c r="F11" s="5" t="n">
        <v>725</v>
      </c>
      <c r="G11" s="5" t="n"/>
      <c r="H11" s="5" t="n"/>
      <c r="I11" s="5" t="n"/>
      <c r="J11" s="5" t="n">
        <v>145</v>
      </c>
      <c r="K11" s="5" t="n"/>
      <c r="L11" s="5" t="n"/>
      <c r="M11" s="5" t="n"/>
      <c r="N11" s="5" t="n"/>
      <c r="O11" s="5" t="n">
        <v>870</v>
      </c>
      <c r="P11" s="5" t="n"/>
      <c r="Q11" s="5" t="n">
        <v>870</v>
      </c>
      <c r="R11" s="5" t="n"/>
      <c r="S11" s="5">
        <f>F11*20%</f>
        <v/>
      </c>
      <c r="T11" s="5">
        <f>J11-S11</f>
        <v/>
      </c>
      <c r="U11" s="5">
        <f>F11+J11</f>
        <v/>
      </c>
      <c r="V11" s="5">
        <f>O11-U11</f>
        <v/>
      </c>
      <c r="W11" s="5">
        <f>O11-(P11+R11)</f>
        <v/>
      </c>
      <c r="X11" s="5">
        <f>O11-(P11+Q11+R11)</f>
        <v/>
      </c>
    </row>
    <row r="12">
      <c r="A12" s="2" t="inlineStr">
        <is>
          <t>EJ310123.TXT</t>
        </is>
      </c>
      <c r="B12" s="3" t="inlineStr">
        <is>
          <t>004527</t>
        </is>
      </c>
      <c r="C12" s="3" t="inlineStr">
        <is>
          <t>003572</t>
        </is>
      </c>
      <c r="D12" s="4" t="n">
        <v>44932</v>
      </c>
      <c r="E12" s="2" t="inlineStr">
        <is>
          <t>11:36</t>
        </is>
      </c>
      <c r="F12" s="5" t="n">
        <v>37.5</v>
      </c>
      <c r="G12" s="5" t="n"/>
      <c r="H12" s="5" t="n"/>
      <c r="I12" s="5" t="n"/>
      <c r="J12" s="5" t="n">
        <v>7.5</v>
      </c>
      <c r="K12" s="5" t="n"/>
      <c r="L12" s="5" t="n"/>
      <c r="M12" s="5" t="n"/>
      <c r="N12" s="5" t="n"/>
      <c r="O12" s="5" t="n">
        <v>45</v>
      </c>
      <c r="P12" s="5" t="n"/>
      <c r="Q12" s="5" t="n">
        <v>45</v>
      </c>
      <c r="R12" s="5" t="n"/>
      <c r="S12" s="5">
        <f>F12*20%</f>
        <v/>
      </c>
      <c r="T12" s="5">
        <f>J12-S12</f>
        <v/>
      </c>
      <c r="U12" s="5">
        <f>F12+J12</f>
        <v/>
      </c>
      <c r="V12" s="5">
        <f>O12-U12</f>
        <v/>
      </c>
      <c r="W12" s="5">
        <f>O12-(P12+R12)</f>
        <v/>
      </c>
      <c r="X12" s="5">
        <f>O12-(P12+Q12+R12)</f>
        <v/>
      </c>
    </row>
    <row r="13">
      <c r="A13" s="2" t="inlineStr">
        <is>
          <t>EJ310123.TXT</t>
        </is>
      </c>
      <c r="B13" s="3" t="inlineStr">
        <is>
          <t>004528</t>
        </is>
      </c>
      <c r="C13" s="3" t="inlineStr">
        <is>
          <t>003573</t>
        </is>
      </c>
      <c r="D13" s="4" t="n">
        <v>44932</v>
      </c>
      <c r="E13" s="2" t="inlineStr">
        <is>
          <t>13:56</t>
        </is>
      </c>
      <c r="F13" s="5" t="n">
        <v>498.33</v>
      </c>
      <c r="G13" s="5" t="n"/>
      <c r="H13" s="5" t="n"/>
      <c r="I13" s="5" t="n"/>
      <c r="J13" s="5" t="n">
        <v>99.67</v>
      </c>
      <c r="K13" s="5" t="n"/>
      <c r="L13" s="5" t="n"/>
      <c r="M13" s="5" t="n"/>
      <c r="N13" s="5" t="n"/>
      <c r="O13" s="5" t="n">
        <v>598</v>
      </c>
      <c r="P13" s="5" t="n"/>
      <c r="Q13" s="5" t="n">
        <v>598</v>
      </c>
      <c r="R13" s="5" t="n"/>
      <c r="S13" s="5">
        <f>F13*20%</f>
        <v/>
      </c>
      <c r="T13" s="5">
        <f>J13-S13</f>
        <v/>
      </c>
      <c r="U13" s="5">
        <f>F13+J13</f>
        <v/>
      </c>
      <c r="V13" s="5">
        <f>O13-U13</f>
        <v/>
      </c>
      <c r="W13" s="5">
        <f>O13-(P13+R13)</f>
        <v/>
      </c>
      <c r="X13" s="5">
        <f>O13-(P13+Q13+R13)</f>
        <v/>
      </c>
    </row>
    <row r="14">
      <c r="A14" s="2" t="inlineStr">
        <is>
          <t>EJ310123.TXT</t>
        </is>
      </c>
      <c r="B14" s="3" t="inlineStr">
        <is>
          <t>004529</t>
        </is>
      </c>
      <c r="C14" s="3" t="inlineStr">
        <is>
          <t>003574</t>
        </is>
      </c>
      <c r="D14" s="4" t="n">
        <v>44932</v>
      </c>
      <c r="E14" s="2" t="inlineStr">
        <is>
          <t>17:29</t>
        </is>
      </c>
      <c r="F14" s="5" t="n">
        <v>5035</v>
      </c>
      <c r="G14" s="5" t="n"/>
      <c r="H14" s="5" t="n"/>
      <c r="I14" s="5" t="n"/>
      <c r="J14" s="5" t="n">
        <v>1007</v>
      </c>
      <c r="K14" s="5" t="n"/>
      <c r="L14" s="5" t="n"/>
      <c r="M14" s="5" t="n"/>
      <c r="N14" s="5" t="n"/>
      <c r="O14" s="5" t="n">
        <v>6042</v>
      </c>
      <c r="P14" s="5" t="n"/>
      <c r="Q14" s="5" t="n"/>
      <c r="R14" s="5" t="n">
        <v>6042</v>
      </c>
      <c r="S14" s="5">
        <f>F14*20%</f>
        <v/>
      </c>
      <c r="T14" s="5">
        <f>J14-S14</f>
        <v/>
      </c>
      <c r="U14" s="5">
        <f>F14+J14</f>
        <v/>
      </c>
      <c r="V14" s="5">
        <f>O14-U14</f>
        <v/>
      </c>
      <c r="W14" s="5">
        <f>O14-(P14+R14)</f>
        <v/>
      </c>
      <c r="X14" s="5">
        <f>O14-(P14+Q14+R14)</f>
        <v/>
      </c>
    </row>
    <row r="15">
      <c r="A15" s="2" t="inlineStr">
        <is>
          <t>EJ310123.TXT</t>
        </is>
      </c>
      <c r="B15" s="3" t="inlineStr">
        <is>
          <t>004530</t>
        </is>
      </c>
      <c r="C15" s="3" t="inlineStr">
        <is>
          <t>003575</t>
        </is>
      </c>
      <c r="D15" s="4" t="n">
        <v>44933</v>
      </c>
      <c r="E15" s="2" t="inlineStr">
        <is>
          <t>15:33</t>
        </is>
      </c>
      <c r="F15" s="5" t="n">
        <v>581.67</v>
      </c>
      <c r="G15" s="5" t="n"/>
      <c r="H15" s="5" t="n"/>
      <c r="I15" s="5" t="n"/>
      <c r="J15" s="5" t="n">
        <v>116.33</v>
      </c>
      <c r="K15" s="5" t="n"/>
      <c r="L15" s="5" t="n"/>
      <c r="M15" s="5" t="n"/>
      <c r="N15" s="5" t="n"/>
      <c r="O15" s="5" t="n">
        <v>698</v>
      </c>
      <c r="P15" s="5" t="n">
        <v>698</v>
      </c>
      <c r="Q15" s="5" t="n"/>
      <c r="R15" s="5" t="n"/>
      <c r="S15" s="5">
        <f>F15*20%</f>
        <v/>
      </c>
      <c r="T15" s="5">
        <f>J15-S15</f>
        <v/>
      </c>
      <c r="U15" s="5">
        <f>F15+J15</f>
        <v/>
      </c>
      <c r="V15" s="5">
        <f>O15-U15</f>
        <v/>
      </c>
      <c r="W15" s="5">
        <f>O15-(P15+R15)</f>
        <v/>
      </c>
      <c r="X15" s="5">
        <f>O15-(P15+Q15+R15)</f>
        <v/>
      </c>
    </row>
    <row r="16">
      <c r="A16" s="2" t="inlineStr">
        <is>
          <t>EJ310123.TXT</t>
        </is>
      </c>
      <c r="B16" s="3" t="inlineStr">
        <is>
          <t>004531</t>
        </is>
      </c>
      <c r="C16" s="3" t="inlineStr">
        <is>
          <t>003576</t>
        </is>
      </c>
      <c r="D16" s="4" t="n">
        <v>44933</v>
      </c>
      <c r="E16" s="2" t="inlineStr">
        <is>
          <t>16:22</t>
        </is>
      </c>
      <c r="F16" s="5" t="n">
        <v>540</v>
      </c>
      <c r="G16" s="5" t="n"/>
      <c r="H16" s="5" t="n"/>
      <c r="I16" s="5" t="n"/>
      <c r="J16" s="5" t="n">
        <v>108</v>
      </c>
      <c r="K16" s="5" t="n"/>
      <c r="L16" s="5" t="n"/>
      <c r="M16" s="5" t="n"/>
      <c r="N16" s="5" t="n"/>
      <c r="O16" s="5" t="n">
        <v>648</v>
      </c>
      <c r="P16" s="5" t="n">
        <v>648</v>
      </c>
      <c r="Q16" s="5" t="n"/>
      <c r="R16" s="5" t="n"/>
      <c r="S16" s="5">
        <f>F16*20%</f>
        <v/>
      </c>
      <c r="T16" s="5">
        <f>J16-S16</f>
        <v/>
      </c>
      <c r="U16" s="5">
        <f>F16+J16</f>
        <v/>
      </c>
      <c r="V16" s="5">
        <f>O16-U16</f>
        <v/>
      </c>
      <c r="W16" s="5">
        <f>O16-(P16+R16)</f>
        <v/>
      </c>
      <c r="X16" s="5">
        <f>O16-(P16+Q16+R16)</f>
        <v/>
      </c>
    </row>
    <row r="17">
      <c r="A17" s="2" t="inlineStr">
        <is>
          <t>EJ310123.TXT</t>
        </is>
      </c>
      <c r="B17" s="3" t="inlineStr">
        <is>
          <t>004532</t>
        </is>
      </c>
      <c r="C17" s="3" t="inlineStr">
        <is>
          <t>003577</t>
        </is>
      </c>
      <c r="D17" s="4" t="n">
        <v>44935</v>
      </c>
      <c r="E17" s="2" t="inlineStr">
        <is>
          <t>15:13</t>
        </is>
      </c>
      <c r="F17" s="5" t="n">
        <v>648.33</v>
      </c>
      <c r="G17" s="5" t="n"/>
      <c r="H17" s="5" t="n"/>
      <c r="I17" s="5" t="n"/>
      <c r="J17" s="5" t="n">
        <v>129.67</v>
      </c>
      <c r="K17" s="5" t="n"/>
      <c r="L17" s="5" t="n"/>
      <c r="M17" s="5" t="n"/>
      <c r="N17" s="5" t="n"/>
      <c r="O17" s="5" t="n">
        <v>778</v>
      </c>
      <c r="P17" s="5" t="n"/>
      <c r="Q17" s="5" t="n">
        <v>778</v>
      </c>
      <c r="R17" s="5" t="n"/>
      <c r="S17" s="5">
        <f>F17*20%</f>
        <v/>
      </c>
      <c r="T17" s="5">
        <f>J17-S17</f>
        <v/>
      </c>
      <c r="U17" s="5">
        <f>F17+J17</f>
        <v/>
      </c>
      <c r="V17" s="5">
        <f>O17-U17</f>
        <v/>
      </c>
      <c r="W17" s="5">
        <f>O17-(P17+R17)</f>
        <v/>
      </c>
      <c r="X17" s="5">
        <f>O17-(P17+Q17+R17)</f>
        <v/>
      </c>
    </row>
    <row r="18">
      <c r="A18" s="2" t="inlineStr">
        <is>
          <t>EJ310123.TXT</t>
        </is>
      </c>
      <c r="B18" s="3" t="inlineStr">
        <is>
          <t>004533</t>
        </is>
      </c>
      <c r="C18" s="3" t="inlineStr">
        <is>
          <t>003578</t>
        </is>
      </c>
      <c r="D18" s="4" t="n">
        <v>44935</v>
      </c>
      <c r="E18" s="2" t="inlineStr">
        <is>
          <t>15:42</t>
        </is>
      </c>
      <c r="F18" s="5" t="n">
        <v>288.33</v>
      </c>
      <c r="G18" s="5" t="n"/>
      <c r="H18" s="5" t="n"/>
      <c r="I18" s="5" t="n"/>
      <c r="J18" s="5" t="n">
        <v>57.67</v>
      </c>
      <c r="K18" s="5" t="n"/>
      <c r="L18" s="5" t="n"/>
      <c r="M18" s="5" t="n"/>
      <c r="N18" s="5" t="n"/>
      <c r="O18" s="5" t="n">
        <v>346</v>
      </c>
      <c r="P18" s="5" t="n"/>
      <c r="Q18" s="5" t="n">
        <v>346</v>
      </c>
      <c r="R18" s="5" t="n"/>
      <c r="S18" s="5">
        <f>F18*20%</f>
        <v/>
      </c>
      <c r="T18" s="5">
        <f>J18-S18</f>
        <v/>
      </c>
      <c r="U18" s="5">
        <f>F18+J18</f>
        <v/>
      </c>
      <c r="V18" s="5">
        <f>O18-U18</f>
        <v/>
      </c>
      <c r="W18" s="5">
        <f>O18-(P18+R18)</f>
        <v/>
      </c>
      <c r="X18" s="5">
        <f>O18-(P18+Q18+R18)</f>
        <v/>
      </c>
    </row>
    <row r="19">
      <c r="A19" s="2" t="inlineStr">
        <is>
          <t>EJ310123.TXT</t>
        </is>
      </c>
      <c r="B19" s="3" t="inlineStr">
        <is>
          <t>004534</t>
        </is>
      </c>
      <c r="C19" s="3" t="inlineStr">
        <is>
          <t>003579</t>
        </is>
      </c>
      <c r="D19" s="4" t="n">
        <v>44936</v>
      </c>
      <c r="E19" s="2" t="inlineStr">
        <is>
          <t>15:49</t>
        </is>
      </c>
      <c r="F19" s="5" t="n">
        <v>483.33</v>
      </c>
      <c r="G19" s="5" t="n"/>
      <c r="H19" s="5" t="n"/>
      <c r="I19" s="5" t="n"/>
      <c r="J19" s="5" t="n">
        <v>96.67</v>
      </c>
      <c r="K19" s="5" t="n"/>
      <c r="L19" s="5" t="n"/>
      <c r="M19" s="5" t="n"/>
      <c r="N19" s="5" t="n"/>
      <c r="O19" s="5" t="n">
        <v>580</v>
      </c>
      <c r="P19" s="5" t="n"/>
      <c r="Q19" s="5" t="n">
        <v>580</v>
      </c>
      <c r="R19" s="5" t="n"/>
      <c r="S19" s="5">
        <f>F19*20%</f>
        <v/>
      </c>
      <c r="T19" s="5">
        <f>J19-S19</f>
        <v/>
      </c>
      <c r="U19" s="5">
        <f>F19+J19</f>
        <v/>
      </c>
      <c r="V19" s="5">
        <f>O19-U19</f>
        <v/>
      </c>
      <c r="W19" s="5">
        <f>O19-(P19+R19)</f>
        <v/>
      </c>
      <c r="X19" s="5">
        <f>O19-(P19+Q19+R19)</f>
        <v/>
      </c>
    </row>
    <row r="20">
      <c r="A20" s="2" t="inlineStr">
        <is>
          <t>EJ310123.TXT</t>
        </is>
      </c>
      <c r="B20" s="3" t="inlineStr">
        <is>
          <t>004535</t>
        </is>
      </c>
      <c r="C20" s="3" t="inlineStr">
        <is>
          <t>003580</t>
        </is>
      </c>
      <c r="D20" s="4" t="n">
        <v>44936</v>
      </c>
      <c r="E20" s="2" t="inlineStr">
        <is>
          <t>15:49</t>
        </is>
      </c>
      <c r="F20" s="5" t="n">
        <v>483.33</v>
      </c>
      <c r="G20" s="5" t="n"/>
      <c r="H20" s="5" t="n"/>
      <c r="I20" s="5" t="n"/>
      <c r="J20" s="5" t="n">
        <v>96.67</v>
      </c>
      <c r="K20" s="5" t="n"/>
      <c r="L20" s="5" t="n"/>
      <c r="M20" s="5" t="n"/>
      <c r="N20" s="5" t="n"/>
      <c r="O20" s="5" t="n">
        <v>580</v>
      </c>
      <c r="P20" s="5" t="n"/>
      <c r="Q20" s="5" t="n">
        <v>580</v>
      </c>
      <c r="R20" s="5" t="n"/>
      <c r="S20" s="5">
        <f>F20*20%</f>
        <v/>
      </c>
      <c r="T20" s="5">
        <f>J20-S20</f>
        <v/>
      </c>
      <c r="U20" s="5">
        <f>F20+J20</f>
        <v/>
      </c>
      <c r="V20" s="5">
        <f>O20-U20</f>
        <v/>
      </c>
      <c r="W20" s="5">
        <f>O20-(P20+R20)</f>
        <v/>
      </c>
      <c r="X20" s="5">
        <f>O20-(P20+Q20+R20)</f>
        <v/>
      </c>
    </row>
    <row r="21">
      <c r="A21" s="2" t="inlineStr">
        <is>
          <t>EJ310123.TXT</t>
        </is>
      </c>
      <c r="B21" s="3" t="inlineStr">
        <is>
          <t>004536</t>
        </is>
      </c>
      <c r="C21" s="3" t="inlineStr">
        <is>
          <t>003581</t>
        </is>
      </c>
      <c r="D21" s="4" t="n">
        <v>44938</v>
      </c>
      <c r="E21" s="2" t="inlineStr">
        <is>
          <t>15:51</t>
        </is>
      </c>
      <c r="F21" s="5" t="n">
        <v>522.5</v>
      </c>
      <c r="G21" s="5" t="n"/>
      <c r="H21" s="5" t="n"/>
      <c r="I21" s="5" t="n"/>
      <c r="J21" s="5" t="n">
        <v>104.5</v>
      </c>
      <c r="K21" s="5" t="n"/>
      <c r="L21" s="5" t="n"/>
      <c r="M21" s="5" t="n"/>
      <c r="N21" s="5" t="n"/>
      <c r="O21" s="5" t="n">
        <v>627</v>
      </c>
      <c r="P21" s="5" t="n"/>
      <c r="Q21" s="5" t="n">
        <v>627</v>
      </c>
      <c r="R21" s="5" t="n"/>
      <c r="S21" s="5">
        <f>F21*20%</f>
        <v/>
      </c>
      <c r="T21" s="5">
        <f>J21-S21</f>
        <v/>
      </c>
      <c r="U21" s="5">
        <f>F21+J21</f>
        <v/>
      </c>
      <c r="V21" s="5">
        <f>O21-U21</f>
        <v/>
      </c>
      <c r="W21" s="5">
        <f>O21-(P21+R21)</f>
        <v/>
      </c>
      <c r="X21" s="5">
        <f>O21-(P21+Q21+R21)</f>
        <v/>
      </c>
    </row>
    <row r="22">
      <c r="A22" s="2" t="inlineStr">
        <is>
          <t>EJ310123.TXT</t>
        </is>
      </c>
      <c r="B22" s="3" t="inlineStr">
        <is>
          <t>004537</t>
        </is>
      </c>
      <c r="C22" s="3" t="inlineStr">
        <is>
          <t>003582</t>
        </is>
      </c>
      <c r="D22" s="4" t="n">
        <v>44938</v>
      </c>
      <c r="E22" s="2" t="inlineStr">
        <is>
          <t>18:15</t>
        </is>
      </c>
      <c r="F22" s="5" t="n">
        <v>747.5</v>
      </c>
      <c r="G22" s="5" t="n"/>
      <c r="H22" s="5" t="n"/>
      <c r="I22" s="5" t="n"/>
      <c r="J22" s="5" t="n">
        <v>149.5</v>
      </c>
      <c r="K22" s="5" t="n"/>
      <c r="L22" s="5" t="n"/>
      <c r="M22" s="5" t="n"/>
      <c r="N22" s="5" t="n"/>
      <c r="O22" s="5" t="n">
        <v>897</v>
      </c>
      <c r="P22" s="5" t="n"/>
      <c r="Q22" s="5" t="n">
        <v>897</v>
      </c>
      <c r="R22" s="5" t="n"/>
      <c r="S22" s="5">
        <f>F22*20%</f>
        <v/>
      </c>
      <c r="T22" s="5">
        <f>J22-S22</f>
        <v/>
      </c>
      <c r="U22" s="5">
        <f>F22+J22</f>
        <v/>
      </c>
      <c r="V22" s="5">
        <f>O22-U22</f>
        <v/>
      </c>
      <c r="W22" s="5">
        <f>O22-(P22+R22)</f>
        <v/>
      </c>
      <c r="X22" s="5">
        <f>O22-(P22+Q22+R22)</f>
        <v/>
      </c>
    </row>
    <row r="23">
      <c r="A23" s="2" t="inlineStr">
        <is>
          <t>EJ310123.TXT</t>
        </is>
      </c>
      <c r="B23" s="3" t="inlineStr">
        <is>
          <t>004538</t>
        </is>
      </c>
      <c r="C23" s="3" t="inlineStr">
        <is>
          <t>003583</t>
        </is>
      </c>
      <c r="D23" s="4" t="n">
        <v>44938</v>
      </c>
      <c r="E23" s="2" t="inlineStr">
        <is>
          <t>18:15</t>
        </is>
      </c>
      <c r="F23" s="5" t="n">
        <v>249.17</v>
      </c>
      <c r="G23" s="5" t="n"/>
      <c r="H23" s="5" t="n"/>
      <c r="I23" s="5" t="n"/>
      <c r="J23" s="5" t="n">
        <v>49.83</v>
      </c>
      <c r="K23" s="5" t="n"/>
      <c r="L23" s="5" t="n"/>
      <c r="M23" s="5" t="n"/>
      <c r="N23" s="5" t="n"/>
      <c r="O23" s="5" t="n">
        <v>299</v>
      </c>
      <c r="P23" s="5" t="n"/>
      <c r="Q23" s="5" t="n">
        <v>299</v>
      </c>
      <c r="R23" s="5" t="n"/>
      <c r="S23" s="5">
        <f>F23*20%</f>
        <v/>
      </c>
      <c r="T23" s="5">
        <f>J23-S23</f>
        <v/>
      </c>
      <c r="U23" s="5">
        <f>F23+J23</f>
        <v/>
      </c>
      <c r="V23" s="5">
        <f>O23-U23</f>
        <v/>
      </c>
      <c r="W23" s="5">
        <f>O23-(P23+R23)</f>
        <v/>
      </c>
      <c r="X23" s="5">
        <f>O23-(P23+Q23+R23)</f>
        <v/>
      </c>
    </row>
    <row r="24">
      <c r="A24" s="2" t="inlineStr">
        <is>
          <t>EJ310123.TXT</t>
        </is>
      </c>
      <c r="B24" s="3" t="inlineStr">
        <is>
          <t>004539</t>
        </is>
      </c>
      <c r="C24" s="3" t="inlineStr">
        <is>
          <t>003584</t>
        </is>
      </c>
      <c r="D24" s="4" t="n">
        <v>44938</v>
      </c>
      <c r="E24" s="2" t="inlineStr">
        <is>
          <t>18:52</t>
        </is>
      </c>
      <c r="F24" s="5" t="n">
        <v>725</v>
      </c>
      <c r="G24" s="5" t="n"/>
      <c r="H24" s="5" t="n"/>
      <c r="I24" s="5" t="n"/>
      <c r="J24" s="5" t="n">
        <v>145</v>
      </c>
      <c r="K24" s="5" t="n"/>
      <c r="L24" s="5" t="n"/>
      <c r="M24" s="5" t="n"/>
      <c r="N24" s="5" t="n"/>
      <c r="O24" s="5" t="n">
        <v>870</v>
      </c>
      <c r="P24" s="5" t="n"/>
      <c r="Q24" s="5" t="n">
        <v>870</v>
      </c>
      <c r="R24" s="5" t="n"/>
      <c r="S24" s="5">
        <f>F24*20%</f>
        <v/>
      </c>
      <c r="T24" s="5">
        <f>J24-S24</f>
        <v/>
      </c>
      <c r="U24" s="5">
        <f>F24+J24</f>
        <v/>
      </c>
      <c r="V24" s="5">
        <f>O24-U24</f>
        <v/>
      </c>
      <c r="W24" s="5">
        <f>O24-(P24+R24)</f>
        <v/>
      </c>
      <c r="X24" s="5">
        <f>O24-(P24+Q24+R24)</f>
        <v/>
      </c>
    </row>
    <row r="25">
      <c r="A25" s="2" t="inlineStr">
        <is>
          <t>EJ310123.TXT</t>
        </is>
      </c>
      <c r="B25" s="3" t="inlineStr">
        <is>
          <t>004540</t>
        </is>
      </c>
      <c r="C25" s="3" t="inlineStr">
        <is>
          <t>003585</t>
        </is>
      </c>
      <c r="D25" s="4" t="n">
        <v>44939</v>
      </c>
      <c r="E25" s="2" t="inlineStr">
        <is>
          <t>10:29</t>
        </is>
      </c>
      <c r="F25" s="5" t="n">
        <v>582.5</v>
      </c>
      <c r="G25" s="5" t="n"/>
      <c r="H25" s="5" t="n"/>
      <c r="I25" s="5" t="n"/>
      <c r="J25" s="5" t="n">
        <v>116.5</v>
      </c>
      <c r="K25" s="5" t="n"/>
      <c r="L25" s="5" t="n"/>
      <c r="M25" s="5" t="n"/>
      <c r="N25" s="5" t="n"/>
      <c r="O25" s="5" t="n">
        <v>699</v>
      </c>
      <c r="P25" s="5" t="n"/>
      <c r="Q25" s="5" t="n">
        <v>699</v>
      </c>
      <c r="R25" s="5" t="n"/>
      <c r="S25" s="5">
        <f>F25*20%</f>
        <v/>
      </c>
      <c r="T25" s="5">
        <f>J25-S25</f>
        <v/>
      </c>
      <c r="U25" s="5">
        <f>F25+J25</f>
        <v/>
      </c>
      <c r="V25" s="5">
        <f>O25-U25</f>
        <v/>
      </c>
      <c r="W25" s="5">
        <f>O25-(P25+R25)</f>
        <v/>
      </c>
      <c r="X25" s="5">
        <f>O25-(P25+Q25+R25)</f>
        <v/>
      </c>
    </row>
    <row r="26">
      <c r="A26" s="2" t="inlineStr">
        <is>
          <t>EJ310123.TXT</t>
        </is>
      </c>
      <c r="B26" s="3" t="inlineStr">
        <is>
          <t>004541</t>
        </is>
      </c>
      <c r="C26" s="3" t="inlineStr">
        <is>
          <t>003586</t>
        </is>
      </c>
      <c r="D26" s="4" t="n">
        <v>44939</v>
      </c>
      <c r="E26" s="2" t="inlineStr">
        <is>
          <t>10:29</t>
        </is>
      </c>
      <c r="F26" s="5" t="n">
        <v>582.5</v>
      </c>
      <c r="G26" s="5" t="n"/>
      <c r="H26" s="5" t="n"/>
      <c r="I26" s="5" t="n"/>
      <c r="J26" s="5" t="n">
        <v>116.5</v>
      </c>
      <c r="K26" s="5" t="n"/>
      <c r="L26" s="5" t="n"/>
      <c r="M26" s="5" t="n"/>
      <c r="N26" s="5" t="n"/>
      <c r="O26" s="5" t="n">
        <v>699</v>
      </c>
      <c r="P26" s="5" t="n"/>
      <c r="Q26" s="5" t="n">
        <v>699</v>
      </c>
      <c r="R26" s="5" t="n"/>
      <c r="S26" s="5">
        <f>F26*20%</f>
        <v/>
      </c>
      <c r="T26" s="5">
        <f>J26-S26</f>
        <v/>
      </c>
      <c r="U26" s="5">
        <f>F26+J26</f>
        <v/>
      </c>
      <c r="V26" s="5">
        <f>O26-U26</f>
        <v/>
      </c>
      <c r="W26" s="5">
        <f>O26-(P26+R26)</f>
        <v/>
      </c>
      <c r="X26" s="5">
        <f>O26-(P26+Q26+R26)</f>
        <v/>
      </c>
    </row>
    <row r="27">
      <c r="A27" s="2" t="inlineStr">
        <is>
          <t>EJ310123.TXT</t>
        </is>
      </c>
      <c r="B27" s="3" t="inlineStr">
        <is>
          <t>004542</t>
        </is>
      </c>
      <c r="C27" s="3" t="inlineStr">
        <is>
          <t>003587</t>
        </is>
      </c>
      <c r="D27" s="4" t="n">
        <v>44939</v>
      </c>
      <c r="E27" s="2" t="inlineStr">
        <is>
          <t>14:36</t>
        </is>
      </c>
      <c r="F27" s="5" t="n">
        <v>747.5</v>
      </c>
      <c r="G27" s="5" t="n"/>
      <c r="H27" s="5" t="n"/>
      <c r="I27" s="5" t="n"/>
      <c r="J27" s="5" t="n">
        <v>149.5</v>
      </c>
      <c r="K27" s="5" t="n"/>
      <c r="L27" s="5" t="n"/>
      <c r="M27" s="5" t="n"/>
      <c r="N27" s="5" t="n"/>
      <c r="O27" s="5" t="n">
        <v>897</v>
      </c>
      <c r="P27" s="5" t="n"/>
      <c r="Q27" s="5" t="n">
        <v>897</v>
      </c>
      <c r="R27" s="5" t="n"/>
      <c r="S27" s="5">
        <f>F27*20%</f>
        <v/>
      </c>
      <c r="T27" s="5">
        <f>J27-S27</f>
        <v/>
      </c>
      <c r="U27" s="5">
        <f>F27+J27</f>
        <v/>
      </c>
      <c r="V27" s="5">
        <f>O27-U27</f>
        <v/>
      </c>
      <c r="W27" s="5">
        <f>O27-(P27+R27)</f>
        <v/>
      </c>
      <c r="X27" s="5">
        <f>O27-(P27+Q27+R27)</f>
        <v/>
      </c>
    </row>
    <row r="28">
      <c r="A28" s="2" t="inlineStr">
        <is>
          <t>EJ310123.TXT</t>
        </is>
      </c>
      <c r="B28" s="3" t="inlineStr">
        <is>
          <t>004543</t>
        </is>
      </c>
      <c r="C28" s="3" t="inlineStr">
        <is>
          <t>003588</t>
        </is>
      </c>
      <c r="D28" s="4" t="n">
        <v>44939</v>
      </c>
      <c r="E28" s="2" t="inlineStr">
        <is>
          <t>15:42</t>
        </is>
      </c>
      <c r="F28" s="5" t="n">
        <v>181.67</v>
      </c>
      <c r="G28" s="5" t="n"/>
      <c r="H28" s="5" t="n"/>
      <c r="I28" s="5" t="n"/>
      <c r="J28" s="5" t="n">
        <v>36.33</v>
      </c>
      <c r="K28" s="5" t="n"/>
      <c r="L28" s="5" t="n"/>
      <c r="M28" s="5" t="n"/>
      <c r="N28" s="5" t="n"/>
      <c r="O28" s="5" t="n">
        <v>218</v>
      </c>
      <c r="P28" s="5" t="n"/>
      <c r="Q28" s="5" t="n">
        <v>218</v>
      </c>
      <c r="R28" s="5" t="n"/>
      <c r="S28" s="5">
        <f>F28*20%</f>
        <v/>
      </c>
      <c r="T28" s="5">
        <f>J28-S28</f>
        <v/>
      </c>
      <c r="U28" s="5">
        <f>F28+J28</f>
        <v/>
      </c>
      <c r="V28" s="5">
        <f>O28-U28</f>
        <v/>
      </c>
      <c r="W28" s="5">
        <f>O28-(P28+R28)</f>
        <v/>
      </c>
      <c r="X28" s="5">
        <f>O28-(P28+Q28+R28)</f>
        <v/>
      </c>
    </row>
    <row r="29">
      <c r="A29" s="2" t="inlineStr">
        <is>
          <t>EJ310123.TXT</t>
        </is>
      </c>
      <c r="B29" s="3" t="inlineStr">
        <is>
          <t>004544</t>
        </is>
      </c>
      <c r="C29" s="3" t="inlineStr">
        <is>
          <t>003589</t>
        </is>
      </c>
      <c r="D29" s="4" t="n">
        <v>44939</v>
      </c>
      <c r="E29" s="2" t="inlineStr">
        <is>
          <t>15:43</t>
        </is>
      </c>
      <c r="F29" s="5" t="n">
        <v>144.17</v>
      </c>
      <c r="G29" s="5" t="n"/>
      <c r="H29" s="5" t="n"/>
      <c r="I29" s="5" t="n"/>
      <c r="J29" s="5" t="n">
        <v>28.83</v>
      </c>
      <c r="K29" s="5" t="n"/>
      <c r="L29" s="5" t="n"/>
      <c r="M29" s="5" t="n"/>
      <c r="N29" s="5" t="n"/>
      <c r="O29" s="5" t="n">
        <v>173</v>
      </c>
      <c r="P29" s="5" t="n"/>
      <c r="Q29" s="5" t="n">
        <v>173</v>
      </c>
      <c r="R29" s="5" t="n"/>
      <c r="S29" s="5">
        <f>F29*20%</f>
        <v/>
      </c>
      <c r="T29" s="5">
        <f>J29-S29</f>
        <v/>
      </c>
      <c r="U29" s="5">
        <f>F29+J29</f>
        <v/>
      </c>
      <c r="V29" s="5">
        <f>O29-U29</f>
        <v/>
      </c>
      <c r="W29" s="5">
        <f>O29-(P29+R29)</f>
        <v/>
      </c>
      <c r="X29" s="5">
        <f>O29-(P29+Q29+R29)</f>
        <v/>
      </c>
    </row>
    <row r="30">
      <c r="A30" s="2" t="inlineStr">
        <is>
          <t>EJ310123.TXT</t>
        </is>
      </c>
      <c r="B30" s="3" t="inlineStr">
        <is>
          <t>004545</t>
        </is>
      </c>
      <c r="C30" s="3" t="inlineStr">
        <is>
          <t>003590</t>
        </is>
      </c>
      <c r="D30" s="4" t="n">
        <v>44939</v>
      </c>
      <c r="E30" s="2" t="inlineStr">
        <is>
          <t>16:03</t>
        </is>
      </c>
      <c r="F30" s="5" t="n">
        <v>249.17</v>
      </c>
      <c r="G30" s="5" t="n"/>
      <c r="H30" s="5" t="n"/>
      <c r="I30" s="5" t="n"/>
      <c r="J30" s="5" t="n">
        <v>49.83</v>
      </c>
      <c r="K30" s="5" t="n"/>
      <c r="L30" s="5" t="n"/>
      <c r="M30" s="5" t="n"/>
      <c r="N30" s="5" t="n"/>
      <c r="O30" s="5" t="n">
        <v>299</v>
      </c>
      <c r="P30" s="5" t="n"/>
      <c r="Q30" s="5" t="n">
        <v>299</v>
      </c>
      <c r="R30" s="5" t="n"/>
      <c r="S30" s="5">
        <f>F30*20%</f>
        <v/>
      </c>
      <c r="T30" s="5">
        <f>J30-S30</f>
        <v/>
      </c>
      <c r="U30" s="5">
        <f>F30+J30</f>
        <v/>
      </c>
      <c r="V30" s="5">
        <f>O30-U30</f>
        <v/>
      </c>
      <c r="W30" s="5">
        <f>O30-(P30+R30)</f>
        <v/>
      </c>
      <c r="X30" s="5">
        <f>O30-(P30+Q30+R30)</f>
        <v/>
      </c>
    </row>
    <row r="31">
      <c r="A31" s="2" t="inlineStr">
        <is>
          <t>EJ310123.TXT</t>
        </is>
      </c>
      <c r="B31" s="3" t="inlineStr">
        <is>
          <t>004546</t>
        </is>
      </c>
      <c r="C31" s="3" t="inlineStr">
        <is>
          <t>003591</t>
        </is>
      </c>
      <c r="D31" s="4" t="n">
        <v>44939</v>
      </c>
      <c r="E31" s="2" t="inlineStr">
        <is>
          <t>16:04</t>
        </is>
      </c>
      <c r="F31" s="5" t="n">
        <v>208.33</v>
      </c>
      <c r="G31" s="5" t="n"/>
      <c r="H31" s="5" t="n"/>
      <c r="I31" s="5" t="n"/>
      <c r="J31" s="5" t="n">
        <v>41.67</v>
      </c>
      <c r="K31" s="5" t="n"/>
      <c r="L31" s="5" t="n"/>
      <c r="M31" s="5" t="n"/>
      <c r="N31" s="5" t="n"/>
      <c r="O31" s="5" t="n">
        <v>250</v>
      </c>
      <c r="P31" s="5" t="n"/>
      <c r="Q31" s="5" t="n">
        <v>250</v>
      </c>
      <c r="R31" s="5" t="n"/>
      <c r="S31" s="5">
        <f>F31*20%</f>
        <v/>
      </c>
      <c r="T31" s="5">
        <f>J31-S31</f>
        <v/>
      </c>
      <c r="U31" s="5">
        <f>F31+J31</f>
        <v/>
      </c>
      <c r="V31" s="5">
        <f>O31-U31</f>
        <v/>
      </c>
      <c r="W31" s="5">
        <f>O31-(P31+R31)</f>
        <v/>
      </c>
      <c r="X31" s="5">
        <f>O31-(P31+Q31+R31)</f>
        <v/>
      </c>
    </row>
    <row r="32">
      <c r="A32" s="2" t="inlineStr">
        <is>
          <t>EJ310123.TXT</t>
        </is>
      </c>
      <c r="B32" s="3" t="inlineStr">
        <is>
          <t>004547</t>
        </is>
      </c>
      <c r="C32" s="3" t="inlineStr">
        <is>
          <t>003592</t>
        </is>
      </c>
      <c r="D32" s="4" t="n">
        <v>44940</v>
      </c>
      <c r="E32" s="2" t="inlineStr">
        <is>
          <t>15:12</t>
        </is>
      </c>
      <c r="F32" s="5" t="n">
        <v>747.5</v>
      </c>
      <c r="G32" s="5" t="n"/>
      <c r="H32" s="5" t="n"/>
      <c r="I32" s="5" t="n"/>
      <c r="J32" s="5" t="n">
        <v>149.5</v>
      </c>
      <c r="K32" s="5" t="n"/>
      <c r="L32" s="5" t="n"/>
      <c r="M32" s="5" t="n"/>
      <c r="N32" s="5" t="n"/>
      <c r="O32" s="5" t="n">
        <v>897</v>
      </c>
      <c r="P32" s="5" t="n"/>
      <c r="Q32" s="5" t="n">
        <v>897</v>
      </c>
      <c r="R32" s="5" t="n"/>
      <c r="S32" s="5">
        <f>F32*20%</f>
        <v/>
      </c>
      <c r="T32" s="5">
        <f>J32-S32</f>
        <v/>
      </c>
      <c r="U32" s="5">
        <f>F32+J32</f>
        <v/>
      </c>
      <c r="V32" s="5">
        <f>O32-U32</f>
        <v/>
      </c>
      <c r="W32" s="5">
        <f>O32-(P32+R32)</f>
        <v/>
      </c>
      <c r="X32" s="5">
        <f>O32-(P32+Q32+R32)</f>
        <v/>
      </c>
    </row>
    <row r="33">
      <c r="A33" s="2" t="inlineStr">
        <is>
          <t>EJ310123.TXT</t>
        </is>
      </c>
      <c r="B33" s="3" t="inlineStr">
        <is>
          <t>004548</t>
        </is>
      </c>
      <c r="C33" s="3" t="inlineStr">
        <is>
          <t>003593</t>
        </is>
      </c>
      <c r="D33" s="4" t="n">
        <v>44942</v>
      </c>
      <c r="E33" s="2" t="inlineStr">
        <is>
          <t>11:27</t>
        </is>
      </c>
      <c r="F33" s="5" t="n">
        <v>747.5</v>
      </c>
      <c r="G33" s="5" t="n"/>
      <c r="H33" s="5" t="n"/>
      <c r="I33" s="5" t="n"/>
      <c r="J33" s="5" t="n">
        <v>149.5</v>
      </c>
      <c r="K33" s="5" t="n"/>
      <c r="L33" s="5" t="n"/>
      <c r="M33" s="5" t="n"/>
      <c r="N33" s="5" t="n"/>
      <c r="O33" s="5" t="n">
        <v>897</v>
      </c>
      <c r="P33" s="5" t="n"/>
      <c r="Q33" s="5" t="n">
        <v>897</v>
      </c>
      <c r="R33" s="5" t="n"/>
      <c r="S33" s="5">
        <f>F33*20%</f>
        <v/>
      </c>
      <c r="T33" s="5">
        <f>J33-S33</f>
        <v/>
      </c>
      <c r="U33" s="5">
        <f>F33+J33</f>
        <v/>
      </c>
      <c r="V33" s="5">
        <f>O33-U33</f>
        <v/>
      </c>
      <c r="W33" s="5">
        <f>O33-(P33+R33)</f>
        <v/>
      </c>
      <c r="X33" s="5">
        <f>O33-(P33+Q33+R33)</f>
        <v/>
      </c>
    </row>
    <row r="34">
      <c r="A34" s="2" t="inlineStr">
        <is>
          <t>EJ310123.TXT</t>
        </is>
      </c>
      <c r="B34" s="3" t="inlineStr">
        <is>
          <t>004549</t>
        </is>
      </c>
      <c r="C34" s="3" t="inlineStr">
        <is>
          <t>003594</t>
        </is>
      </c>
      <c r="D34" s="4" t="n">
        <v>44942</v>
      </c>
      <c r="E34" s="2" t="inlineStr">
        <is>
          <t>11:27</t>
        </is>
      </c>
      <c r="F34" s="5" t="n">
        <v>747.5</v>
      </c>
      <c r="G34" s="5" t="n"/>
      <c r="H34" s="5" t="n"/>
      <c r="I34" s="5" t="n"/>
      <c r="J34" s="5" t="n">
        <v>149.5</v>
      </c>
      <c r="K34" s="5" t="n"/>
      <c r="L34" s="5" t="n"/>
      <c r="M34" s="5" t="n"/>
      <c r="N34" s="5" t="n"/>
      <c r="O34" s="5" t="n">
        <v>897</v>
      </c>
      <c r="P34" s="5" t="n"/>
      <c r="Q34" s="5" t="n">
        <v>897</v>
      </c>
      <c r="R34" s="5" t="n"/>
      <c r="S34" s="5">
        <f>F34*20%</f>
        <v/>
      </c>
      <c r="T34" s="5">
        <f>J34-S34</f>
        <v/>
      </c>
      <c r="U34" s="5">
        <f>F34+J34</f>
        <v/>
      </c>
      <c r="V34" s="5">
        <f>O34-U34</f>
        <v/>
      </c>
      <c r="W34" s="5">
        <f>O34-(P34+R34)</f>
        <v/>
      </c>
      <c r="X34" s="5">
        <f>O34-(P34+Q34+R34)</f>
        <v/>
      </c>
    </row>
    <row r="35">
      <c r="A35" s="2" t="inlineStr">
        <is>
          <t>EJ310123.TXT</t>
        </is>
      </c>
      <c r="B35" s="3" t="inlineStr">
        <is>
          <t>004550</t>
        </is>
      </c>
      <c r="C35" s="3" t="inlineStr">
        <is>
          <t>003595</t>
        </is>
      </c>
      <c r="D35" s="4" t="n">
        <v>44942</v>
      </c>
      <c r="E35" s="2" t="inlineStr">
        <is>
          <t>11:28</t>
        </is>
      </c>
      <c r="F35" s="5" t="n">
        <v>747.5</v>
      </c>
      <c r="G35" s="5" t="n"/>
      <c r="H35" s="5" t="n"/>
      <c r="I35" s="5" t="n"/>
      <c r="J35" s="5" t="n">
        <v>149.5</v>
      </c>
      <c r="K35" s="5" t="n"/>
      <c r="L35" s="5" t="n"/>
      <c r="M35" s="5" t="n"/>
      <c r="N35" s="5" t="n"/>
      <c r="O35" s="5" t="n">
        <v>897</v>
      </c>
      <c r="P35" s="5" t="n"/>
      <c r="Q35" s="5" t="n">
        <v>897</v>
      </c>
      <c r="R35" s="5" t="n"/>
      <c r="S35" s="5">
        <f>F35*20%</f>
        <v/>
      </c>
      <c r="T35" s="5">
        <f>J35-S35</f>
        <v/>
      </c>
      <c r="U35" s="5">
        <f>F35+J35</f>
        <v/>
      </c>
      <c r="V35" s="5">
        <f>O35-U35</f>
        <v/>
      </c>
      <c r="W35" s="5">
        <f>O35-(P35+R35)</f>
        <v/>
      </c>
      <c r="X35" s="5">
        <f>O35-(P35+Q35+R35)</f>
        <v/>
      </c>
    </row>
    <row r="36">
      <c r="A36" s="2" t="inlineStr">
        <is>
          <t>EJ310123.TXT</t>
        </is>
      </c>
      <c r="B36" s="3" t="inlineStr">
        <is>
          <t>004551</t>
        </is>
      </c>
      <c r="C36" s="3" t="inlineStr">
        <is>
          <t>003596</t>
        </is>
      </c>
      <c r="D36" s="4" t="n">
        <v>44942</v>
      </c>
      <c r="E36" s="2" t="inlineStr">
        <is>
          <t>11:28</t>
        </is>
      </c>
      <c r="F36" s="5" t="n">
        <v>747.5</v>
      </c>
      <c r="G36" s="5" t="n"/>
      <c r="H36" s="5" t="n"/>
      <c r="I36" s="5" t="n"/>
      <c r="J36" s="5" t="n">
        <v>149.5</v>
      </c>
      <c r="K36" s="5" t="n"/>
      <c r="L36" s="5" t="n"/>
      <c r="M36" s="5" t="n"/>
      <c r="N36" s="5" t="n"/>
      <c r="O36" s="5" t="n">
        <v>897</v>
      </c>
      <c r="P36" s="5" t="n"/>
      <c r="Q36" s="5" t="n">
        <v>897</v>
      </c>
      <c r="R36" s="5" t="n"/>
      <c r="S36" s="5">
        <f>F36*20%</f>
        <v/>
      </c>
      <c r="T36" s="5">
        <f>J36-S36</f>
        <v/>
      </c>
      <c r="U36" s="5">
        <f>F36+J36</f>
        <v/>
      </c>
      <c r="V36" s="5">
        <f>O36-U36</f>
        <v/>
      </c>
      <c r="W36" s="5">
        <f>O36-(P36+R36)</f>
        <v/>
      </c>
      <c r="X36" s="5">
        <f>O36-(P36+Q36+R36)</f>
        <v/>
      </c>
    </row>
    <row r="37">
      <c r="A37" s="2" t="inlineStr">
        <is>
          <t>EJ310123.TXT</t>
        </is>
      </c>
      <c r="B37" s="3" t="inlineStr">
        <is>
          <t>004552</t>
        </is>
      </c>
      <c r="C37" s="3" t="inlineStr">
        <is>
          <t>003597</t>
        </is>
      </c>
      <c r="D37" s="4" t="n">
        <v>44942</v>
      </c>
      <c r="E37" s="2" t="inlineStr">
        <is>
          <t>11:42</t>
        </is>
      </c>
      <c r="F37" s="5" t="n">
        <v>581.67</v>
      </c>
      <c r="G37" s="5" t="n"/>
      <c r="H37" s="5" t="n"/>
      <c r="I37" s="5" t="n"/>
      <c r="J37" s="5" t="n">
        <v>116.33</v>
      </c>
      <c r="K37" s="5" t="n"/>
      <c r="L37" s="5" t="n"/>
      <c r="M37" s="5" t="n"/>
      <c r="N37" s="5" t="n"/>
      <c r="O37" s="5" t="n">
        <v>698</v>
      </c>
      <c r="P37" s="5" t="n"/>
      <c r="Q37" s="5" t="n">
        <v>698</v>
      </c>
      <c r="R37" s="5" t="n"/>
      <c r="S37" s="5">
        <f>F37*20%</f>
        <v/>
      </c>
      <c r="T37" s="5">
        <f>J37-S37</f>
        <v/>
      </c>
      <c r="U37" s="5">
        <f>F37+J37</f>
        <v/>
      </c>
      <c r="V37" s="5">
        <f>O37-U37</f>
        <v/>
      </c>
      <c r="W37" s="5">
        <f>O37-(P37+R37)</f>
        <v/>
      </c>
      <c r="X37" s="5">
        <f>O37-(P37+Q37+R37)</f>
        <v/>
      </c>
    </row>
    <row r="38">
      <c r="A38" s="2" t="inlineStr">
        <is>
          <t>EJ310123.TXT</t>
        </is>
      </c>
      <c r="B38" s="3" t="inlineStr">
        <is>
          <t>004553</t>
        </is>
      </c>
      <c r="C38" s="3" t="inlineStr">
        <is>
          <t>003598</t>
        </is>
      </c>
      <c r="D38" s="4" t="n">
        <v>44942</v>
      </c>
      <c r="E38" s="2" t="inlineStr">
        <is>
          <t>11:44</t>
        </is>
      </c>
      <c r="F38" s="5" t="n">
        <v>581.67</v>
      </c>
      <c r="G38" s="5" t="n"/>
      <c r="H38" s="5" t="n"/>
      <c r="I38" s="5" t="n"/>
      <c r="J38" s="5" t="n">
        <v>116.33</v>
      </c>
      <c r="K38" s="5" t="n"/>
      <c r="L38" s="5" t="n"/>
      <c r="M38" s="5" t="n"/>
      <c r="N38" s="5" t="n"/>
      <c r="O38" s="5" t="n">
        <v>698</v>
      </c>
      <c r="P38" s="5" t="n"/>
      <c r="Q38" s="5" t="n">
        <v>698</v>
      </c>
      <c r="R38" s="5" t="n"/>
      <c r="S38" s="5">
        <f>F38*20%</f>
        <v/>
      </c>
      <c r="T38" s="5">
        <f>J38-S38</f>
        <v/>
      </c>
      <c r="U38" s="5">
        <f>F38+J38</f>
        <v/>
      </c>
      <c r="V38" s="5">
        <f>O38-U38</f>
        <v/>
      </c>
      <c r="W38" s="5">
        <f>O38-(P38+R38)</f>
        <v/>
      </c>
      <c r="X38" s="5">
        <f>O38-(P38+Q38+R38)</f>
        <v/>
      </c>
    </row>
    <row r="39">
      <c r="A39" s="2" t="inlineStr">
        <is>
          <t>EJ310123.TXT</t>
        </is>
      </c>
      <c r="B39" s="3" t="inlineStr">
        <is>
          <t>004554</t>
        </is>
      </c>
      <c r="C39" s="3" t="inlineStr">
        <is>
          <t>003599</t>
        </is>
      </c>
      <c r="D39" s="4" t="n">
        <v>44942</v>
      </c>
      <c r="E39" s="2" t="inlineStr">
        <is>
          <t>11:45</t>
        </is>
      </c>
      <c r="F39" s="5" t="n">
        <v>581.67</v>
      </c>
      <c r="G39" s="5" t="n"/>
      <c r="H39" s="5" t="n"/>
      <c r="I39" s="5" t="n"/>
      <c r="J39" s="5" t="n">
        <v>116.33</v>
      </c>
      <c r="K39" s="5" t="n"/>
      <c r="L39" s="5" t="n"/>
      <c r="M39" s="5" t="n"/>
      <c r="N39" s="5" t="n"/>
      <c r="O39" s="5" t="n">
        <v>698</v>
      </c>
      <c r="P39" s="5" t="n"/>
      <c r="Q39" s="5" t="n">
        <v>698</v>
      </c>
      <c r="R39" s="5" t="n"/>
      <c r="S39" s="5">
        <f>F39*20%</f>
        <v/>
      </c>
      <c r="T39" s="5">
        <f>J39-S39</f>
        <v/>
      </c>
      <c r="U39" s="5">
        <f>F39+J39</f>
        <v/>
      </c>
      <c r="V39" s="5">
        <f>O39-U39</f>
        <v/>
      </c>
      <c r="W39" s="5">
        <f>O39-(P39+R39)</f>
        <v/>
      </c>
      <c r="X39" s="5">
        <f>O39-(P39+Q39+R39)</f>
        <v/>
      </c>
    </row>
    <row r="40">
      <c r="A40" s="2" t="inlineStr">
        <is>
          <t>EJ310123.TXT</t>
        </is>
      </c>
      <c r="B40" s="3" t="inlineStr">
        <is>
          <t>004555</t>
        </is>
      </c>
      <c r="C40" s="3" t="inlineStr">
        <is>
          <t>003600</t>
        </is>
      </c>
      <c r="D40" s="4" t="n">
        <v>44942</v>
      </c>
      <c r="E40" s="2" t="inlineStr">
        <is>
          <t>12:07</t>
        </is>
      </c>
      <c r="F40" s="5" t="n">
        <v>350</v>
      </c>
      <c r="G40" s="5" t="n"/>
      <c r="H40" s="5" t="n"/>
      <c r="I40" s="5" t="n"/>
      <c r="J40" s="5" t="n">
        <v>70</v>
      </c>
      <c r="K40" s="5" t="n"/>
      <c r="L40" s="5" t="n"/>
      <c r="M40" s="5" t="n"/>
      <c r="N40" s="5" t="n"/>
      <c r="O40" s="5" t="n">
        <v>420</v>
      </c>
      <c r="P40" s="5" t="n">
        <v>420</v>
      </c>
      <c r="Q40" s="5" t="n"/>
      <c r="R40" s="5" t="n"/>
      <c r="S40" s="5">
        <f>F40*20%</f>
        <v/>
      </c>
      <c r="T40" s="5">
        <f>J40-S40</f>
        <v/>
      </c>
      <c r="U40" s="5">
        <f>F40+J40</f>
        <v/>
      </c>
      <c r="V40" s="5">
        <f>O40-U40</f>
        <v/>
      </c>
      <c r="W40" s="5">
        <f>O40-(P40+R40)</f>
        <v/>
      </c>
      <c r="X40" s="5">
        <f>O40-(P40+Q40+R40)</f>
        <v/>
      </c>
    </row>
    <row r="41">
      <c r="A41" s="2" t="inlineStr">
        <is>
          <t>EJ310123.TXT</t>
        </is>
      </c>
      <c r="B41" s="3" t="inlineStr">
        <is>
          <t>004556</t>
        </is>
      </c>
      <c r="C41" s="3" t="inlineStr">
        <is>
          <t>003601</t>
        </is>
      </c>
      <c r="D41" s="4" t="n">
        <v>44942</v>
      </c>
      <c r="E41" s="2" t="inlineStr">
        <is>
          <t>16:10</t>
        </is>
      </c>
      <c r="F41" s="5" t="n">
        <v>288.33</v>
      </c>
      <c r="G41" s="5" t="n"/>
      <c r="H41" s="5" t="n"/>
      <c r="I41" s="5" t="n"/>
      <c r="J41" s="5" t="n">
        <v>57.67</v>
      </c>
      <c r="K41" s="5" t="n"/>
      <c r="L41" s="5" t="n"/>
      <c r="M41" s="5" t="n"/>
      <c r="N41" s="5" t="n"/>
      <c r="O41" s="5" t="n">
        <v>346</v>
      </c>
      <c r="P41" s="5" t="n"/>
      <c r="Q41" s="5" t="n">
        <v>346</v>
      </c>
      <c r="R41" s="5" t="n"/>
      <c r="S41" s="5">
        <f>F41*20%</f>
        <v/>
      </c>
      <c r="T41" s="5">
        <f>J41-S41</f>
        <v/>
      </c>
      <c r="U41" s="5">
        <f>F41+J41</f>
        <v/>
      </c>
      <c r="V41" s="5">
        <f>O41-U41</f>
        <v/>
      </c>
      <c r="W41" s="5">
        <f>O41-(P41+R41)</f>
        <v/>
      </c>
      <c r="X41" s="5">
        <f>O41-(P41+Q41+R41)</f>
        <v/>
      </c>
    </row>
    <row r="42">
      <c r="A42" s="2" t="inlineStr">
        <is>
          <t>EJ310123.TXT</t>
        </is>
      </c>
      <c r="B42" s="3" t="inlineStr">
        <is>
          <t>004557</t>
        </is>
      </c>
      <c r="C42" s="3" t="inlineStr">
        <is>
          <t>003602</t>
        </is>
      </c>
      <c r="D42" s="4" t="n">
        <v>44942</v>
      </c>
      <c r="E42" s="2" t="inlineStr">
        <is>
          <t>18:23</t>
        </is>
      </c>
      <c r="F42" s="5" t="n">
        <v>299.17</v>
      </c>
      <c r="G42" s="5" t="n"/>
      <c r="H42" s="5" t="n"/>
      <c r="I42" s="5" t="n"/>
      <c r="J42" s="5" t="n">
        <v>59.83</v>
      </c>
      <c r="K42" s="5" t="n"/>
      <c r="L42" s="5" t="n"/>
      <c r="M42" s="5" t="n"/>
      <c r="N42" s="5" t="n"/>
      <c r="O42" s="5" t="n">
        <v>359</v>
      </c>
      <c r="P42" s="5" t="n"/>
      <c r="Q42" s="5" t="n">
        <v>359</v>
      </c>
      <c r="R42" s="5" t="n"/>
      <c r="S42" s="5">
        <f>F42*20%</f>
        <v/>
      </c>
      <c r="T42" s="5">
        <f>J42-S42</f>
        <v/>
      </c>
      <c r="U42" s="5">
        <f>F42+J42</f>
        <v/>
      </c>
      <c r="V42" s="5">
        <f>O42-U42</f>
        <v/>
      </c>
      <c r="W42" s="5">
        <f>O42-(P42+R42)</f>
        <v/>
      </c>
      <c r="X42" s="5">
        <f>O42-(P42+Q42+R42)</f>
        <v/>
      </c>
    </row>
    <row r="43">
      <c r="A43" s="2" t="inlineStr">
        <is>
          <t>EJ310123.TXT</t>
        </is>
      </c>
      <c r="B43" s="3" t="inlineStr">
        <is>
          <t>004558</t>
        </is>
      </c>
      <c r="C43" s="3" t="inlineStr">
        <is>
          <t>003603</t>
        </is>
      </c>
      <c r="D43" s="4" t="n">
        <v>44942</v>
      </c>
      <c r="E43" s="2" t="inlineStr">
        <is>
          <t>18:25</t>
        </is>
      </c>
      <c r="F43" s="5" t="n">
        <v>299.17</v>
      </c>
      <c r="G43" s="5" t="n"/>
      <c r="H43" s="5" t="n"/>
      <c r="I43" s="5" t="n"/>
      <c r="J43" s="5" t="n">
        <v>59.83</v>
      </c>
      <c r="K43" s="5" t="n"/>
      <c r="L43" s="5" t="n"/>
      <c r="M43" s="5" t="n"/>
      <c r="N43" s="5" t="n"/>
      <c r="O43" s="5" t="n">
        <v>359</v>
      </c>
      <c r="P43" s="5" t="n">
        <v>359</v>
      </c>
      <c r="Q43" s="5" t="n"/>
      <c r="R43" s="5" t="n"/>
      <c r="S43" s="5">
        <f>F43*20%</f>
        <v/>
      </c>
      <c r="T43" s="5">
        <f>J43-S43</f>
        <v/>
      </c>
      <c r="U43" s="5">
        <f>F43+J43</f>
        <v/>
      </c>
      <c r="V43" s="5">
        <f>O43-U43</f>
        <v/>
      </c>
      <c r="W43" s="5">
        <f>O43-(P43+R43)</f>
        <v/>
      </c>
      <c r="X43" s="5">
        <f>O43-(P43+Q43+R43)</f>
        <v/>
      </c>
    </row>
    <row r="44">
      <c r="A44" s="2" t="inlineStr">
        <is>
          <t>EJ310123.TXT</t>
        </is>
      </c>
      <c r="B44" s="3" t="inlineStr">
        <is>
          <t>004559</t>
        </is>
      </c>
      <c r="C44" s="3" t="inlineStr">
        <is>
          <t>003604</t>
        </is>
      </c>
      <c r="D44" s="4" t="n">
        <v>44943</v>
      </c>
      <c r="E44" s="2" t="inlineStr">
        <is>
          <t>12:25</t>
        </is>
      </c>
      <c r="F44" s="5" t="n">
        <v>581.67</v>
      </c>
      <c r="G44" s="5" t="n"/>
      <c r="H44" s="5" t="n"/>
      <c r="I44" s="5" t="n"/>
      <c r="J44" s="5" t="n">
        <v>116.33</v>
      </c>
      <c r="K44" s="5" t="n"/>
      <c r="L44" s="5" t="n"/>
      <c r="M44" s="5" t="n"/>
      <c r="N44" s="5" t="n"/>
      <c r="O44" s="5" t="n">
        <v>698</v>
      </c>
      <c r="P44" s="5" t="n"/>
      <c r="Q44" s="5" t="n">
        <v>698</v>
      </c>
      <c r="R44" s="5" t="n"/>
      <c r="S44" s="5">
        <f>F44*20%</f>
        <v/>
      </c>
      <c r="T44" s="5">
        <f>J44-S44</f>
        <v/>
      </c>
      <c r="U44" s="5">
        <f>F44+J44</f>
        <v/>
      </c>
      <c r="V44" s="5">
        <f>O44-U44</f>
        <v/>
      </c>
      <c r="W44" s="5">
        <f>O44-(P44+R44)</f>
        <v/>
      </c>
      <c r="X44" s="5">
        <f>O44-(P44+Q44+R44)</f>
        <v/>
      </c>
    </row>
    <row r="45">
      <c r="A45" s="2" t="inlineStr">
        <is>
          <t>EJ310123.TXT</t>
        </is>
      </c>
      <c r="B45" s="3" t="inlineStr">
        <is>
          <t>004560</t>
        </is>
      </c>
      <c r="C45" s="3" t="inlineStr">
        <is>
          <t>003605</t>
        </is>
      </c>
      <c r="D45" s="4" t="n">
        <v>44943</v>
      </c>
      <c r="E45" s="2" t="inlineStr">
        <is>
          <t>12:25</t>
        </is>
      </c>
      <c r="F45" s="5" t="n">
        <v>581.67</v>
      </c>
      <c r="G45" s="5" t="n"/>
      <c r="H45" s="5" t="n"/>
      <c r="I45" s="5" t="n"/>
      <c r="J45" s="5" t="n">
        <v>116.33</v>
      </c>
      <c r="K45" s="5" t="n"/>
      <c r="L45" s="5" t="n"/>
      <c r="M45" s="5" t="n"/>
      <c r="N45" s="5" t="n"/>
      <c r="O45" s="5" t="n">
        <v>698</v>
      </c>
      <c r="P45" s="5" t="n"/>
      <c r="Q45" s="5" t="n">
        <v>698</v>
      </c>
      <c r="R45" s="5" t="n"/>
      <c r="S45" s="5">
        <f>F45*20%</f>
        <v/>
      </c>
      <c r="T45" s="5">
        <f>J45-S45</f>
        <v/>
      </c>
      <c r="U45" s="5">
        <f>F45+J45</f>
        <v/>
      </c>
      <c r="V45" s="5">
        <f>O45-U45</f>
        <v/>
      </c>
      <c r="W45" s="5">
        <f>O45-(P45+R45)</f>
        <v/>
      </c>
      <c r="X45" s="5">
        <f>O45-(P45+Q45+R45)</f>
        <v/>
      </c>
    </row>
    <row r="46">
      <c r="A46" s="2" t="inlineStr">
        <is>
          <t>EJ310123.TXT</t>
        </is>
      </c>
      <c r="B46" s="3" t="inlineStr">
        <is>
          <t>004561</t>
        </is>
      </c>
      <c r="C46" s="3" t="inlineStr">
        <is>
          <t>003606</t>
        </is>
      </c>
      <c r="D46" s="4" t="n">
        <v>44943</v>
      </c>
      <c r="E46" s="2" t="inlineStr">
        <is>
          <t>12:25</t>
        </is>
      </c>
      <c r="F46" s="5" t="n">
        <v>581.67</v>
      </c>
      <c r="G46" s="5" t="n"/>
      <c r="H46" s="5" t="n"/>
      <c r="I46" s="5" t="n"/>
      <c r="J46" s="5" t="n">
        <v>116.33</v>
      </c>
      <c r="K46" s="5" t="n"/>
      <c r="L46" s="5" t="n"/>
      <c r="M46" s="5" t="n"/>
      <c r="N46" s="5" t="n"/>
      <c r="O46" s="5" t="n">
        <v>698</v>
      </c>
      <c r="P46" s="5" t="n"/>
      <c r="Q46" s="5" t="n">
        <v>698</v>
      </c>
      <c r="R46" s="5" t="n"/>
      <c r="S46" s="5">
        <f>F46*20%</f>
        <v/>
      </c>
      <c r="T46" s="5">
        <f>J46-S46</f>
        <v/>
      </c>
      <c r="U46" s="5">
        <f>F46+J46</f>
        <v/>
      </c>
      <c r="V46" s="5">
        <f>O46-U46</f>
        <v/>
      </c>
      <c r="W46" s="5">
        <f>O46-(P46+R46)</f>
        <v/>
      </c>
      <c r="X46" s="5">
        <f>O46-(P46+Q46+R46)</f>
        <v/>
      </c>
    </row>
    <row r="47">
      <c r="A47" s="2" t="inlineStr">
        <is>
          <t>EJ310123.TXT</t>
        </is>
      </c>
      <c r="B47" s="3" t="inlineStr">
        <is>
          <t>004562</t>
        </is>
      </c>
      <c r="C47" s="3" t="inlineStr">
        <is>
          <t>003607</t>
        </is>
      </c>
      <c r="D47" s="4" t="n">
        <v>44943</v>
      </c>
      <c r="E47" s="2" t="inlineStr">
        <is>
          <t>15:31</t>
        </is>
      </c>
      <c r="F47" s="5" t="n">
        <v>37.5</v>
      </c>
      <c r="G47" s="5" t="n"/>
      <c r="H47" s="5" t="n"/>
      <c r="I47" s="5" t="n"/>
      <c r="J47" s="5" t="n">
        <v>7.5</v>
      </c>
      <c r="K47" s="5" t="n"/>
      <c r="L47" s="5" t="n"/>
      <c r="M47" s="5" t="n"/>
      <c r="N47" s="5" t="n"/>
      <c r="O47" s="5" t="n">
        <v>45</v>
      </c>
      <c r="P47" s="5" t="n"/>
      <c r="Q47" s="5" t="n">
        <v>45</v>
      </c>
      <c r="R47" s="5" t="n"/>
      <c r="S47" s="5">
        <f>F47*20%</f>
        <v/>
      </c>
      <c r="T47" s="5">
        <f>J47-S47</f>
        <v/>
      </c>
      <c r="U47" s="5">
        <f>F47+J47</f>
        <v/>
      </c>
      <c r="V47" s="5">
        <f>O47-U47</f>
        <v/>
      </c>
      <c r="W47" s="5">
        <f>O47-(P47+R47)</f>
        <v/>
      </c>
      <c r="X47" s="5">
        <f>O47-(P47+Q47+R47)</f>
        <v/>
      </c>
    </row>
    <row r="48">
      <c r="A48" s="2" t="inlineStr">
        <is>
          <t>EJ310123.TXT</t>
        </is>
      </c>
      <c r="B48" s="3" t="inlineStr">
        <is>
          <t>004563</t>
        </is>
      </c>
      <c r="C48" s="3" t="inlineStr">
        <is>
          <t>003608</t>
        </is>
      </c>
      <c r="D48" s="4" t="n">
        <v>44944</v>
      </c>
      <c r="E48" s="2" t="inlineStr">
        <is>
          <t>11:13</t>
        </is>
      </c>
      <c r="F48" s="5" t="n">
        <v>166.67</v>
      </c>
      <c r="G48" s="5" t="n"/>
      <c r="H48" s="5" t="n"/>
      <c r="I48" s="5" t="n"/>
      <c r="J48" s="5" t="n">
        <v>33.33</v>
      </c>
      <c r="K48" s="5" t="n"/>
      <c r="L48" s="5" t="n"/>
      <c r="M48" s="5" t="n"/>
      <c r="N48" s="5" t="n"/>
      <c r="O48" s="5" t="n">
        <v>200</v>
      </c>
      <c r="P48" s="5" t="n"/>
      <c r="Q48" s="5" t="n">
        <v>200</v>
      </c>
      <c r="R48" s="5" t="n"/>
      <c r="S48" s="5">
        <f>F48*20%</f>
        <v/>
      </c>
      <c r="T48" s="5">
        <f>J48-S48</f>
        <v/>
      </c>
      <c r="U48" s="5">
        <f>F48+J48</f>
        <v/>
      </c>
      <c r="V48" s="5">
        <f>O48-U48</f>
        <v/>
      </c>
      <c r="W48" s="5">
        <f>O48-(P48+R48)</f>
        <v/>
      </c>
      <c r="X48" s="5">
        <f>O48-(P48+Q48+R48)</f>
        <v/>
      </c>
    </row>
    <row r="49">
      <c r="A49" s="2" t="inlineStr">
        <is>
          <t>EJ310123.TXT</t>
        </is>
      </c>
      <c r="B49" s="3" t="inlineStr">
        <is>
          <t>004564</t>
        </is>
      </c>
      <c r="C49" s="3" t="inlineStr">
        <is>
          <t>003609</t>
        </is>
      </c>
      <c r="D49" s="4" t="n">
        <v>44944</v>
      </c>
      <c r="E49" s="2" t="inlineStr">
        <is>
          <t>12:09</t>
        </is>
      </c>
      <c r="F49" s="5" t="n">
        <v>581.67</v>
      </c>
      <c r="G49" s="5" t="n"/>
      <c r="H49" s="5" t="n"/>
      <c r="I49" s="5" t="n"/>
      <c r="J49" s="5" t="n">
        <v>116.33</v>
      </c>
      <c r="K49" s="5" t="n"/>
      <c r="L49" s="5" t="n"/>
      <c r="M49" s="5" t="n"/>
      <c r="N49" s="5" t="n"/>
      <c r="O49" s="5" t="n">
        <v>698</v>
      </c>
      <c r="P49" s="5" t="n"/>
      <c r="Q49" s="5" t="n">
        <v>698</v>
      </c>
      <c r="R49" s="5" t="n"/>
      <c r="S49" s="5">
        <f>F49*20%</f>
        <v/>
      </c>
      <c r="T49" s="5">
        <f>J49-S49</f>
        <v/>
      </c>
      <c r="U49" s="5">
        <f>F49+J49</f>
        <v/>
      </c>
      <c r="V49" s="5">
        <f>O49-U49</f>
        <v/>
      </c>
      <c r="W49" s="5">
        <f>O49-(P49+R49)</f>
        <v/>
      </c>
      <c r="X49" s="5">
        <f>O49-(P49+Q49+R49)</f>
        <v/>
      </c>
    </row>
    <row r="50">
      <c r="A50" s="2" t="inlineStr">
        <is>
          <t>EJ310123.TXT</t>
        </is>
      </c>
      <c r="B50" s="3" t="inlineStr">
        <is>
          <t>004565</t>
        </is>
      </c>
      <c r="C50" s="3" t="inlineStr">
        <is>
          <t>003610</t>
        </is>
      </c>
      <c r="D50" s="4" t="n">
        <v>44944</v>
      </c>
      <c r="E50" s="2" t="inlineStr">
        <is>
          <t>12:10</t>
        </is>
      </c>
      <c r="F50" s="5" t="n">
        <v>299.17</v>
      </c>
      <c r="G50" s="5" t="n"/>
      <c r="H50" s="5" t="n"/>
      <c r="I50" s="5" t="n"/>
      <c r="J50" s="5" t="n">
        <v>59.83</v>
      </c>
      <c r="K50" s="5" t="n"/>
      <c r="L50" s="5" t="n"/>
      <c r="M50" s="5" t="n"/>
      <c r="N50" s="5" t="n"/>
      <c r="O50" s="5" t="n">
        <v>359</v>
      </c>
      <c r="P50" s="5" t="n"/>
      <c r="Q50" s="5" t="n">
        <v>359</v>
      </c>
      <c r="R50" s="5" t="n"/>
      <c r="S50" s="5">
        <f>F50*20%</f>
        <v/>
      </c>
      <c r="T50" s="5">
        <f>J50-S50</f>
        <v/>
      </c>
      <c r="U50" s="5">
        <f>F50+J50</f>
        <v/>
      </c>
      <c r="V50" s="5">
        <f>O50-U50</f>
        <v/>
      </c>
      <c r="W50" s="5">
        <f>O50-(P50+R50)</f>
        <v/>
      </c>
      <c r="X50" s="5">
        <f>O50-(P50+Q50+R50)</f>
        <v/>
      </c>
    </row>
    <row r="51">
      <c r="A51" s="2" t="inlineStr">
        <is>
          <t>EJ310123.TXT</t>
        </is>
      </c>
      <c r="B51" s="3" t="inlineStr">
        <is>
          <t>004566</t>
        </is>
      </c>
      <c r="C51" s="3" t="inlineStr">
        <is>
          <t>003611</t>
        </is>
      </c>
      <c r="D51" s="4" t="n">
        <v>44944</v>
      </c>
      <c r="E51" s="2" t="inlineStr">
        <is>
          <t>15:26</t>
        </is>
      </c>
      <c r="F51" s="5" t="n">
        <v>598.33</v>
      </c>
      <c r="G51" s="5" t="n"/>
      <c r="H51" s="5" t="n"/>
      <c r="I51" s="5" t="n"/>
      <c r="J51" s="5" t="n">
        <v>119.67</v>
      </c>
      <c r="K51" s="5" t="n"/>
      <c r="L51" s="5" t="n"/>
      <c r="M51" s="5" t="n"/>
      <c r="N51" s="5" t="n"/>
      <c r="O51" s="5" t="n">
        <v>718</v>
      </c>
      <c r="P51" s="5" t="n"/>
      <c r="Q51" s="5" t="n">
        <v>718</v>
      </c>
      <c r="R51" s="5" t="n"/>
      <c r="S51" s="5">
        <f>F51*20%</f>
        <v/>
      </c>
      <c r="T51" s="5">
        <f>J51-S51</f>
        <v/>
      </c>
      <c r="U51" s="5">
        <f>F51+J51</f>
        <v/>
      </c>
      <c r="V51" s="5">
        <f>O51-U51</f>
        <v/>
      </c>
      <c r="W51" s="5">
        <f>O51-(P51+R51)</f>
        <v/>
      </c>
      <c r="X51" s="5">
        <f>O51-(P51+Q51+R51)</f>
        <v/>
      </c>
    </row>
    <row r="52">
      <c r="A52" s="2" t="inlineStr">
        <is>
          <t>EJ310123.TXT</t>
        </is>
      </c>
      <c r="B52" s="3" t="inlineStr">
        <is>
          <t>004567</t>
        </is>
      </c>
      <c r="C52" s="3" t="inlineStr">
        <is>
          <t>003612</t>
        </is>
      </c>
      <c r="D52" s="4" t="n">
        <v>44944</v>
      </c>
      <c r="E52" s="2" t="inlineStr">
        <is>
          <t>15:26</t>
        </is>
      </c>
      <c r="F52" s="5" t="n">
        <v>598.33</v>
      </c>
      <c r="G52" s="5" t="n"/>
      <c r="H52" s="5" t="n"/>
      <c r="I52" s="5" t="n"/>
      <c r="J52" s="5" t="n">
        <v>119.67</v>
      </c>
      <c r="K52" s="5" t="n"/>
      <c r="L52" s="5" t="n"/>
      <c r="M52" s="5" t="n"/>
      <c r="N52" s="5" t="n"/>
      <c r="O52" s="5" t="n">
        <v>718</v>
      </c>
      <c r="P52" s="5" t="n"/>
      <c r="Q52" s="5" t="n">
        <v>718</v>
      </c>
      <c r="R52" s="5" t="n"/>
      <c r="S52" s="5">
        <f>F52*20%</f>
        <v/>
      </c>
      <c r="T52" s="5">
        <f>J52-S52</f>
        <v/>
      </c>
      <c r="U52" s="5">
        <f>F52+J52</f>
        <v/>
      </c>
      <c r="V52" s="5">
        <f>O52-U52</f>
        <v/>
      </c>
      <c r="W52" s="5">
        <f>O52-(P52+R52)</f>
        <v/>
      </c>
      <c r="X52" s="5">
        <f>O52-(P52+Q52+R52)</f>
        <v/>
      </c>
    </row>
    <row r="53">
      <c r="A53" s="2" t="inlineStr">
        <is>
          <t>EJ310123.TXT</t>
        </is>
      </c>
      <c r="B53" s="3" t="inlineStr">
        <is>
          <t>004568</t>
        </is>
      </c>
      <c r="C53" s="3" t="inlineStr">
        <is>
          <t>003613</t>
        </is>
      </c>
      <c r="D53" s="4" t="n">
        <v>44944</v>
      </c>
      <c r="E53" s="2" t="inlineStr">
        <is>
          <t>15:27</t>
        </is>
      </c>
      <c r="F53" s="5" t="n">
        <v>290.83</v>
      </c>
      <c r="G53" s="5" t="n"/>
      <c r="H53" s="5" t="n"/>
      <c r="I53" s="5" t="n"/>
      <c r="J53" s="5" t="n">
        <v>58.17</v>
      </c>
      <c r="K53" s="5" t="n"/>
      <c r="L53" s="5" t="n"/>
      <c r="M53" s="5" t="n"/>
      <c r="N53" s="5" t="n"/>
      <c r="O53" s="5" t="n">
        <v>349</v>
      </c>
      <c r="P53" s="5" t="n"/>
      <c r="Q53" s="5" t="n">
        <v>349</v>
      </c>
      <c r="R53" s="5" t="n"/>
      <c r="S53" s="5">
        <f>F53*20%</f>
        <v/>
      </c>
      <c r="T53" s="5">
        <f>J53-S53</f>
        <v/>
      </c>
      <c r="U53" s="5">
        <f>F53+J53</f>
        <v/>
      </c>
      <c r="V53" s="5">
        <f>O53-U53</f>
        <v/>
      </c>
      <c r="W53" s="5">
        <f>O53-(P53+R53)</f>
        <v/>
      </c>
      <c r="X53" s="5">
        <f>O53-(P53+Q53+R53)</f>
        <v/>
      </c>
    </row>
    <row r="54">
      <c r="A54" s="2" t="inlineStr">
        <is>
          <t>EJ310123.TXT</t>
        </is>
      </c>
      <c r="B54" s="3" t="inlineStr">
        <is>
          <t>004569</t>
        </is>
      </c>
      <c r="C54" s="3" t="inlineStr">
        <is>
          <t>003614</t>
        </is>
      </c>
      <c r="D54" s="4" t="n">
        <v>44944</v>
      </c>
      <c r="E54" s="2" t="inlineStr">
        <is>
          <t>17:26</t>
        </is>
      </c>
      <c r="F54" s="5" t="n">
        <v>115.83</v>
      </c>
      <c r="G54" s="5" t="n"/>
      <c r="H54" s="5" t="n"/>
      <c r="I54" s="5" t="n"/>
      <c r="J54" s="5" t="n">
        <v>23.17</v>
      </c>
      <c r="K54" s="5" t="n"/>
      <c r="L54" s="5" t="n"/>
      <c r="M54" s="5" t="n"/>
      <c r="N54" s="5" t="n"/>
      <c r="O54" s="5" t="n">
        <v>139</v>
      </c>
      <c r="P54" s="5" t="n">
        <v>139</v>
      </c>
      <c r="Q54" s="5" t="n"/>
      <c r="R54" s="5" t="n"/>
      <c r="S54" s="5">
        <f>F54*20%</f>
        <v/>
      </c>
      <c r="T54" s="5">
        <f>J54-S54</f>
        <v/>
      </c>
      <c r="U54" s="5">
        <f>F54+J54</f>
        <v/>
      </c>
      <c r="V54" s="5">
        <f>O54-U54</f>
        <v/>
      </c>
      <c r="W54" s="5">
        <f>O54-(P54+R54)</f>
        <v/>
      </c>
      <c r="X54" s="5">
        <f>O54-(P54+Q54+R54)</f>
        <v/>
      </c>
    </row>
    <row r="55">
      <c r="A55" s="2" t="inlineStr">
        <is>
          <t>EJ310123.TXT</t>
        </is>
      </c>
      <c r="B55" s="3" t="inlineStr">
        <is>
          <t>004570</t>
        </is>
      </c>
      <c r="C55" s="3" t="inlineStr">
        <is>
          <t>003615</t>
        </is>
      </c>
      <c r="D55" s="4" t="n">
        <v>44944</v>
      </c>
      <c r="E55" s="2" t="inlineStr">
        <is>
          <t>18:12</t>
        </is>
      </c>
      <c r="F55" s="5" t="n">
        <v>598.33</v>
      </c>
      <c r="G55" s="5" t="n"/>
      <c r="H55" s="5" t="n"/>
      <c r="I55" s="5" t="n"/>
      <c r="J55" s="5" t="n">
        <v>119.67</v>
      </c>
      <c r="K55" s="5" t="n"/>
      <c r="L55" s="5" t="n"/>
      <c r="M55" s="5" t="n"/>
      <c r="N55" s="5" t="n"/>
      <c r="O55" s="5" t="n">
        <v>718</v>
      </c>
      <c r="P55" s="5" t="n"/>
      <c r="Q55" s="5" t="n">
        <v>718</v>
      </c>
      <c r="R55" s="5" t="n"/>
      <c r="S55" s="5">
        <f>F55*20%</f>
        <v/>
      </c>
      <c r="T55" s="5">
        <f>J55-S55</f>
        <v/>
      </c>
      <c r="U55" s="5">
        <f>F55+J55</f>
        <v/>
      </c>
      <c r="V55" s="5">
        <f>O55-U55</f>
        <v/>
      </c>
      <c r="W55" s="5">
        <f>O55-(P55+R55)</f>
        <v/>
      </c>
      <c r="X55" s="5">
        <f>O55-(P55+Q55+R55)</f>
        <v/>
      </c>
    </row>
    <row r="56">
      <c r="A56" s="2" t="inlineStr">
        <is>
          <t>EJ310123.TXT</t>
        </is>
      </c>
      <c r="B56" s="3" t="inlineStr">
        <is>
          <t>004571</t>
        </is>
      </c>
      <c r="C56" s="3" t="inlineStr">
        <is>
          <t>003616</t>
        </is>
      </c>
      <c r="D56" s="4" t="n">
        <v>44944</v>
      </c>
      <c r="E56" s="2" t="inlineStr">
        <is>
          <t>18:16</t>
        </is>
      </c>
      <c r="F56" s="5" t="n">
        <v>598.33</v>
      </c>
      <c r="G56" s="5" t="n"/>
      <c r="H56" s="5" t="n"/>
      <c r="I56" s="5" t="n"/>
      <c r="J56" s="5" t="n">
        <v>119.67</v>
      </c>
      <c r="K56" s="5" t="n"/>
      <c r="L56" s="5" t="n"/>
      <c r="M56" s="5" t="n"/>
      <c r="N56" s="5" t="n"/>
      <c r="O56" s="5" t="n">
        <v>718</v>
      </c>
      <c r="P56" s="5" t="n">
        <v>718</v>
      </c>
      <c r="Q56" s="5" t="n"/>
      <c r="R56" s="5" t="n"/>
      <c r="S56" s="5">
        <f>F56*20%</f>
        <v/>
      </c>
      <c r="T56" s="5">
        <f>J56-S56</f>
        <v/>
      </c>
      <c r="U56" s="5">
        <f>F56+J56</f>
        <v/>
      </c>
      <c r="V56" s="5">
        <f>O56-U56</f>
        <v/>
      </c>
      <c r="W56" s="5">
        <f>O56-(P56+R56)</f>
        <v/>
      </c>
      <c r="X56" s="5">
        <f>O56-(P56+Q56+R56)</f>
        <v/>
      </c>
    </row>
    <row r="57">
      <c r="A57" s="2" t="inlineStr">
        <is>
          <t>EJ310123.TXT</t>
        </is>
      </c>
      <c r="B57" s="3" t="inlineStr">
        <is>
          <t>004572</t>
        </is>
      </c>
      <c r="C57" s="3" t="inlineStr">
        <is>
          <t>003617</t>
        </is>
      </c>
      <c r="D57" s="4" t="n">
        <v>44944</v>
      </c>
      <c r="E57" s="2" t="inlineStr">
        <is>
          <t>18:18</t>
        </is>
      </c>
      <c r="F57" s="5" t="n">
        <v>175</v>
      </c>
      <c r="G57" s="5" t="n"/>
      <c r="H57" s="5" t="n"/>
      <c r="I57" s="5" t="n"/>
      <c r="J57" s="5" t="n">
        <v>35</v>
      </c>
      <c r="K57" s="5" t="n"/>
      <c r="L57" s="5" t="n"/>
      <c r="M57" s="5" t="n"/>
      <c r="N57" s="5" t="n"/>
      <c r="O57" s="5" t="n">
        <v>210</v>
      </c>
      <c r="P57" s="5" t="n"/>
      <c r="Q57" s="5" t="n">
        <v>210</v>
      </c>
      <c r="R57" s="5" t="n"/>
      <c r="S57" s="5">
        <f>F57*20%</f>
        <v/>
      </c>
      <c r="T57" s="5">
        <f>J57-S57</f>
        <v/>
      </c>
      <c r="U57" s="5">
        <f>F57+J57</f>
        <v/>
      </c>
      <c r="V57" s="5">
        <f>O57-U57</f>
        <v/>
      </c>
      <c r="W57" s="5">
        <f>O57-(P57+R57)</f>
        <v/>
      </c>
      <c r="X57" s="5">
        <f>O57-(P57+Q57+R57)</f>
        <v/>
      </c>
    </row>
    <row r="58">
      <c r="A58" s="2" t="inlineStr">
        <is>
          <t>EJ310123.TXT</t>
        </is>
      </c>
      <c r="B58" s="3" t="inlineStr">
        <is>
          <t>004573</t>
        </is>
      </c>
      <c r="C58" s="3" t="inlineStr">
        <is>
          <t>003618</t>
        </is>
      </c>
      <c r="D58" s="4" t="n">
        <v>44944</v>
      </c>
      <c r="E58" s="2" t="inlineStr">
        <is>
          <t>18:22</t>
        </is>
      </c>
      <c r="F58" s="5" t="n">
        <v>75</v>
      </c>
      <c r="G58" s="5" t="n"/>
      <c r="H58" s="5" t="n"/>
      <c r="I58" s="5" t="n"/>
      <c r="J58" s="5" t="n">
        <v>15</v>
      </c>
      <c r="K58" s="5" t="n"/>
      <c r="L58" s="5" t="n"/>
      <c r="M58" s="5" t="n"/>
      <c r="N58" s="5" t="n"/>
      <c r="O58" s="5" t="n">
        <v>90</v>
      </c>
      <c r="P58" s="5" t="n"/>
      <c r="Q58" s="5" t="n">
        <v>90</v>
      </c>
      <c r="R58" s="5" t="n"/>
      <c r="S58" s="5">
        <f>F58*20%</f>
        <v/>
      </c>
      <c r="T58" s="5">
        <f>J58-S58</f>
        <v/>
      </c>
      <c r="U58" s="5">
        <f>F58+J58</f>
        <v/>
      </c>
      <c r="V58" s="5">
        <f>O58-U58</f>
        <v/>
      </c>
      <c r="W58" s="5">
        <f>O58-(P58+R58)</f>
        <v/>
      </c>
      <c r="X58" s="5">
        <f>O58-(P58+Q58+R58)</f>
        <v/>
      </c>
    </row>
    <row r="59">
      <c r="A59" s="2" t="inlineStr">
        <is>
          <t>EJ310123.TXT</t>
        </is>
      </c>
      <c r="B59" s="3" t="inlineStr">
        <is>
          <t>004574</t>
        </is>
      </c>
      <c r="C59" s="3" t="inlineStr">
        <is>
          <t>003619</t>
        </is>
      </c>
      <c r="D59" s="4" t="n">
        <v>44945</v>
      </c>
      <c r="E59" s="2" t="inlineStr">
        <is>
          <t>15:50</t>
        </is>
      </c>
      <c r="F59" s="5" t="n">
        <v>299.17</v>
      </c>
      <c r="G59" s="5" t="n"/>
      <c r="H59" s="5" t="n"/>
      <c r="I59" s="5" t="n"/>
      <c r="J59" s="5" t="n">
        <v>59.83</v>
      </c>
      <c r="K59" s="5" t="n"/>
      <c r="L59" s="5" t="n"/>
      <c r="M59" s="5" t="n"/>
      <c r="N59" s="5" t="n"/>
      <c r="O59" s="5" t="n">
        <v>359</v>
      </c>
      <c r="P59" s="5" t="n"/>
      <c r="Q59" s="5" t="n">
        <v>359</v>
      </c>
      <c r="R59" s="5" t="n"/>
      <c r="S59" s="5">
        <f>F59*20%</f>
        <v/>
      </c>
      <c r="T59" s="5">
        <f>J59-S59</f>
        <v/>
      </c>
      <c r="U59" s="5">
        <f>F59+J59</f>
        <v/>
      </c>
      <c r="V59" s="5">
        <f>O59-U59</f>
        <v/>
      </c>
      <c r="W59" s="5">
        <f>O59-(P59+R59)</f>
        <v/>
      </c>
      <c r="X59" s="5">
        <f>O59-(P59+Q59+R59)</f>
        <v/>
      </c>
    </row>
    <row r="60">
      <c r="A60" s="2" t="inlineStr">
        <is>
          <t>EJ310123.TXT</t>
        </is>
      </c>
      <c r="B60" s="3" t="inlineStr">
        <is>
          <t>004575</t>
        </is>
      </c>
      <c r="C60" s="3" t="inlineStr">
        <is>
          <t>003620</t>
        </is>
      </c>
      <c r="D60" s="4" t="n">
        <v>44945</v>
      </c>
      <c r="E60" s="2" t="inlineStr">
        <is>
          <t>16:56</t>
        </is>
      </c>
      <c r="F60" s="5" t="n">
        <v>299.17</v>
      </c>
      <c r="G60" s="5" t="n"/>
      <c r="H60" s="5" t="n"/>
      <c r="I60" s="5" t="n"/>
      <c r="J60" s="5" t="n">
        <v>59.83</v>
      </c>
      <c r="K60" s="5" t="n"/>
      <c r="L60" s="5" t="n"/>
      <c r="M60" s="5" t="n"/>
      <c r="N60" s="5" t="n"/>
      <c r="O60" s="5" t="n">
        <v>359</v>
      </c>
      <c r="P60" s="5" t="n">
        <v>359</v>
      </c>
      <c r="Q60" s="5" t="n"/>
      <c r="R60" s="5" t="n"/>
      <c r="S60" s="5">
        <f>F60*20%</f>
        <v/>
      </c>
      <c r="T60" s="5">
        <f>J60-S60</f>
        <v/>
      </c>
      <c r="U60" s="5">
        <f>F60+J60</f>
        <v/>
      </c>
      <c r="V60" s="5">
        <f>O60-U60</f>
        <v/>
      </c>
      <c r="W60" s="5">
        <f>O60-(P60+R60)</f>
        <v/>
      </c>
      <c r="X60" s="5">
        <f>O60-(P60+Q60+R60)</f>
        <v/>
      </c>
    </row>
    <row r="61">
      <c r="A61" s="2" t="inlineStr">
        <is>
          <t>EJ310123.TXT</t>
        </is>
      </c>
      <c r="B61" s="3" t="inlineStr">
        <is>
          <t>004576</t>
        </is>
      </c>
      <c r="C61" s="3" t="inlineStr">
        <is>
          <t>003621</t>
        </is>
      </c>
      <c r="D61" s="4" t="n">
        <v>44945</v>
      </c>
      <c r="E61" s="2" t="inlineStr">
        <is>
          <t>18:15</t>
        </is>
      </c>
      <c r="F61" s="5" t="n">
        <v>582.5</v>
      </c>
      <c r="G61" s="5" t="n"/>
      <c r="H61" s="5" t="n"/>
      <c r="I61" s="5" t="n"/>
      <c r="J61" s="5" t="n">
        <v>116.5</v>
      </c>
      <c r="K61" s="5" t="n"/>
      <c r="L61" s="5" t="n"/>
      <c r="M61" s="5" t="n"/>
      <c r="N61" s="5" t="n"/>
      <c r="O61" s="5" t="n">
        <v>699</v>
      </c>
      <c r="P61" s="5" t="n"/>
      <c r="Q61" s="5" t="n">
        <v>699</v>
      </c>
      <c r="R61" s="5" t="n"/>
      <c r="S61" s="5">
        <f>F61*20%</f>
        <v/>
      </c>
      <c r="T61" s="5">
        <f>J61-S61</f>
        <v/>
      </c>
      <c r="U61" s="5">
        <f>F61+J61</f>
        <v/>
      </c>
      <c r="V61" s="5">
        <f>O61-U61</f>
        <v/>
      </c>
      <c r="W61" s="5">
        <f>O61-(P61+R61)</f>
        <v/>
      </c>
      <c r="X61" s="5">
        <f>O61-(P61+Q61+R61)</f>
        <v/>
      </c>
    </row>
    <row r="62">
      <c r="A62" s="2" t="inlineStr">
        <is>
          <t>EJ310123.TXT</t>
        </is>
      </c>
      <c r="B62" s="3" t="inlineStr">
        <is>
          <t>004577</t>
        </is>
      </c>
      <c r="C62" s="3" t="inlineStr">
        <is>
          <t>003622</t>
        </is>
      </c>
      <c r="D62" s="4" t="n">
        <v>44945</v>
      </c>
      <c r="E62" s="2" t="inlineStr">
        <is>
          <t>18:15</t>
        </is>
      </c>
      <c r="F62" s="5" t="n">
        <v>582.5</v>
      </c>
      <c r="G62" s="5" t="n"/>
      <c r="H62" s="5" t="n"/>
      <c r="I62" s="5" t="n"/>
      <c r="J62" s="5" t="n">
        <v>116.5</v>
      </c>
      <c r="K62" s="5" t="n"/>
      <c r="L62" s="5" t="n"/>
      <c r="M62" s="5" t="n"/>
      <c r="N62" s="5" t="n"/>
      <c r="O62" s="5" t="n">
        <v>699</v>
      </c>
      <c r="P62" s="5" t="n"/>
      <c r="Q62" s="5" t="n">
        <v>699</v>
      </c>
      <c r="R62" s="5" t="n"/>
      <c r="S62" s="5">
        <f>F62*20%</f>
        <v/>
      </c>
      <c r="T62" s="5">
        <f>J62-S62</f>
        <v/>
      </c>
      <c r="U62" s="5">
        <f>F62+J62</f>
        <v/>
      </c>
      <c r="V62" s="5">
        <f>O62-U62</f>
        <v/>
      </c>
      <c r="W62" s="5">
        <f>O62-(P62+R62)</f>
        <v/>
      </c>
      <c r="X62" s="5">
        <f>O62-(P62+Q62+R62)</f>
        <v/>
      </c>
    </row>
    <row r="63">
      <c r="A63" s="2" t="inlineStr">
        <is>
          <t>EJ310123.TXT</t>
        </is>
      </c>
      <c r="B63" s="3" t="inlineStr">
        <is>
          <t>004578</t>
        </is>
      </c>
      <c r="C63" s="3" t="inlineStr">
        <is>
          <t>003623</t>
        </is>
      </c>
      <c r="D63" s="4" t="n">
        <v>44946</v>
      </c>
      <c r="E63" s="2" t="inlineStr">
        <is>
          <t>11:51</t>
        </is>
      </c>
      <c r="F63" s="5" t="n">
        <v>249.17</v>
      </c>
      <c r="G63" s="5" t="n"/>
      <c r="H63" s="5" t="n"/>
      <c r="I63" s="5" t="n"/>
      <c r="J63" s="5" t="n">
        <v>49.83</v>
      </c>
      <c r="K63" s="5" t="n"/>
      <c r="L63" s="5" t="n"/>
      <c r="M63" s="5" t="n"/>
      <c r="N63" s="5" t="n"/>
      <c r="O63" s="5" t="n">
        <v>299</v>
      </c>
      <c r="P63" s="5" t="n"/>
      <c r="Q63" s="5" t="n">
        <v>299</v>
      </c>
      <c r="R63" s="5" t="n"/>
      <c r="S63" s="5">
        <f>F63*20%</f>
        <v/>
      </c>
      <c r="T63" s="5">
        <f>J63-S63</f>
        <v/>
      </c>
      <c r="U63" s="5">
        <f>F63+J63</f>
        <v/>
      </c>
      <c r="V63" s="5">
        <f>O63-U63</f>
        <v/>
      </c>
      <c r="W63" s="5">
        <f>O63-(P63+R63)</f>
        <v/>
      </c>
      <c r="X63" s="5">
        <f>O63-(P63+Q63+R63)</f>
        <v/>
      </c>
    </row>
    <row r="64">
      <c r="A64" s="2" t="inlineStr">
        <is>
          <t>EJ310123.TXT</t>
        </is>
      </c>
      <c r="B64" s="3" t="inlineStr">
        <is>
          <t>004579</t>
        </is>
      </c>
      <c r="C64" s="3" t="inlineStr">
        <is>
          <t>003624</t>
        </is>
      </c>
      <c r="D64" s="4" t="n">
        <v>44946</v>
      </c>
      <c r="E64" s="2" t="inlineStr">
        <is>
          <t>12:17</t>
        </is>
      </c>
      <c r="F64" s="5" t="n">
        <v>37.5</v>
      </c>
      <c r="G64" s="5" t="n"/>
      <c r="H64" s="5" t="n"/>
      <c r="I64" s="5" t="n"/>
      <c r="J64" s="5" t="n">
        <v>7.5</v>
      </c>
      <c r="K64" s="5" t="n"/>
      <c r="L64" s="5" t="n"/>
      <c r="M64" s="5" t="n"/>
      <c r="N64" s="5" t="n"/>
      <c r="O64" s="5" t="n">
        <v>45</v>
      </c>
      <c r="P64" s="5" t="n">
        <v>45</v>
      </c>
      <c r="Q64" s="5" t="n"/>
      <c r="R64" s="5" t="n"/>
      <c r="S64" s="5">
        <f>F64*20%</f>
        <v/>
      </c>
      <c r="T64" s="5">
        <f>J64-S64</f>
        <v/>
      </c>
      <c r="U64" s="5">
        <f>F64+J64</f>
        <v/>
      </c>
      <c r="V64" s="5">
        <f>O64-U64</f>
        <v/>
      </c>
      <c r="W64" s="5">
        <f>O64-(P64+R64)</f>
        <v/>
      </c>
      <c r="X64" s="5">
        <f>O64-(P64+Q64+R64)</f>
        <v/>
      </c>
    </row>
    <row r="65">
      <c r="A65" s="2" t="inlineStr">
        <is>
          <t>EJ310123.TXT</t>
        </is>
      </c>
      <c r="B65" s="3" t="inlineStr">
        <is>
          <t>004580</t>
        </is>
      </c>
      <c r="C65" s="3" t="inlineStr">
        <is>
          <t>003625</t>
        </is>
      </c>
      <c r="D65" s="4" t="n">
        <v>44946</v>
      </c>
      <c r="E65" s="2" t="inlineStr">
        <is>
          <t>12:32</t>
        </is>
      </c>
      <c r="F65" s="5" t="n">
        <v>725</v>
      </c>
      <c r="G65" s="5" t="n"/>
      <c r="H65" s="5" t="n"/>
      <c r="I65" s="5" t="n"/>
      <c r="J65" s="5" t="n">
        <v>145</v>
      </c>
      <c r="K65" s="5" t="n"/>
      <c r="L65" s="5" t="n"/>
      <c r="M65" s="5" t="n"/>
      <c r="N65" s="5" t="n"/>
      <c r="O65" s="5" t="n">
        <v>870</v>
      </c>
      <c r="P65" s="5" t="n"/>
      <c r="Q65" s="5" t="n">
        <v>870</v>
      </c>
      <c r="R65" s="5" t="n"/>
      <c r="S65" s="5">
        <f>F65*20%</f>
        <v/>
      </c>
      <c r="T65" s="5">
        <f>J65-S65</f>
        <v/>
      </c>
      <c r="U65" s="5">
        <f>F65+J65</f>
        <v/>
      </c>
      <c r="V65" s="5">
        <f>O65-U65</f>
        <v/>
      </c>
      <c r="W65" s="5">
        <f>O65-(P65+R65)</f>
        <v/>
      </c>
      <c r="X65" s="5">
        <f>O65-(P65+Q65+R65)</f>
        <v/>
      </c>
    </row>
    <row r="66">
      <c r="A66" s="2" t="inlineStr">
        <is>
          <t>EJ310123.TXT</t>
        </is>
      </c>
      <c r="B66" s="3" t="inlineStr">
        <is>
          <t>004581</t>
        </is>
      </c>
      <c r="C66" s="3" t="inlineStr">
        <is>
          <t>003626</t>
        </is>
      </c>
      <c r="D66" s="4" t="n">
        <v>44946</v>
      </c>
      <c r="E66" s="2" t="inlineStr">
        <is>
          <t>13:04</t>
        </is>
      </c>
      <c r="F66" s="5" t="n">
        <v>249.17</v>
      </c>
      <c r="G66" s="5" t="n"/>
      <c r="H66" s="5" t="n"/>
      <c r="I66" s="5" t="n"/>
      <c r="J66" s="5" t="n">
        <v>49.83</v>
      </c>
      <c r="K66" s="5" t="n"/>
      <c r="L66" s="5" t="n"/>
      <c r="M66" s="5" t="n"/>
      <c r="N66" s="5" t="n"/>
      <c r="O66" s="5" t="n">
        <v>299</v>
      </c>
      <c r="P66" s="5" t="n">
        <v>299</v>
      </c>
      <c r="Q66" s="5" t="n"/>
      <c r="R66" s="5" t="n"/>
      <c r="S66" s="5">
        <f>F66*20%</f>
        <v/>
      </c>
      <c r="T66" s="5">
        <f>J66-S66</f>
        <v/>
      </c>
      <c r="U66" s="5">
        <f>F66+J66</f>
        <v/>
      </c>
      <c r="V66" s="5">
        <f>O66-U66</f>
        <v/>
      </c>
      <c r="W66" s="5">
        <f>O66-(P66+R66)</f>
        <v/>
      </c>
      <c r="X66" s="5">
        <f>O66-(P66+Q66+R66)</f>
        <v/>
      </c>
    </row>
    <row r="67">
      <c r="A67" s="2" t="inlineStr">
        <is>
          <t>EJ310123.TXT</t>
        </is>
      </c>
      <c r="B67" s="3" t="inlineStr">
        <is>
          <t>004582</t>
        </is>
      </c>
      <c r="C67" s="3" t="inlineStr">
        <is>
          <t>003627</t>
        </is>
      </c>
      <c r="D67" s="4" t="n">
        <v>44946</v>
      </c>
      <c r="E67" s="2" t="inlineStr">
        <is>
          <t>14:32</t>
        </is>
      </c>
      <c r="F67" s="5" t="n">
        <v>166.67</v>
      </c>
      <c r="G67" s="5" t="n"/>
      <c r="H67" s="5" t="n"/>
      <c r="I67" s="5" t="n"/>
      <c r="J67" s="5" t="n">
        <v>33.33</v>
      </c>
      <c r="K67" s="5" t="n"/>
      <c r="L67" s="5" t="n"/>
      <c r="M67" s="5" t="n"/>
      <c r="N67" s="5" t="n"/>
      <c r="O67" s="5" t="n">
        <v>200</v>
      </c>
      <c r="P67" s="5" t="n"/>
      <c r="Q67" s="5" t="n">
        <v>200</v>
      </c>
      <c r="R67" s="5" t="n"/>
      <c r="S67" s="5">
        <f>F67*20%</f>
        <v/>
      </c>
      <c r="T67" s="5">
        <f>J67-S67</f>
        <v/>
      </c>
      <c r="U67" s="5">
        <f>F67+J67</f>
        <v/>
      </c>
      <c r="V67" s="5">
        <f>O67-U67</f>
        <v/>
      </c>
      <c r="W67" s="5">
        <f>O67-(P67+R67)</f>
        <v/>
      </c>
      <c r="X67" s="5">
        <f>O67-(P67+Q67+R67)</f>
        <v/>
      </c>
    </row>
    <row r="68">
      <c r="A68" s="2" t="inlineStr">
        <is>
          <t>EJ310123.TXT</t>
        </is>
      </c>
      <c r="B68" s="3" t="inlineStr">
        <is>
          <t>004583</t>
        </is>
      </c>
      <c r="C68" s="3" t="inlineStr">
        <is>
          <t>003628</t>
        </is>
      </c>
      <c r="D68" s="4" t="n">
        <v>44946</v>
      </c>
      <c r="E68" s="2" t="inlineStr">
        <is>
          <t>14:50</t>
        </is>
      </c>
      <c r="F68" s="5" t="n">
        <v>319.17</v>
      </c>
      <c r="G68" s="5" t="n"/>
      <c r="H68" s="5" t="n"/>
      <c r="I68" s="5" t="n"/>
      <c r="J68" s="5" t="n">
        <v>63.83</v>
      </c>
      <c r="K68" s="5" t="n"/>
      <c r="L68" s="5" t="n"/>
      <c r="M68" s="5" t="n"/>
      <c r="N68" s="5" t="n"/>
      <c r="O68" s="5" t="n">
        <v>383</v>
      </c>
      <c r="P68" s="5" t="n">
        <v>383</v>
      </c>
      <c r="Q68" s="5" t="n"/>
      <c r="R68" s="5" t="n"/>
      <c r="S68" s="5">
        <f>F68*20%</f>
        <v/>
      </c>
      <c r="T68" s="5">
        <f>J68-S68</f>
        <v/>
      </c>
      <c r="U68" s="5">
        <f>F68+J68</f>
        <v/>
      </c>
      <c r="V68" s="5">
        <f>O68-U68</f>
        <v/>
      </c>
      <c r="W68" s="5">
        <f>O68-(P68+R68)</f>
        <v/>
      </c>
      <c r="X68" s="5">
        <f>O68-(P68+Q68+R68)</f>
        <v/>
      </c>
    </row>
    <row r="69">
      <c r="A69" s="2" t="inlineStr">
        <is>
          <t>EJ310123.TXT</t>
        </is>
      </c>
      <c r="B69" s="3" t="inlineStr">
        <is>
          <t>004584</t>
        </is>
      </c>
      <c r="C69" s="3" t="inlineStr">
        <is>
          <t>003629</t>
        </is>
      </c>
      <c r="D69" s="4" t="n">
        <v>44946</v>
      </c>
      <c r="E69" s="2" t="inlineStr">
        <is>
          <t>15:10</t>
        </is>
      </c>
      <c r="F69" s="5" t="n">
        <v>175</v>
      </c>
      <c r="G69" s="5" t="n"/>
      <c r="H69" s="5" t="n"/>
      <c r="I69" s="5" t="n"/>
      <c r="J69" s="5" t="n">
        <v>35</v>
      </c>
      <c r="K69" s="5" t="n"/>
      <c r="L69" s="5" t="n"/>
      <c r="M69" s="5" t="n"/>
      <c r="N69" s="5" t="n"/>
      <c r="O69" s="5" t="n">
        <v>210</v>
      </c>
      <c r="P69" s="5" t="n">
        <v>210</v>
      </c>
      <c r="Q69" s="5" t="n"/>
      <c r="R69" s="5" t="n"/>
      <c r="S69" s="5">
        <f>F69*20%</f>
        <v/>
      </c>
      <c r="T69" s="5">
        <f>J69-S69</f>
        <v/>
      </c>
      <c r="U69" s="5">
        <f>F69+J69</f>
        <v/>
      </c>
      <c r="V69" s="5">
        <f>O69-U69</f>
        <v/>
      </c>
      <c r="W69" s="5">
        <f>O69-(P69+R69)</f>
        <v/>
      </c>
      <c r="X69" s="5">
        <f>O69-(P69+Q69+R69)</f>
        <v/>
      </c>
    </row>
    <row r="70">
      <c r="A70" s="2" t="inlineStr">
        <is>
          <t>EJ310123.TXT</t>
        </is>
      </c>
      <c r="B70" s="3" t="inlineStr">
        <is>
          <t>004585</t>
        </is>
      </c>
      <c r="C70" s="3" t="inlineStr">
        <is>
          <t>003630</t>
        </is>
      </c>
      <c r="D70" s="4" t="n">
        <v>44946</v>
      </c>
      <c r="E70" s="2" t="inlineStr">
        <is>
          <t>15:46</t>
        </is>
      </c>
      <c r="F70" s="5" t="n">
        <v>249.17</v>
      </c>
      <c r="G70" s="5" t="n"/>
      <c r="H70" s="5" t="n"/>
      <c r="I70" s="5" t="n"/>
      <c r="J70" s="5" t="n">
        <v>49.83</v>
      </c>
      <c r="K70" s="5" t="n"/>
      <c r="L70" s="5" t="n"/>
      <c r="M70" s="5" t="n"/>
      <c r="N70" s="5" t="n"/>
      <c r="O70" s="5" t="n">
        <v>299</v>
      </c>
      <c r="P70" s="5" t="n">
        <v>299</v>
      </c>
      <c r="Q70" s="5" t="n"/>
      <c r="R70" s="5" t="n"/>
      <c r="S70" s="5">
        <f>F70*20%</f>
        <v/>
      </c>
      <c r="T70" s="5">
        <f>J70-S70</f>
        <v/>
      </c>
      <c r="U70" s="5">
        <f>F70+J70</f>
        <v/>
      </c>
      <c r="V70" s="5">
        <f>O70-U70</f>
        <v/>
      </c>
      <c r="W70" s="5">
        <f>O70-(P70+R70)</f>
        <v/>
      </c>
      <c r="X70" s="5">
        <f>O70-(P70+Q70+R70)</f>
        <v/>
      </c>
    </row>
    <row r="71">
      <c r="A71" s="2" t="inlineStr">
        <is>
          <t>EJ310123.TXT</t>
        </is>
      </c>
      <c r="B71" s="3" t="inlineStr">
        <is>
          <t>004586</t>
        </is>
      </c>
      <c r="C71" s="3" t="inlineStr">
        <is>
          <t>003631</t>
        </is>
      </c>
      <c r="D71" s="4" t="n">
        <v>44946</v>
      </c>
      <c r="E71" s="2" t="inlineStr">
        <is>
          <t>18:22</t>
        </is>
      </c>
      <c r="F71" s="5" t="n">
        <v>483.33</v>
      </c>
      <c r="G71" s="5" t="n"/>
      <c r="H71" s="5" t="n"/>
      <c r="I71" s="5" t="n"/>
      <c r="J71" s="5" t="n">
        <v>96.67</v>
      </c>
      <c r="K71" s="5" t="n"/>
      <c r="L71" s="5" t="n"/>
      <c r="M71" s="5" t="n"/>
      <c r="N71" s="5" t="n"/>
      <c r="O71" s="5" t="n">
        <v>580</v>
      </c>
      <c r="P71" s="5" t="n"/>
      <c r="Q71" s="5" t="n">
        <v>580</v>
      </c>
      <c r="R71" s="5" t="n"/>
      <c r="S71" s="5">
        <f>F71*20%</f>
        <v/>
      </c>
      <c r="T71" s="5">
        <f>J71-S71</f>
        <v/>
      </c>
      <c r="U71" s="5">
        <f>F71+J71</f>
        <v/>
      </c>
      <c r="V71" s="5">
        <f>O71-U71</f>
        <v/>
      </c>
      <c r="W71" s="5">
        <f>O71-(P71+R71)</f>
        <v/>
      </c>
      <c r="X71" s="5">
        <f>O71-(P71+Q71+R71)</f>
        <v/>
      </c>
    </row>
    <row r="72">
      <c r="A72" s="2" t="inlineStr">
        <is>
          <t>EJ310123.TXT</t>
        </is>
      </c>
      <c r="B72" s="3" t="inlineStr">
        <is>
          <t>004587</t>
        </is>
      </c>
      <c r="C72" s="3" t="inlineStr">
        <is>
          <t>003632</t>
        </is>
      </c>
      <c r="D72" s="4" t="n">
        <v>44947</v>
      </c>
      <c r="E72" s="2" t="inlineStr">
        <is>
          <t>15:25</t>
        </is>
      </c>
      <c r="F72" s="5" t="n">
        <v>2100</v>
      </c>
      <c r="G72" s="5" t="n"/>
      <c r="H72" s="5" t="n"/>
      <c r="I72" s="5" t="n"/>
      <c r="J72" s="5" t="n">
        <v>420</v>
      </c>
      <c r="K72" s="5" t="n"/>
      <c r="L72" s="5" t="n"/>
      <c r="M72" s="5" t="n"/>
      <c r="N72" s="5" t="n"/>
      <c r="O72" s="5" t="n">
        <v>2520</v>
      </c>
      <c r="P72" s="5" t="n">
        <v>2520</v>
      </c>
      <c r="Q72" s="5" t="n"/>
      <c r="R72" s="5" t="n"/>
      <c r="S72" s="5">
        <f>F72*20%</f>
        <v/>
      </c>
      <c r="T72" s="5">
        <f>J72-S72</f>
        <v/>
      </c>
      <c r="U72" s="5">
        <f>F72+J72</f>
        <v/>
      </c>
      <c r="V72" s="5">
        <f>O72-U72</f>
        <v/>
      </c>
      <c r="W72" s="5">
        <f>O72-(P72+R72)</f>
        <v/>
      </c>
      <c r="X72" s="5">
        <f>O72-(P72+Q72+R72)</f>
        <v/>
      </c>
    </row>
    <row r="73">
      <c r="A73" s="2" t="inlineStr">
        <is>
          <t>EJ310123.TXT</t>
        </is>
      </c>
      <c r="B73" s="3" t="inlineStr">
        <is>
          <t>004588</t>
        </is>
      </c>
      <c r="C73" s="3" t="inlineStr">
        <is>
          <t>003633</t>
        </is>
      </c>
      <c r="D73" s="4" t="n">
        <v>44947</v>
      </c>
      <c r="E73" s="2" t="inlineStr">
        <is>
          <t>15:37</t>
        </is>
      </c>
      <c r="F73" s="5" t="n">
        <v>494.17</v>
      </c>
      <c r="G73" s="5" t="n"/>
      <c r="H73" s="5" t="n"/>
      <c r="I73" s="5" t="n"/>
      <c r="J73" s="5" t="n">
        <v>98.83</v>
      </c>
      <c r="K73" s="5" t="n"/>
      <c r="L73" s="5" t="n"/>
      <c r="M73" s="5" t="n"/>
      <c r="N73" s="5" t="n"/>
      <c r="O73" s="5" t="n">
        <v>593</v>
      </c>
      <c r="P73" s="5" t="n"/>
      <c r="Q73" s="5" t="n">
        <v>593</v>
      </c>
      <c r="R73" s="5" t="n"/>
      <c r="S73" s="5">
        <f>F73*20%</f>
        <v/>
      </c>
      <c r="T73" s="5">
        <f>J73-S73</f>
        <v/>
      </c>
      <c r="U73" s="5">
        <f>F73+J73</f>
        <v/>
      </c>
      <c r="V73" s="5">
        <f>O73-U73</f>
        <v/>
      </c>
      <c r="W73" s="5">
        <f>O73-(P73+R73)</f>
        <v/>
      </c>
      <c r="X73" s="5">
        <f>O73-(P73+Q73+R73)</f>
        <v/>
      </c>
    </row>
    <row r="74">
      <c r="A74" s="2" t="inlineStr">
        <is>
          <t>EJ310123.TXT</t>
        </is>
      </c>
      <c r="B74" s="3" t="inlineStr">
        <is>
          <t>004589</t>
        </is>
      </c>
      <c r="C74" s="3" t="inlineStr">
        <is>
          <t>003634</t>
        </is>
      </c>
      <c r="D74" s="4" t="n">
        <v>44947</v>
      </c>
      <c r="E74" s="2" t="inlineStr">
        <is>
          <t>15:40</t>
        </is>
      </c>
      <c r="F74" s="5" t="n">
        <v>747.5</v>
      </c>
      <c r="G74" s="5" t="n"/>
      <c r="H74" s="5" t="n"/>
      <c r="I74" s="5" t="n"/>
      <c r="J74" s="5" t="n">
        <v>149.5</v>
      </c>
      <c r="K74" s="5" t="n"/>
      <c r="L74" s="5" t="n"/>
      <c r="M74" s="5" t="n"/>
      <c r="N74" s="5" t="n"/>
      <c r="O74" s="5" t="n">
        <v>897</v>
      </c>
      <c r="P74" s="5" t="n"/>
      <c r="Q74" s="5" t="n">
        <v>897</v>
      </c>
      <c r="R74" s="5" t="n"/>
      <c r="S74" s="5">
        <f>F74*20%</f>
        <v/>
      </c>
      <c r="T74" s="5">
        <f>J74-S74</f>
        <v/>
      </c>
      <c r="U74" s="5">
        <f>F74+J74</f>
        <v/>
      </c>
      <c r="V74" s="5">
        <f>O74-U74</f>
        <v/>
      </c>
      <c r="W74" s="5">
        <f>O74-(P74+R74)</f>
        <v/>
      </c>
      <c r="X74" s="5">
        <f>O74-(P74+Q74+R74)</f>
        <v/>
      </c>
    </row>
    <row r="75">
      <c r="A75" s="2" t="inlineStr">
        <is>
          <t>EJ310123.TXT</t>
        </is>
      </c>
      <c r="B75" s="3" t="inlineStr">
        <is>
          <t>004590</t>
        </is>
      </c>
      <c r="C75" s="3" t="inlineStr">
        <is>
          <t>003635</t>
        </is>
      </c>
      <c r="D75" s="4" t="n">
        <v>44947</v>
      </c>
      <c r="E75" s="2" t="inlineStr">
        <is>
          <t>15:44</t>
        </is>
      </c>
      <c r="F75" s="5" t="n">
        <v>747.5</v>
      </c>
      <c r="G75" s="5" t="n"/>
      <c r="H75" s="5" t="n"/>
      <c r="I75" s="5" t="n"/>
      <c r="J75" s="5" t="n">
        <v>149.5</v>
      </c>
      <c r="K75" s="5" t="n"/>
      <c r="L75" s="5" t="n"/>
      <c r="M75" s="5" t="n"/>
      <c r="N75" s="5" t="n"/>
      <c r="O75" s="5" t="n">
        <v>897</v>
      </c>
      <c r="P75" s="5" t="n"/>
      <c r="Q75" s="5" t="n">
        <v>897</v>
      </c>
      <c r="R75" s="5" t="n"/>
      <c r="S75" s="5">
        <f>F75*20%</f>
        <v/>
      </c>
      <c r="T75" s="5">
        <f>J75-S75</f>
        <v/>
      </c>
      <c r="U75" s="5">
        <f>F75+J75</f>
        <v/>
      </c>
      <c r="V75" s="5">
        <f>O75-U75</f>
        <v/>
      </c>
      <c r="W75" s="5">
        <f>O75-(P75+R75)</f>
        <v/>
      </c>
      <c r="X75" s="5">
        <f>O75-(P75+Q75+R75)</f>
        <v/>
      </c>
    </row>
    <row r="76">
      <c r="A76" s="2" t="inlineStr">
        <is>
          <t>EJ310123.TXT</t>
        </is>
      </c>
      <c r="B76" s="3" t="inlineStr">
        <is>
          <t>004591</t>
        </is>
      </c>
      <c r="C76" s="3" t="inlineStr">
        <is>
          <t>003636</t>
        </is>
      </c>
      <c r="D76" s="4" t="n">
        <v>44947</v>
      </c>
      <c r="E76" s="2" t="inlineStr">
        <is>
          <t>15:46</t>
        </is>
      </c>
      <c r="F76" s="5" t="n">
        <v>498.33</v>
      </c>
      <c r="G76" s="5" t="n"/>
      <c r="H76" s="5" t="n"/>
      <c r="I76" s="5" t="n"/>
      <c r="J76" s="5" t="n">
        <v>99.67</v>
      </c>
      <c r="K76" s="5" t="n"/>
      <c r="L76" s="5" t="n"/>
      <c r="M76" s="5" t="n"/>
      <c r="N76" s="5" t="n"/>
      <c r="O76" s="5" t="n">
        <v>598</v>
      </c>
      <c r="P76" s="5" t="n"/>
      <c r="Q76" s="5" t="n">
        <v>598</v>
      </c>
      <c r="R76" s="5" t="n"/>
      <c r="S76" s="5">
        <f>F76*20%</f>
        <v/>
      </c>
      <c r="T76" s="5">
        <f>J76-S76</f>
        <v/>
      </c>
      <c r="U76" s="5">
        <f>F76+J76</f>
        <v/>
      </c>
      <c r="V76" s="5">
        <f>O76-U76</f>
        <v/>
      </c>
      <c r="W76" s="5">
        <f>O76-(P76+R76)</f>
        <v/>
      </c>
      <c r="X76" s="5">
        <f>O76-(P76+Q76+R76)</f>
        <v/>
      </c>
    </row>
    <row r="77">
      <c r="A77" s="2" t="inlineStr">
        <is>
          <t>EJ310123.TXT</t>
        </is>
      </c>
      <c r="B77" s="3" t="inlineStr">
        <is>
          <t>004592</t>
        </is>
      </c>
      <c r="C77" s="3" t="inlineStr">
        <is>
          <t>003637</t>
        </is>
      </c>
      <c r="D77" s="4" t="n">
        <v>44947</v>
      </c>
      <c r="E77" s="2" t="inlineStr">
        <is>
          <t>15:47</t>
        </is>
      </c>
      <c r="F77" s="5" t="n">
        <v>725</v>
      </c>
      <c r="G77" s="5" t="n"/>
      <c r="H77" s="5" t="n"/>
      <c r="I77" s="5" t="n"/>
      <c r="J77" s="5" t="n">
        <v>145</v>
      </c>
      <c r="K77" s="5" t="n"/>
      <c r="L77" s="5" t="n"/>
      <c r="M77" s="5" t="n"/>
      <c r="N77" s="5" t="n"/>
      <c r="O77" s="5" t="n">
        <v>870</v>
      </c>
      <c r="P77" s="5" t="n"/>
      <c r="Q77" s="5" t="n">
        <v>870</v>
      </c>
      <c r="R77" s="5" t="n"/>
      <c r="S77" s="5">
        <f>F77*20%</f>
        <v/>
      </c>
      <c r="T77" s="5">
        <f>J77-S77</f>
        <v/>
      </c>
      <c r="U77" s="5">
        <f>F77+J77</f>
        <v/>
      </c>
      <c r="V77" s="5">
        <f>O77-U77</f>
        <v/>
      </c>
      <c r="W77" s="5">
        <f>O77-(P77+R77)</f>
        <v/>
      </c>
      <c r="X77" s="5">
        <f>O77-(P77+Q77+R77)</f>
        <v/>
      </c>
    </row>
    <row r="78">
      <c r="A78" s="2" t="inlineStr">
        <is>
          <t>EJ310123.TXT</t>
        </is>
      </c>
      <c r="B78" s="3" t="inlineStr">
        <is>
          <t>004593</t>
        </is>
      </c>
      <c r="C78" s="3" t="inlineStr">
        <is>
          <t>003638</t>
        </is>
      </c>
      <c r="D78" s="4" t="n">
        <v>44947</v>
      </c>
      <c r="E78" s="2" t="inlineStr">
        <is>
          <t>15:48</t>
        </is>
      </c>
      <c r="F78" s="5" t="n">
        <v>702.5</v>
      </c>
      <c r="G78" s="5" t="n"/>
      <c r="H78" s="5" t="n"/>
      <c r="I78" s="5" t="n"/>
      <c r="J78" s="5" t="n">
        <v>140.5</v>
      </c>
      <c r="K78" s="5" t="n"/>
      <c r="L78" s="5" t="n"/>
      <c r="M78" s="5" t="n"/>
      <c r="N78" s="5" t="n"/>
      <c r="O78" s="5" t="n">
        <v>843</v>
      </c>
      <c r="P78" s="5" t="n"/>
      <c r="Q78" s="5" t="n">
        <v>843</v>
      </c>
      <c r="R78" s="5" t="n"/>
      <c r="S78" s="5">
        <f>F78*20%</f>
        <v/>
      </c>
      <c r="T78" s="5">
        <f>J78-S78</f>
        <v/>
      </c>
      <c r="U78" s="5">
        <f>F78+J78</f>
        <v/>
      </c>
      <c r="V78" s="5">
        <f>O78-U78</f>
        <v/>
      </c>
      <c r="W78" s="5">
        <f>O78-(P78+R78)</f>
        <v/>
      </c>
      <c r="X78" s="5">
        <f>O78-(P78+Q78+R78)</f>
        <v/>
      </c>
    </row>
    <row r="79">
      <c r="A79" s="2" t="inlineStr">
        <is>
          <t>EJ310123.TXT</t>
        </is>
      </c>
      <c r="B79" s="3" t="inlineStr">
        <is>
          <t>004594</t>
        </is>
      </c>
      <c r="C79" s="3" t="inlineStr">
        <is>
          <t>003639</t>
        </is>
      </c>
      <c r="D79" s="4" t="n">
        <v>44947</v>
      </c>
      <c r="E79" s="2" t="inlineStr">
        <is>
          <t>15:49</t>
        </is>
      </c>
      <c r="F79" s="5" t="n">
        <v>226.67</v>
      </c>
      <c r="G79" s="5" t="n"/>
      <c r="H79" s="5" t="n"/>
      <c r="I79" s="5" t="n"/>
      <c r="J79" s="5" t="n">
        <v>45.33</v>
      </c>
      <c r="K79" s="5" t="n"/>
      <c r="L79" s="5" t="n"/>
      <c r="M79" s="5" t="n"/>
      <c r="N79" s="5" t="n"/>
      <c r="O79" s="5" t="n">
        <v>272</v>
      </c>
      <c r="P79" s="5" t="n"/>
      <c r="Q79" s="5" t="n">
        <v>272</v>
      </c>
      <c r="R79" s="5" t="n"/>
      <c r="S79" s="5">
        <f>F79*20%</f>
        <v/>
      </c>
      <c r="T79" s="5">
        <f>J79-S79</f>
        <v/>
      </c>
      <c r="U79" s="5">
        <f>F79+J79</f>
        <v/>
      </c>
      <c r="V79" s="5">
        <f>O79-U79</f>
        <v/>
      </c>
      <c r="W79" s="5">
        <f>O79-(P79+R79)</f>
        <v/>
      </c>
      <c r="X79" s="5">
        <f>O79-(P79+Q79+R79)</f>
        <v/>
      </c>
    </row>
    <row r="80">
      <c r="A80" s="2" t="inlineStr">
        <is>
          <t>EJ310123.TXT</t>
        </is>
      </c>
      <c r="B80" s="3" t="inlineStr">
        <is>
          <t>004595</t>
        </is>
      </c>
      <c r="C80" s="3" t="inlineStr">
        <is>
          <t>003640</t>
        </is>
      </c>
      <c r="D80" s="4" t="n">
        <v>44947</v>
      </c>
      <c r="E80" s="2" t="inlineStr">
        <is>
          <t>16:04</t>
        </is>
      </c>
      <c r="F80" s="5" t="n">
        <v>582.5</v>
      </c>
      <c r="G80" s="5" t="n"/>
      <c r="H80" s="5" t="n"/>
      <c r="I80" s="5" t="n"/>
      <c r="J80" s="5" t="n">
        <v>116.5</v>
      </c>
      <c r="K80" s="5" t="n"/>
      <c r="L80" s="5" t="n"/>
      <c r="M80" s="5" t="n"/>
      <c r="N80" s="5" t="n"/>
      <c r="O80" s="5" t="n">
        <v>699</v>
      </c>
      <c r="P80" s="5" t="n"/>
      <c r="Q80" s="5" t="n">
        <v>699</v>
      </c>
      <c r="R80" s="5" t="n"/>
      <c r="S80" s="5">
        <f>F80*20%</f>
        <v/>
      </c>
      <c r="T80" s="5">
        <f>J80-S80</f>
        <v/>
      </c>
      <c r="U80" s="5">
        <f>F80+J80</f>
        <v/>
      </c>
      <c r="V80" s="5">
        <f>O80-U80</f>
        <v/>
      </c>
      <c r="W80" s="5">
        <f>O80-(P80+R80)</f>
        <v/>
      </c>
      <c r="X80" s="5">
        <f>O80-(P80+Q80+R80)</f>
        <v/>
      </c>
    </row>
    <row r="81">
      <c r="A81" s="2" t="inlineStr">
        <is>
          <t>EJ310123.TXT</t>
        </is>
      </c>
      <c r="B81" s="3" t="inlineStr">
        <is>
          <t>004596</t>
        </is>
      </c>
      <c r="C81" s="3" t="inlineStr">
        <is>
          <t>003641</t>
        </is>
      </c>
      <c r="D81" s="4" t="n">
        <v>44947</v>
      </c>
      <c r="E81" s="2" t="inlineStr">
        <is>
          <t>16:52</t>
        </is>
      </c>
      <c r="F81" s="5" t="n">
        <v>175</v>
      </c>
      <c r="G81" s="5" t="n"/>
      <c r="H81" s="5" t="n"/>
      <c r="I81" s="5" t="n"/>
      <c r="J81" s="5" t="n">
        <v>35</v>
      </c>
      <c r="K81" s="5" t="n"/>
      <c r="L81" s="5" t="n"/>
      <c r="M81" s="5" t="n"/>
      <c r="N81" s="5" t="n"/>
      <c r="O81" s="5" t="n">
        <v>210</v>
      </c>
      <c r="P81" s="5" t="n">
        <v>210</v>
      </c>
      <c r="Q81" s="5" t="n"/>
      <c r="R81" s="5" t="n"/>
      <c r="S81" s="5">
        <f>F81*20%</f>
        <v/>
      </c>
      <c r="T81" s="5">
        <f>J81-S81</f>
        <v/>
      </c>
      <c r="U81" s="5">
        <f>F81+J81</f>
        <v/>
      </c>
      <c r="V81" s="5">
        <f>O81-U81</f>
        <v/>
      </c>
      <c r="W81" s="5">
        <f>O81-(P81+R81)</f>
        <v/>
      </c>
      <c r="X81" s="5">
        <f>O81-(P81+Q81+R81)</f>
        <v/>
      </c>
    </row>
    <row r="82">
      <c r="A82" s="2" t="inlineStr">
        <is>
          <t>EJ310123.TXT</t>
        </is>
      </c>
      <c r="B82" s="3" t="inlineStr">
        <is>
          <t>004597</t>
        </is>
      </c>
      <c r="C82" s="3" t="inlineStr">
        <is>
          <t>003642</t>
        </is>
      </c>
      <c r="D82" s="4" t="n">
        <v>44947</v>
      </c>
      <c r="E82" s="2" t="inlineStr">
        <is>
          <t>18:18</t>
        </is>
      </c>
      <c r="F82" s="5" t="n">
        <v>249.17</v>
      </c>
      <c r="G82" s="5" t="n"/>
      <c r="H82" s="5" t="n"/>
      <c r="I82" s="5" t="n"/>
      <c r="J82" s="5" t="n">
        <v>49.83</v>
      </c>
      <c r="K82" s="5" t="n"/>
      <c r="L82" s="5" t="n"/>
      <c r="M82" s="5" t="n"/>
      <c r="N82" s="5" t="n"/>
      <c r="O82" s="5" t="n">
        <v>299</v>
      </c>
      <c r="P82" s="5" t="n"/>
      <c r="Q82" s="5" t="n">
        <v>299</v>
      </c>
      <c r="R82" s="5" t="n"/>
      <c r="S82" s="5">
        <f>F82*20%</f>
        <v/>
      </c>
      <c r="T82" s="5">
        <f>J82-S82</f>
        <v/>
      </c>
      <c r="U82" s="5">
        <f>F82+J82</f>
        <v/>
      </c>
      <c r="V82" s="5">
        <f>O82-U82</f>
        <v/>
      </c>
      <c r="W82" s="5">
        <f>O82-(P82+R82)</f>
        <v/>
      </c>
      <c r="X82" s="5">
        <f>O82-(P82+Q82+R82)</f>
        <v/>
      </c>
    </row>
    <row r="83">
      <c r="A83" s="2" t="inlineStr">
        <is>
          <t>EJ310123.TXT</t>
        </is>
      </c>
      <c r="B83" s="3" t="inlineStr">
        <is>
          <t>004598</t>
        </is>
      </c>
      <c r="C83" s="3" t="inlineStr">
        <is>
          <t>003643</t>
        </is>
      </c>
      <c r="D83" s="4" t="n">
        <v>44947</v>
      </c>
      <c r="E83" s="2" t="inlineStr">
        <is>
          <t>18:40</t>
        </is>
      </c>
      <c r="F83" s="5" t="n">
        <v>1245.83</v>
      </c>
      <c r="G83" s="5" t="n"/>
      <c r="H83" s="5" t="n"/>
      <c r="I83" s="5" t="n"/>
      <c r="J83" s="5" t="n">
        <v>249.17</v>
      </c>
      <c r="K83" s="5" t="n"/>
      <c r="L83" s="5" t="n"/>
      <c r="M83" s="5" t="n"/>
      <c r="N83" s="5" t="n"/>
      <c r="O83" s="5" t="n">
        <v>1495</v>
      </c>
      <c r="P83" s="5" t="n">
        <v>1495</v>
      </c>
      <c r="Q83" s="5" t="n"/>
      <c r="R83" s="5" t="n"/>
      <c r="S83" s="5">
        <f>F83*20%</f>
        <v/>
      </c>
      <c r="T83" s="5">
        <f>J83-S83</f>
        <v/>
      </c>
      <c r="U83" s="5">
        <f>F83+J83</f>
        <v/>
      </c>
      <c r="V83" s="5">
        <f>O83-U83</f>
        <v/>
      </c>
      <c r="W83" s="5">
        <f>O83-(P83+R83)</f>
        <v/>
      </c>
      <c r="X83" s="5">
        <f>O83-(P83+Q83+R83)</f>
        <v/>
      </c>
    </row>
    <row r="84">
      <c r="A84" s="2" t="inlineStr">
        <is>
          <t>EJ310123.TXT</t>
        </is>
      </c>
      <c r="B84" s="3" t="inlineStr">
        <is>
          <t>004599</t>
        </is>
      </c>
      <c r="C84" s="3" t="inlineStr">
        <is>
          <t>003644</t>
        </is>
      </c>
      <c r="D84" s="4" t="n">
        <v>44949</v>
      </c>
      <c r="E84" s="2" t="inlineStr">
        <is>
          <t>14:44</t>
        </is>
      </c>
      <c r="F84" s="5" t="n">
        <v>747.5</v>
      </c>
      <c r="G84" s="5" t="n"/>
      <c r="H84" s="5" t="n"/>
      <c r="I84" s="5" t="n"/>
      <c r="J84" s="5" t="n">
        <v>149.5</v>
      </c>
      <c r="K84" s="5" t="n"/>
      <c r="L84" s="5" t="n"/>
      <c r="M84" s="5" t="n"/>
      <c r="N84" s="5" t="n"/>
      <c r="O84" s="5" t="n">
        <v>897</v>
      </c>
      <c r="P84" s="5" t="n"/>
      <c r="Q84" s="5" t="n">
        <v>897</v>
      </c>
      <c r="R84" s="5" t="n"/>
      <c r="S84" s="5">
        <f>F84*20%</f>
        <v/>
      </c>
      <c r="T84" s="5">
        <f>J84-S84</f>
        <v/>
      </c>
      <c r="U84" s="5">
        <f>F84+J84</f>
        <v/>
      </c>
      <c r="V84" s="5">
        <f>O84-U84</f>
        <v/>
      </c>
      <c r="W84" s="5">
        <f>O84-(P84+R84)</f>
        <v/>
      </c>
      <c r="X84" s="5">
        <f>O84-(P84+Q84+R84)</f>
        <v/>
      </c>
    </row>
    <row r="85">
      <c r="A85" s="2" t="inlineStr">
        <is>
          <t>EJ310123.TXT</t>
        </is>
      </c>
      <c r="B85" s="3" t="inlineStr">
        <is>
          <t>004600</t>
        </is>
      </c>
      <c r="C85" s="3" t="inlineStr">
        <is>
          <t>003645</t>
        </is>
      </c>
      <c r="D85" s="4" t="n">
        <v>44949</v>
      </c>
      <c r="E85" s="2" t="inlineStr">
        <is>
          <t>14:45</t>
        </is>
      </c>
      <c r="F85" s="5" t="n">
        <v>747.5</v>
      </c>
      <c r="G85" s="5" t="n"/>
      <c r="H85" s="5" t="n"/>
      <c r="I85" s="5" t="n"/>
      <c r="J85" s="5" t="n">
        <v>149.5</v>
      </c>
      <c r="K85" s="5" t="n"/>
      <c r="L85" s="5" t="n"/>
      <c r="M85" s="5" t="n"/>
      <c r="N85" s="5" t="n"/>
      <c r="O85" s="5" t="n">
        <v>897</v>
      </c>
      <c r="P85" s="5" t="n"/>
      <c r="Q85" s="5" t="n">
        <v>897</v>
      </c>
      <c r="R85" s="5" t="n"/>
      <c r="S85" s="5">
        <f>F85*20%</f>
        <v/>
      </c>
      <c r="T85" s="5">
        <f>J85-S85</f>
        <v/>
      </c>
      <c r="U85" s="5">
        <f>F85+J85</f>
        <v/>
      </c>
      <c r="V85" s="5">
        <f>O85-U85</f>
        <v/>
      </c>
      <c r="W85" s="5">
        <f>O85-(P85+R85)</f>
        <v/>
      </c>
      <c r="X85" s="5">
        <f>O85-(P85+Q85+R85)</f>
        <v/>
      </c>
    </row>
    <row r="86">
      <c r="A86" s="2" t="inlineStr">
        <is>
          <t>EJ310123.TXT</t>
        </is>
      </c>
      <c r="B86" s="3" t="inlineStr">
        <is>
          <t>004601</t>
        </is>
      </c>
      <c r="C86" s="3" t="inlineStr">
        <is>
          <t>003646</t>
        </is>
      </c>
      <c r="D86" s="4" t="n">
        <v>44949</v>
      </c>
      <c r="E86" s="2" t="inlineStr">
        <is>
          <t>15:36</t>
        </is>
      </c>
      <c r="F86" s="5" t="n">
        <v>156.67</v>
      </c>
      <c r="G86" s="5" t="n"/>
      <c r="H86" s="5" t="n"/>
      <c r="I86" s="5" t="n"/>
      <c r="J86" s="5" t="n">
        <v>31.33</v>
      </c>
      <c r="K86" s="5" t="n"/>
      <c r="L86" s="5" t="n"/>
      <c r="M86" s="5" t="n"/>
      <c r="N86" s="5" t="n"/>
      <c r="O86" s="5" t="n">
        <v>188</v>
      </c>
      <c r="P86" s="5" t="n"/>
      <c r="Q86" s="5" t="n">
        <v>188</v>
      </c>
      <c r="R86" s="5" t="n"/>
      <c r="S86" s="5">
        <f>F86*20%</f>
        <v/>
      </c>
      <c r="T86" s="5">
        <f>J86-S86</f>
        <v/>
      </c>
      <c r="U86" s="5">
        <f>F86+J86</f>
        <v/>
      </c>
      <c r="V86" s="5">
        <f>O86-U86</f>
        <v/>
      </c>
      <c r="W86" s="5">
        <f>O86-(P86+R86)</f>
        <v/>
      </c>
      <c r="X86" s="5">
        <f>O86-(P86+Q86+R86)</f>
        <v/>
      </c>
    </row>
    <row r="87">
      <c r="A87" s="2" t="inlineStr">
        <is>
          <t>EJ310123.TXT</t>
        </is>
      </c>
      <c r="B87" s="3" t="inlineStr">
        <is>
          <t>004602</t>
        </is>
      </c>
      <c r="C87" s="3" t="inlineStr">
        <is>
          <t>003647</t>
        </is>
      </c>
      <c r="D87" s="4" t="n">
        <v>44949</v>
      </c>
      <c r="E87" s="2" t="inlineStr">
        <is>
          <t>15:36</t>
        </is>
      </c>
      <c r="F87" s="5" t="n">
        <v>725</v>
      </c>
      <c r="G87" s="5" t="n"/>
      <c r="H87" s="5" t="n"/>
      <c r="I87" s="5" t="n"/>
      <c r="J87" s="5" t="n">
        <v>145</v>
      </c>
      <c r="K87" s="5" t="n"/>
      <c r="L87" s="5" t="n"/>
      <c r="M87" s="5" t="n"/>
      <c r="N87" s="5" t="n"/>
      <c r="O87" s="5" t="n">
        <v>870</v>
      </c>
      <c r="P87" s="5" t="n"/>
      <c r="Q87" s="5" t="n">
        <v>870</v>
      </c>
      <c r="R87" s="5" t="n"/>
      <c r="S87" s="5">
        <f>F87*20%</f>
        <v/>
      </c>
      <c r="T87" s="5">
        <f>J87-S87</f>
        <v/>
      </c>
      <c r="U87" s="5">
        <f>F87+J87</f>
        <v/>
      </c>
      <c r="V87" s="5">
        <f>O87-U87</f>
        <v/>
      </c>
      <c r="W87" s="5">
        <f>O87-(P87+R87)</f>
        <v/>
      </c>
      <c r="X87" s="5">
        <f>O87-(P87+Q87+R87)</f>
        <v/>
      </c>
    </row>
    <row r="88">
      <c r="A88" s="2" t="inlineStr">
        <is>
          <t>EJ310123.TXT</t>
        </is>
      </c>
      <c r="B88" s="3" t="inlineStr">
        <is>
          <t>004603</t>
        </is>
      </c>
      <c r="C88" s="3" t="inlineStr">
        <is>
          <t>003648</t>
        </is>
      </c>
      <c r="D88" s="4" t="n">
        <v>44949</v>
      </c>
      <c r="E88" s="2" t="inlineStr">
        <is>
          <t>15:36</t>
        </is>
      </c>
      <c r="F88" s="5" t="n">
        <v>241.67</v>
      </c>
      <c r="G88" s="5" t="n"/>
      <c r="H88" s="5" t="n"/>
      <c r="I88" s="5" t="n"/>
      <c r="J88" s="5" t="n">
        <v>48.33</v>
      </c>
      <c r="K88" s="5" t="n"/>
      <c r="L88" s="5" t="n"/>
      <c r="M88" s="5" t="n"/>
      <c r="N88" s="5" t="n"/>
      <c r="O88" s="5" t="n">
        <v>290</v>
      </c>
      <c r="P88" s="5" t="n"/>
      <c r="Q88" s="5" t="n">
        <v>290</v>
      </c>
      <c r="R88" s="5" t="n"/>
      <c r="S88" s="5">
        <f>F88*20%</f>
        <v/>
      </c>
      <c r="T88" s="5">
        <f>J88-S88</f>
        <v/>
      </c>
      <c r="U88" s="5">
        <f>F88+J88</f>
        <v/>
      </c>
      <c r="V88" s="5">
        <f>O88-U88</f>
        <v/>
      </c>
      <c r="W88" s="5">
        <f>O88-(P88+R88)</f>
        <v/>
      </c>
      <c r="X88" s="5">
        <f>O88-(P88+Q88+R88)</f>
        <v/>
      </c>
    </row>
    <row r="89">
      <c r="A89" s="2" t="inlineStr">
        <is>
          <t>EJ310123.TXT</t>
        </is>
      </c>
      <c r="B89" s="3" t="inlineStr">
        <is>
          <t>004604</t>
        </is>
      </c>
      <c r="C89" s="3" t="inlineStr">
        <is>
          <t>003649</t>
        </is>
      </c>
      <c r="D89" s="4" t="n">
        <v>44949</v>
      </c>
      <c r="E89" s="2" t="inlineStr">
        <is>
          <t>15:36</t>
        </is>
      </c>
      <c r="F89" s="5" t="n">
        <v>483.33</v>
      </c>
      <c r="G89" s="5" t="n"/>
      <c r="H89" s="5" t="n"/>
      <c r="I89" s="5" t="n"/>
      <c r="J89" s="5" t="n">
        <v>96.67</v>
      </c>
      <c r="K89" s="5" t="n"/>
      <c r="L89" s="5" t="n"/>
      <c r="M89" s="5" t="n"/>
      <c r="N89" s="5" t="n"/>
      <c r="O89" s="5" t="n">
        <v>580</v>
      </c>
      <c r="P89" s="5" t="n"/>
      <c r="Q89" s="5" t="n">
        <v>580</v>
      </c>
      <c r="R89" s="5" t="n"/>
      <c r="S89" s="5">
        <f>F89*20%</f>
        <v/>
      </c>
      <c r="T89" s="5">
        <f>J89-S89</f>
        <v/>
      </c>
      <c r="U89" s="5">
        <f>F89+J89</f>
        <v/>
      </c>
      <c r="V89" s="5">
        <f>O89-U89</f>
        <v/>
      </c>
      <c r="W89" s="5">
        <f>O89-(P89+R89)</f>
        <v/>
      </c>
      <c r="X89" s="5">
        <f>O89-(P89+Q89+R89)</f>
        <v/>
      </c>
    </row>
    <row r="90">
      <c r="A90" s="2" t="inlineStr">
        <is>
          <t>EJ310123.TXT</t>
        </is>
      </c>
      <c r="B90" s="3" t="inlineStr">
        <is>
          <t>004605</t>
        </is>
      </c>
      <c r="C90" s="3" t="inlineStr">
        <is>
          <t>003650</t>
        </is>
      </c>
      <c r="D90" s="4" t="n">
        <v>44949</v>
      </c>
      <c r="E90" s="2" t="inlineStr">
        <is>
          <t>17:28</t>
        </is>
      </c>
      <c r="F90" s="5" t="n">
        <v>115.83</v>
      </c>
      <c r="G90" s="5" t="n"/>
      <c r="H90" s="5" t="n"/>
      <c r="I90" s="5" t="n"/>
      <c r="J90" s="5" t="n">
        <v>23.17</v>
      </c>
      <c r="K90" s="5" t="n"/>
      <c r="L90" s="5" t="n"/>
      <c r="M90" s="5" t="n"/>
      <c r="N90" s="5" t="n"/>
      <c r="O90" s="5" t="n">
        <v>139</v>
      </c>
      <c r="P90" s="5" t="n"/>
      <c r="Q90" s="5" t="n">
        <v>139</v>
      </c>
      <c r="R90" s="5" t="n"/>
      <c r="S90" s="5">
        <f>F90*20%</f>
        <v/>
      </c>
      <c r="T90" s="5">
        <f>J90-S90</f>
        <v/>
      </c>
      <c r="U90" s="5">
        <f>F90+J90</f>
        <v/>
      </c>
      <c r="V90" s="5">
        <f>O90-U90</f>
        <v/>
      </c>
      <c r="W90" s="5">
        <f>O90-(P90+R90)</f>
        <v/>
      </c>
      <c r="X90" s="5">
        <f>O90-(P90+Q90+R90)</f>
        <v/>
      </c>
    </row>
    <row r="91">
      <c r="A91" s="2" t="inlineStr">
        <is>
          <t>EJ310123.TXT</t>
        </is>
      </c>
      <c r="B91" s="3" t="inlineStr">
        <is>
          <t>004606</t>
        </is>
      </c>
      <c r="C91" s="3" t="inlineStr">
        <is>
          <t>003651</t>
        </is>
      </c>
      <c r="D91" s="4" t="n">
        <v>44949</v>
      </c>
      <c r="E91" s="2" t="inlineStr">
        <is>
          <t>17:50</t>
        </is>
      </c>
      <c r="F91" s="5" t="n">
        <v>249.17</v>
      </c>
      <c r="G91" s="5" t="n"/>
      <c r="H91" s="5" t="n"/>
      <c r="I91" s="5" t="n"/>
      <c r="J91" s="5" t="n">
        <v>49.83</v>
      </c>
      <c r="K91" s="5" t="n"/>
      <c r="L91" s="5" t="n"/>
      <c r="M91" s="5" t="n"/>
      <c r="N91" s="5" t="n"/>
      <c r="O91" s="5" t="n">
        <v>299</v>
      </c>
      <c r="P91" s="5" t="n"/>
      <c r="Q91" s="5" t="n">
        <v>299</v>
      </c>
      <c r="R91" s="5" t="n"/>
      <c r="S91" s="5">
        <f>F91*20%</f>
        <v/>
      </c>
      <c r="T91" s="5">
        <f>J91-S91</f>
        <v/>
      </c>
      <c r="U91" s="5">
        <f>F91+J91</f>
        <v/>
      </c>
      <c r="V91" s="5">
        <f>O91-U91</f>
        <v/>
      </c>
      <c r="W91" s="5">
        <f>O91-(P91+R91)</f>
        <v/>
      </c>
      <c r="X91" s="5">
        <f>O91-(P91+Q91+R91)</f>
        <v/>
      </c>
    </row>
    <row r="92">
      <c r="A92" s="2" t="inlineStr">
        <is>
          <t>EJ310123.TXT</t>
        </is>
      </c>
      <c r="B92" s="3" t="inlineStr">
        <is>
          <t>004607</t>
        </is>
      </c>
      <c r="C92" s="3" t="inlineStr">
        <is>
          <t>003652</t>
        </is>
      </c>
      <c r="D92" s="4" t="n">
        <v>44950</v>
      </c>
      <c r="E92" s="2" t="inlineStr">
        <is>
          <t>12:25</t>
        </is>
      </c>
      <c r="F92" s="5" t="n">
        <v>747.5</v>
      </c>
      <c r="G92" s="5" t="n"/>
      <c r="H92" s="5" t="n"/>
      <c r="I92" s="5" t="n"/>
      <c r="J92" s="5" t="n">
        <v>149.5</v>
      </c>
      <c r="K92" s="5" t="n"/>
      <c r="L92" s="5" t="n"/>
      <c r="M92" s="5" t="n"/>
      <c r="N92" s="5" t="n"/>
      <c r="O92" s="5" t="n">
        <v>897</v>
      </c>
      <c r="P92" s="5" t="n"/>
      <c r="Q92" s="5" t="n">
        <v>897</v>
      </c>
      <c r="R92" s="5" t="n"/>
      <c r="S92" s="5">
        <f>F92*20%</f>
        <v/>
      </c>
      <c r="T92" s="5">
        <f>J92-S92</f>
        <v/>
      </c>
      <c r="U92" s="5">
        <f>F92+J92</f>
        <v/>
      </c>
      <c r="V92" s="5">
        <f>O92-U92</f>
        <v/>
      </c>
      <c r="W92" s="5">
        <f>O92-(P92+R92)</f>
        <v/>
      </c>
      <c r="X92" s="5">
        <f>O92-(P92+Q92+R92)</f>
        <v/>
      </c>
    </row>
    <row r="93">
      <c r="A93" s="2" t="inlineStr">
        <is>
          <t>EJ310123.TXT</t>
        </is>
      </c>
      <c r="B93" s="3" t="inlineStr">
        <is>
          <t>004608</t>
        </is>
      </c>
      <c r="C93" s="3" t="inlineStr">
        <is>
          <t>003653</t>
        </is>
      </c>
      <c r="D93" s="4" t="n">
        <v>44950</v>
      </c>
      <c r="E93" s="2" t="inlineStr">
        <is>
          <t>12:27</t>
        </is>
      </c>
      <c r="F93" s="5" t="n">
        <v>747.5</v>
      </c>
      <c r="G93" s="5" t="n"/>
      <c r="H93" s="5" t="n"/>
      <c r="I93" s="5" t="n"/>
      <c r="J93" s="5" t="n">
        <v>149.5</v>
      </c>
      <c r="K93" s="5" t="n"/>
      <c r="L93" s="5" t="n"/>
      <c r="M93" s="5" t="n"/>
      <c r="N93" s="5" t="n"/>
      <c r="O93" s="5" t="n">
        <v>897</v>
      </c>
      <c r="P93" s="5" t="n"/>
      <c r="Q93" s="5" t="n">
        <v>897</v>
      </c>
      <c r="R93" s="5" t="n"/>
      <c r="S93" s="5">
        <f>F93*20%</f>
        <v/>
      </c>
      <c r="T93" s="5">
        <f>J93-S93</f>
        <v/>
      </c>
      <c r="U93" s="5">
        <f>F93+J93</f>
        <v/>
      </c>
      <c r="V93" s="5">
        <f>O93-U93</f>
        <v/>
      </c>
      <c r="W93" s="5">
        <f>O93-(P93+R93)</f>
        <v/>
      </c>
      <c r="X93" s="5">
        <f>O93-(P93+Q93+R93)</f>
        <v/>
      </c>
    </row>
    <row r="94">
      <c r="A94" s="2" t="inlineStr">
        <is>
          <t>EJ310123.TXT</t>
        </is>
      </c>
      <c r="B94" s="3" t="inlineStr">
        <is>
          <t>004609</t>
        </is>
      </c>
      <c r="C94" s="3" t="inlineStr">
        <is>
          <t>003654</t>
        </is>
      </c>
      <c r="D94" s="4" t="n">
        <v>44950</v>
      </c>
      <c r="E94" s="2" t="inlineStr">
        <is>
          <t>12:27</t>
        </is>
      </c>
      <c r="F94" s="5" t="n">
        <v>747.5</v>
      </c>
      <c r="G94" s="5" t="n"/>
      <c r="H94" s="5" t="n"/>
      <c r="I94" s="5" t="n"/>
      <c r="J94" s="5" t="n">
        <v>149.5</v>
      </c>
      <c r="K94" s="5" t="n"/>
      <c r="L94" s="5" t="n"/>
      <c r="M94" s="5" t="n"/>
      <c r="N94" s="5" t="n"/>
      <c r="O94" s="5" t="n">
        <v>897</v>
      </c>
      <c r="P94" s="5" t="n"/>
      <c r="Q94" s="5" t="n">
        <v>897</v>
      </c>
      <c r="R94" s="5" t="n"/>
      <c r="S94" s="5">
        <f>F94*20%</f>
        <v/>
      </c>
      <c r="T94" s="5">
        <f>J94-S94</f>
        <v/>
      </c>
      <c r="U94" s="5">
        <f>F94+J94</f>
        <v/>
      </c>
      <c r="V94" s="5">
        <f>O94-U94</f>
        <v/>
      </c>
      <c r="W94" s="5">
        <f>O94-(P94+R94)</f>
        <v/>
      </c>
      <c r="X94" s="5">
        <f>O94-(P94+Q94+R94)</f>
        <v/>
      </c>
    </row>
    <row r="95">
      <c r="A95" s="2" t="inlineStr">
        <is>
          <t>EJ310123.TXT</t>
        </is>
      </c>
      <c r="B95" s="3" t="inlineStr">
        <is>
          <t>004610</t>
        </is>
      </c>
      <c r="C95" s="3" t="inlineStr">
        <is>
          <t>003655</t>
        </is>
      </c>
      <c r="D95" s="4" t="n">
        <v>44950</v>
      </c>
      <c r="E95" s="2" t="inlineStr">
        <is>
          <t>12:27</t>
        </is>
      </c>
      <c r="F95" s="5" t="n">
        <v>747.5</v>
      </c>
      <c r="G95" s="5" t="n"/>
      <c r="H95" s="5" t="n"/>
      <c r="I95" s="5" t="n"/>
      <c r="J95" s="5" t="n">
        <v>149.5</v>
      </c>
      <c r="K95" s="5" t="n"/>
      <c r="L95" s="5" t="n"/>
      <c r="M95" s="5" t="n"/>
      <c r="N95" s="5" t="n"/>
      <c r="O95" s="5" t="n">
        <v>897</v>
      </c>
      <c r="P95" s="5" t="n"/>
      <c r="Q95" s="5" t="n">
        <v>897</v>
      </c>
      <c r="R95" s="5" t="n"/>
      <c r="S95" s="5">
        <f>F95*20%</f>
        <v/>
      </c>
      <c r="T95" s="5">
        <f>J95-S95</f>
        <v/>
      </c>
      <c r="U95" s="5">
        <f>F95+J95</f>
        <v/>
      </c>
      <c r="V95" s="5">
        <f>O95-U95</f>
        <v/>
      </c>
      <c r="W95" s="5">
        <f>O95-(P95+R95)</f>
        <v/>
      </c>
      <c r="X95" s="5">
        <f>O95-(P95+Q95+R95)</f>
        <v/>
      </c>
    </row>
    <row r="96">
      <c r="A96" s="2" t="inlineStr">
        <is>
          <t>EJ310123.TXT</t>
        </is>
      </c>
      <c r="B96" s="3" t="inlineStr">
        <is>
          <t>004611</t>
        </is>
      </c>
      <c r="C96" s="3" t="inlineStr">
        <is>
          <t>003656</t>
        </is>
      </c>
      <c r="D96" s="4" t="n">
        <v>44950</v>
      </c>
      <c r="E96" s="2" t="inlineStr">
        <is>
          <t>15:08</t>
        </is>
      </c>
      <c r="F96" s="5" t="n">
        <v>747.5</v>
      </c>
      <c r="G96" s="5" t="n"/>
      <c r="H96" s="5" t="n"/>
      <c r="I96" s="5" t="n"/>
      <c r="J96" s="5" t="n">
        <v>149.5</v>
      </c>
      <c r="K96" s="5" t="n"/>
      <c r="L96" s="5" t="n"/>
      <c r="M96" s="5" t="n"/>
      <c r="N96" s="5" t="n"/>
      <c r="O96" s="5" t="n">
        <v>897</v>
      </c>
      <c r="P96" s="5" t="n"/>
      <c r="Q96" s="5" t="n">
        <v>897</v>
      </c>
      <c r="R96" s="5" t="n"/>
      <c r="S96" s="5">
        <f>F96*20%</f>
        <v/>
      </c>
      <c r="T96" s="5">
        <f>J96-S96</f>
        <v/>
      </c>
      <c r="U96" s="5">
        <f>F96+J96</f>
        <v/>
      </c>
      <c r="V96" s="5">
        <f>O96-U96</f>
        <v/>
      </c>
      <c r="W96" s="5">
        <f>O96-(P96+R96)</f>
        <v/>
      </c>
      <c r="X96" s="5">
        <f>O96-(P96+Q96+R96)</f>
        <v/>
      </c>
    </row>
    <row r="97">
      <c r="A97" s="2" t="inlineStr">
        <is>
          <t>EJ310123.TXT</t>
        </is>
      </c>
      <c r="B97" s="3" t="inlineStr">
        <is>
          <t>004612</t>
        </is>
      </c>
      <c r="C97" s="3" t="inlineStr">
        <is>
          <t>003657</t>
        </is>
      </c>
      <c r="D97" s="4" t="n">
        <v>44950</v>
      </c>
      <c r="E97" s="2" t="inlineStr">
        <is>
          <t>15:08</t>
        </is>
      </c>
      <c r="F97" s="5" t="n">
        <v>747.5</v>
      </c>
      <c r="G97" s="5" t="n"/>
      <c r="H97" s="5" t="n"/>
      <c r="I97" s="5" t="n"/>
      <c r="J97" s="5" t="n">
        <v>149.5</v>
      </c>
      <c r="K97" s="5" t="n"/>
      <c r="L97" s="5" t="n"/>
      <c r="M97" s="5" t="n"/>
      <c r="N97" s="5" t="n"/>
      <c r="O97" s="5" t="n">
        <v>897</v>
      </c>
      <c r="P97" s="5" t="n"/>
      <c r="Q97" s="5" t="n">
        <v>897</v>
      </c>
      <c r="R97" s="5" t="n"/>
      <c r="S97" s="5">
        <f>F97*20%</f>
        <v/>
      </c>
      <c r="T97" s="5">
        <f>J97-S97</f>
        <v/>
      </c>
      <c r="U97" s="5">
        <f>F97+J97</f>
        <v/>
      </c>
      <c r="V97" s="5">
        <f>O97-U97</f>
        <v/>
      </c>
      <c r="W97" s="5">
        <f>O97-(P97+R97)</f>
        <v/>
      </c>
      <c r="X97" s="5">
        <f>O97-(P97+Q97+R97)</f>
        <v/>
      </c>
    </row>
    <row r="98">
      <c r="A98" s="2" t="inlineStr">
        <is>
          <t>EJ310123.TXT</t>
        </is>
      </c>
      <c r="B98" s="3" t="inlineStr">
        <is>
          <t>004613</t>
        </is>
      </c>
      <c r="C98" s="3" t="inlineStr">
        <is>
          <t>003658</t>
        </is>
      </c>
      <c r="D98" s="4" t="n">
        <v>44950</v>
      </c>
      <c r="E98" s="2" t="inlineStr">
        <is>
          <t>15:17</t>
        </is>
      </c>
      <c r="F98" s="5" t="n">
        <v>75</v>
      </c>
      <c r="G98" s="5" t="n"/>
      <c r="H98" s="5" t="n"/>
      <c r="I98" s="5" t="n"/>
      <c r="J98" s="5" t="n">
        <v>15</v>
      </c>
      <c r="K98" s="5" t="n"/>
      <c r="L98" s="5" t="n"/>
      <c r="M98" s="5" t="n"/>
      <c r="N98" s="5" t="n"/>
      <c r="O98" s="5" t="n">
        <v>90</v>
      </c>
      <c r="P98" s="5" t="n"/>
      <c r="Q98" s="5" t="n">
        <v>90</v>
      </c>
      <c r="R98" s="5" t="n"/>
      <c r="S98" s="5">
        <f>F98*20%</f>
        <v/>
      </c>
      <c r="T98" s="5">
        <f>J98-S98</f>
        <v/>
      </c>
      <c r="U98" s="5">
        <f>F98+J98</f>
        <v/>
      </c>
      <c r="V98" s="5">
        <f>O98-U98</f>
        <v/>
      </c>
      <c r="W98" s="5">
        <f>O98-(P98+R98)</f>
        <v/>
      </c>
      <c r="X98" s="5">
        <f>O98-(P98+Q98+R98)</f>
        <v/>
      </c>
    </row>
    <row r="99">
      <c r="A99" s="2" t="inlineStr">
        <is>
          <t>EJ310123.TXT</t>
        </is>
      </c>
      <c r="B99" s="3" t="inlineStr">
        <is>
          <t>004614</t>
        </is>
      </c>
      <c r="C99" s="3" t="inlineStr">
        <is>
          <t>003659</t>
        </is>
      </c>
      <c r="D99" s="4" t="n">
        <v>44950</v>
      </c>
      <c r="E99" s="2" t="inlineStr">
        <is>
          <t>15:52</t>
        </is>
      </c>
      <c r="F99" s="5" t="n">
        <v>498.33</v>
      </c>
      <c r="G99" s="5" t="n"/>
      <c r="H99" s="5" t="n"/>
      <c r="I99" s="5" t="n"/>
      <c r="J99" s="5" t="n">
        <v>99.67</v>
      </c>
      <c r="K99" s="5" t="n"/>
      <c r="L99" s="5" t="n"/>
      <c r="M99" s="5" t="n"/>
      <c r="N99" s="5" t="n"/>
      <c r="O99" s="5" t="n">
        <v>598</v>
      </c>
      <c r="P99" s="5" t="n"/>
      <c r="Q99" s="5" t="n">
        <v>598</v>
      </c>
      <c r="R99" s="5" t="n"/>
      <c r="S99" s="5">
        <f>F99*20%</f>
        <v/>
      </c>
      <c r="T99" s="5">
        <f>J99-S99</f>
        <v/>
      </c>
      <c r="U99" s="5">
        <f>F99+J99</f>
        <v/>
      </c>
      <c r="V99" s="5">
        <f>O99-U99</f>
        <v/>
      </c>
      <c r="W99" s="5">
        <f>O99-(P99+R99)</f>
        <v/>
      </c>
      <c r="X99" s="5">
        <f>O99-(P99+Q99+R99)</f>
        <v/>
      </c>
    </row>
    <row r="100">
      <c r="A100" s="2" t="inlineStr">
        <is>
          <t>EJ310123.TXT</t>
        </is>
      </c>
      <c r="B100" s="3" t="inlineStr">
        <is>
          <t>004615</t>
        </is>
      </c>
      <c r="C100" s="3" t="inlineStr">
        <is>
          <t>003660</t>
        </is>
      </c>
      <c r="D100" s="4" t="n">
        <v>44950</v>
      </c>
      <c r="E100" s="2" t="inlineStr">
        <is>
          <t>15:57</t>
        </is>
      </c>
      <c r="F100" s="5" t="n">
        <v>498.33</v>
      </c>
      <c r="G100" s="5" t="n"/>
      <c r="H100" s="5" t="n"/>
      <c r="I100" s="5" t="n"/>
      <c r="J100" s="5" t="n">
        <v>99.67</v>
      </c>
      <c r="K100" s="5" t="n"/>
      <c r="L100" s="5" t="n"/>
      <c r="M100" s="5" t="n"/>
      <c r="N100" s="5" t="n"/>
      <c r="O100" s="5" t="n">
        <v>598</v>
      </c>
      <c r="P100" s="5" t="n">
        <v>598</v>
      </c>
      <c r="Q100" s="5" t="n"/>
      <c r="R100" s="5" t="n"/>
      <c r="S100" s="5">
        <f>F100*20%</f>
        <v/>
      </c>
      <c r="T100" s="5">
        <f>J100-S100</f>
        <v/>
      </c>
      <c r="U100" s="5">
        <f>F100+J100</f>
        <v/>
      </c>
      <c r="V100" s="5">
        <f>O100-U100</f>
        <v/>
      </c>
      <c r="W100" s="5">
        <f>O100-(P100+R100)</f>
        <v/>
      </c>
      <c r="X100" s="5">
        <f>O100-(P100+Q100+R100)</f>
        <v/>
      </c>
    </row>
    <row r="101">
      <c r="A101" s="2" t="inlineStr">
        <is>
          <t>EJ310123.TXT</t>
        </is>
      </c>
      <c r="B101" s="3" t="inlineStr">
        <is>
          <t>004616</t>
        </is>
      </c>
      <c r="C101" s="3" t="inlineStr">
        <is>
          <t>003661</t>
        </is>
      </c>
      <c r="D101" s="4" t="n">
        <v>44950</v>
      </c>
      <c r="E101" s="2" t="inlineStr">
        <is>
          <t>18:33</t>
        </is>
      </c>
      <c r="F101" s="5" t="n">
        <v>208.33</v>
      </c>
      <c r="G101" s="5" t="n"/>
      <c r="H101" s="5" t="n"/>
      <c r="I101" s="5" t="n"/>
      <c r="J101" s="5" t="n">
        <v>41.67</v>
      </c>
      <c r="K101" s="5" t="n"/>
      <c r="L101" s="5" t="n"/>
      <c r="M101" s="5" t="n"/>
      <c r="N101" s="5" t="n"/>
      <c r="O101" s="5" t="n">
        <v>250</v>
      </c>
      <c r="P101" s="5" t="n"/>
      <c r="Q101" s="5" t="n">
        <v>250</v>
      </c>
      <c r="R101" s="5" t="n"/>
      <c r="S101" s="5">
        <f>F101*20%</f>
        <v/>
      </c>
      <c r="T101" s="5">
        <f>J101-S101</f>
        <v/>
      </c>
      <c r="U101" s="5">
        <f>F101+J101</f>
        <v/>
      </c>
      <c r="V101" s="5">
        <f>O101-U101</f>
        <v/>
      </c>
      <c r="W101" s="5">
        <f>O101-(P101+R101)</f>
        <v/>
      </c>
      <c r="X101" s="5">
        <f>O101-(P101+Q101+R101)</f>
        <v/>
      </c>
    </row>
    <row r="102">
      <c r="A102" s="2" t="inlineStr">
        <is>
          <t>EJ310123.TXT</t>
        </is>
      </c>
      <c r="B102" s="3" t="inlineStr">
        <is>
          <t>004617</t>
        </is>
      </c>
      <c r="C102" s="3" t="inlineStr">
        <is>
          <t>003662</t>
        </is>
      </c>
      <c r="D102" s="4" t="n">
        <v>44952</v>
      </c>
      <c r="E102" s="2" t="inlineStr">
        <is>
          <t>12:16</t>
        </is>
      </c>
      <c r="F102" s="5" t="n">
        <v>725</v>
      </c>
      <c r="G102" s="5" t="n"/>
      <c r="H102" s="5" t="n"/>
      <c r="I102" s="5" t="n"/>
      <c r="J102" s="5" t="n">
        <v>145</v>
      </c>
      <c r="K102" s="5" t="n"/>
      <c r="L102" s="5" t="n"/>
      <c r="M102" s="5" t="n"/>
      <c r="N102" s="5" t="n"/>
      <c r="O102" s="5" t="n">
        <v>870</v>
      </c>
      <c r="P102" s="5" t="n"/>
      <c r="Q102" s="5" t="n">
        <v>870</v>
      </c>
      <c r="R102" s="5" t="n"/>
      <c r="S102" s="5">
        <f>F102*20%</f>
        <v/>
      </c>
      <c r="T102" s="5">
        <f>J102-S102</f>
        <v/>
      </c>
      <c r="U102" s="5">
        <f>F102+J102</f>
        <v/>
      </c>
      <c r="V102" s="5">
        <f>O102-U102</f>
        <v/>
      </c>
      <c r="W102" s="5">
        <f>O102-(P102+R102)</f>
        <v/>
      </c>
      <c r="X102" s="5">
        <f>O102-(P102+Q102+R102)</f>
        <v/>
      </c>
    </row>
    <row r="103">
      <c r="A103" s="2" t="inlineStr">
        <is>
          <t>EJ310123.TXT</t>
        </is>
      </c>
      <c r="B103" s="3" t="inlineStr">
        <is>
          <t>004618</t>
        </is>
      </c>
      <c r="C103" s="3" t="inlineStr">
        <is>
          <t>003663</t>
        </is>
      </c>
      <c r="D103" s="4" t="n">
        <v>44952</v>
      </c>
      <c r="E103" s="2" t="inlineStr">
        <is>
          <t>12:16</t>
        </is>
      </c>
      <c r="F103" s="5" t="n">
        <v>241.67</v>
      </c>
      <c r="G103" s="5" t="n"/>
      <c r="H103" s="5" t="n"/>
      <c r="I103" s="5" t="n"/>
      <c r="J103" s="5" t="n">
        <v>48.33</v>
      </c>
      <c r="K103" s="5" t="n"/>
      <c r="L103" s="5" t="n"/>
      <c r="M103" s="5" t="n"/>
      <c r="N103" s="5" t="n"/>
      <c r="O103" s="5" t="n">
        <v>290</v>
      </c>
      <c r="P103" s="5" t="n"/>
      <c r="Q103" s="5" t="n">
        <v>290</v>
      </c>
      <c r="R103" s="5" t="n"/>
      <c r="S103" s="5">
        <f>F103*20%</f>
        <v/>
      </c>
      <c r="T103" s="5">
        <f>J103-S103</f>
        <v/>
      </c>
      <c r="U103" s="5">
        <f>F103+J103</f>
        <v/>
      </c>
      <c r="V103" s="5">
        <f>O103-U103</f>
        <v/>
      </c>
      <c r="W103" s="5">
        <f>O103-(P103+R103)</f>
        <v/>
      </c>
      <c r="X103" s="5">
        <f>O103-(P103+Q103+R103)</f>
        <v/>
      </c>
    </row>
    <row r="104">
      <c r="A104" s="2" t="inlineStr">
        <is>
          <t>EJ310123.TXT</t>
        </is>
      </c>
      <c r="B104" s="3" t="inlineStr">
        <is>
          <t>004619</t>
        </is>
      </c>
      <c r="C104" s="3" t="inlineStr">
        <is>
          <t>003664</t>
        </is>
      </c>
      <c r="D104" s="4" t="n">
        <v>44952</v>
      </c>
      <c r="E104" s="2" t="inlineStr">
        <is>
          <t>12:16</t>
        </is>
      </c>
      <c r="F104" s="5" t="n">
        <v>483.33</v>
      </c>
      <c r="G104" s="5" t="n"/>
      <c r="H104" s="5" t="n"/>
      <c r="I104" s="5" t="n"/>
      <c r="J104" s="5" t="n">
        <v>96.67</v>
      </c>
      <c r="K104" s="5" t="n"/>
      <c r="L104" s="5" t="n"/>
      <c r="M104" s="5" t="n"/>
      <c r="N104" s="5" t="n"/>
      <c r="O104" s="5" t="n">
        <v>580</v>
      </c>
      <c r="P104" s="5" t="n"/>
      <c r="Q104" s="5" t="n">
        <v>580</v>
      </c>
      <c r="R104" s="5" t="n"/>
      <c r="S104" s="5">
        <f>F104*20%</f>
        <v/>
      </c>
      <c r="T104" s="5">
        <f>J104-S104</f>
        <v/>
      </c>
      <c r="U104" s="5">
        <f>F104+J104</f>
        <v/>
      </c>
      <c r="V104" s="5">
        <f>O104-U104</f>
        <v/>
      </c>
      <c r="W104" s="5">
        <f>O104-(P104+R104)</f>
        <v/>
      </c>
      <c r="X104" s="5">
        <f>O104-(P104+Q104+R104)</f>
        <v/>
      </c>
    </row>
    <row r="105">
      <c r="A105" s="2" t="inlineStr">
        <is>
          <t>EJ310123.TXT</t>
        </is>
      </c>
      <c r="B105" s="3" t="inlineStr">
        <is>
          <t>004620</t>
        </is>
      </c>
      <c r="C105" s="3" t="inlineStr">
        <is>
          <t>003665</t>
        </is>
      </c>
      <c r="D105" s="4" t="n">
        <v>44952</v>
      </c>
      <c r="E105" s="2" t="inlineStr">
        <is>
          <t>12:23</t>
        </is>
      </c>
      <c r="F105" s="5" t="n">
        <v>498.33</v>
      </c>
      <c r="G105" s="5" t="n"/>
      <c r="H105" s="5" t="n"/>
      <c r="I105" s="5" t="n"/>
      <c r="J105" s="5" t="n">
        <v>99.67</v>
      </c>
      <c r="K105" s="5" t="n"/>
      <c r="L105" s="5" t="n"/>
      <c r="M105" s="5" t="n"/>
      <c r="N105" s="5" t="n"/>
      <c r="O105" s="5" t="n">
        <v>598</v>
      </c>
      <c r="P105" s="5" t="n"/>
      <c r="Q105" s="5" t="n">
        <v>598</v>
      </c>
      <c r="R105" s="5" t="n"/>
      <c r="S105" s="5">
        <f>F105*20%</f>
        <v/>
      </c>
      <c r="T105" s="5">
        <f>J105-S105</f>
        <v/>
      </c>
      <c r="U105" s="5">
        <f>F105+J105</f>
        <v/>
      </c>
      <c r="V105" s="5">
        <f>O105-U105</f>
        <v/>
      </c>
      <c r="W105" s="5">
        <f>O105-(P105+R105)</f>
        <v/>
      </c>
      <c r="X105" s="5">
        <f>O105-(P105+Q105+R105)</f>
        <v/>
      </c>
    </row>
    <row r="106">
      <c r="A106" s="2" t="inlineStr">
        <is>
          <t>EJ310123.TXT</t>
        </is>
      </c>
      <c r="B106" s="3" t="inlineStr">
        <is>
          <t>004621</t>
        </is>
      </c>
      <c r="C106" s="3" t="inlineStr">
        <is>
          <t>003666</t>
        </is>
      </c>
      <c r="D106" s="4" t="n">
        <v>44952</v>
      </c>
      <c r="E106" s="2" t="inlineStr">
        <is>
          <t>12:28</t>
        </is>
      </c>
      <c r="F106" s="5" t="n">
        <v>498.33</v>
      </c>
      <c r="G106" s="5" t="n"/>
      <c r="H106" s="5" t="n"/>
      <c r="I106" s="5" t="n"/>
      <c r="J106" s="5" t="n">
        <v>99.67</v>
      </c>
      <c r="K106" s="5" t="n"/>
      <c r="L106" s="5" t="n"/>
      <c r="M106" s="5" t="n"/>
      <c r="N106" s="5" t="n"/>
      <c r="O106" s="5" t="n">
        <v>598</v>
      </c>
      <c r="P106" s="5" t="n"/>
      <c r="Q106" s="5" t="n">
        <v>598</v>
      </c>
      <c r="R106" s="5" t="n"/>
      <c r="S106" s="5">
        <f>F106*20%</f>
        <v/>
      </c>
      <c r="T106" s="5">
        <f>J106-S106</f>
        <v/>
      </c>
      <c r="U106" s="5">
        <f>F106+J106</f>
        <v/>
      </c>
      <c r="V106" s="5">
        <f>O106-U106</f>
        <v/>
      </c>
      <c r="W106" s="5">
        <f>O106-(P106+R106)</f>
        <v/>
      </c>
      <c r="X106" s="5">
        <f>O106-(P106+Q106+R106)</f>
        <v/>
      </c>
    </row>
    <row r="107">
      <c r="A107" s="2" t="inlineStr">
        <is>
          <t>EJ310123.TXT</t>
        </is>
      </c>
      <c r="B107" s="3" t="inlineStr">
        <is>
          <t>004622</t>
        </is>
      </c>
      <c r="C107" s="3" t="inlineStr">
        <is>
          <t>003667</t>
        </is>
      </c>
      <c r="D107" s="4" t="n">
        <v>44952</v>
      </c>
      <c r="E107" s="2" t="inlineStr">
        <is>
          <t>14:55</t>
        </is>
      </c>
      <c r="F107" s="5" t="n">
        <v>963.33</v>
      </c>
      <c r="G107" s="5" t="n"/>
      <c r="H107" s="5" t="n"/>
      <c r="I107" s="5" t="n"/>
      <c r="J107" s="5" t="n">
        <v>192.67</v>
      </c>
      <c r="K107" s="5" t="n"/>
      <c r="L107" s="5" t="n"/>
      <c r="M107" s="5" t="n"/>
      <c r="N107" s="5" t="n"/>
      <c r="O107" s="5" t="n">
        <v>1156</v>
      </c>
      <c r="P107" s="5" t="n">
        <v>1156</v>
      </c>
      <c r="Q107" s="5" t="n"/>
      <c r="R107" s="5" t="n"/>
      <c r="S107" s="5">
        <f>F107*20%</f>
        <v/>
      </c>
      <c r="T107" s="5">
        <f>J107-S107</f>
        <v/>
      </c>
      <c r="U107" s="5">
        <f>F107+J107</f>
        <v/>
      </c>
      <c r="V107" s="5">
        <f>O107-U107</f>
        <v/>
      </c>
      <c r="W107" s="5">
        <f>O107-(P107+R107)</f>
        <v/>
      </c>
      <c r="X107" s="5">
        <f>O107-(P107+Q107+R107)</f>
        <v/>
      </c>
    </row>
    <row r="108">
      <c r="A108" s="2" t="inlineStr">
        <is>
          <t>EJ310123.TXT</t>
        </is>
      </c>
      <c r="B108" s="3" t="inlineStr">
        <is>
          <t>004623</t>
        </is>
      </c>
      <c r="C108" s="3" t="inlineStr">
        <is>
          <t>003668</t>
        </is>
      </c>
      <c r="D108" s="4" t="n">
        <v>44953</v>
      </c>
      <c r="E108" s="2" t="inlineStr">
        <is>
          <t>11:14</t>
        </is>
      </c>
      <c r="F108" s="5" t="n">
        <v>747.5</v>
      </c>
      <c r="G108" s="5" t="n"/>
      <c r="H108" s="5" t="n"/>
      <c r="I108" s="5" t="n"/>
      <c r="J108" s="5" t="n">
        <v>149.5</v>
      </c>
      <c r="K108" s="5" t="n"/>
      <c r="L108" s="5" t="n"/>
      <c r="M108" s="5" t="n"/>
      <c r="N108" s="5" t="n"/>
      <c r="O108" s="5" t="n">
        <v>897</v>
      </c>
      <c r="P108" s="5" t="n"/>
      <c r="Q108" s="5" t="n">
        <v>897</v>
      </c>
      <c r="R108" s="5" t="n"/>
      <c r="S108" s="5">
        <f>F108*20%</f>
        <v/>
      </c>
      <c r="T108" s="5">
        <f>J108-S108</f>
        <v/>
      </c>
      <c r="U108" s="5">
        <f>F108+J108</f>
        <v/>
      </c>
      <c r="V108" s="5">
        <f>O108-U108</f>
        <v/>
      </c>
      <c r="W108" s="5">
        <f>O108-(P108+R108)</f>
        <v/>
      </c>
      <c r="X108" s="5">
        <f>O108-(P108+Q108+R108)</f>
        <v/>
      </c>
    </row>
    <row r="109">
      <c r="A109" s="2" t="inlineStr">
        <is>
          <t>EJ310123.TXT</t>
        </is>
      </c>
      <c r="B109" s="3" t="inlineStr">
        <is>
          <t>004624</t>
        </is>
      </c>
      <c r="C109" s="3" t="inlineStr">
        <is>
          <t>003669</t>
        </is>
      </c>
      <c r="D109" s="4" t="n">
        <v>44953</v>
      </c>
      <c r="E109" s="2" t="inlineStr">
        <is>
          <t>16:22</t>
        </is>
      </c>
      <c r="F109" s="5" t="n">
        <v>249.17</v>
      </c>
      <c r="G109" s="5" t="n"/>
      <c r="H109" s="5" t="n"/>
      <c r="I109" s="5" t="n"/>
      <c r="J109" s="5" t="n">
        <v>49.83</v>
      </c>
      <c r="K109" s="5" t="n"/>
      <c r="L109" s="5" t="n"/>
      <c r="M109" s="5" t="n"/>
      <c r="N109" s="5" t="n"/>
      <c r="O109" s="5" t="n">
        <v>299</v>
      </c>
      <c r="P109" s="5" t="n"/>
      <c r="Q109" s="5" t="n">
        <v>299</v>
      </c>
      <c r="R109" s="5" t="n"/>
      <c r="S109" s="5">
        <f>F109*20%</f>
        <v/>
      </c>
      <c r="T109" s="5">
        <f>J109-S109</f>
        <v/>
      </c>
      <c r="U109" s="5">
        <f>F109+J109</f>
        <v/>
      </c>
      <c r="V109" s="5">
        <f>O109-U109</f>
        <v/>
      </c>
      <c r="W109" s="5">
        <f>O109-(P109+R109)</f>
        <v/>
      </c>
      <c r="X109" s="5">
        <f>O109-(P109+Q109+R109)</f>
        <v/>
      </c>
    </row>
    <row r="110">
      <c r="A110" s="2" t="inlineStr">
        <is>
          <t>EJ310123.TXT</t>
        </is>
      </c>
      <c r="B110" s="3" t="inlineStr">
        <is>
          <t>004625</t>
        </is>
      </c>
      <c r="C110" s="3" t="inlineStr">
        <is>
          <t>003670</t>
        </is>
      </c>
      <c r="D110" s="4" t="n">
        <v>44953</v>
      </c>
      <c r="E110" s="2" t="inlineStr">
        <is>
          <t>16:58</t>
        </is>
      </c>
      <c r="F110" s="5" t="n">
        <v>498.33</v>
      </c>
      <c r="G110" s="5" t="n"/>
      <c r="H110" s="5" t="n"/>
      <c r="I110" s="5" t="n"/>
      <c r="J110" s="5" t="n">
        <v>99.67</v>
      </c>
      <c r="K110" s="5" t="n"/>
      <c r="L110" s="5" t="n"/>
      <c r="M110" s="5" t="n"/>
      <c r="N110" s="5" t="n"/>
      <c r="O110" s="5" t="n">
        <v>598</v>
      </c>
      <c r="P110" s="5" t="n">
        <v>598</v>
      </c>
      <c r="Q110" s="5" t="n"/>
      <c r="R110" s="5" t="n"/>
      <c r="S110" s="5">
        <f>F110*20%</f>
        <v/>
      </c>
      <c r="T110" s="5">
        <f>J110-S110</f>
        <v/>
      </c>
      <c r="U110" s="5">
        <f>F110+J110</f>
        <v/>
      </c>
      <c r="V110" s="5">
        <f>O110-U110</f>
        <v/>
      </c>
      <c r="W110" s="5">
        <f>O110-(P110+R110)</f>
        <v/>
      </c>
      <c r="X110" s="5">
        <f>O110-(P110+Q110+R110)</f>
        <v/>
      </c>
    </row>
    <row r="111">
      <c r="A111" s="2" t="inlineStr">
        <is>
          <t>EJ310123.TXT</t>
        </is>
      </c>
      <c r="B111" s="3" t="inlineStr">
        <is>
          <t>004626</t>
        </is>
      </c>
      <c r="C111" s="3" t="inlineStr">
        <is>
          <t>003671</t>
        </is>
      </c>
      <c r="D111" s="4" t="n">
        <v>44953</v>
      </c>
      <c r="E111" s="2" t="inlineStr">
        <is>
          <t>17:40</t>
        </is>
      </c>
      <c r="F111" s="5" t="n">
        <v>331.67</v>
      </c>
      <c r="G111" s="5" t="n"/>
      <c r="H111" s="5" t="n"/>
      <c r="I111" s="5" t="n"/>
      <c r="J111" s="5" t="n">
        <v>66.33</v>
      </c>
      <c r="K111" s="5" t="n"/>
      <c r="L111" s="5" t="n"/>
      <c r="M111" s="5" t="n"/>
      <c r="N111" s="5" t="n"/>
      <c r="O111" s="5" t="n">
        <v>398</v>
      </c>
      <c r="P111" s="5" t="n">
        <v>398</v>
      </c>
      <c r="Q111" s="5" t="n"/>
      <c r="R111" s="5" t="n"/>
      <c r="S111" s="5">
        <f>F111*20%</f>
        <v/>
      </c>
      <c r="T111" s="5">
        <f>J111-S111</f>
        <v/>
      </c>
      <c r="U111" s="5">
        <f>F111+J111</f>
        <v/>
      </c>
      <c r="V111" s="5">
        <f>O111-U111</f>
        <v/>
      </c>
      <c r="W111" s="5">
        <f>O111-(P111+R111)</f>
        <v/>
      </c>
      <c r="X111" s="5">
        <f>O111-(P111+Q111+R111)</f>
        <v/>
      </c>
    </row>
    <row r="112">
      <c r="A112" s="2" t="inlineStr">
        <is>
          <t>EJ310123.TXT</t>
        </is>
      </c>
      <c r="B112" s="3" t="inlineStr">
        <is>
          <t>004627</t>
        </is>
      </c>
      <c r="C112" s="3" t="inlineStr">
        <is>
          <t>003672</t>
        </is>
      </c>
      <c r="D112" s="4" t="n">
        <v>44953</v>
      </c>
      <c r="E112" s="2" t="inlineStr">
        <is>
          <t>18:11</t>
        </is>
      </c>
      <c r="F112" s="5" t="n">
        <v>350</v>
      </c>
      <c r="G112" s="5" t="n"/>
      <c r="H112" s="5" t="n"/>
      <c r="I112" s="5" t="n"/>
      <c r="J112" s="5" t="n">
        <v>70</v>
      </c>
      <c r="K112" s="5" t="n"/>
      <c r="L112" s="5" t="n"/>
      <c r="M112" s="5" t="n"/>
      <c r="N112" s="5" t="n"/>
      <c r="O112" s="5" t="n">
        <v>420</v>
      </c>
      <c r="P112" s="5" t="n"/>
      <c r="Q112" s="5" t="n">
        <v>420</v>
      </c>
      <c r="R112" s="5" t="n"/>
      <c r="S112" s="5">
        <f>F112*20%</f>
        <v/>
      </c>
      <c r="T112" s="5">
        <f>J112-S112</f>
        <v/>
      </c>
      <c r="U112" s="5">
        <f>F112+J112</f>
        <v/>
      </c>
      <c r="V112" s="5">
        <f>O112-U112</f>
        <v/>
      </c>
      <c r="W112" s="5">
        <f>O112-(P112+R112)</f>
        <v/>
      </c>
      <c r="X112" s="5">
        <f>O112-(P112+Q112+R112)</f>
        <v/>
      </c>
    </row>
    <row r="113">
      <c r="A113" s="2" t="inlineStr">
        <is>
          <t>EJ310123.TXT</t>
        </is>
      </c>
      <c r="B113" s="3" t="inlineStr">
        <is>
          <t>004628</t>
        </is>
      </c>
      <c r="C113" s="3" t="inlineStr">
        <is>
          <t>003673</t>
        </is>
      </c>
      <c r="D113" s="4" t="n">
        <v>44953</v>
      </c>
      <c r="E113" s="2" t="inlineStr">
        <is>
          <t>18:36</t>
        </is>
      </c>
      <c r="F113" s="5" t="n">
        <v>144.17</v>
      </c>
      <c r="G113" s="5" t="n"/>
      <c r="H113" s="5" t="n"/>
      <c r="I113" s="5" t="n"/>
      <c r="J113" s="5" t="n">
        <v>28.83</v>
      </c>
      <c r="K113" s="5" t="n"/>
      <c r="L113" s="5" t="n"/>
      <c r="M113" s="5" t="n"/>
      <c r="N113" s="5" t="n"/>
      <c r="O113" s="5" t="n">
        <v>173</v>
      </c>
      <c r="P113" s="5" t="n"/>
      <c r="Q113" s="5" t="n">
        <v>173</v>
      </c>
      <c r="R113" s="5" t="n"/>
      <c r="S113" s="5">
        <f>F113*20%</f>
        <v/>
      </c>
      <c r="T113" s="5">
        <f>J113-S113</f>
        <v/>
      </c>
      <c r="U113" s="5">
        <f>F113+J113</f>
        <v/>
      </c>
      <c r="V113" s="5">
        <f>O113-U113</f>
        <v/>
      </c>
      <c r="W113" s="5">
        <f>O113-(P113+R113)</f>
        <v/>
      </c>
      <c r="X113" s="5">
        <f>O113-(P113+Q113+R113)</f>
        <v/>
      </c>
    </row>
    <row r="114">
      <c r="A114" s="2" t="inlineStr">
        <is>
          <t>EJ310123.TXT</t>
        </is>
      </c>
      <c r="B114" s="3" t="inlineStr">
        <is>
          <t>004629</t>
        </is>
      </c>
      <c r="C114" s="3" t="inlineStr">
        <is>
          <t>003674</t>
        </is>
      </c>
      <c r="D114" s="4" t="n">
        <v>44954</v>
      </c>
      <c r="E114" s="2" t="inlineStr">
        <is>
          <t>15:44</t>
        </is>
      </c>
      <c r="F114" s="5" t="n">
        <v>24.83</v>
      </c>
      <c r="G114" s="5" t="n"/>
      <c r="H114" s="5" t="n"/>
      <c r="I114" s="5" t="n"/>
      <c r="J114" s="5" t="n">
        <v>4.97</v>
      </c>
      <c r="K114" s="5" t="n"/>
      <c r="L114" s="5" t="n"/>
      <c r="M114" s="5" t="n"/>
      <c r="N114" s="5" t="n"/>
      <c r="O114" s="5" t="n">
        <v>29.8</v>
      </c>
      <c r="P114" s="5" t="n"/>
      <c r="Q114" s="5" t="n">
        <v>29.8</v>
      </c>
      <c r="R114" s="5" t="n"/>
      <c r="S114" s="5">
        <f>F114*20%</f>
        <v/>
      </c>
      <c r="T114" s="5">
        <f>J114-S114</f>
        <v/>
      </c>
      <c r="U114" s="5">
        <f>F114+J114</f>
        <v/>
      </c>
      <c r="V114" s="5">
        <f>O114-U114</f>
        <v/>
      </c>
      <c r="W114" s="5">
        <f>O114-(P114+R114)</f>
        <v/>
      </c>
      <c r="X114" s="5">
        <f>O114-(P114+Q114+R114)</f>
        <v/>
      </c>
    </row>
    <row r="115">
      <c r="A115" s="2" t="inlineStr">
        <is>
          <t>EJ310123.TXT</t>
        </is>
      </c>
      <c r="B115" s="3" t="inlineStr">
        <is>
          <t>004630</t>
        </is>
      </c>
      <c r="C115" s="3" t="inlineStr">
        <is>
          <t>003675</t>
        </is>
      </c>
      <c r="D115" s="4" t="n">
        <v>44954</v>
      </c>
      <c r="E115" s="2" t="inlineStr">
        <is>
          <t>16:02</t>
        </is>
      </c>
      <c r="F115" s="5" t="n">
        <v>73.33</v>
      </c>
      <c r="G115" s="5" t="n"/>
      <c r="H115" s="5" t="n"/>
      <c r="I115" s="5" t="n"/>
      <c r="J115" s="5" t="n">
        <v>14.67</v>
      </c>
      <c r="K115" s="5" t="n"/>
      <c r="L115" s="5" t="n"/>
      <c r="M115" s="5" t="n"/>
      <c r="N115" s="5" t="n"/>
      <c r="O115" s="5" t="n">
        <v>88</v>
      </c>
      <c r="P115" s="5" t="n"/>
      <c r="Q115" s="5" t="n">
        <v>88</v>
      </c>
      <c r="R115" s="5" t="n"/>
      <c r="S115" s="5">
        <f>F115*20%</f>
        <v/>
      </c>
      <c r="T115" s="5">
        <f>J115-S115</f>
        <v/>
      </c>
      <c r="U115" s="5">
        <f>F115+J115</f>
        <v/>
      </c>
      <c r="V115" s="5">
        <f>O115-U115</f>
        <v/>
      </c>
      <c r="W115" s="5">
        <f>O115-(P115+R115)</f>
        <v/>
      </c>
      <c r="X115" s="5">
        <f>O115-(P115+Q115+R115)</f>
        <v/>
      </c>
    </row>
    <row r="116">
      <c r="A116" s="2" t="inlineStr">
        <is>
          <t>EJ310123.TXT</t>
        </is>
      </c>
      <c r="B116" s="3" t="inlineStr">
        <is>
          <t>004631</t>
        </is>
      </c>
      <c r="C116" s="3" t="inlineStr">
        <is>
          <t>003676</t>
        </is>
      </c>
      <c r="D116" s="4" t="n">
        <v>44954</v>
      </c>
      <c r="E116" s="2" t="inlineStr">
        <is>
          <t>16:13</t>
        </is>
      </c>
      <c r="F116" s="5" t="n">
        <v>996.67</v>
      </c>
      <c r="G116" s="5" t="n"/>
      <c r="H116" s="5" t="n"/>
      <c r="I116" s="5" t="n"/>
      <c r="J116" s="5" t="n">
        <v>199.33</v>
      </c>
      <c r="K116" s="5" t="n"/>
      <c r="L116" s="5" t="n"/>
      <c r="M116" s="5" t="n"/>
      <c r="N116" s="5" t="n"/>
      <c r="O116" s="5" t="n">
        <v>1196</v>
      </c>
      <c r="P116" s="5" t="n">
        <v>1196</v>
      </c>
      <c r="Q116" s="5" t="n"/>
      <c r="R116" s="5" t="n"/>
      <c r="S116" s="5">
        <f>F116*20%</f>
        <v/>
      </c>
      <c r="T116" s="5">
        <f>J116-S116</f>
        <v/>
      </c>
      <c r="U116" s="5">
        <f>F116+J116</f>
        <v/>
      </c>
      <c r="V116" s="5">
        <f>O116-U116</f>
        <v/>
      </c>
      <c r="W116" s="5">
        <f>O116-(P116+R116)</f>
        <v/>
      </c>
      <c r="X116" s="5">
        <f>O116-(P116+Q116+R116)</f>
        <v/>
      </c>
    </row>
    <row r="117">
      <c r="A117" s="2" t="inlineStr">
        <is>
          <t>EJ310123.TXT</t>
        </is>
      </c>
      <c r="B117" s="3" t="inlineStr">
        <is>
          <t>004632</t>
        </is>
      </c>
      <c r="C117" s="3" t="inlineStr">
        <is>
          <t>003677</t>
        </is>
      </c>
      <c r="D117" s="4" t="n">
        <v>44954</v>
      </c>
      <c r="E117" s="2" t="inlineStr">
        <is>
          <t>16:51</t>
        </is>
      </c>
      <c r="F117" s="5" t="n">
        <v>249.17</v>
      </c>
      <c r="G117" s="5" t="n"/>
      <c r="H117" s="5" t="n"/>
      <c r="I117" s="5" t="n"/>
      <c r="J117" s="5" t="n">
        <v>49.83</v>
      </c>
      <c r="K117" s="5" t="n"/>
      <c r="L117" s="5" t="n"/>
      <c r="M117" s="5" t="n"/>
      <c r="N117" s="5" t="n"/>
      <c r="O117" s="5" t="n">
        <v>299</v>
      </c>
      <c r="P117" s="5" t="n"/>
      <c r="Q117" s="5" t="n">
        <v>299</v>
      </c>
      <c r="R117" s="5" t="n"/>
      <c r="S117" s="5">
        <f>F117*20%</f>
        <v/>
      </c>
      <c r="T117" s="5">
        <f>J117-S117</f>
        <v/>
      </c>
      <c r="U117" s="5">
        <f>F117+J117</f>
        <v/>
      </c>
      <c r="V117" s="5">
        <f>O117-U117</f>
        <v/>
      </c>
      <c r="W117" s="5">
        <f>O117-(P117+R117)</f>
        <v/>
      </c>
      <c r="X117" s="5">
        <f>O117-(P117+Q117+R117)</f>
        <v/>
      </c>
    </row>
    <row r="118">
      <c r="A118" s="2" t="inlineStr">
        <is>
          <t>EJ310123.TXT</t>
        </is>
      </c>
      <c r="B118" s="3" t="inlineStr">
        <is>
          <t>004633</t>
        </is>
      </c>
      <c r="C118" s="3" t="inlineStr">
        <is>
          <t>003678</t>
        </is>
      </c>
      <c r="D118" s="4" t="n">
        <v>44954</v>
      </c>
      <c r="E118" s="2" t="inlineStr">
        <is>
          <t>18:41</t>
        </is>
      </c>
      <c r="F118" s="5" t="n">
        <v>625</v>
      </c>
      <c r="G118" s="5" t="n"/>
      <c r="H118" s="5" t="n"/>
      <c r="I118" s="5" t="n"/>
      <c r="J118" s="5" t="n">
        <v>125</v>
      </c>
      <c r="K118" s="5" t="n"/>
      <c r="L118" s="5" t="n"/>
      <c r="M118" s="5" t="n"/>
      <c r="N118" s="5" t="n"/>
      <c r="O118" s="5" t="n">
        <v>750</v>
      </c>
      <c r="P118" s="5" t="n"/>
      <c r="Q118" s="5" t="n">
        <v>750</v>
      </c>
      <c r="R118" s="5" t="n"/>
      <c r="S118" s="5">
        <f>F118*20%</f>
        <v/>
      </c>
      <c r="T118" s="5">
        <f>J118-S118</f>
        <v/>
      </c>
      <c r="U118" s="5">
        <f>F118+J118</f>
        <v/>
      </c>
      <c r="V118" s="5">
        <f>O118-U118</f>
        <v/>
      </c>
      <c r="W118" s="5">
        <f>O118-(P118+R118)</f>
        <v/>
      </c>
      <c r="X118" s="5">
        <f>O118-(P118+Q118+R118)</f>
        <v/>
      </c>
    </row>
    <row r="119">
      <c r="A119" s="2" t="inlineStr">
        <is>
          <t>EJ310123.TXT</t>
        </is>
      </c>
      <c r="B119" s="3" t="inlineStr">
        <is>
          <t>004634</t>
        </is>
      </c>
      <c r="C119" s="3" t="inlineStr">
        <is>
          <t>003679</t>
        </is>
      </c>
      <c r="D119" s="4" t="n">
        <v>44954</v>
      </c>
      <c r="E119" s="2" t="inlineStr">
        <is>
          <t>18:42</t>
        </is>
      </c>
      <c r="F119" s="5" t="n">
        <v>625</v>
      </c>
      <c r="G119" s="5" t="n"/>
      <c r="H119" s="5" t="n"/>
      <c r="I119" s="5" t="n"/>
      <c r="J119" s="5" t="n">
        <v>125</v>
      </c>
      <c r="K119" s="5" t="n"/>
      <c r="L119" s="5" t="n"/>
      <c r="M119" s="5" t="n"/>
      <c r="N119" s="5" t="n"/>
      <c r="O119" s="5" t="n">
        <v>750</v>
      </c>
      <c r="P119" s="5" t="n"/>
      <c r="Q119" s="5" t="n">
        <v>750</v>
      </c>
      <c r="R119" s="5" t="n"/>
      <c r="S119" s="5">
        <f>F119*20%</f>
        <v/>
      </c>
      <c r="T119" s="5">
        <f>J119-S119</f>
        <v/>
      </c>
      <c r="U119" s="5">
        <f>F119+J119</f>
        <v/>
      </c>
      <c r="V119" s="5">
        <f>O119-U119</f>
        <v/>
      </c>
      <c r="W119" s="5">
        <f>O119-(P119+R119)</f>
        <v/>
      </c>
      <c r="X119" s="5">
        <f>O119-(P119+Q119+R119)</f>
        <v/>
      </c>
    </row>
    <row r="120">
      <c r="A120" s="2" t="inlineStr">
        <is>
          <t>EJ310123.TXT</t>
        </is>
      </c>
      <c r="B120" s="3" t="inlineStr">
        <is>
          <t>004635</t>
        </is>
      </c>
      <c r="C120" s="3" t="inlineStr">
        <is>
          <t>003680</t>
        </is>
      </c>
      <c r="D120" s="4" t="n">
        <v>44954</v>
      </c>
      <c r="E120" s="2" t="inlineStr">
        <is>
          <t>18:53</t>
        </is>
      </c>
      <c r="F120" s="5" t="n">
        <v>75</v>
      </c>
      <c r="G120" s="5" t="n"/>
      <c r="H120" s="5" t="n"/>
      <c r="I120" s="5" t="n"/>
      <c r="J120" s="5" t="n">
        <v>15</v>
      </c>
      <c r="K120" s="5" t="n"/>
      <c r="L120" s="5" t="n"/>
      <c r="M120" s="5" t="n"/>
      <c r="N120" s="5" t="n"/>
      <c r="O120" s="5" t="n">
        <v>90</v>
      </c>
      <c r="P120" s="5" t="n"/>
      <c r="Q120" s="5" t="n">
        <v>90</v>
      </c>
      <c r="R120" s="5" t="n"/>
      <c r="S120" s="5">
        <f>F120*20%</f>
        <v/>
      </c>
      <c r="T120" s="5">
        <f>J120-S120</f>
        <v/>
      </c>
      <c r="U120" s="5">
        <f>F120+J120</f>
        <v/>
      </c>
      <c r="V120" s="5">
        <f>O120-U120</f>
        <v/>
      </c>
      <c r="W120" s="5">
        <f>O120-(P120+R120)</f>
        <v/>
      </c>
      <c r="X120" s="5">
        <f>O120-(P120+Q120+R120)</f>
        <v/>
      </c>
    </row>
    <row r="121">
      <c r="A121" s="2" t="inlineStr">
        <is>
          <t>EJ310123.TXT</t>
        </is>
      </c>
      <c r="B121" s="3" t="inlineStr">
        <is>
          <t>004636</t>
        </is>
      </c>
      <c r="C121" s="3" t="inlineStr">
        <is>
          <t>003681</t>
        </is>
      </c>
      <c r="D121" s="4" t="n">
        <v>44956</v>
      </c>
      <c r="E121" s="2" t="inlineStr">
        <is>
          <t>18:18</t>
        </is>
      </c>
      <c r="F121" s="5" t="n">
        <v>354.17</v>
      </c>
      <c r="G121" s="5" t="n"/>
      <c r="H121" s="5" t="n"/>
      <c r="I121" s="5" t="n"/>
      <c r="J121" s="5" t="n">
        <v>70.83</v>
      </c>
      <c r="K121" s="5" t="n"/>
      <c r="L121" s="5" t="n"/>
      <c r="M121" s="5" t="n"/>
      <c r="N121" s="5" t="n"/>
      <c r="O121" s="5" t="n">
        <v>425</v>
      </c>
      <c r="P121" s="5" t="n"/>
      <c r="Q121" s="5" t="n">
        <v>425</v>
      </c>
      <c r="R121" s="5" t="n"/>
      <c r="S121" s="5">
        <f>F121*20%</f>
        <v/>
      </c>
      <c r="T121" s="5">
        <f>J121-S121</f>
        <v/>
      </c>
      <c r="U121" s="5">
        <f>F121+J121</f>
        <v/>
      </c>
      <c r="V121" s="5">
        <f>O121-U121</f>
        <v/>
      </c>
      <c r="W121" s="5">
        <f>O121-(P121+R121)</f>
        <v/>
      </c>
      <c r="X121" s="5">
        <f>O121-(P121+Q121+R121)</f>
        <v/>
      </c>
    </row>
    <row r="122">
      <c r="A122" s="2" t="inlineStr">
        <is>
          <t>EJ310123.TXT</t>
        </is>
      </c>
      <c r="B122" s="3" t="inlineStr">
        <is>
          <t>004637</t>
        </is>
      </c>
      <c r="C122" s="3" t="inlineStr">
        <is>
          <t>003682</t>
        </is>
      </c>
      <c r="D122" s="4" t="n">
        <v>44957</v>
      </c>
      <c r="E122" s="2" t="inlineStr">
        <is>
          <t>15:46</t>
        </is>
      </c>
      <c r="F122" s="5" t="n">
        <v>483.33</v>
      </c>
      <c r="G122" s="5" t="n"/>
      <c r="H122" s="5" t="n"/>
      <c r="I122" s="5" t="n"/>
      <c r="J122" s="5" t="n">
        <v>96.67</v>
      </c>
      <c r="K122" s="5" t="n"/>
      <c r="L122" s="5" t="n"/>
      <c r="M122" s="5" t="n"/>
      <c r="N122" s="5" t="n"/>
      <c r="O122" s="5" t="n">
        <v>580</v>
      </c>
      <c r="P122" s="5" t="n"/>
      <c r="Q122" s="5" t="n">
        <v>580</v>
      </c>
      <c r="R122" s="5" t="n"/>
      <c r="S122" s="5">
        <f>F122*20%</f>
        <v/>
      </c>
      <c r="T122" s="5">
        <f>J122-S122</f>
        <v/>
      </c>
      <c r="U122" s="5">
        <f>F122+J122</f>
        <v/>
      </c>
      <c r="V122" s="5">
        <f>O122-U122</f>
        <v/>
      </c>
      <c r="W122" s="5">
        <f>O122-(P122+R122)</f>
        <v/>
      </c>
      <c r="X122" s="5">
        <f>O122-(P122+Q122+R122)</f>
        <v/>
      </c>
    </row>
    <row r="123">
      <c r="A123" s="2" t="inlineStr">
        <is>
          <t>EJ030323.TXT</t>
        </is>
      </c>
      <c r="B123" s="3" t="inlineStr">
        <is>
          <t>004645</t>
        </is>
      </c>
      <c r="C123" s="3" t="inlineStr">
        <is>
          <t>003683</t>
        </is>
      </c>
      <c r="D123" s="4" t="n">
        <v>44958</v>
      </c>
      <c r="E123" s="2" t="inlineStr">
        <is>
          <t>13:11</t>
        </is>
      </c>
      <c r="F123" s="5" t="n">
        <v>144.17</v>
      </c>
      <c r="G123" s="5" t="n"/>
      <c r="H123" s="5" t="n"/>
      <c r="I123" s="5" t="n"/>
      <c r="J123" s="5" t="n">
        <v>28.83</v>
      </c>
      <c r="K123" s="5" t="n"/>
      <c r="L123" s="5" t="n"/>
      <c r="M123" s="5" t="n"/>
      <c r="N123" s="5" t="n"/>
      <c r="O123" s="5" t="n">
        <v>173</v>
      </c>
      <c r="P123" s="5" t="n"/>
      <c r="Q123" s="5" t="n">
        <v>173</v>
      </c>
      <c r="R123" s="5" t="n"/>
      <c r="S123" s="5">
        <f>F123*20%</f>
        <v/>
      </c>
      <c r="T123" s="5">
        <f>J123-S123</f>
        <v/>
      </c>
      <c r="U123" s="5">
        <f>F123+J123</f>
        <v/>
      </c>
      <c r="V123" s="5">
        <f>O123-U123</f>
        <v/>
      </c>
      <c r="W123" s="5">
        <f>O123-(P123+R123)</f>
        <v/>
      </c>
      <c r="X123" s="5">
        <f>O123-(P123+Q123+R123)</f>
        <v/>
      </c>
    </row>
    <row r="124">
      <c r="A124" s="2" t="inlineStr">
        <is>
          <t>EJ030323.TXT</t>
        </is>
      </c>
      <c r="B124" s="3" t="inlineStr">
        <is>
          <t>004646</t>
        </is>
      </c>
      <c r="C124" s="3" t="inlineStr">
        <is>
          <t>003684</t>
        </is>
      </c>
      <c r="D124" s="4" t="n">
        <v>44958</v>
      </c>
      <c r="E124" s="2" t="inlineStr">
        <is>
          <t>16:34</t>
        </is>
      </c>
      <c r="F124" s="5" t="n">
        <v>124.17</v>
      </c>
      <c r="G124" s="5" t="n"/>
      <c r="H124" s="5" t="n"/>
      <c r="I124" s="5" t="n"/>
      <c r="J124" s="5" t="n">
        <v>24.83</v>
      </c>
      <c r="K124" s="5" t="n"/>
      <c r="L124" s="5" t="n"/>
      <c r="M124" s="5" t="n"/>
      <c r="N124" s="5" t="n"/>
      <c r="O124" s="5" t="n">
        <v>149</v>
      </c>
      <c r="P124" s="5" t="n">
        <v>149</v>
      </c>
      <c r="Q124" s="5" t="n"/>
      <c r="R124" s="5" t="n"/>
      <c r="S124" s="5">
        <f>F124*20%</f>
        <v/>
      </c>
      <c r="T124" s="5">
        <f>J124-S124</f>
        <v/>
      </c>
      <c r="U124" s="5">
        <f>F124+J124</f>
        <v/>
      </c>
      <c r="V124" s="5">
        <f>O124-U124</f>
        <v/>
      </c>
      <c r="W124" s="5">
        <f>O124-(P124+R124)</f>
        <v/>
      </c>
      <c r="X124" s="5">
        <f>O124-(P124+Q124+R124)</f>
        <v/>
      </c>
    </row>
    <row r="125">
      <c r="A125" s="2" t="inlineStr">
        <is>
          <t>EJ030323.TXT</t>
        </is>
      </c>
      <c r="B125" s="3" t="inlineStr">
        <is>
          <t>004647</t>
        </is>
      </c>
      <c r="C125" s="3" t="inlineStr">
        <is>
          <t>003685</t>
        </is>
      </c>
      <c r="D125" s="4" t="n">
        <v>44958</v>
      </c>
      <c r="E125" s="2" t="inlineStr">
        <is>
          <t>16:39</t>
        </is>
      </c>
      <c r="F125" s="5" t="n">
        <v>725</v>
      </c>
      <c r="G125" s="5" t="n"/>
      <c r="H125" s="5" t="n"/>
      <c r="I125" s="5" t="n"/>
      <c r="J125" s="5" t="n">
        <v>145</v>
      </c>
      <c r="K125" s="5" t="n"/>
      <c r="L125" s="5" t="n"/>
      <c r="M125" s="5" t="n"/>
      <c r="N125" s="5" t="n"/>
      <c r="O125" s="5" t="n">
        <v>870</v>
      </c>
      <c r="P125" s="5" t="n"/>
      <c r="Q125" s="5" t="n">
        <v>870</v>
      </c>
      <c r="R125" s="5" t="n"/>
      <c r="S125" s="5">
        <f>F125*20%</f>
        <v/>
      </c>
      <c r="T125" s="5">
        <f>J125-S125</f>
        <v/>
      </c>
      <c r="U125" s="5">
        <f>F125+J125</f>
        <v/>
      </c>
      <c r="V125" s="5">
        <f>O125-U125</f>
        <v/>
      </c>
      <c r="W125" s="5">
        <f>O125-(P125+R125)</f>
        <v/>
      </c>
      <c r="X125" s="5">
        <f>O125-(P125+Q125+R125)</f>
        <v/>
      </c>
    </row>
    <row r="126">
      <c r="A126" s="2" t="inlineStr">
        <is>
          <t>EJ030323.TXT</t>
        </is>
      </c>
      <c r="B126" s="3" t="inlineStr">
        <is>
          <t>004648</t>
        </is>
      </c>
      <c r="C126" s="3" t="inlineStr">
        <is>
          <t>003686</t>
        </is>
      </c>
      <c r="D126" s="4" t="n">
        <v>44958</v>
      </c>
      <c r="E126" s="2" t="inlineStr">
        <is>
          <t>16:40</t>
        </is>
      </c>
      <c r="F126" s="5" t="n">
        <v>725</v>
      </c>
      <c r="G126" s="5" t="n"/>
      <c r="H126" s="5" t="n"/>
      <c r="I126" s="5" t="n"/>
      <c r="J126" s="5" t="n">
        <v>145</v>
      </c>
      <c r="K126" s="5" t="n"/>
      <c r="L126" s="5" t="n"/>
      <c r="M126" s="5" t="n"/>
      <c r="N126" s="5" t="n"/>
      <c r="O126" s="5" t="n">
        <v>870</v>
      </c>
      <c r="P126" s="5" t="n"/>
      <c r="Q126" s="5" t="n">
        <v>870</v>
      </c>
      <c r="R126" s="5" t="n"/>
      <c r="S126" s="5">
        <f>F126*20%</f>
        <v/>
      </c>
      <c r="T126" s="5">
        <f>J126-S126</f>
        <v/>
      </c>
      <c r="U126" s="5">
        <f>F126+J126</f>
        <v/>
      </c>
      <c r="V126" s="5">
        <f>O126-U126</f>
        <v/>
      </c>
      <c r="W126" s="5">
        <f>O126-(P126+R126)</f>
        <v/>
      </c>
      <c r="X126" s="5">
        <f>O126-(P126+Q126+R126)</f>
        <v/>
      </c>
    </row>
    <row r="127">
      <c r="A127" s="2" t="inlineStr">
        <is>
          <t>EJ030323.TXT</t>
        </is>
      </c>
      <c r="B127" s="3" t="inlineStr">
        <is>
          <t>004649</t>
        </is>
      </c>
      <c r="C127" s="3" t="inlineStr">
        <is>
          <t>003687</t>
        </is>
      </c>
      <c r="D127" s="4" t="n">
        <v>44958</v>
      </c>
      <c r="E127" s="2" t="inlineStr">
        <is>
          <t>16:41</t>
        </is>
      </c>
      <c r="F127" s="5" t="n">
        <v>166.67</v>
      </c>
      <c r="G127" s="5" t="n"/>
      <c r="H127" s="5" t="n"/>
      <c r="I127" s="5" t="n"/>
      <c r="J127" s="5" t="n">
        <v>33.33</v>
      </c>
      <c r="K127" s="5" t="n"/>
      <c r="L127" s="5" t="n"/>
      <c r="M127" s="5" t="n"/>
      <c r="N127" s="5" t="n"/>
      <c r="O127" s="5" t="n">
        <v>200</v>
      </c>
      <c r="P127" s="5" t="n"/>
      <c r="Q127" s="5" t="n">
        <v>200</v>
      </c>
      <c r="R127" s="5" t="n"/>
      <c r="S127" s="5">
        <f>F127*20%</f>
        <v/>
      </c>
      <c r="T127" s="5">
        <f>J127-S127</f>
        <v/>
      </c>
      <c r="U127" s="5">
        <f>F127+J127</f>
        <v/>
      </c>
      <c r="V127" s="5">
        <f>O127-U127</f>
        <v/>
      </c>
      <c r="W127" s="5">
        <f>O127-(P127+R127)</f>
        <v/>
      </c>
      <c r="X127" s="5">
        <f>O127-(P127+Q127+R127)</f>
        <v/>
      </c>
    </row>
    <row r="128">
      <c r="A128" s="2" t="inlineStr">
        <is>
          <t>EJ030323.TXT</t>
        </is>
      </c>
      <c r="B128" s="3" t="inlineStr">
        <is>
          <t>004650</t>
        </is>
      </c>
      <c r="C128" s="3" t="inlineStr">
        <is>
          <t>003688</t>
        </is>
      </c>
      <c r="D128" s="4" t="n">
        <v>44959</v>
      </c>
      <c r="E128" s="2" t="inlineStr">
        <is>
          <t>17:13</t>
        </is>
      </c>
      <c r="F128" s="5" t="n">
        <v>166.67</v>
      </c>
      <c r="G128" s="5" t="n"/>
      <c r="H128" s="5" t="n"/>
      <c r="I128" s="5" t="n"/>
      <c r="J128" s="5" t="n">
        <v>33.33</v>
      </c>
      <c r="K128" s="5" t="n"/>
      <c r="L128" s="5" t="n"/>
      <c r="M128" s="5" t="n"/>
      <c r="N128" s="5" t="n"/>
      <c r="O128" s="5" t="n">
        <v>200</v>
      </c>
      <c r="P128" s="5" t="n"/>
      <c r="Q128" s="5" t="n">
        <v>200</v>
      </c>
      <c r="R128" s="5" t="n"/>
      <c r="S128" s="5">
        <f>F128*20%</f>
        <v/>
      </c>
      <c r="T128" s="5">
        <f>J128-S128</f>
        <v/>
      </c>
      <c r="U128" s="5">
        <f>F128+J128</f>
        <v/>
      </c>
      <c r="V128" s="5">
        <f>O128-U128</f>
        <v/>
      </c>
      <c r="W128" s="5">
        <f>O128-(P128+R128)</f>
        <v/>
      </c>
      <c r="X128" s="5">
        <f>O128-(P128+Q128+R128)</f>
        <v/>
      </c>
    </row>
    <row r="129">
      <c r="A129" s="2" t="inlineStr">
        <is>
          <t>EJ030323.TXT</t>
        </is>
      </c>
      <c r="B129" s="3" t="inlineStr">
        <is>
          <t>004651</t>
        </is>
      </c>
      <c r="C129" s="3" t="inlineStr">
        <is>
          <t>003689</t>
        </is>
      </c>
      <c r="D129" s="4" t="n">
        <v>44959</v>
      </c>
      <c r="E129" s="2" t="inlineStr">
        <is>
          <t>17:30</t>
        </is>
      </c>
      <c r="F129" s="5" t="n">
        <v>166.67</v>
      </c>
      <c r="G129" s="5" t="n"/>
      <c r="H129" s="5" t="n"/>
      <c r="I129" s="5" t="n"/>
      <c r="J129" s="5" t="n">
        <v>33.33</v>
      </c>
      <c r="K129" s="5" t="n"/>
      <c r="L129" s="5" t="n"/>
      <c r="M129" s="5" t="n"/>
      <c r="N129" s="5" t="n"/>
      <c r="O129" s="5" t="n">
        <v>200</v>
      </c>
      <c r="P129" s="5" t="n"/>
      <c r="Q129" s="5" t="n">
        <v>200</v>
      </c>
      <c r="R129" s="5" t="n"/>
      <c r="S129" s="5">
        <f>F129*20%</f>
        <v/>
      </c>
      <c r="T129" s="5">
        <f>J129-S129</f>
        <v/>
      </c>
      <c r="U129" s="5">
        <f>F129+J129</f>
        <v/>
      </c>
      <c r="V129" s="5">
        <f>O129-U129</f>
        <v/>
      </c>
      <c r="W129" s="5">
        <f>O129-(P129+R129)</f>
        <v/>
      </c>
      <c r="X129" s="5">
        <f>O129-(P129+Q129+R129)</f>
        <v/>
      </c>
    </row>
    <row r="130">
      <c r="A130" s="2" t="inlineStr">
        <is>
          <t>EJ030323.TXT</t>
        </is>
      </c>
      <c r="B130" s="3" t="inlineStr">
        <is>
          <t>004652</t>
        </is>
      </c>
      <c r="C130" s="3" t="inlineStr">
        <is>
          <t>003690</t>
        </is>
      </c>
      <c r="D130" s="4" t="n">
        <v>44960</v>
      </c>
      <c r="E130" s="2" t="inlineStr">
        <is>
          <t>10:40</t>
        </is>
      </c>
      <c r="F130" s="5" t="n">
        <v>822.5</v>
      </c>
      <c r="G130" s="5" t="n"/>
      <c r="H130" s="5" t="n"/>
      <c r="I130" s="5" t="n"/>
      <c r="J130" s="5" t="n">
        <v>164.5</v>
      </c>
      <c r="K130" s="5" t="n"/>
      <c r="L130" s="5" t="n"/>
      <c r="M130" s="5" t="n"/>
      <c r="N130" s="5" t="n"/>
      <c r="O130" s="5" t="n">
        <v>987</v>
      </c>
      <c r="P130" s="5" t="n"/>
      <c r="Q130" s="5" t="n">
        <v>987</v>
      </c>
      <c r="R130" s="5" t="n"/>
      <c r="S130" s="5">
        <f>F130*20%</f>
        <v/>
      </c>
      <c r="T130" s="5">
        <f>J130-S130</f>
        <v/>
      </c>
      <c r="U130" s="5">
        <f>F130+J130</f>
        <v/>
      </c>
      <c r="V130" s="5">
        <f>O130-U130</f>
        <v/>
      </c>
      <c r="W130" s="5">
        <f>O130-(P130+R130)</f>
        <v/>
      </c>
      <c r="X130" s="5">
        <f>O130-(P130+Q130+R130)</f>
        <v/>
      </c>
    </row>
    <row r="131">
      <c r="A131" s="2" t="inlineStr">
        <is>
          <t>EJ030323.TXT</t>
        </is>
      </c>
      <c r="B131" s="3" t="inlineStr">
        <is>
          <t>004653</t>
        </is>
      </c>
      <c r="C131" s="3" t="inlineStr">
        <is>
          <t>003691</t>
        </is>
      </c>
      <c r="D131" s="4" t="n">
        <v>44960</v>
      </c>
      <c r="E131" s="2" t="inlineStr">
        <is>
          <t>11:55</t>
        </is>
      </c>
      <c r="F131" s="5" t="n">
        <v>166.67</v>
      </c>
      <c r="G131" s="5" t="n"/>
      <c r="H131" s="5" t="n"/>
      <c r="I131" s="5" t="n"/>
      <c r="J131" s="5" t="n">
        <v>33.33</v>
      </c>
      <c r="K131" s="5" t="n"/>
      <c r="L131" s="5" t="n"/>
      <c r="M131" s="5" t="n"/>
      <c r="N131" s="5" t="n"/>
      <c r="O131" s="5" t="n">
        <v>200</v>
      </c>
      <c r="P131" s="5" t="n"/>
      <c r="Q131" s="5" t="n">
        <v>200</v>
      </c>
      <c r="R131" s="5" t="n"/>
      <c r="S131" s="5">
        <f>F131*20%</f>
        <v/>
      </c>
      <c r="T131" s="5">
        <f>J131-S131</f>
        <v/>
      </c>
      <c r="U131" s="5">
        <f>F131+J131</f>
        <v/>
      </c>
      <c r="V131" s="5">
        <f>O131-U131</f>
        <v/>
      </c>
      <c r="W131" s="5">
        <f>O131-(P131+R131)</f>
        <v/>
      </c>
      <c r="X131" s="5">
        <f>O131-(P131+Q131+R131)</f>
        <v/>
      </c>
    </row>
    <row r="132">
      <c r="A132" s="2" t="inlineStr">
        <is>
          <t>EJ030323.TXT</t>
        </is>
      </c>
      <c r="B132" s="3" t="inlineStr">
        <is>
          <t>004654</t>
        </is>
      </c>
      <c r="C132" s="3" t="inlineStr">
        <is>
          <t>003692</t>
        </is>
      </c>
      <c r="D132" s="4" t="n">
        <v>44960</v>
      </c>
      <c r="E132" s="2" t="inlineStr">
        <is>
          <t>11:57</t>
        </is>
      </c>
      <c r="F132" s="5" t="n">
        <v>208.33</v>
      </c>
      <c r="G132" s="5" t="n"/>
      <c r="H132" s="5" t="n"/>
      <c r="I132" s="5" t="n"/>
      <c r="J132" s="5" t="n">
        <v>41.67</v>
      </c>
      <c r="K132" s="5" t="n"/>
      <c r="L132" s="5" t="n"/>
      <c r="M132" s="5" t="n"/>
      <c r="N132" s="5" t="n"/>
      <c r="O132" s="5" t="n">
        <v>250</v>
      </c>
      <c r="P132" s="5" t="n"/>
      <c r="Q132" s="5" t="n">
        <v>250</v>
      </c>
      <c r="R132" s="5" t="n"/>
      <c r="S132" s="5">
        <f>F132*20%</f>
        <v/>
      </c>
      <c r="T132" s="5">
        <f>J132-S132</f>
        <v/>
      </c>
      <c r="U132" s="5">
        <f>F132+J132</f>
        <v/>
      </c>
      <c r="V132" s="5">
        <f>O132-U132</f>
        <v/>
      </c>
      <c r="W132" s="5">
        <f>O132-(P132+R132)</f>
        <v/>
      </c>
      <c r="X132" s="5">
        <f>O132-(P132+Q132+R132)</f>
        <v/>
      </c>
    </row>
    <row r="133">
      <c r="A133" s="2" t="inlineStr">
        <is>
          <t>EJ030323.TXT</t>
        </is>
      </c>
      <c r="B133" s="3" t="inlineStr">
        <is>
          <t>004655</t>
        </is>
      </c>
      <c r="C133" s="3" t="inlineStr">
        <is>
          <t>003693</t>
        </is>
      </c>
      <c r="D133" s="4" t="n">
        <v>44960</v>
      </c>
      <c r="E133" s="2" t="inlineStr">
        <is>
          <t>14:51</t>
        </is>
      </c>
      <c r="F133" s="5" t="n">
        <v>799.17</v>
      </c>
      <c r="G133" s="5" t="n"/>
      <c r="H133" s="5" t="n"/>
      <c r="I133" s="5" t="n"/>
      <c r="J133" s="5" t="n">
        <v>159.83</v>
      </c>
      <c r="K133" s="5" t="n"/>
      <c r="L133" s="5" t="n"/>
      <c r="M133" s="5" t="n"/>
      <c r="N133" s="5" t="n"/>
      <c r="O133" s="5" t="n">
        <v>959</v>
      </c>
      <c r="P133" s="5" t="n"/>
      <c r="Q133" s="5" t="n">
        <v>959</v>
      </c>
      <c r="R133" s="5" t="n"/>
      <c r="S133" s="5">
        <f>F133*20%</f>
        <v/>
      </c>
      <c r="T133" s="5">
        <f>J133-S133</f>
        <v/>
      </c>
      <c r="U133" s="5">
        <f>F133+J133</f>
        <v/>
      </c>
      <c r="V133" s="5">
        <f>O133-U133</f>
        <v/>
      </c>
      <c r="W133" s="5">
        <f>O133-(P133+R133)</f>
        <v/>
      </c>
      <c r="X133" s="5">
        <f>O133-(P133+Q133+R133)</f>
        <v/>
      </c>
    </row>
    <row r="134">
      <c r="A134" s="2" t="inlineStr">
        <is>
          <t>EJ030323.TXT</t>
        </is>
      </c>
      <c r="B134" s="3" t="inlineStr">
        <is>
          <t>004656</t>
        </is>
      </c>
      <c r="C134" s="3" t="inlineStr">
        <is>
          <t>003694</t>
        </is>
      </c>
      <c r="D134" s="4" t="n">
        <v>44960</v>
      </c>
      <c r="E134" s="2" t="inlineStr">
        <is>
          <t>14:51</t>
        </is>
      </c>
      <c r="F134" s="5" t="n">
        <v>799.17</v>
      </c>
      <c r="G134" s="5" t="n"/>
      <c r="H134" s="5" t="n"/>
      <c r="I134" s="5" t="n"/>
      <c r="J134" s="5" t="n">
        <v>159.83</v>
      </c>
      <c r="K134" s="5" t="n"/>
      <c r="L134" s="5" t="n"/>
      <c r="M134" s="5" t="n"/>
      <c r="N134" s="5" t="n"/>
      <c r="O134" s="5" t="n">
        <v>959</v>
      </c>
      <c r="P134" s="5" t="n"/>
      <c r="Q134" s="5" t="n">
        <v>959</v>
      </c>
      <c r="R134" s="5" t="n"/>
      <c r="S134" s="5">
        <f>F134*20%</f>
        <v/>
      </c>
      <c r="T134" s="5">
        <f>J134-S134</f>
        <v/>
      </c>
      <c r="U134" s="5">
        <f>F134+J134</f>
        <v/>
      </c>
      <c r="V134" s="5">
        <f>O134-U134</f>
        <v/>
      </c>
      <c r="W134" s="5">
        <f>O134-(P134+R134)</f>
        <v/>
      </c>
      <c r="X134" s="5">
        <f>O134-(P134+Q134+R134)</f>
        <v/>
      </c>
    </row>
    <row r="135">
      <c r="A135" s="2" t="inlineStr">
        <is>
          <t>EJ030323.TXT</t>
        </is>
      </c>
      <c r="B135" s="3" t="inlineStr">
        <is>
          <t>004657</t>
        </is>
      </c>
      <c r="C135" s="3" t="inlineStr">
        <is>
          <t>003695</t>
        </is>
      </c>
      <c r="D135" s="4" t="n">
        <v>44960</v>
      </c>
      <c r="E135" s="2" t="inlineStr">
        <is>
          <t>14:51</t>
        </is>
      </c>
      <c r="F135" s="5" t="n">
        <v>733.33</v>
      </c>
      <c r="G135" s="5" t="n"/>
      <c r="H135" s="5" t="n"/>
      <c r="I135" s="5" t="n"/>
      <c r="J135" s="5" t="n">
        <v>146.67</v>
      </c>
      <c r="K135" s="5" t="n"/>
      <c r="L135" s="5" t="n"/>
      <c r="M135" s="5" t="n"/>
      <c r="N135" s="5" t="n"/>
      <c r="O135" s="5" t="n">
        <v>880</v>
      </c>
      <c r="P135" s="5" t="n"/>
      <c r="Q135" s="5" t="n">
        <v>880</v>
      </c>
      <c r="R135" s="5" t="n"/>
      <c r="S135" s="5">
        <f>F135*20%</f>
        <v/>
      </c>
      <c r="T135" s="5">
        <f>J135-S135</f>
        <v/>
      </c>
      <c r="U135" s="5">
        <f>F135+J135</f>
        <v/>
      </c>
      <c r="V135" s="5">
        <f>O135-U135</f>
        <v/>
      </c>
      <c r="W135" s="5">
        <f>O135-(P135+R135)</f>
        <v/>
      </c>
      <c r="X135" s="5">
        <f>O135-(P135+Q135+R135)</f>
        <v/>
      </c>
    </row>
    <row r="136">
      <c r="A136" s="2" t="inlineStr">
        <is>
          <t>EJ030323.TXT</t>
        </is>
      </c>
      <c r="B136" s="3" t="inlineStr">
        <is>
          <t>004658</t>
        </is>
      </c>
      <c r="C136" s="3" t="inlineStr">
        <is>
          <t>003696</t>
        </is>
      </c>
      <c r="D136" s="4" t="n">
        <v>44960</v>
      </c>
      <c r="E136" s="2" t="inlineStr">
        <is>
          <t>14:51</t>
        </is>
      </c>
      <c r="F136" s="5" t="n">
        <v>733.33</v>
      </c>
      <c r="G136" s="5" t="n"/>
      <c r="H136" s="5" t="n"/>
      <c r="I136" s="5" t="n"/>
      <c r="J136" s="5" t="n">
        <v>146.67</v>
      </c>
      <c r="K136" s="5" t="n"/>
      <c r="L136" s="5" t="n"/>
      <c r="M136" s="5" t="n"/>
      <c r="N136" s="5" t="n"/>
      <c r="O136" s="5" t="n">
        <v>880</v>
      </c>
      <c r="P136" s="5" t="n"/>
      <c r="Q136" s="5" t="n">
        <v>880</v>
      </c>
      <c r="R136" s="5" t="n"/>
      <c r="S136" s="5">
        <f>F136*20%</f>
        <v/>
      </c>
      <c r="T136" s="5">
        <f>J136-S136</f>
        <v/>
      </c>
      <c r="U136" s="5">
        <f>F136+J136</f>
        <v/>
      </c>
      <c r="V136" s="5">
        <f>O136-U136</f>
        <v/>
      </c>
      <c r="W136" s="5">
        <f>O136-(P136+R136)</f>
        <v/>
      </c>
      <c r="X136" s="5">
        <f>O136-(P136+Q136+R136)</f>
        <v/>
      </c>
    </row>
    <row r="137">
      <c r="A137" s="2" t="inlineStr">
        <is>
          <t>EJ030323.TXT</t>
        </is>
      </c>
      <c r="B137" s="3" t="inlineStr">
        <is>
          <t>004659</t>
        </is>
      </c>
      <c r="C137" s="3" t="inlineStr">
        <is>
          <t>003697</t>
        </is>
      </c>
      <c r="D137" s="4" t="n">
        <v>44960</v>
      </c>
      <c r="E137" s="2" t="inlineStr">
        <is>
          <t>14:51</t>
        </is>
      </c>
      <c r="F137" s="5" t="n">
        <v>650</v>
      </c>
      <c r="G137" s="5" t="n"/>
      <c r="H137" s="5" t="n"/>
      <c r="I137" s="5" t="n"/>
      <c r="J137" s="5" t="n">
        <v>130</v>
      </c>
      <c r="K137" s="5" t="n"/>
      <c r="L137" s="5" t="n"/>
      <c r="M137" s="5" t="n"/>
      <c r="N137" s="5" t="n"/>
      <c r="O137" s="5" t="n">
        <v>780</v>
      </c>
      <c r="P137" s="5" t="n"/>
      <c r="Q137" s="5" t="n">
        <v>780</v>
      </c>
      <c r="R137" s="5" t="n"/>
      <c r="S137" s="5">
        <f>F137*20%</f>
        <v/>
      </c>
      <c r="T137" s="5">
        <f>J137-S137</f>
        <v/>
      </c>
      <c r="U137" s="5">
        <f>F137+J137</f>
        <v/>
      </c>
      <c r="V137" s="5">
        <f>O137-U137</f>
        <v/>
      </c>
      <c r="W137" s="5">
        <f>O137-(P137+R137)</f>
        <v/>
      </c>
      <c r="X137" s="5">
        <f>O137-(P137+Q137+R137)</f>
        <v/>
      </c>
    </row>
    <row r="138">
      <c r="A138" s="2" t="inlineStr">
        <is>
          <t>EJ030323.TXT</t>
        </is>
      </c>
      <c r="B138" s="3" t="inlineStr">
        <is>
          <t>004660</t>
        </is>
      </c>
      <c r="C138" s="3" t="inlineStr">
        <is>
          <t>003698</t>
        </is>
      </c>
      <c r="D138" s="4" t="n">
        <v>44960</v>
      </c>
      <c r="E138" s="2" t="inlineStr">
        <is>
          <t>14:52</t>
        </is>
      </c>
      <c r="F138" s="5" t="n">
        <v>650</v>
      </c>
      <c r="G138" s="5" t="n"/>
      <c r="H138" s="5" t="n"/>
      <c r="I138" s="5" t="n"/>
      <c r="J138" s="5" t="n">
        <v>130</v>
      </c>
      <c r="K138" s="5" t="n"/>
      <c r="L138" s="5" t="n"/>
      <c r="M138" s="5" t="n"/>
      <c r="N138" s="5" t="n"/>
      <c r="O138" s="5" t="n">
        <v>780</v>
      </c>
      <c r="P138" s="5" t="n"/>
      <c r="Q138" s="5" t="n">
        <v>780</v>
      </c>
      <c r="R138" s="5" t="n"/>
      <c r="S138" s="5">
        <f>F138*20%</f>
        <v/>
      </c>
      <c r="T138" s="5">
        <f>J138-S138</f>
        <v/>
      </c>
      <c r="U138" s="5">
        <f>F138+J138</f>
        <v/>
      </c>
      <c r="V138" s="5">
        <f>O138-U138</f>
        <v/>
      </c>
      <c r="W138" s="5">
        <f>O138-(P138+R138)</f>
        <v/>
      </c>
      <c r="X138" s="5">
        <f>O138-(P138+Q138+R138)</f>
        <v/>
      </c>
    </row>
    <row r="139">
      <c r="A139" s="2" t="inlineStr">
        <is>
          <t>EJ030323.TXT</t>
        </is>
      </c>
      <c r="B139" s="3" t="inlineStr">
        <is>
          <t>004661</t>
        </is>
      </c>
      <c r="C139" s="3" t="inlineStr">
        <is>
          <t>003699</t>
        </is>
      </c>
      <c r="D139" s="4" t="n">
        <v>44960</v>
      </c>
      <c r="E139" s="2" t="inlineStr">
        <is>
          <t>16:40</t>
        </is>
      </c>
      <c r="F139" s="5" t="n">
        <v>190.83</v>
      </c>
      <c r="G139" s="5" t="n"/>
      <c r="H139" s="5" t="n"/>
      <c r="I139" s="5" t="n"/>
      <c r="J139" s="5" t="n">
        <v>38.17</v>
      </c>
      <c r="K139" s="5" t="n"/>
      <c r="L139" s="5" t="n"/>
      <c r="M139" s="5" t="n"/>
      <c r="N139" s="5" t="n"/>
      <c r="O139" s="5" t="n">
        <v>229</v>
      </c>
      <c r="P139" s="5" t="n"/>
      <c r="Q139" s="5" t="n">
        <v>229</v>
      </c>
      <c r="R139" s="5" t="n"/>
      <c r="S139" s="5">
        <f>F139*20%</f>
        <v/>
      </c>
      <c r="T139" s="5">
        <f>J139-S139</f>
        <v/>
      </c>
      <c r="U139" s="5">
        <f>F139+J139</f>
        <v/>
      </c>
      <c r="V139" s="5">
        <f>O139-U139</f>
        <v/>
      </c>
      <c r="W139" s="5">
        <f>O139-(P139+R139)</f>
        <v/>
      </c>
      <c r="X139" s="5">
        <f>O139-(P139+Q139+R139)</f>
        <v/>
      </c>
    </row>
    <row r="140">
      <c r="A140" s="2" t="inlineStr">
        <is>
          <t>EJ030323.TXT</t>
        </is>
      </c>
      <c r="B140" s="3" t="inlineStr">
        <is>
          <t>004662</t>
        </is>
      </c>
      <c r="C140" s="3" t="inlineStr">
        <is>
          <t>003700</t>
        </is>
      </c>
      <c r="D140" s="4" t="n">
        <v>44963</v>
      </c>
      <c r="E140" s="2" t="inlineStr">
        <is>
          <t>15:19</t>
        </is>
      </c>
      <c r="F140" s="5" t="n">
        <v>822.5</v>
      </c>
      <c r="G140" s="5" t="n"/>
      <c r="H140" s="5" t="n"/>
      <c r="I140" s="5" t="n"/>
      <c r="J140" s="5" t="n">
        <v>164.5</v>
      </c>
      <c r="K140" s="5" t="n"/>
      <c r="L140" s="5" t="n"/>
      <c r="M140" s="5" t="n"/>
      <c r="N140" s="5" t="n"/>
      <c r="O140" s="5" t="n">
        <v>987</v>
      </c>
      <c r="P140" s="5" t="n">
        <v>987</v>
      </c>
      <c r="Q140" s="5" t="n"/>
      <c r="R140" s="5" t="n"/>
      <c r="S140" s="5">
        <f>F140*20%</f>
        <v/>
      </c>
      <c r="T140" s="5">
        <f>J140-S140</f>
        <v/>
      </c>
      <c r="U140" s="5">
        <f>F140+J140</f>
        <v/>
      </c>
      <c r="V140" s="5">
        <f>O140-U140</f>
        <v/>
      </c>
      <c r="W140" s="5">
        <f>O140-(P140+R140)</f>
        <v/>
      </c>
      <c r="X140" s="5">
        <f>O140-(P140+Q140+R140)</f>
        <v/>
      </c>
    </row>
    <row r="141">
      <c r="A141" s="2" t="inlineStr">
        <is>
          <t>EJ030323.TXT</t>
        </is>
      </c>
      <c r="B141" s="3" t="inlineStr">
        <is>
          <t>004663</t>
        </is>
      </c>
      <c r="C141" s="3" t="inlineStr">
        <is>
          <t>003701</t>
        </is>
      </c>
      <c r="D141" s="4" t="n">
        <v>44963</v>
      </c>
      <c r="E141" s="2" t="inlineStr">
        <is>
          <t>15:46</t>
        </is>
      </c>
      <c r="F141" s="5" t="n">
        <v>381.67</v>
      </c>
      <c r="G141" s="5" t="n"/>
      <c r="H141" s="5" t="n"/>
      <c r="I141" s="5" t="n"/>
      <c r="J141" s="5" t="n">
        <v>76.33</v>
      </c>
      <c r="K141" s="5" t="n"/>
      <c r="L141" s="5" t="n"/>
      <c r="M141" s="5" t="n"/>
      <c r="N141" s="5" t="n"/>
      <c r="O141" s="5" t="n">
        <v>458</v>
      </c>
      <c r="P141" s="5" t="n"/>
      <c r="Q141" s="5" t="n">
        <v>458</v>
      </c>
      <c r="R141" s="5" t="n"/>
      <c r="S141" s="5">
        <f>F141*20%</f>
        <v/>
      </c>
      <c r="T141" s="5">
        <f>J141-S141</f>
        <v/>
      </c>
      <c r="U141" s="5">
        <f>F141+J141</f>
        <v/>
      </c>
      <c r="V141" s="5">
        <f>O141-U141</f>
        <v/>
      </c>
      <c r="W141" s="5">
        <f>O141-(P141+R141)</f>
        <v/>
      </c>
      <c r="X141" s="5">
        <f>O141-(P141+Q141+R141)</f>
        <v/>
      </c>
    </row>
    <row r="142">
      <c r="A142" s="2" t="inlineStr">
        <is>
          <t>EJ030323.TXT</t>
        </is>
      </c>
      <c r="B142" s="3" t="inlineStr">
        <is>
          <t>004664</t>
        </is>
      </c>
      <c r="C142" s="3" t="inlineStr">
        <is>
          <t>003702</t>
        </is>
      </c>
      <c r="D142" s="4" t="n">
        <v>44964</v>
      </c>
      <c r="E142" s="2" t="inlineStr">
        <is>
          <t>16:13</t>
        </is>
      </c>
      <c r="F142" s="5" t="n">
        <v>582.5</v>
      </c>
      <c r="G142" s="5" t="n"/>
      <c r="H142" s="5" t="n"/>
      <c r="I142" s="5" t="n"/>
      <c r="J142" s="5" t="n">
        <v>116.5</v>
      </c>
      <c r="K142" s="5" t="n"/>
      <c r="L142" s="5" t="n"/>
      <c r="M142" s="5" t="n"/>
      <c r="N142" s="5" t="n"/>
      <c r="O142" s="5" t="n">
        <v>699</v>
      </c>
      <c r="P142" s="5" t="n"/>
      <c r="Q142" s="5" t="n">
        <v>699</v>
      </c>
      <c r="R142" s="5" t="n"/>
      <c r="S142" s="5">
        <f>F142*20%</f>
        <v/>
      </c>
      <c r="T142" s="5">
        <f>J142-S142</f>
        <v/>
      </c>
      <c r="U142" s="5">
        <f>F142+J142</f>
        <v/>
      </c>
      <c r="V142" s="5">
        <f>O142-U142</f>
        <v/>
      </c>
      <c r="W142" s="5">
        <f>O142-(P142+R142)</f>
        <v/>
      </c>
      <c r="X142" s="5">
        <f>O142-(P142+Q142+R142)</f>
        <v/>
      </c>
    </row>
    <row r="143">
      <c r="A143" s="2" t="inlineStr">
        <is>
          <t>EJ030323.TXT</t>
        </is>
      </c>
      <c r="B143" s="3" t="inlineStr">
        <is>
          <t>004665</t>
        </is>
      </c>
      <c r="C143" s="3" t="inlineStr">
        <is>
          <t>003703</t>
        </is>
      </c>
      <c r="D143" s="4" t="n">
        <v>44964</v>
      </c>
      <c r="E143" s="2" t="inlineStr">
        <is>
          <t>16:13</t>
        </is>
      </c>
      <c r="F143" s="5" t="n">
        <v>582.5</v>
      </c>
      <c r="G143" s="5" t="n"/>
      <c r="H143" s="5" t="n"/>
      <c r="I143" s="5" t="n"/>
      <c r="J143" s="5" t="n">
        <v>116.5</v>
      </c>
      <c r="K143" s="5" t="n"/>
      <c r="L143" s="5" t="n"/>
      <c r="M143" s="5" t="n"/>
      <c r="N143" s="5" t="n"/>
      <c r="O143" s="5" t="n">
        <v>699</v>
      </c>
      <c r="P143" s="5" t="n"/>
      <c r="Q143" s="5" t="n">
        <v>699</v>
      </c>
      <c r="R143" s="5" t="n"/>
      <c r="S143" s="5">
        <f>F143*20%</f>
        <v/>
      </c>
      <c r="T143" s="5">
        <f>J143-S143</f>
        <v/>
      </c>
      <c r="U143" s="5">
        <f>F143+J143</f>
        <v/>
      </c>
      <c r="V143" s="5">
        <f>O143-U143</f>
        <v/>
      </c>
      <c r="W143" s="5">
        <f>O143-(P143+R143)</f>
        <v/>
      </c>
      <c r="X143" s="5">
        <f>O143-(P143+Q143+R143)</f>
        <v/>
      </c>
    </row>
    <row r="144">
      <c r="A144" s="2" t="inlineStr">
        <is>
          <t>EJ030323.TXT</t>
        </is>
      </c>
      <c r="B144" s="3" t="inlineStr">
        <is>
          <t>004666</t>
        </is>
      </c>
      <c r="C144" s="3" t="inlineStr">
        <is>
          <t>003704</t>
        </is>
      </c>
      <c r="D144" s="4" t="n">
        <v>44964</v>
      </c>
      <c r="E144" s="2" t="inlineStr">
        <is>
          <t>16:20</t>
        </is>
      </c>
      <c r="F144" s="5" t="n">
        <v>531.67</v>
      </c>
      <c r="G144" s="5" t="n"/>
      <c r="H144" s="5" t="n"/>
      <c r="I144" s="5" t="n"/>
      <c r="J144" s="5" t="n">
        <v>106.33</v>
      </c>
      <c r="K144" s="5" t="n"/>
      <c r="L144" s="5" t="n"/>
      <c r="M144" s="5" t="n"/>
      <c r="N144" s="5" t="n"/>
      <c r="O144" s="5" t="n">
        <v>638</v>
      </c>
      <c r="P144" s="5" t="n"/>
      <c r="Q144" s="5" t="n">
        <v>638</v>
      </c>
      <c r="R144" s="5" t="n"/>
      <c r="S144" s="5">
        <f>F144*20%</f>
        <v/>
      </c>
      <c r="T144" s="5">
        <f>J144-S144</f>
        <v/>
      </c>
      <c r="U144" s="5">
        <f>F144+J144</f>
        <v/>
      </c>
      <c r="V144" s="5">
        <f>O144-U144</f>
        <v/>
      </c>
      <c r="W144" s="5">
        <f>O144-(P144+R144)</f>
        <v/>
      </c>
      <c r="X144" s="5">
        <f>O144-(P144+Q144+R144)</f>
        <v/>
      </c>
    </row>
    <row r="145">
      <c r="A145" s="2" t="inlineStr">
        <is>
          <t>EJ030323.TXT</t>
        </is>
      </c>
      <c r="B145" s="3" t="inlineStr">
        <is>
          <t>004667</t>
        </is>
      </c>
      <c r="C145" s="3" t="inlineStr">
        <is>
          <t>003705</t>
        </is>
      </c>
      <c r="D145" s="4" t="n">
        <v>44964</v>
      </c>
      <c r="E145" s="2" t="inlineStr">
        <is>
          <t>16:29</t>
        </is>
      </c>
      <c r="F145" s="5" t="n">
        <v>282.5</v>
      </c>
      <c r="G145" s="5" t="n"/>
      <c r="H145" s="5" t="n"/>
      <c r="I145" s="5" t="n"/>
      <c r="J145" s="5" t="n">
        <v>56.5</v>
      </c>
      <c r="K145" s="5" t="n"/>
      <c r="L145" s="5" t="n"/>
      <c r="M145" s="5" t="n"/>
      <c r="N145" s="5" t="n"/>
      <c r="O145" s="5" t="n">
        <v>339</v>
      </c>
      <c r="P145" s="5" t="n"/>
      <c r="Q145" s="5" t="n">
        <v>339</v>
      </c>
      <c r="R145" s="5" t="n"/>
      <c r="S145" s="5">
        <f>F145*20%</f>
        <v/>
      </c>
      <c r="T145" s="5">
        <f>J145-S145</f>
        <v/>
      </c>
      <c r="U145" s="5">
        <f>F145+J145</f>
        <v/>
      </c>
      <c r="V145" s="5">
        <f>O145-U145</f>
        <v/>
      </c>
      <c r="W145" s="5">
        <f>O145-(P145+R145)</f>
        <v/>
      </c>
      <c r="X145" s="5">
        <f>O145-(P145+Q145+R145)</f>
        <v/>
      </c>
    </row>
    <row r="146">
      <c r="A146" s="2" t="inlineStr">
        <is>
          <t>EJ030323.TXT</t>
        </is>
      </c>
      <c r="B146" s="3" t="inlineStr">
        <is>
          <t>004668</t>
        </is>
      </c>
      <c r="C146" s="3" t="inlineStr">
        <is>
          <t>003706</t>
        </is>
      </c>
      <c r="D146" s="4" t="n">
        <v>44965</v>
      </c>
      <c r="E146" s="2" t="inlineStr">
        <is>
          <t>12:42</t>
        </is>
      </c>
      <c r="F146" s="5" t="n">
        <v>1063.33</v>
      </c>
      <c r="G146" s="5" t="n"/>
      <c r="H146" s="5" t="n"/>
      <c r="I146" s="5" t="n"/>
      <c r="J146" s="5" t="n">
        <v>212.67</v>
      </c>
      <c r="K146" s="5" t="n"/>
      <c r="L146" s="5" t="n"/>
      <c r="M146" s="5" t="n"/>
      <c r="N146" s="5" t="n"/>
      <c r="O146" s="5" t="n">
        <v>1276</v>
      </c>
      <c r="P146" s="5" t="n">
        <v>1276</v>
      </c>
      <c r="Q146" s="5" t="n"/>
      <c r="R146" s="5" t="n"/>
      <c r="S146" s="5">
        <f>F146*20%</f>
        <v/>
      </c>
      <c r="T146" s="5">
        <f>J146-S146</f>
        <v/>
      </c>
      <c r="U146" s="5">
        <f>F146+J146</f>
        <v/>
      </c>
      <c r="V146" s="5">
        <f>O146-U146</f>
        <v/>
      </c>
      <c r="W146" s="5">
        <f>O146-(P146+R146)</f>
        <v/>
      </c>
      <c r="X146" s="5">
        <f>O146-(P146+Q146+R146)</f>
        <v/>
      </c>
    </row>
    <row r="147">
      <c r="A147" s="2" t="inlineStr">
        <is>
          <t>EJ030323.TXT</t>
        </is>
      </c>
      <c r="B147" s="3" t="inlineStr">
        <is>
          <t>004669</t>
        </is>
      </c>
      <c r="C147" s="3" t="inlineStr">
        <is>
          <t>003707</t>
        </is>
      </c>
      <c r="D147" s="4" t="n">
        <v>44965</v>
      </c>
      <c r="E147" s="2" t="inlineStr">
        <is>
          <t>13:04</t>
        </is>
      </c>
      <c r="F147" s="5" t="n">
        <v>37.5</v>
      </c>
      <c r="G147" s="5" t="n"/>
      <c r="H147" s="5" t="n"/>
      <c r="I147" s="5" t="n"/>
      <c r="J147" s="5" t="n">
        <v>7.5</v>
      </c>
      <c r="K147" s="5" t="n"/>
      <c r="L147" s="5" t="n"/>
      <c r="M147" s="5" t="n"/>
      <c r="N147" s="5" t="n"/>
      <c r="O147" s="5" t="n">
        <v>45</v>
      </c>
      <c r="P147" s="5" t="n"/>
      <c r="Q147" s="5" t="n">
        <v>45</v>
      </c>
      <c r="R147" s="5" t="n"/>
      <c r="S147" s="5">
        <f>F147*20%</f>
        <v/>
      </c>
      <c r="T147" s="5">
        <f>J147-S147</f>
        <v/>
      </c>
      <c r="U147" s="5">
        <f>F147+J147</f>
        <v/>
      </c>
      <c r="V147" s="5">
        <f>O147-U147</f>
        <v/>
      </c>
      <c r="W147" s="5">
        <f>O147-(P147+R147)</f>
        <v/>
      </c>
      <c r="X147" s="5">
        <f>O147-(P147+Q147+R147)</f>
        <v/>
      </c>
    </row>
    <row r="148">
      <c r="A148" s="2" t="inlineStr">
        <is>
          <t>EJ030323.TXT</t>
        </is>
      </c>
      <c r="B148" s="3" t="inlineStr">
        <is>
          <t>004670</t>
        </is>
      </c>
      <c r="C148" s="3" t="inlineStr">
        <is>
          <t>003708</t>
        </is>
      </c>
      <c r="D148" s="4" t="n">
        <v>44965</v>
      </c>
      <c r="E148" s="2" t="inlineStr">
        <is>
          <t>16:37</t>
        </is>
      </c>
      <c r="F148" s="5" t="n">
        <v>1096.67</v>
      </c>
      <c r="G148" s="5" t="n"/>
      <c r="H148" s="5" t="n"/>
      <c r="I148" s="5" t="n"/>
      <c r="J148" s="5" t="n">
        <v>219.33</v>
      </c>
      <c r="K148" s="5" t="n"/>
      <c r="L148" s="5" t="n"/>
      <c r="M148" s="5" t="n"/>
      <c r="N148" s="5" t="n"/>
      <c r="O148" s="5" t="n">
        <v>1316</v>
      </c>
      <c r="P148" s="5" t="n">
        <v>1316</v>
      </c>
      <c r="Q148" s="5" t="n"/>
      <c r="R148" s="5" t="n"/>
      <c r="S148" s="5">
        <f>F148*20%</f>
        <v/>
      </c>
      <c r="T148" s="5">
        <f>J148-S148</f>
        <v/>
      </c>
      <c r="U148" s="5">
        <f>F148+J148</f>
        <v/>
      </c>
      <c r="V148" s="5">
        <f>O148-U148</f>
        <v/>
      </c>
      <c r="W148" s="5">
        <f>O148-(P148+R148)</f>
        <v/>
      </c>
      <c r="X148" s="5">
        <f>O148-(P148+Q148+R148)</f>
        <v/>
      </c>
    </row>
    <row r="149">
      <c r="A149" s="2" t="inlineStr">
        <is>
          <t>EJ030323.TXT</t>
        </is>
      </c>
      <c r="B149" s="3" t="inlineStr">
        <is>
          <t>004671</t>
        </is>
      </c>
      <c r="C149" s="3" t="inlineStr">
        <is>
          <t>003709</t>
        </is>
      </c>
      <c r="D149" s="4" t="n">
        <v>44966</v>
      </c>
      <c r="E149" s="2" t="inlineStr">
        <is>
          <t>11:15</t>
        </is>
      </c>
      <c r="F149" s="5" t="n">
        <v>548.33</v>
      </c>
      <c r="G149" s="5" t="n"/>
      <c r="H149" s="5" t="n"/>
      <c r="I149" s="5" t="n"/>
      <c r="J149" s="5" t="n">
        <v>109.67</v>
      </c>
      <c r="K149" s="5" t="n"/>
      <c r="L149" s="5" t="n"/>
      <c r="M149" s="5" t="n"/>
      <c r="N149" s="5" t="n"/>
      <c r="O149" s="5" t="n">
        <v>658</v>
      </c>
      <c r="P149" s="5" t="n"/>
      <c r="Q149" s="5" t="n">
        <v>658</v>
      </c>
      <c r="R149" s="5" t="n"/>
      <c r="S149" s="5">
        <f>F149*20%</f>
        <v/>
      </c>
      <c r="T149" s="5">
        <f>J149-S149</f>
        <v/>
      </c>
      <c r="U149" s="5">
        <f>F149+J149</f>
        <v/>
      </c>
      <c r="V149" s="5">
        <f>O149-U149</f>
        <v/>
      </c>
      <c r="W149" s="5">
        <f>O149-(P149+R149)</f>
        <v/>
      </c>
      <c r="X149" s="5">
        <f>O149-(P149+Q149+R149)</f>
        <v/>
      </c>
    </row>
    <row r="150">
      <c r="A150" s="2" t="inlineStr">
        <is>
          <t>EJ030323.TXT</t>
        </is>
      </c>
      <c r="B150" s="3" t="inlineStr">
        <is>
          <t>004672</t>
        </is>
      </c>
      <c r="C150" s="3" t="inlineStr">
        <is>
          <t>003710</t>
        </is>
      </c>
      <c r="D150" s="4" t="n">
        <v>44966</v>
      </c>
      <c r="E150" s="2" t="inlineStr">
        <is>
          <t>11:16</t>
        </is>
      </c>
      <c r="F150" s="5" t="n">
        <v>307.5</v>
      </c>
      <c r="G150" s="5" t="n"/>
      <c r="H150" s="5" t="n"/>
      <c r="I150" s="5" t="n"/>
      <c r="J150" s="5" t="n">
        <v>61.5</v>
      </c>
      <c r="K150" s="5" t="n"/>
      <c r="L150" s="5" t="n"/>
      <c r="M150" s="5" t="n"/>
      <c r="N150" s="5" t="n"/>
      <c r="O150" s="5" t="n">
        <v>369</v>
      </c>
      <c r="P150" s="5" t="n"/>
      <c r="Q150" s="5" t="n">
        <v>369</v>
      </c>
      <c r="R150" s="5" t="n"/>
      <c r="S150" s="5">
        <f>F150*20%</f>
        <v/>
      </c>
      <c r="T150" s="5">
        <f>J150-S150</f>
        <v/>
      </c>
      <c r="U150" s="5">
        <f>F150+J150</f>
        <v/>
      </c>
      <c r="V150" s="5">
        <f>O150-U150</f>
        <v/>
      </c>
      <c r="W150" s="5">
        <f>O150-(P150+R150)</f>
        <v/>
      </c>
      <c r="X150" s="5">
        <f>O150-(P150+Q150+R150)</f>
        <v/>
      </c>
    </row>
    <row r="151">
      <c r="A151" s="2" t="inlineStr">
        <is>
          <t>EJ030323.TXT</t>
        </is>
      </c>
      <c r="B151" s="3" t="inlineStr">
        <is>
          <t>004673</t>
        </is>
      </c>
      <c r="C151" s="3" t="inlineStr">
        <is>
          <t>003711</t>
        </is>
      </c>
      <c r="D151" s="4" t="n">
        <v>44966</v>
      </c>
      <c r="E151" s="2" t="inlineStr">
        <is>
          <t>16:22</t>
        </is>
      </c>
      <c r="F151" s="5" t="n">
        <v>531.67</v>
      </c>
      <c r="G151" s="5" t="n"/>
      <c r="H151" s="5" t="n"/>
      <c r="I151" s="5" t="n"/>
      <c r="J151" s="5" t="n">
        <v>106.33</v>
      </c>
      <c r="K151" s="5" t="n"/>
      <c r="L151" s="5" t="n"/>
      <c r="M151" s="5" t="n"/>
      <c r="N151" s="5" t="n"/>
      <c r="O151" s="5" t="n">
        <v>638</v>
      </c>
      <c r="P151" s="5" t="n"/>
      <c r="Q151" s="5" t="n">
        <v>638</v>
      </c>
      <c r="R151" s="5" t="n"/>
      <c r="S151" s="5">
        <f>F151*20%</f>
        <v/>
      </c>
      <c r="T151" s="5">
        <f>J151-S151</f>
        <v/>
      </c>
      <c r="U151" s="5">
        <f>F151+J151</f>
        <v/>
      </c>
      <c r="V151" s="5">
        <f>O151-U151</f>
        <v/>
      </c>
      <c r="W151" s="5">
        <f>O151-(P151+R151)</f>
        <v/>
      </c>
      <c r="X151" s="5">
        <f>O151-(P151+Q151+R151)</f>
        <v/>
      </c>
    </row>
    <row r="152">
      <c r="A152" s="2" t="inlineStr">
        <is>
          <t>EJ030323.TXT</t>
        </is>
      </c>
      <c r="B152" s="3" t="inlineStr">
        <is>
          <t>004674</t>
        </is>
      </c>
      <c r="C152" s="3" t="inlineStr">
        <is>
          <t>003712</t>
        </is>
      </c>
      <c r="D152" s="4" t="n">
        <v>44966</v>
      </c>
      <c r="E152" s="2" t="inlineStr">
        <is>
          <t>18:21</t>
        </is>
      </c>
      <c r="F152" s="5" t="n">
        <v>6380</v>
      </c>
      <c r="G152" s="5" t="n"/>
      <c r="H152" s="5" t="n"/>
      <c r="I152" s="5" t="n"/>
      <c r="J152" s="5" t="n">
        <v>1276</v>
      </c>
      <c r="K152" s="5" t="n"/>
      <c r="L152" s="5" t="n"/>
      <c r="M152" s="5" t="n"/>
      <c r="N152" s="5" t="n"/>
      <c r="O152" s="5" t="n">
        <v>7656</v>
      </c>
      <c r="P152" s="5" t="n">
        <v>7656</v>
      </c>
      <c r="Q152" s="5" t="n"/>
      <c r="R152" s="5" t="n"/>
      <c r="S152" s="5">
        <f>F152*20%</f>
        <v/>
      </c>
      <c r="T152" s="5">
        <f>J152-S152</f>
        <v/>
      </c>
      <c r="U152" s="5">
        <f>F152+J152</f>
        <v/>
      </c>
      <c r="V152" s="5">
        <f>O152-U152</f>
        <v/>
      </c>
      <c r="W152" s="5">
        <f>O152-(P152+R152)</f>
        <v/>
      </c>
      <c r="X152" s="5">
        <f>O152-(P152+Q152+R152)</f>
        <v/>
      </c>
    </row>
    <row r="153">
      <c r="A153" s="2" t="inlineStr">
        <is>
          <t>EJ030323.TXT</t>
        </is>
      </c>
      <c r="B153" s="3" t="inlineStr">
        <is>
          <t>004675</t>
        </is>
      </c>
      <c r="C153" s="3" t="inlineStr">
        <is>
          <t>003713</t>
        </is>
      </c>
      <c r="D153" s="4" t="n">
        <v>44968</v>
      </c>
      <c r="E153" s="2" t="inlineStr">
        <is>
          <t>16:19</t>
        </is>
      </c>
      <c r="F153" s="5" t="n">
        <v>75</v>
      </c>
      <c r="G153" s="5" t="n"/>
      <c r="H153" s="5" t="n"/>
      <c r="I153" s="5" t="n"/>
      <c r="J153" s="5" t="n">
        <v>15</v>
      </c>
      <c r="K153" s="5" t="n"/>
      <c r="L153" s="5" t="n"/>
      <c r="M153" s="5" t="n"/>
      <c r="N153" s="5" t="n"/>
      <c r="O153" s="5" t="n">
        <v>90</v>
      </c>
      <c r="P153" s="5" t="n"/>
      <c r="Q153" s="5" t="n">
        <v>90</v>
      </c>
      <c r="R153" s="5" t="n"/>
      <c r="S153" s="5">
        <f>F153*20%</f>
        <v/>
      </c>
      <c r="T153" s="5">
        <f>J153-S153</f>
        <v/>
      </c>
      <c r="U153" s="5">
        <f>F153+J153</f>
        <v/>
      </c>
      <c r="V153" s="5">
        <f>O153-U153</f>
        <v/>
      </c>
      <c r="W153" s="5">
        <f>O153-(P153+R153)</f>
        <v/>
      </c>
      <c r="X153" s="5">
        <f>O153-(P153+Q153+R153)</f>
        <v/>
      </c>
    </row>
    <row r="154">
      <c r="A154" s="2" t="inlineStr">
        <is>
          <t>EJ030323.TXT</t>
        </is>
      </c>
      <c r="B154" s="3" t="inlineStr">
        <is>
          <t>004676</t>
        </is>
      </c>
      <c r="C154" s="3" t="inlineStr">
        <is>
          <t>003714</t>
        </is>
      </c>
      <c r="D154" s="4" t="n">
        <v>44968</v>
      </c>
      <c r="E154" s="2" t="inlineStr">
        <is>
          <t>16:20</t>
        </is>
      </c>
      <c r="F154" s="5" t="n">
        <v>315</v>
      </c>
      <c r="G154" s="5" t="n"/>
      <c r="H154" s="5" t="n"/>
      <c r="I154" s="5" t="n"/>
      <c r="J154" s="5" t="n">
        <v>63</v>
      </c>
      <c r="K154" s="5" t="n"/>
      <c r="L154" s="5" t="n"/>
      <c r="M154" s="5" t="n"/>
      <c r="N154" s="5" t="n"/>
      <c r="O154" s="5" t="n">
        <v>378</v>
      </c>
      <c r="P154" s="5" t="n"/>
      <c r="Q154" s="5" t="n">
        <v>378</v>
      </c>
      <c r="R154" s="5" t="n"/>
      <c r="S154" s="5">
        <f>F154*20%</f>
        <v/>
      </c>
      <c r="T154" s="5">
        <f>J154-S154</f>
        <v/>
      </c>
      <c r="U154" s="5">
        <f>F154+J154</f>
        <v/>
      </c>
      <c r="V154" s="5">
        <f>O154-U154</f>
        <v/>
      </c>
      <c r="W154" s="5">
        <f>O154-(P154+R154)</f>
        <v/>
      </c>
      <c r="X154" s="5">
        <f>O154-(P154+Q154+R154)</f>
        <v/>
      </c>
    </row>
    <row r="155">
      <c r="A155" s="2" t="inlineStr">
        <is>
          <t>EJ030323.TXT</t>
        </is>
      </c>
      <c r="B155" s="3" t="inlineStr">
        <is>
          <t>004677</t>
        </is>
      </c>
      <c r="C155" s="3" t="inlineStr">
        <is>
          <t>003715</t>
        </is>
      </c>
      <c r="D155" s="4" t="n">
        <v>44970</v>
      </c>
      <c r="E155" s="2" t="inlineStr">
        <is>
          <t>14:39</t>
        </is>
      </c>
      <c r="F155" s="5" t="n">
        <v>295</v>
      </c>
      <c r="G155" s="5" t="n"/>
      <c r="H155" s="5" t="n"/>
      <c r="I155" s="5" t="n"/>
      <c r="J155" s="5" t="n">
        <v>59</v>
      </c>
      <c r="K155" s="5" t="n"/>
      <c r="L155" s="5" t="n"/>
      <c r="M155" s="5" t="n"/>
      <c r="N155" s="5" t="n"/>
      <c r="O155" s="5" t="n">
        <v>354</v>
      </c>
      <c r="P155" s="5" t="n"/>
      <c r="Q155" s="5" t="n">
        <v>354</v>
      </c>
      <c r="R155" s="5" t="n"/>
      <c r="S155" s="5">
        <f>F155*20%</f>
        <v/>
      </c>
      <c r="T155" s="5">
        <f>J155-S155</f>
        <v/>
      </c>
      <c r="U155" s="5">
        <f>F155+J155</f>
        <v/>
      </c>
      <c r="V155" s="5">
        <f>O155-U155</f>
        <v/>
      </c>
      <c r="W155" s="5">
        <f>O155-(P155+R155)</f>
        <v/>
      </c>
      <c r="X155" s="5">
        <f>O155-(P155+Q155+R155)</f>
        <v/>
      </c>
    </row>
    <row r="156">
      <c r="A156" s="2" t="inlineStr">
        <is>
          <t>EJ030323.TXT</t>
        </is>
      </c>
      <c r="B156" s="3" t="inlineStr">
        <is>
          <t>004678</t>
        </is>
      </c>
      <c r="C156" s="3" t="inlineStr">
        <is>
          <t>003716</t>
        </is>
      </c>
      <c r="D156" s="4" t="n">
        <v>44970</v>
      </c>
      <c r="E156" s="2" t="inlineStr">
        <is>
          <t>14:42</t>
        </is>
      </c>
      <c r="F156" s="5" t="n">
        <v>65.83</v>
      </c>
      <c r="G156" s="5" t="n"/>
      <c r="H156" s="5" t="n"/>
      <c r="I156" s="5" t="n"/>
      <c r="J156" s="5" t="n">
        <v>13.17</v>
      </c>
      <c r="K156" s="5" t="n"/>
      <c r="L156" s="5" t="n"/>
      <c r="M156" s="5" t="n"/>
      <c r="N156" s="5" t="n"/>
      <c r="O156" s="5" t="n">
        <v>79</v>
      </c>
      <c r="P156" s="5" t="n"/>
      <c r="Q156" s="5" t="n">
        <v>79</v>
      </c>
      <c r="R156" s="5" t="n"/>
      <c r="S156" s="5">
        <f>F156*20%</f>
        <v/>
      </c>
      <c r="T156" s="5">
        <f>J156-S156</f>
        <v/>
      </c>
      <c r="U156" s="5">
        <f>F156+J156</f>
        <v/>
      </c>
      <c r="V156" s="5">
        <f>O156-U156</f>
        <v/>
      </c>
      <c r="W156" s="5">
        <f>O156-(P156+R156)</f>
        <v/>
      </c>
      <c r="X156" s="5">
        <f>O156-(P156+Q156+R156)</f>
        <v/>
      </c>
    </row>
    <row r="157">
      <c r="A157" s="2" t="inlineStr">
        <is>
          <t>EJ030323.TXT</t>
        </is>
      </c>
      <c r="B157" s="3" t="inlineStr">
        <is>
          <t>004679</t>
        </is>
      </c>
      <c r="C157" s="3" t="inlineStr">
        <is>
          <t>003717</t>
        </is>
      </c>
      <c r="D157" s="4" t="n">
        <v>44971</v>
      </c>
      <c r="E157" s="2" t="inlineStr">
        <is>
          <t>12:11</t>
        </is>
      </c>
      <c r="F157" s="5" t="n">
        <v>274.17</v>
      </c>
      <c r="G157" s="5" t="n"/>
      <c r="H157" s="5" t="n"/>
      <c r="I157" s="5" t="n"/>
      <c r="J157" s="5" t="n">
        <v>54.83</v>
      </c>
      <c r="K157" s="5" t="n"/>
      <c r="L157" s="5" t="n"/>
      <c r="M157" s="5" t="n"/>
      <c r="N157" s="5" t="n"/>
      <c r="O157" s="5" t="n">
        <v>329</v>
      </c>
      <c r="P157" s="5" t="n"/>
      <c r="Q157" s="5" t="n">
        <v>329</v>
      </c>
      <c r="R157" s="5" t="n"/>
      <c r="S157" s="5">
        <f>F157*20%</f>
        <v/>
      </c>
      <c r="T157" s="5">
        <f>J157-S157</f>
        <v/>
      </c>
      <c r="U157" s="5">
        <f>F157+J157</f>
        <v/>
      </c>
      <c r="V157" s="5">
        <f>O157-U157</f>
        <v/>
      </c>
      <c r="W157" s="5">
        <f>O157-(P157+R157)</f>
        <v/>
      </c>
      <c r="X157" s="5">
        <f>O157-(P157+Q157+R157)</f>
        <v/>
      </c>
    </row>
    <row r="158">
      <c r="A158" s="2" t="inlineStr">
        <is>
          <t>EJ030323.TXT</t>
        </is>
      </c>
      <c r="B158" s="3" t="inlineStr">
        <is>
          <t>004680</t>
        </is>
      </c>
      <c r="C158" s="3" t="inlineStr">
        <is>
          <t>003718</t>
        </is>
      </c>
      <c r="D158" s="4" t="n">
        <v>44971</v>
      </c>
      <c r="E158" s="2" t="inlineStr">
        <is>
          <t>18:26</t>
        </is>
      </c>
      <c r="F158" s="5" t="n">
        <v>124.17</v>
      </c>
      <c r="G158" s="5" t="n"/>
      <c r="H158" s="5" t="n"/>
      <c r="I158" s="5" t="n"/>
      <c r="J158" s="5" t="n">
        <v>24.83</v>
      </c>
      <c r="K158" s="5" t="n"/>
      <c r="L158" s="5" t="n"/>
      <c r="M158" s="5" t="n"/>
      <c r="N158" s="5" t="n"/>
      <c r="O158" s="5" t="n">
        <v>149</v>
      </c>
      <c r="P158" s="5" t="n">
        <v>149</v>
      </c>
      <c r="Q158" s="5" t="n"/>
      <c r="R158" s="5" t="n"/>
      <c r="S158" s="5">
        <f>F158*20%</f>
        <v/>
      </c>
      <c r="T158" s="5">
        <f>J158-S158</f>
        <v/>
      </c>
      <c r="U158" s="5">
        <f>F158+J158</f>
        <v/>
      </c>
      <c r="V158" s="5">
        <f>O158-U158</f>
        <v/>
      </c>
      <c r="W158" s="5">
        <f>O158-(P158+R158)</f>
        <v/>
      </c>
      <c r="X158" s="5">
        <f>O158-(P158+Q158+R158)</f>
        <v/>
      </c>
    </row>
    <row r="159">
      <c r="A159" s="2" t="inlineStr">
        <is>
          <t>EJ030323.TXT</t>
        </is>
      </c>
      <c r="B159" s="3" t="inlineStr">
        <is>
          <t>004681</t>
        </is>
      </c>
      <c r="C159" s="3" t="inlineStr">
        <is>
          <t>003719</t>
        </is>
      </c>
      <c r="D159" s="4" t="n">
        <v>44974</v>
      </c>
      <c r="E159" s="2" t="inlineStr">
        <is>
          <t>16:29</t>
        </is>
      </c>
      <c r="F159" s="5" t="n">
        <v>548.33</v>
      </c>
      <c r="G159" s="5" t="n"/>
      <c r="H159" s="5" t="n"/>
      <c r="I159" s="5" t="n"/>
      <c r="J159" s="5" t="n">
        <v>109.67</v>
      </c>
      <c r="K159" s="5" t="n"/>
      <c r="L159" s="5" t="n"/>
      <c r="M159" s="5" t="n"/>
      <c r="N159" s="5" t="n"/>
      <c r="O159" s="5" t="n">
        <v>658</v>
      </c>
      <c r="P159" s="5" t="n"/>
      <c r="Q159" s="5" t="n">
        <v>658</v>
      </c>
      <c r="R159" s="5" t="n"/>
      <c r="S159" s="5">
        <f>F159*20%</f>
        <v/>
      </c>
      <c r="T159" s="5">
        <f>J159-S159</f>
        <v/>
      </c>
      <c r="U159" s="5">
        <f>F159+J159</f>
        <v/>
      </c>
      <c r="V159" s="5">
        <f>O159-U159</f>
        <v/>
      </c>
      <c r="W159" s="5">
        <f>O159-(P159+R159)</f>
        <v/>
      </c>
      <c r="X159" s="5">
        <f>O159-(P159+Q159+R159)</f>
        <v/>
      </c>
    </row>
    <row r="160">
      <c r="A160" s="2" t="inlineStr">
        <is>
          <t>EJ030323.TXT</t>
        </is>
      </c>
      <c r="B160" s="3" t="inlineStr">
        <is>
          <t>004682</t>
        </is>
      </c>
      <c r="C160" s="3" t="inlineStr">
        <is>
          <t>003720</t>
        </is>
      </c>
      <c r="D160" s="4" t="n">
        <v>44975</v>
      </c>
      <c r="E160" s="2" t="inlineStr">
        <is>
          <t>17:03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/>
      <c r="Q160" s="5" t="n">
        <v>658</v>
      </c>
      <c r="R160" s="5" t="n"/>
      <c r="S160" s="5">
        <f>F160*20%</f>
        <v/>
      </c>
      <c r="T160" s="5">
        <f>J160-S160</f>
        <v/>
      </c>
      <c r="U160" s="5">
        <f>F160+J160</f>
        <v/>
      </c>
      <c r="V160" s="5">
        <f>O160-U160</f>
        <v/>
      </c>
      <c r="W160" s="5">
        <f>O160-(P160+R160)</f>
        <v/>
      </c>
      <c r="X160" s="5">
        <f>O160-(P160+Q160+R160)</f>
        <v/>
      </c>
    </row>
    <row r="161">
      <c r="A161" s="2" t="inlineStr">
        <is>
          <t>EJ030323.TXT</t>
        </is>
      </c>
      <c r="B161" s="3" t="inlineStr">
        <is>
          <t>004683</t>
        </is>
      </c>
      <c r="C161" s="3" t="inlineStr">
        <is>
          <t>003721</t>
        </is>
      </c>
      <c r="D161" s="4" t="n">
        <v>44977</v>
      </c>
      <c r="E161" s="2" t="inlineStr">
        <is>
          <t>10:49</t>
        </is>
      </c>
      <c r="F161" s="5" t="n">
        <v>457.5</v>
      </c>
      <c r="G161" s="5" t="n"/>
      <c r="H161" s="5" t="n"/>
      <c r="I161" s="5" t="n"/>
      <c r="J161" s="5" t="n">
        <v>91.5</v>
      </c>
      <c r="K161" s="5" t="n"/>
      <c r="L161" s="5" t="n"/>
      <c r="M161" s="5" t="n"/>
      <c r="N161" s="5" t="n"/>
      <c r="O161" s="5" t="n">
        <v>549</v>
      </c>
      <c r="P161" s="5" t="n"/>
      <c r="Q161" s="5" t="n">
        <v>549</v>
      </c>
      <c r="R161" s="5" t="n"/>
      <c r="S161" s="5">
        <f>F161*20%</f>
        <v/>
      </c>
      <c r="T161" s="5">
        <f>J161-S161</f>
        <v/>
      </c>
      <c r="U161" s="5">
        <f>F161+J161</f>
        <v/>
      </c>
      <c r="V161" s="5">
        <f>O161-U161</f>
        <v/>
      </c>
      <c r="W161" s="5">
        <f>O161-(P161+R161)</f>
        <v/>
      </c>
      <c r="X161" s="5">
        <f>O161-(P161+Q161+R161)</f>
        <v/>
      </c>
    </row>
    <row r="162">
      <c r="A162" s="2" t="inlineStr">
        <is>
          <t>EJ030323.TXT</t>
        </is>
      </c>
      <c r="B162" s="3" t="inlineStr">
        <is>
          <t>004684</t>
        </is>
      </c>
      <c r="C162" s="3" t="inlineStr">
        <is>
          <t>003722</t>
        </is>
      </c>
      <c r="D162" s="4" t="n">
        <v>44977</v>
      </c>
      <c r="E162" s="2" t="inlineStr">
        <is>
          <t>15:47</t>
        </is>
      </c>
      <c r="F162" s="5" t="n">
        <v>806.67</v>
      </c>
      <c r="G162" s="5" t="n"/>
      <c r="H162" s="5" t="n"/>
      <c r="I162" s="5" t="n"/>
      <c r="J162" s="5" t="n">
        <v>161.33</v>
      </c>
      <c r="K162" s="5" t="n"/>
      <c r="L162" s="5" t="n"/>
      <c r="M162" s="5" t="n"/>
      <c r="N162" s="5" t="n"/>
      <c r="O162" s="5" t="n">
        <v>968</v>
      </c>
      <c r="P162" s="5" t="n"/>
      <c r="Q162" s="5" t="n">
        <v>968</v>
      </c>
      <c r="R162" s="5" t="n"/>
      <c r="S162" s="5">
        <f>F162*20%</f>
        <v/>
      </c>
      <c r="T162" s="5">
        <f>J162-S162</f>
        <v/>
      </c>
      <c r="U162" s="5">
        <f>F162+J162</f>
        <v/>
      </c>
      <c r="V162" s="5">
        <f>O162-U162</f>
        <v/>
      </c>
      <c r="W162" s="5">
        <f>O162-(P162+R162)</f>
        <v/>
      </c>
      <c r="X162" s="5">
        <f>O162-(P162+Q162+R162)</f>
        <v/>
      </c>
    </row>
    <row r="163">
      <c r="A163" s="2" t="inlineStr">
        <is>
          <t>EJ030323.TXT</t>
        </is>
      </c>
      <c r="B163" s="3" t="inlineStr">
        <is>
          <t>004685</t>
        </is>
      </c>
      <c r="C163" s="3" t="inlineStr">
        <is>
          <t>003723</t>
        </is>
      </c>
      <c r="D163" s="4" t="n">
        <v>44977</v>
      </c>
      <c r="E163" s="2" t="inlineStr">
        <is>
          <t>15:51</t>
        </is>
      </c>
      <c r="F163" s="5" t="n">
        <v>381.67</v>
      </c>
      <c r="G163" s="5" t="n"/>
      <c r="H163" s="5" t="n"/>
      <c r="I163" s="5" t="n"/>
      <c r="J163" s="5" t="n">
        <v>76.33</v>
      </c>
      <c r="K163" s="5" t="n"/>
      <c r="L163" s="5" t="n"/>
      <c r="M163" s="5" t="n"/>
      <c r="N163" s="5" t="n"/>
      <c r="O163" s="5" t="n">
        <v>458</v>
      </c>
      <c r="P163" s="5" t="n"/>
      <c r="Q163" s="5" t="n">
        <v>458</v>
      </c>
      <c r="R163" s="5" t="n"/>
      <c r="S163" s="5">
        <f>F163*20%</f>
        <v/>
      </c>
      <c r="T163" s="5">
        <f>J163-S163</f>
        <v/>
      </c>
      <c r="U163" s="5">
        <f>F163+J163</f>
        <v/>
      </c>
      <c r="V163" s="5">
        <f>O163-U163</f>
        <v/>
      </c>
      <c r="W163" s="5">
        <f>O163-(P163+R163)</f>
        <v/>
      </c>
      <c r="X163" s="5">
        <f>O163-(P163+Q163+R163)</f>
        <v/>
      </c>
    </row>
    <row r="164">
      <c r="A164" s="2" t="inlineStr">
        <is>
          <t>EJ030323.TXT</t>
        </is>
      </c>
      <c r="B164" s="3" t="inlineStr">
        <is>
          <t>004686</t>
        </is>
      </c>
      <c r="C164" s="3" t="inlineStr">
        <is>
          <t>003724</t>
        </is>
      </c>
      <c r="D164" s="4" t="n">
        <v>44980</v>
      </c>
      <c r="E164" s="2" t="inlineStr">
        <is>
          <t>17:50</t>
        </is>
      </c>
      <c r="F164" s="5" t="n">
        <v>572.5</v>
      </c>
      <c r="G164" s="5" t="n"/>
      <c r="H164" s="5" t="n"/>
      <c r="I164" s="5" t="n"/>
      <c r="J164" s="5" t="n">
        <v>114.5</v>
      </c>
      <c r="K164" s="5" t="n"/>
      <c r="L164" s="5" t="n"/>
      <c r="M164" s="5" t="n"/>
      <c r="N164" s="5" t="n"/>
      <c r="O164" s="5" t="n">
        <v>687</v>
      </c>
      <c r="P164" s="5" t="n"/>
      <c r="Q164" s="5" t="n">
        <v>687</v>
      </c>
      <c r="R164" s="5" t="n"/>
      <c r="S164" s="5">
        <f>F164*20%</f>
        <v/>
      </c>
      <c r="T164" s="5">
        <f>J164-S164</f>
        <v/>
      </c>
      <c r="U164" s="5">
        <f>F164+J164</f>
        <v/>
      </c>
      <c r="V164" s="5">
        <f>O164-U164</f>
        <v/>
      </c>
      <c r="W164" s="5">
        <f>O164-(P164+R164)</f>
        <v/>
      </c>
      <c r="X164" s="5">
        <f>O164-(P164+Q164+R164)</f>
        <v/>
      </c>
    </row>
    <row r="165">
      <c r="A165" s="2" t="inlineStr">
        <is>
          <t>EJ030323.TXT</t>
        </is>
      </c>
      <c r="B165" s="3" t="inlineStr">
        <is>
          <t>004687</t>
        </is>
      </c>
      <c r="C165" s="3" t="inlineStr">
        <is>
          <t>003725</t>
        </is>
      </c>
      <c r="D165" s="4" t="n">
        <v>44980</v>
      </c>
      <c r="E165" s="2" t="inlineStr">
        <is>
          <t>18:32</t>
        </is>
      </c>
      <c r="F165" s="5" t="n">
        <v>381.67</v>
      </c>
      <c r="G165" s="5" t="n"/>
      <c r="H165" s="5" t="n"/>
      <c r="I165" s="5" t="n"/>
      <c r="J165" s="5" t="n">
        <v>76.33</v>
      </c>
      <c r="K165" s="5" t="n"/>
      <c r="L165" s="5" t="n"/>
      <c r="M165" s="5" t="n"/>
      <c r="N165" s="5" t="n"/>
      <c r="O165" s="5" t="n">
        <v>458</v>
      </c>
      <c r="P165" s="5" t="n"/>
      <c r="Q165" s="5" t="n">
        <v>458</v>
      </c>
      <c r="R165" s="5" t="n"/>
      <c r="S165" s="5">
        <f>F165*20%</f>
        <v/>
      </c>
      <c r="T165" s="5">
        <f>J165-S165</f>
        <v/>
      </c>
      <c r="U165" s="5">
        <f>F165+J165</f>
        <v/>
      </c>
      <c r="V165" s="5">
        <f>O165-U165</f>
        <v/>
      </c>
      <c r="W165" s="5">
        <f>O165-(P165+R165)</f>
        <v/>
      </c>
      <c r="X165" s="5">
        <f>O165-(P165+Q165+R165)</f>
        <v/>
      </c>
    </row>
    <row r="166">
      <c r="A166" s="2" t="inlineStr">
        <is>
          <t>EJ030323.TXT</t>
        </is>
      </c>
      <c r="B166" s="3" t="inlineStr">
        <is>
          <t>004688</t>
        </is>
      </c>
      <c r="C166" s="3" t="inlineStr">
        <is>
          <t>003726</t>
        </is>
      </c>
      <c r="D166" s="4" t="n">
        <v>44981</v>
      </c>
      <c r="E166" s="2" t="inlineStr">
        <is>
          <t>13:26</t>
        </is>
      </c>
      <c r="F166" s="5" t="n">
        <v>208.33</v>
      </c>
      <c r="G166" s="5" t="n"/>
      <c r="H166" s="5" t="n"/>
      <c r="I166" s="5" t="n"/>
      <c r="J166" s="5" t="n">
        <v>41.67</v>
      </c>
      <c r="K166" s="5" t="n"/>
      <c r="L166" s="5" t="n"/>
      <c r="M166" s="5" t="n"/>
      <c r="N166" s="5" t="n"/>
      <c r="O166" s="5" t="n">
        <v>250</v>
      </c>
      <c r="P166" s="5" t="n"/>
      <c r="Q166" s="5" t="n">
        <v>250</v>
      </c>
      <c r="R166" s="5" t="n"/>
      <c r="S166" s="5">
        <f>F166*20%</f>
        <v/>
      </c>
      <c r="T166" s="5">
        <f>J166-S166</f>
        <v/>
      </c>
      <c r="U166" s="5">
        <f>F166+J166</f>
        <v/>
      </c>
      <c r="V166" s="5">
        <f>O166-U166</f>
        <v/>
      </c>
      <c r="W166" s="5">
        <f>O166-(P166+R166)</f>
        <v/>
      </c>
      <c r="X166" s="5">
        <f>O166-(P166+Q166+R166)</f>
        <v/>
      </c>
    </row>
    <row r="167">
      <c r="A167" s="2" t="inlineStr">
        <is>
          <t>EJ030323.TXT</t>
        </is>
      </c>
      <c r="B167" s="3" t="inlineStr">
        <is>
          <t>004689</t>
        </is>
      </c>
      <c r="C167" s="3" t="inlineStr">
        <is>
          <t>003727</t>
        </is>
      </c>
      <c r="D167" s="4" t="n">
        <v>44981</v>
      </c>
      <c r="E167" s="2" t="inlineStr">
        <is>
          <t>15:56</t>
        </is>
      </c>
      <c r="F167" s="5" t="n">
        <v>2330</v>
      </c>
      <c r="G167" s="5" t="n"/>
      <c r="H167" s="5" t="n"/>
      <c r="I167" s="5" t="n"/>
      <c r="J167" s="5" t="n">
        <v>466</v>
      </c>
      <c r="K167" s="5" t="n"/>
      <c r="L167" s="5" t="n"/>
      <c r="M167" s="5" t="n"/>
      <c r="N167" s="5" t="n"/>
      <c r="O167" s="5" t="n">
        <v>2796</v>
      </c>
      <c r="P167" s="5" t="n">
        <v>2796</v>
      </c>
      <c r="Q167" s="5" t="n"/>
      <c r="R167" s="5" t="n"/>
      <c r="S167" s="5">
        <f>F167*20%</f>
        <v/>
      </c>
      <c r="T167" s="5">
        <f>J167-S167</f>
        <v/>
      </c>
      <c r="U167" s="5">
        <f>F167+J167</f>
        <v/>
      </c>
      <c r="V167" s="5">
        <f>O167-U167</f>
        <v/>
      </c>
      <c r="W167" s="5">
        <f>O167-(P167+R167)</f>
        <v/>
      </c>
      <c r="X167" s="5">
        <f>O167-(P167+Q167+R167)</f>
        <v/>
      </c>
    </row>
    <row r="168">
      <c r="A168" s="2" t="inlineStr">
        <is>
          <t>EJ030323.TXT</t>
        </is>
      </c>
      <c r="B168" s="3" t="inlineStr">
        <is>
          <t>004690</t>
        </is>
      </c>
      <c r="C168" s="3" t="inlineStr">
        <is>
          <t>003728</t>
        </is>
      </c>
      <c r="D168" s="4" t="n">
        <v>44981</v>
      </c>
      <c r="E168" s="2" t="inlineStr">
        <is>
          <t>16:46</t>
        </is>
      </c>
      <c r="F168" s="5" t="n">
        <v>822.5</v>
      </c>
      <c r="G168" s="5" t="n"/>
      <c r="H168" s="5" t="n"/>
      <c r="I168" s="5" t="n"/>
      <c r="J168" s="5" t="n">
        <v>164.5</v>
      </c>
      <c r="K168" s="5" t="n"/>
      <c r="L168" s="5" t="n"/>
      <c r="M168" s="5" t="n"/>
      <c r="N168" s="5" t="n"/>
      <c r="O168" s="5" t="n">
        <v>987</v>
      </c>
      <c r="P168" s="5" t="n"/>
      <c r="Q168" s="5" t="n">
        <v>987</v>
      </c>
      <c r="R168" s="5" t="n"/>
      <c r="S168" s="5">
        <f>F168*20%</f>
        <v/>
      </c>
      <c r="T168" s="5">
        <f>J168-S168</f>
        <v/>
      </c>
      <c r="U168" s="5">
        <f>F168+J168</f>
        <v/>
      </c>
      <c r="V168" s="5">
        <f>O168-U168</f>
        <v/>
      </c>
      <c r="W168" s="5">
        <f>O168-(P168+R168)</f>
        <v/>
      </c>
      <c r="X168" s="5">
        <f>O168-(P168+Q168+R168)</f>
        <v/>
      </c>
    </row>
    <row r="169">
      <c r="A169" s="2" t="inlineStr">
        <is>
          <t>EJ030323.TXT</t>
        </is>
      </c>
      <c r="B169" s="3" t="inlineStr">
        <is>
          <t>004691</t>
        </is>
      </c>
      <c r="C169" s="3" t="inlineStr">
        <is>
          <t>003729</t>
        </is>
      </c>
      <c r="D169" s="4" t="n">
        <v>44981</v>
      </c>
      <c r="E169" s="2" t="inlineStr">
        <is>
          <t>16:47</t>
        </is>
      </c>
      <c r="F169" s="5" t="n">
        <v>822.5</v>
      </c>
      <c r="G169" s="5" t="n"/>
      <c r="H169" s="5" t="n"/>
      <c r="I169" s="5" t="n"/>
      <c r="J169" s="5" t="n">
        <v>164.5</v>
      </c>
      <c r="K169" s="5" t="n"/>
      <c r="L169" s="5" t="n"/>
      <c r="M169" s="5" t="n"/>
      <c r="N169" s="5" t="n"/>
      <c r="O169" s="5" t="n">
        <v>987</v>
      </c>
      <c r="P169" s="5" t="n"/>
      <c r="Q169" s="5" t="n">
        <v>987</v>
      </c>
      <c r="R169" s="5" t="n"/>
      <c r="S169" s="5">
        <f>F169*20%</f>
        <v/>
      </c>
      <c r="T169" s="5">
        <f>J169-S169</f>
        <v/>
      </c>
      <c r="U169" s="5">
        <f>F169+J169</f>
        <v/>
      </c>
      <c r="V169" s="5">
        <f>O169-U169</f>
        <v/>
      </c>
      <c r="W169" s="5">
        <f>O169-(P169+R169)</f>
        <v/>
      </c>
      <c r="X169" s="5">
        <f>O169-(P169+Q169+R169)</f>
        <v/>
      </c>
    </row>
    <row r="170">
      <c r="A170" s="2" t="inlineStr">
        <is>
          <t>EJ030323.TXT</t>
        </is>
      </c>
      <c r="B170" s="3" t="inlineStr">
        <is>
          <t>004692</t>
        </is>
      </c>
      <c r="C170" s="3" t="inlineStr">
        <is>
          <t>003730</t>
        </is>
      </c>
      <c r="D170" s="4" t="n">
        <v>44981</v>
      </c>
      <c r="E170" s="2" t="inlineStr">
        <is>
          <t>16:47</t>
        </is>
      </c>
      <c r="F170" s="5" t="n">
        <v>797.5</v>
      </c>
      <c r="G170" s="5" t="n"/>
      <c r="H170" s="5" t="n"/>
      <c r="I170" s="5" t="n"/>
      <c r="J170" s="5" t="n">
        <v>159.5</v>
      </c>
      <c r="K170" s="5" t="n"/>
      <c r="L170" s="5" t="n"/>
      <c r="M170" s="5" t="n"/>
      <c r="N170" s="5" t="n"/>
      <c r="O170" s="5" t="n">
        <v>957</v>
      </c>
      <c r="P170" s="5" t="n"/>
      <c r="Q170" s="5" t="n">
        <v>957</v>
      </c>
      <c r="R170" s="5" t="n"/>
      <c r="S170" s="5">
        <f>F170*20%</f>
        <v/>
      </c>
      <c r="T170" s="5">
        <f>J170-S170</f>
        <v/>
      </c>
      <c r="U170" s="5">
        <f>F170+J170</f>
        <v/>
      </c>
      <c r="V170" s="5">
        <f>O170-U170</f>
        <v/>
      </c>
      <c r="W170" s="5">
        <f>O170-(P170+R170)</f>
        <v/>
      </c>
      <c r="X170" s="5">
        <f>O170-(P170+Q170+R170)</f>
        <v/>
      </c>
    </row>
    <row r="171">
      <c r="A171" s="2" t="inlineStr">
        <is>
          <t>EJ030323.TXT</t>
        </is>
      </c>
      <c r="B171" s="3" t="inlineStr">
        <is>
          <t>004693</t>
        </is>
      </c>
      <c r="C171" s="3" t="inlineStr">
        <is>
          <t>003731</t>
        </is>
      </c>
      <c r="D171" s="4" t="n">
        <v>44982</v>
      </c>
      <c r="E171" s="2" t="inlineStr">
        <is>
          <t>14:55</t>
        </is>
      </c>
      <c r="F171" s="5" t="n">
        <v>208.33</v>
      </c>
      <c r="G171" s="5" t="n"/>
      <c r="H171" s="5" t="n"/>
      <c r="I171" s="5" t="n"/>
      <c r="J171" s="5" t="n">
        <v>41.67</v>
      </c>
      <c r="K171" s="5" t="n"/>
      <c r="L171" s="5" t="n"/>
      <c r="M171" s="5" t="n"/>
      <c r="N171" s="5" t="n"/>
      <c r="O171" s="5" t="n">
        <v>250</v>
      </c>
      <c r="P171" s="5" t="n"/>
      <c r="Q171" s="5" t="n">
        <v>250</v>
      </c>
      <c r="R171" s="5" t="n"/>
      <c r="S171" s="5">
        <f>F171*20%</f>
        <v/>
      </c>
      <c r="T171" s="5">
        <f>J171-S171</f>
        <v/>
      </c>
      <c r="U171" s="5">
        <f>F171+J171</f>
        <v/>
      </c>
      <c r="V171" s="5">
        <f>O171-U171</f>
        <v/>
      </c>
      <c r="W171" s="5">
        <f>O171-(P171+R171)</f>
        <v/>
      </c>
      <c r="X171" s="5">
        <f>O171-(P171+Q171+R171)</f>
        <v/>
      </c>
    </row>
    <row r="172">
      <c r="A172" s="2" t="inlineStr">
        <is>
          <t>EJ030323.TXT</t>
        </is>
      </c>
      <c r="B172" s="3" t="inlineStr">
        <is>
          <t>004694</t>
        </is>
      </c>
      <c r="C172" s="3" t="inlineStr">
        <is>
          <t>003732</t>
        </is>
      </c>
      <c r="D172" s="4" t="n">
        <v>44982</v>
      </c>
      <c r="E172" s="2" t="inlineStr">
        <is>
          <t>17:06</t>
        </is>
      </c>
      <c r="F172" s="5" t="n">
        <v>797.5</v>
      </c>
      <c r="G172" s="5" t="n"/>
      <c r="H172" s="5" t="n"/>
      <c r="I172" s="5" t="n"/>
      <c r="J172" s="5" t="n">
        <v>159.5</v>
      </c>
      <c r="K172" s="5" t="n"/>
      <c r="L172" s="5" t="n"/>
      <c r="M172" s="5" t="n"/>
      <c r="N172" s="5" t="n"/>
      <c r="O172" s="5" t="n">
        <v>957</v>
      </c>
      <c r="P172" s="5" t="n"/>
      <c r="Q172" s="5" t="n">
        <v>957</v>
      </c>
      <c r="R172" s="5" t="n"/>
      <c r="S172" s="5">
        <f>F172*20%</f>
        <v/>
      </c>
      <c r="T172" s="5">
        <f>J172-S172</f>
        <v/>
      </c>
      <c r="U172" s="5">
        <f>F172+J172</f>
        <v/>
      </c>
      <c r="V172" s="5">
        <f>O172-U172</f>
        <v/>
      </c>
      <c r="W172" s="5">
        <f>O172-(P172+R172)</f>
        <v/>
      </c>
      <c r="X172" s="5">
        <f>O172-(P172+Q172+R172)</f>
        <v/>
      </c>
    </row>
    <row r="173">
      <c r="A173" s="2" t="inlineStr">
        <is>
          <t>EJ030323.TXT</t>
        </is>
      </c>
      <c r="B173" s="3" t="inlineStr">
        <is>
          <t>004695</t>
        </is>
      </c>
      <c r="C173" s="3" t="inlineStr">
        <is>
          <t>003733</t>
        </is>
      </c>
      <c r="D173" s="4" t="n">
        <v>44982</v>
      </c>
      <c r="E173" s="2" t="inlineStr">
        <is>
          <t>17:06</t>
        </is>
      </c>
      <c r="F173" s="5" t="n">
        <v>265.83</v>
      </c>
      <c r="G173" s="5" t="n"/>
      <c r="H173" s="5" t="n"/>
      <c r="I173" s="5" t="n"/>
      <c r="J173" s="5" t="n">
        <v>53.17</v>
      </c>
      <c r="K173" s="5" t="n"/>
      <c r="L173" s="5" t="n"/>
      <c r="M173" s="5" t="n"/>
      <c r="N173" s="5" t="n"/>
      <c r="O173" s="5" t="n">
        <v>319</v>
      </c>
      <c r="P173" s="5" t="n"/>
      <c r="Q173" s="5" t="n">
        <v>319</v>
      </c>
      <c r="R173" s="5" t="n"/>
      <c r="S173" s="5">
        <f>F173*20%</f>
        <v/>
      </c>
      <c r="T173" s="5">
        <f>J173-S173</f>
        <v/>
      </c>
      <c r="U173" s="5">
        <f>F173+J173</f>
        <v/>
      </c>
      <c r="V173" s="5">
        <f>O173-U173</f>
        <v/>
      </c>
      <c r="W173" s="5">
        <f>O173-(P173+R173)</f>
        <v/>
      </c>
      <c r="X173" s="5">
        <f>O173-(P173+Q173+R173)</f>
        <v/>
      </c>
    </row>
    <row r="174">
      <c r="A174" s="2" t="inlineStr">
        <is>
          <t>EJ030323.TXT</t>
        </is>
      </c>
      <c r="B174" s="3" t="inlineStr">
        <is>
          <t>004696</t>
        </is>
      </c>
      <c r="C174" s="3" t="inlineStr">
        <is>
          <t>003734</t>
        </is>
      </c>
      <c r="D174" s="4" t="n">
        <v>44982</v>
      </c>
      <c r="E174" s="2" t="inlineStr">
        <is>
          <t>17:06</t>
        </is>
      </c>
      <c r="F174" s="5" t="n">
        <v>531.67</v>
      </c>
      <c r="G174" s="5" t="n"/>
      <c r="H174" s="5" t="n"/>
      <c r="I174" s="5" t="n"/>
      <c r="J174" s="5" t="n">
        <v>106.33</v>
      </c>
      <c r="K174" s="5" t="n"/>
      <c r="L174" s="5" t="n"/>
      <c r="M174" s="5" t="n"/>
      <c r="N174" s="5" t="n"/>
      <c r="O174" s="5" t="n">
        <v>638</v>
      </c>
      <c r="P174" s="5" t="n"/>
      <c r="Q174" s="5" t="n">
        <v>638</v>
      </c>
      <c r="R174" s="5" t="n"/>
      <c r="S174" s="5">
        <f>F174*20%</f>
        <v/>
      </c>
      <c r="T174" s="5">
        <f>J174-S174</f>
        <v/>
      </c>
      <c r="U174" s="5">
        <f>F174+J174</f>
        <v/>
      </c>
      <c r="V174" s="5">
        <f>O174-U174</f>
        <v/>
      </c>
      <c r="W174" s="5">
        <f>O174-(P174+R174)</f>
        <v/>
      </c>
      <c r="X174" s="5">
        <f>O174-(P174+Q174+R174)</f>
        <v/>
      </c>
    </row>
    <row r="175">
      <c r="A175" s="2" t="inlineStr">
        <is>
          <t>EJ030323.TXT</t>
        </is>
      </c>
      <c r="B175" s="3" t="inlineStr">
        <is>
          <t>004697</t>
        </is>
      </c>
      <c r="C175" s="3" t="inlineStr">
        <is>
          <t>003735</t>
        </is>
      </c>
      <c r="D175" s="4" t="n">
        <v>44982</v>
      </c>
      <c r="E175" s="2" t="inlineStr">
        <is>
          <t>17:07</t>
        </is>
      </c>
      <c r="F175" s="5" t="n">
        <v>797.5</v>
      </c>
      <c r="G175" s="5" t="n"/>
      <c r="H175" s="5" t="n"/>
      <c r="I175" s="5" t="n"/>
      <c r="J175" s="5" t="n">
        <v>159.5</v>
      </c>
      <c r="K175" s="5" t="n"/>
      <c r="L175" s="5" t="n"/>
      <c r="M175" s="5" t="n"/>
      <c r="N175" s="5" t="n"/>
      <c r="O175" s="5" t="n">
        <v>957</v>
      </c>
      <c r="P175" s="5" t="n"/>
      <c r="Q175" s="5" t="n">
        <v>957</v>
      </c>
      <c r="R175" s="5" t="n"/>
      <c r="S175" s="5">
        <f>F175*20%</f>
        <v/>
      </c>
      <c r="T175" s="5">
        <f>J175-S175</f>
        <v/>
      </c>
      <c r="U175" s="5">
        <f>F175+J175</f>
        <v/>
      </c>
      <c r="V175" s="5">
        <f>O175-U175</f>
        <v/>
      </c>
      <c r="W175" s="5">
        <f>O175-(P175+R175)</f>
        <v/>
      </c>
      <c r="X175" s="5">
        <f>O175-(P175+Q175+R175)</f>
        <v/>
      </c>
    </row>
    <row r="176">
      <c r="A176" s="2" t="inlineStr">
        <is>
          <t>EJ030323.TXT</t>
        </is>
      </c>
      <c r="B176" s="3" t="inlineStr">
        <is>
          <t>004698</t>
        </is>
      </c>
      <c r="C176" s="3" t="inlineStr">
        <is>
          <t>003736</t>
        </is>
      </c>
      <c r="D176" s="4" t="n">
        <v>44982</v>
      </c>
      <c r="E176" s="2" t="inlineStr">
        <is>
          <t>17:07</t>
        </is>
      </c>
      <c r="F176" s="5" t="n">
        <v>531.67</v>
      </c>
      <c r="G176" s="5" t="n"/>
      <c r="H176" s="5" t="n"/>
      <c r="I176" s="5" t="n"/>
      <c r="J176" s="5" t="n">
        <v>106.33</v>
      </c>
      <c r="K176" s="5" t="n"/>
      <c r="L176" s="5" t="n"/>
      <c r="M176" s="5" t="n"/>
      <c r="N176" s="5" t="n"/>
      <c r="O176" s="5" t="n">
        <v>638</v>
      </c>
      <c r="P176" s="5" t="n"/>
      <c r="Q176" s="5" t="n">
        <v>638</v>
      </c>
      <c r="R176" s="5" t="n"/>
      <c r="S176" s="5">
        <f>F176*20%</f>
        <v/>
      </c>
      <c r="T176" s="5">
        <f>J176-S176</f>
        <v/>
      </c>
      <c r="U176" s="5">
        <f>F176+J176</f>
        <v/>
      </c>
      <c r="V176" s="5">
        <f>O176-U176</f>
        <v/>
      </c>
      <c r="W176" s="5">
        <f>O176-(P176+R176)</f>
        <v/>
      </c>
      <c r="X176" s="5">
        <f>O176-(P176+Q176+R176)</f>
        <v/>
      </c>
    </row>
    <row r="177">
      <c r="A177" s="2" t="inlineStr">
        <is>
          <t>EJ030323.TXT</t>
        </is>
      </c>
      <c r="B177" s="3" t="inlineStr">
        <is>
          <t>004699</t>
        </is>
      </c>
      <c r="C177" s="3" t="inlineStr">
        <is>
          <t>003737</t>
        </is>
      </c>
      <c r="D177" s="4" t="n">
        <v>44982</v>
      </c>
      <c r="E177" s="2" t="inlineStr">
        <is>
          <t>17:08</t>
        </is>
      </c>
      <c r="F177" s="5" t="n">
        <v>265.83</v>
      </c>
      <c r="G177" s="5" t="n"/>
      <c r="H177" s="5" t="n"/>
      <c r="I177" s="5" t="n"/>
      <c r="J177" s="5" t="n">
        <v>53.17</v>
      </c>
      <c r="K177" s="5" t="n"/>
      <c r="L177" s="5" t="n"/>
      <c r="M177" s="5" t="n"/>
      <c r="N177" s="5" t="n"/>
      <c r="O177" s="5" t="n">
        <v>319</v>
      </c>
      <c r="P177" s="5" t="n"/>
      <c r="Q177" s="5" t="n">
        <v>319</v>
      </c>
      <c r="R177" s="5" t="n"/>
      <c r="S177" s="5">
        <f>F177*20%</f>
        <v/>
      </c>
      <c r="T177" s="5">
        <f>J177-S177</f>
        <v/>
      </c>
      <c r="U177" s="5">
        <f>F177+J177</f>
        <v/>
      </c>
      <c r="V177" s="5">
        <f>O177-U177</f>
        <v/>
      </c>
      <c r="W177" s="5">
        <f>O177-(P177+R177)</f>
        <v/>
      </c>
      <c r="X177" s="5">
        <f>O177-(P177+Q177+R177)</f>
        <v/>
      </c>
    </row>
    <row r="178">
      <c r="A178" s="2" t="inlineStr">
        <is>
          <t>EJ030323.TXT</t>
        </is>
      </c>
      <c r="B178" s="3" t="inlineStr">
        <is>
          <t>004700</t>
        </is>
      </c>
      <c r="C178" s="3" t="inlineStr">
        <is>
          <t>003738</t>
        </is>
      </c>
      <c r="D178" s="4" t="n">
        <v>44984</v>
      </c>
      <c r="E178" s="2" t="inlineStr">
        <is>
          <t>11:07</t>
        </is>
      </c>
      <c r="F178" s="5" t="n">
        <v>73.33</v>
      </c>
      <c r="G178" s="5" t="n"/>
      <c r="H178" s="5" t="n"/>
      <c r="I178" s="5" t="n"/>
      <c r="J178" s="5" t="n">
        <v>14.67</v>
      </c>
      <c r="K178" s="5" t="n"/>
      <c r="L178" s="5" t="n"/>
      <c r="M178" s="5" t="n"/>
      <c r="N178" s="5" t="n"/>
      <c r="O178" s="5" t="n">
        <v>88</v>
      </c>
      <c r="P178" s="5" t="n">
        <v>88</v>
      </c>
      <c r="Q178" s="5" t="n"/>
      <c r="R178" s="5" t="n"/>
      <c r="S178" s="5">
        <f>F178*20%</f>
        <v/>
      </c>
      <c r="T178" s="5">
        <f>J178-S178</f>
        <v/>
      </c>
      <c r="U178" s="5">
        <f>F178+J178</f>
        <v/>
      </c>
      <c r="V178" s="5">
        <f>O178-U178</f>
        <v/>
      </c>
      <c r="W178" s="5">
        <f>O178-(P178+R178)</f>
        <v/>
      </c>
      <c r="X178" s="5">
        <f>O178-(P178+Q178+R178)</f>
        <v/>
      </c>
    </row>
    <row r="179">
      <c r="A179" s="2" t="inlineStr">
        <is>
          <t>EJ030323.TXT</t>
        </is>
      </c>
      <c r="B179" s="3" t="inlineStr">
        <is>
          <t>004701</t>
        </is>
      </c>
      <c r="C179" s="3" t="inlineStr">
        <is>
          <t>003739</t>
        </is>
      </c>
      <c r="D179" s="4" t="n">
        <v>44984</v>
      </c>
      <c r="E179" s="2" t="inlineStr">
        <is>
          <t>15:37</t>
        </is>
      </c>
      <c r="F179" s="5" t="n">
        <v>548.33</v>
      </c>
      <c r="G179" s="5" t="n"/>
      <c r="H179" s="5" t="n"/>
      <c r="I179" s="5" t="n"/>
      <c r="J179" s="5" t="n">
        <v>109.67</v>
      </c>
      <c r="K179" s="5" t="n"/>
      <c r="L179" s="5" t="n"/>
      <c r="M179" s="5" t="n"/>
      <c r="N179" s="5" t="n"/>
      <c r="O179" s="5" t="n">
        <v>658</v>
      </c>
      <c r="P179" s="5" t="n">
        <v>658</v>
      </c>
      <c r="Q179" s="5" t="n"/>
      <c r="R179" s="5" t="n"/>
      <c r="S179" s="5">
        <f>F179*20%</f>
        <v/>
      </c>
      <c r="T179" s="5">
        <f>J179-S179</f>
        <v/>
      </c>
      <c r="U179" s="5">
        <f>F179+J179</f>
        <v/>
      </c>
      <c r="V179" s="5">
        <f>O179-U179</f>
        <v/>
      </c>
      <c r="W179" s="5">
        <f>O179-(P179+R179)</f>
        <v/>
      </c>
      <c r="X179" s="5">
        <f>O179-(P179+Q179+R179)</f>
        <v/>
      </c>
    </row>
    <row r="180">
      <c r="A180" s="2" t="inlineStr">
        <is>
          <t>EJ030323.TXT</t>
        </is>
      </c>
      <c r="B180" s="3" t="inlineStr">
        <is>
          <t>004702</t>
        </is>
      </c>
      <c r="C180" s="3" t="inlineStr">
        <is>
          <t>003740</t>
        </is>
      </c>
      <c r="D180" s="4" t="n">
        <v>44985</v>
      </c>
      <c r="E180" s="2" t="inlineStr">
        <is>
          <t>14:53</t>
        </is>
      </c>
      <c r="F180" s="5" t="n">
        <v>307.5</v>
      </c>
      <c r="G180" s="5" t="n"/>
      <c r="H180" s="5" t="n"/>
      <c r="I180" s="5" t="n"/>
      <c r="J180" s="5" t="n">
        <v>61.5</v>
      </c>
      <c r="K180" s="5" t="n"/>
      <c r="L180" s="5" t="n"/>
      <c r="M180" s="5" t="n"/>
      <c r="N180" s="5" t="n"/>
      <c r="O180" s="5" t="n">
        <v>369</v>
      </c>
      <c r="P180" s="5" t="n"/>
      <c r="Q180" s="5" t="n">
        <v>369</v>
      </c>
      <c r="R180" s="5" t="n"/>
      <c r="S180" s="5">
        <f>F180*20%</f>
        <v/>
      </c>
      <c r="T180" s="5">
        <f>J180-S180</f>
        <v/>
      </c>
      <c r="U180" s="5">
        <f>F180+J180</f>
        <v/>
      </c>
      <c r="V180" s="5">
        <f>O180-U180</f>
        <v/>
      </c>
      <c r="W180" s="5">
        <f>O180-(P180+R180)</f>
        <v/>
      </c>
      <c r="X180" s="5">
        <f>O180-(P180+Q180+R180)</f>
        <v/>
      </c>
    </row>
    <row r="181">
      <c r="A181" s="2" t="inlineStr">
        <is>
          <t>EJ030323.TXT</t>
        </is>
      </c>
      <c r="B181" s="3" t="inlineStr">
        <is>
          <t>004703</t>
        </is>
      </c>
      <c r="C181" s="3" t="inlineStr">
        <is>
          <t>003741</t>
        </is>
      </c>
      <c r="D181" s="4" t="n">
        <v>44985</v>
      </c>
      <c r="E181" s="2" t="inlineStr">
        <is>
          <t>14:56</t>
        </is>
      </c>
      <c r="F181" s="5" t="n">
        <v>307.5</v>
      </c>
      <c r="G181" s="5" t="n"/>
      <c r="H181" s="5" t="n"/>
      <c r="I181" s="5" t="n"/>
      <c r="J181" s="5" t="n">
        <v>61.5</v>
      </c>
      <c r="K181" s="5" t="n"/>
      <c r="L181" s="5" t="n"/>
      <c r="M181" s="5" t="n"/>
      <c r="N181" s="5" t="n"/>
      <c r="O181" s="5" t="n">
        <v>369</v>
      </c>
      <c r="P181" s="5" t="n"/>
      <c r="Q181" s="5" t="n">
        <v>369</v>
      </c>
      <c r="R181" s="5" t="n"/>
      <c r="S181" s="5">
        <f>F181*20%</f>
        <v/>
      </c>
      <c r="T181" s="5">
        <f>J181-S181</f>
        <v/>
      </c>
      <c r="U181" s="5">
        <f>F181+J181</f>
        <v/>
      </c>
      <c r="V181" s="5">
        <f>O181-U181</f>
        <v/>
      </c>
      <c r="W181" s="5">
        <f>O181-(P181+R181)</f>
        <v/>
      </c>
      <c r="X181" s="5">
        <f>O181-(P181+Q181+R181)</f>
        <v/>
      </c>
    </row>
    <row r="182">
      <c r="A182" s="2" t="inlineStr">
        <is>
          <t>EJ030323.TXT</t>
        </is>
      </c>
      <c r="B182" s="3" t="inlineStr">
        <is>
          <t>004704</t>
        </is>
      </c>
      <c r="C182" s="3" t="inlineStr">
        <is>
          <t>003742</t>
        </is>
      </c>
      <c r="D182" s="4" t="n">
        <v>44986</v>
      </c>
      <c r="E182" s="2" t="inlineStr">
        <is>
          <t>11:35</t>
        </is>
      </c>
      <c r="F182" s="5" t="n">
        <v>65.83</v>
      </c>
      <c r="G182" s="5" t="n"/>
      <c r="H182" s="5" t="n"/>
      <c r="I182" s="5" t="n"/>
      <c r="J182" s="5" t="n">
        <v>13.17</v>
      </c>
      <c r="K182" s="5" t="n"/>
      <c r="L182" s="5" t="n"/>
      <c r="M182" s="5" t="n"/>
      <c r="N182" s="5" t="n"/>
      <c r="O182" s="5" t="n">
        <v>79</v>
      </c>
      <c r="P182" s="5" t="n">
        <v>79</v>
      </c>
      <c r="Q182" s="5" t="n"/>
      <c r="R182" s="5" t="n"/>
      <c r="S182" s="5">
        <f>F182*20%</f>
        <v/>
      </c>
      <c r="T182" s="5">
        <f>J182-S182</f>
        <v/>
      </c>
      <c r="U182" s="5">
        <f>F182+J182</f>
        <v/>
      </c>
      <c r="V182" s="5">
        <f>O182-U182</f>
        <v/>
      </c>
      <c r="W182" s="5">
        <f>O182-(P182+R182)</f>
        <v/>
      </c>
      <c r="X182" s="5">
        <f>O182-(P182+Q182+R182)</f>
        <v/>
      </c>
    </row>
    <row r="183">
      <c r="A183" s="2" t="inlineStr">
        <is>
          <t>EJ030323.TXT</t>
        </is>
      </c>
      <c r="B183" s="3" t="inlineStr">
        <is>
          <t>004705</t>
        </is>
      </c>
      <c r="C183" s="3" t="inlineStr">
        <is>
          <t>003743</t>
        </is>
      </c>
      <c r="D183" s="4" t="n">
        <v>44987</v>
      </c>
      <c r="E183" s="2" t="inlineStr">
        <is>
          <t>11:43</t>
        </is>
      </c>
      <c r="F183" s="5" t="n">
        <v>1490</v>
      </c>
      <c r="G183" s="5" t="n"/>
      <c r="H183" s="5" t="n"/>
      <c r="I183" s="5" t="n"/>
      <c r="J183" s="5" t="n">
        <v>298</v>
      </c>
      <c r="K183" s="5" t="n"/>
      <c r="L183" s="5" t="n"/>
      <c r="M183" s="5" t="n"/>
      <c r="N183" s="5" t="n"/>
      <c r="O183" s="5" t="n">
        <v>1788</v>
      </c>
      <c r="P183" s="5" t="n">
        <v>1788</v>
      </c>
      <c r="Q183" s="5" t="n"/>
      <c r="R183" s="5" t="n"/>
      <c r="S183" s="5">
        <f>F183*20%</f>
        <v/>
      </c>
      <c r="T183" s="5">
        <f>J183-S183</f>
        <v/>
      </c>
      <c r="U183" s="5">
        <f>F183+J183</f>
        <v/>
      </c>
      <c r="V183" s="5">
        <f>O183-U183</f>
        <v/>
      </c>
      <c r="W183" s="5">
        <f>O183-(P183+R183)</f>
        <v/>
      </c>
      <c r="X183" s="5">
        <f>O183-(P183+Q183+R183)</f>
        <v/>
      </c>
    </row>
    <row r="184">
      <c r="A184" s="2" t="inlineStr">
        <is>
          <t>EJ030323.TXT</t>
        </is>
      </c>
      <c r="B184" s="3" t="inlineStr">
        <is>
          <t>004706</t>
        </is>
      </c>
      <c r="C184" s="3" t="inlineStr">
        <is>
          <t>003744</t>
        </is>
      </c>
      <c r="D184" s="4" t="n">
        <v>44987</v>
      </c>
      <c r="E184" s="2" t="inlineStr">
        <is>
          <t>11:45</t>
        </is>
      </c>
      <c r="F184" s="5" t="n">
        <v>395</v>
      </c>
      <c r="G184" s="5" t="n"/>
      <c r="H184" s="5" t="n"/>
      <c r="I184" s="5" t="n"/>
      <c r="J184" s="5" t="n">
        <v>79</v>
      </c>
      <c r="K184" s="5" t="n"/>
      <c r="L184" s="5" t="n"/>
      <c r="M184" s="5" t="n"/>
      <c r="N184" s="5" t="n"/>
      <c r="O184" s="5" t="n">
        <v>474</v>
      </c>
      <c r="P184" s="5" t="n"/>
      <c r="Q184" s="5" t="n">
        <v>474</v>
      </c>
      <c r="R184" s="5" t="n"/>
      <c r="S184" s="5">
        <f>F184*20%</f>
        <v/>
      </c>
      <c r="T184" s="5">
        <f>J184-S184</f>
        <v/>
      </c>
      <c r="U184" s="5">
        <f>F184+J184</f>
        <v/>
      </c>
      <c r="V184" s="5">
        <f>O184-U184</f>
        <v/>
      </c>
      <c r="W184" s="5">
        <f>O184-(P184+R184)</f>
        <v/>
      </c>
      <c r="X184" s="5">
        <f>O184-(P184+Q184+R184)</f>
        <v/>
      </c>
    </row>
    <row r="185">
      <c r="A185" s="2" t="inlineStr">
        <is>
          <t>EJ030323.TXT</t>
        </is>
      </c>
      <c r="B185" s="3" t="inlineStr">
        <is>
          <t>004707</t>
        </is>
      </c>
      <c r="C185" s="3" t="inlineStr">
        <is>
          <t>003745</t>
        </is>
      </c>
      <c r="D185" s="4" t="n">
        <v>44987</v>
      </c>
      <c r="E185" s="2" t="inlineStr">
        <is>
          <t>11:47</t>
        </is>
      </c>
      <c r="F185" s="5" t="n">
        <v>274.17</v>
      </c>
      <c r="G185" s="5" t="n"/>
      <c r="H185" s="5" t="n"/>
      <c r="I185" s="5" t="n"/>
      <c r="J185" s="5" t="n">
        <v>54.83</v>
      </c>
      <c r="K185" s="5" t="n"/>
      <c r="L185" s="5" t="n"/>
      <c r="M185" s="5" t="n"/>
      <c r="N185" s="5" t="n"/>
      <c r="O185" s="5" t="n">
        <v>329</v>
      </c>
      <c r="P185" s="5" t="n"/>
      <c r="Q185" s="5" t="n">
        <v>329</v>
      </c>
      <c r="R185" s="5" t="n"/>
      <c r="S185" s="5">
        <f>F185*20%</f>
        <v/>
      </c>
      <c r="T185" s="5">
        <f>J185-S185</f>
        <v/>
      </c>
      <c r="U185" s="5">
        <f>F185+J185</f>
        <v/>
      </c>
      <c r="V185" s="5">
        <f>O185-U185</f>
        <v/>
      </c>
      <c r="W185" s="5">
        <f>O185-(P185+R185)</f>
        <v/>
      </c>
      <c r="X185" s="5">
        <f>O185-(P185+Q185+R185)</f>
        <v/>
      </c>
    </row>
    <row r="186">
      <c r="A186" s="2" t="inlineStr">
        <is>
          <t>EJ030323.TXT</t>
        </is>
      </c>
      <c r="B186" s="3" t="inlineStr">
        <is>
          <t>004708</t>
        </is>
      </c>
      <c r="C186" s="3" t="inlineStr">
        <is>
          <t>003746</t>
        </is>
      </c>
      <c r="D186" s="4" t="n">
        <v>44987</v>
      </c>
      <c r="E186" s="2" t="inlineStr">
        <is>
          <t>12:22</t>
        </is>
      </c>
      <c r="F186" s="5" t="n">
        <v>73.33</v>
      </c>
      <c r="G186" s="5" t="n"/>
      <c r="H186" s="5" t="n"/>
      <c r="I186" s="5" t="n"/>
      <c r="J186" s="5" t="n">
        <v>14.67</v>
      </c>
      <c r="K186" s="5" t="n"/>
      <c r="L186" s="5" t="n"/>
      <c r="M186" s="5" t="n"/>
      <c r="N186" s="5" t="n"/>
      <c r="O186" s="5" t="n">
        <v>88</v>
      </c>
      <c r="P186" s="5" t="n">
        <v>88</v>
      </c>
      <c r="Q186" s="5" t="n"/>
      <c r="R186" s="5" t="n"/>
      <c r="S186" s="5">
        <f>F186*20%</f>
        <v/>
      </c>
      <c r="T186" s="5">
        <f>J186-S186</f>
        <v/>
      </c>
      <c r="U186" s="5">
        <f>F186+J186</f>
        <v/>
      </c>
      <c r="V186" s="5">
        <f>O186-U186</f>
        <v/>
      </c>
      <c r="W186" s="5">
        <f>O186-(P186+R186)</f>
        <v/>
      </c>
      <c r="X186" s="5">
        <f>O186-(P186+Q186+R186)</f>
        <v/>
      </c>
    </row>
    <row r="187">
      <c r="A187" s="2" t="inlineStr">
        <is>
          <t>EJ030323.TXT</t>
        </is>
      </c>
      <c r="B187" s="3" t="inlineStr">
        <is>
          <t>004709</t>
        </is>
      </c>
      <c r="C187" s="3" t="inlineStr">
        <is>
          <t>003747</t>
        </is>
      </c>
      <c r="D187" s="4" t="n">
        <v>44987</v>
      </c>
      <c r="E187" s="2" t="inlineStr">
        <is>
          <t>13:02</t>
        </is>
      </c>
      <c r="F187" s="5" t="n">
        <v>1117.5</v>
      </c>
      <c r="G187" s="5" t="n"/>
      <c r="H187" s="5" t="n"/>
      <c r="I187" s="5" t="n"/>
      <c r="J187" s="5" t="n">
        <v>223.5</v>
      </c>
      <c r="K187" s="5" t="n"/>
      <c r="L187" s="5" t="n"/>
      <c r="M187" s="5" t="n"/>
      <c r="N187" s="5" t="n"/>
      <c r="O187" s="5" t="n">
        <v>1341</v>
      </c>
      <c r="P187" s="5" t="n">
        <v>1341</v>
      </c>
      <c r="Q187" s="5" t="n"/>
      <c r="R187" s="5" t="n"/>
      <c r="S187" s="5">
        <f>F187*20%</f>
        <v/>
      </c>
      <c r="T187" s="5">
        <f>J187-S187</f>
        <v/>
      </c>
      <c r="U187" s="5">
        <f>F187+J187</f>
        <v/>
      </c>
      <c r="V187" s="5">
        <f>O187-U187</f>
        <v/>
      </c>
      <c r="W187" s="5">
        <f>O187-(P187+R187)</f>
        <v/>
      </c>
      <c r="X187" s="5">
        <f>O187-(P187+Q187+R187)</f>
        <v/>
      </c>
    </row>
    <row r="188">
      <c r="A188" s="2" t="inlineStr">
        <is>
          <t>EJ030323.TXT</t>
        </is>
      </c>
      <c r="B188" s="3" t="inlineStr">
        <is>
          <t>004710</t>
        </is>
      </c>
      <c r="C188" s="3" t="inlineStr">
        <is>
          <t>003748</t>
        </is>
      </c>
      <c r="D188" s="4" t="n">
        <v>44987</v>
      </c>
      <c r="E188" s="2" t="inlineStr">
        <is>
          <t>13:08</t>
        </is>
      </c>
      <c r="F188" s="5" t="n">
        <v>1070.83</v>
      </c>
      <c r="G188" s="5" t="n"/>
      <c r="H188" s="5" t="n"/>
      <c r="I188" s="5" t="n"/>
      <c r="J188" s="5" t="n">
        <v>214.17</v>
      </c>
      <c r="K188" s="5" t="n"/>
      <c r="L188" s="5" t="n"/>
      <c r="M188" s="5" t="n"/>
      <c r="N188" s="5" t="n"/>
      <c r="O188" s="5" t="n">
        <v>1285</v>
      </c>
      <c r="P188" s="5" t="n">
        <v>1285</v>
      </c>
      <c r="Q188" s="5" t="n"/>
      <c r="R188" s="5" t="n"/>
      <c r="S188" s="5">
        <f>F188*20%</f>
        <v/>
      </c>
      <c r="T188" s="5">
        <f>J188-S188</f>
        <v/>
      </c>
      <c r="U188" s="5">
        <f>F188+J188</f>
        <v/>
      </c>
      <c r="V188" s="5">
        <f>O188-U188</f>
        <v/>
      </c>
      <c r="W188" s="5">
        <f>O188-(P188+R188)</f>
        <v/>
      </c>
      <c r="X188" s="5">
        <f>O188-(P188+Q188+R188)</f>
        <v/>
      </c>
    </row>
    <row r="189">
      <c r="A189" s="2" t="inlineStr">
        <is>
          <t>EJ030323.TXT</t>
        </is>
      </c>
      <c r="B189" s="3" t="inlineStr">
        <is>
          <t>004711</t>
        </is>
      </c>
      <c r="C189" s="3" t="inlineStr">
        <is>
          <t>003749</t>
        </is>
      </c>
      <c r="D189" s="4" t="n">
        <v>44987</v>
      </c>
      <c r="E189" s="2" t="inlineStr">
        <is>
          <t>13:12</t>
        </is>
      </c>
      <c r="F189" s="5" t="n">
        <v>1096.67</v>
      </c>
      <c r="G189" s="5" t="n"/>
      <c r="H189" s="5" t="n"/>
      <c r="I189" s="5" t="n"/>
      <c r="J189" s="5" t="n">
        <v>219.33</v>
      </c>
      <c r="K189" s="5" t="n"/>
      <c r="L189" s="5" t="n"/>
      <c r="M189" s="5" t="n"/>
      <c r="N189" s="5" t="n"/>
      <c r="O189" s="5" t="n">
        <v>1316</v>
      </c>
      <c r="P189" s="5" t="n">
        <v>1316</v>
      </c>
      <c r="Q189" s="5" t="n"/>
      <c r="R189" s="5" t="n"/>
      <c r="S189" s="5">
        <f>F189*20%</f>
        <v/>
      </c>
      <c r="T189" s="5">
        <f>J189-S189</f>
        <v/>
      </c>
      <c r="U189" s="5">
        <f>F189+J189</f>
        <v/>
      </c>
      <c r="V189" s="5">
        <f>O189-U189</f>
        <v/>
      </c>
      <c r="W189" s="5">
        <f>O189-(P189+R189)</f>
        <v/>
      </c>
      <c r="X189" s="5">
        <f>O189-(P189+Q189+R189)</f>
        <v/>
      </c>
    </row>
    <row r="190">
      <c r="A190" s="2" t="inlineStr">
        <is>
          <t>EJ030323.TXT</t>
        </is>
      </c>
      <c r="B190" s="3" t="inlineStr">
        <is>
          <t>004712</t>
        </is>
      </c>
      <c r="C190" s="3" t="inlineStr">
        <is>
          <t>003750</t>
        </is>
      </c>
      <c r="D190" s="4" t="n">
        <v>44987</v>
      </c>
      <c r="E190" s="2" t="inlineStr">
        <is>
          <t>13:13</t>
        </is>
      </c>
      <c r="F190" s="5" t="n">
        <v>1370.83</v>
      </c>
      <c r="G190" s="5" t="n"/>
      <c r="H190" s="5" t="n"/>
      <c r="I190" s="5" t="n"/>
      <c r="J190" s="5" t="n">
        <v>274.17</v>
      </c>
      <c r="K190" s="5" t="n"/>
      <c r="L190" s="5" t="n"/>
      <c r="M190" s="5" t="n"/>
      <c r="N190" s="5" t="n"/>
      <c r="O190" s="5" t="n">
        <v>1645</v>
      </c>
      <c r="P190" s="5" t="n">
        <v>1645</v>
      </c>
      <c r="Q190" s="5" t="n"/>
      <c r="R190" s="5" t="n"/>
      <c r="S190" s="5">
        <f>F190*20%</f>
        <v/>
      </c>
      <c r="T190" s="5">
        <f>J190-S190</f>
        <v/>
      </c>
      <c r="U190" s="5">
        <f>F190+J190</f>
        <v/>
      </c>
      <c r="V190" s="5">
        <f>O190-U190</f>
        <v/>
      </c>
      <c r="W190" s="5">
        <f>O190-(P190+R190)</f>
        <v/>
      </c>
      <c r="X190" s="5">
        <f>O190-(P190+Q190+R190)</f>
        <v/>
      </c>
    </row>
    <row r="191">
      <c r="A191" s="2" t="inlineStr">
        <is>
          <t>EJ030323.TXT</t>
        </is>
      </c>
      <c r="B191" s="3" t="inlineStr">
        <is>
          <t>004713</t>
        </is>
      </c>
      <c r="C191" s="3" t="inlineStr">
        <is>
          <t>003751</t>
        </is>
      </c>
      <c r="D191" s="4" t="n">
        <v>44987</v>
      </c>
      <c r="E191" s="2" t="inlineStr">
        <is>
          <t>15:23</t>
        </is>
      </c>
      <c r="F191" s="5" t="n">
        <v>196.67</v>
      </c>
      <c r="G191" s="5" t="n"/>
      <c r="H191" s="5" t="n"/>
      <c r="I191" s="5" t="n"/>
      <c r="J191" s="5" t="n">
        <v>39.33</v>
      </c>
      <c r="K191" s="5" t="n"/>
      <c r="L191" s="5" t="n"/>
      <c r="M191" s="5" t="n"/>
      <c r="N191" s="5" t="n"/>
      <c r="O191" s="5" t="n">
        <v>236</v>
      </c>
      <c r="P191" s="5" t="n"/>
      <c r="Q191" s="5" t="n">
        <v>236</v>
      </c>
      <c r="R191" s="5" t="n"/>
      <c r="S191" s="5">
        <f>F191*20%</f>
        <v/>
      </c>
      <c r="T191" s="5">
        <f>J191-S191</f>
        <v/>
      </c>
      <c r="U191" s="5">
        <f>F191+J191</f>
        <v/>
      </c>
      <c r="V191" s="5">
        <f>O191-U191</f>
        <v/>
      </c>
      <c r="W191" s="5">
        <f>O191-(P191+R191)</f>
        <v/>
      </c>
      <c r="X191" s="5">
        <f>O191-(P191+Q191+R191)</f>
        <v/>
      </c>
    </row>
    <row r="192">
      <c r="A192" s="2" t="inlineStr">
        <is>
          <t>EJ030323.TXT</t>
        </is>
      </c>
      <c r="B192" s="3" t="inlineStr">
        <is>
          <t>004714</t>
        </is>
      </c>
      <c r="C192" s="3" t="inlineStr">
        <is>
          <t>003752</t>
        </is>
      </c>
      <c r="D192" s="4" t="n">
        <v>44987</v>
      </c>
      <c r="E192" s="2" t="inlineStr">
        <is>
          <t>18:43</t>
        </is>
      </c>
      <c r="F192" s="5" t="n">
        <v>73.33</v>
      </c>
      <c r="G192" s="5" t="n"/>
      <c r="H192" s="5" t="n"/>
      <c r="I192" s="5" t="n"/>
      <c r="J192" s="5" t="n">
        <v>14.67</v>
      </c>
      <c r="K192" s="5" t="n"/>
      <c r="L192" s="5" t="n"/>
      <c r="M192" s="5" t="n"/>
      <c r="N192" s="5" t="n"/>
      <c r="O192" s="5" t="n">
        <v>88</v>
      </c>
      <c r="P192" s="5" t="n">
        <v>88</v>
      </c>
      <c r="Q192" s="5" t="n"/>
      <c r="R192" s="5" t="n"/>
      <c r="S192" s="5">
        <f>F192*20%</f>
        <v/>
      </c>
      <c r="T192" s="5">
        <f>J192-S192</f>
        <v/>
      </c>
      <c r="U192" s="5">
        <f>F192+J192</f>
        <v/>
      </c>
      <c r="V192" s="5">
        <f>O192-U192</f>
        <v/>
      </c>
      <c r="W192" s="5">
        <f>O192-(P192+R192)</f>
        <v/>
      </c>
      <c r="X192" s="5">
        <f>O192-(P192+Q192+R192)</f>
        <v/>
      </c>
    </row>
    <row r="193">
      <c r="A193" s="2" t="inlineStr">
        <is>
          <t>EJ030323.TXT</t>
        </is>
      </c>
      <c r="B193" s="3" t="inlineStr">
        <is>
          <t>004715</t>
        </is>
      </c>
      <c r="C193" s="3" t="inlineStr">
        <is>
          <t>003753</t>
        </is>
      </c>
      <c r="D193" s="4" t="n">
        <v>44988</v>
      </c>
      <c r="E193" s="2" t="inlineStr">
        <is>
          <t>12:41</t>
        </is>
      </c>
      <c r="F193" s="5" t="n">
        <v>582.5</v>
      </c>
      <c r="G193" s="5" t="n"/>
      <c r="H193" s="5" t="n"/>
      <c r="I193" s="5" t="n"/>
      <c r="J193" s="5" t="n">
        <v>116.5</v>
      </c>
      <c r="K193" s="5" t="n"/>
      <c r="L193" s="5" t="n"/>
      <c r="M193" s="5" t="n"/>
      <c r="N193" s="5" t="n"/>
      <c r="O193" s="5" t="n">
        <v>699</v>
      </c>
      <c r="P193" s="5" t="n"/>
      <c r="Q193" s="5" t="n">
        <v>699</v>
      </c>
      <c r="R193" s="5" t="n"/>
      <c r="S193" s="5">
        <f>F193*20%</f>
        <v/>
      </c>
      <c r="T193" s="5">
        <f>J193-S193</f>
        <v/>
      </c>
      <c r="U193" s="5">
        <f>F193+J193</f>
        <v/>
      </c>
      <c r="V193" s="5">
        <f>O193-U193</f>
        <v/>
      </c>
      <c r="W193" s="5">
        <f>O193-(P193+R193)</f>
        <v/>
      </c>
      <c r="X193" s="5">
        <f>O193-(P193+Q193+R193)</f>
        <v/>
      </c>
    </row>
    <row r="194">
      <c r="A194" s="2" t="inlineStr">
        <is>
          <t>EJ030323.TXT</t>
        </is>
      </c>
      <c r="B194" s="3" t="inlineStr">
        <is>
          <t>004716</t>
        </is>
      </c>
      <c r="C194" s="3" t="inlineStr">
        <is>
          <t>003754</t>
        </is>
      </c>
      <c r="D194" s="4" t="n">
        <v>44988</v>
      </c>
      <c r="E194" s="2" t="inlineStr">
        <is>
          <t>12:41</t>
        </is>
      </c>
      <c r="F194" s="5" t="n">
        <v>582.5</v>
      </c>
      <c r="G194" s="5" t="n"/>
      <c r="H194" s="5" t="n"/>
      <c r="I194" s="5" t="n"/>
      <c r="J194" s="5" t="n">
        <v>116.5</v>
      </c>
      <c r="K194" s="5" t="n"/>
      <c r="L194" s="5" t="n"/>
      <c r="M194" s="5" t="n"/>
      <c r="N194" s="5" t="n"/>
      <c r="O194" s="5" t="n">
        <v>699</v>
      </c>
      <c r="P194" s="5" t="n"/>
      <c r="Q194" s="5" t="n">
        <v>699</v>
      </c>
      <c r="R194" s="5" t="n"/>
      <c r="S194" s="5">
        <f>F194*20%</f>
        <v/>
      </c>
      <c r="T194" s="5">
        <f>J194-S194</f>
        <v/>
      </c>
      <c r="U194" s="5">
        <f>F194+J194</f>
        <v/>
      </c>
      <c r="V194" s="5">
        <f>O194-U194</f>
        <v/>
      </c>
      <c r="W194" s="5">
        <f>O194-(P194+R194)</f>
        <v/>
      </c>
      <c r="X194" s="5">
        <f>O194-(P194+Q194+R194)</f>
        <v/>
      </c>
    </row>
    <row r="195">
      <c r="A195" s="2" t="inlineStr">
        <is>
          <t>EJ010423.TXT</t>
        </is>
      </c>
      <c r="B195" s="3" t="inlineStr">
        <is>
          <t>004723</t>
        </is>
      </c>
      <c r="C195" s="3" t="inlineStr">
        <is>
          <t>003755</t>
        </is>
      </c>
      <c r="D195" s="4" t="n">
        <v>44991</v>
      </c>
      <c r="E195" s="2" t="inlineStr">
        <is>
          <t>11:08</t>
        </is>
      </c>
      <c r="F195" s="5" t="n">
        <v>98.33</v>
      </c>
      <c r="G195" s="5" t="n"/>
      <c r="H195" s="5" t="n"/>
      <c r="I195" s="5" t="n"/>
      <c r="J195" s="5" t="n">
        <v>19.67</v>
      </c>
      <c r="K195" s="5" t="n"/>
      <c r="L195" s="5" t="n"/>
      <c r="M195" s="5" t="n"/>
      <c r="N195" s="5" t="n"/>
      <c r="O195" s="5" t="n">
        <v>118</v>
      </c>
      <c r="P195" s="5" t="n"/>
      <c r="Q195" s="5" t="n">
        <v>118</v>
      </c>
      <c r="R195" s="5" t="n"/>
      <c r="S195" s="5">
        <f>F195*20%</f>
        <v/>
      </c>
      <c r="T195" s="5">
        <f>J195-S195</f>
        <v/>
      </c>
      <c r="U195" s="5">
        <f>F195+J195</f>
        <v/>
      </c>
      <c r="V195" s="5">
        <f>O195-U195</f>
        <v/>
      </c>
      <c r="W195" s="5">
        <f>O195-(P195+R195)</f>
        <v/>
      </c>
      <c r="X195" s="5">
        <f>O195-(P195+Q195+R195)</f>
        <v/>
      </c>
    </row>
    <row r="196">
      <c r="A196" s="2" t="inlineStr">
        <is>
          <t>EJ010423.TXT</t>
        </is>
      </c>
      <c r="B196" s="3" t="inlineStr">
        <is>
          <t>004724</t>
        </is>
      </c>
      <c r="C196" s="3" t="inlineStr">
        <is>
          <t>003756</t>
        </is>
      </c>
      <c r="D196" s="4" t="n">
        <v>44991</v>
      </c>
      <c r="E196" s="2" t="inlineStr">
        <is>
          <t>18:30</t>
        </is>
      </c>
      <c r="F196" s="5" t="n">
        <v>822.5</v>
      </c>
      <c r="G196" s="5" t="n"/>
      <c r="H196" s="5" t="n"/>
      <c r="I196" s="5" t="n"/>
      <c r="J196" s="5" t="n">
        <v>164.5</v>
      </c>
      <c r="K196" s="5" t="n"/>
      <c r="L196" s="5" t="n"/>
      <c r="M196" s="5" t="n"/>
      <c r="N196" s="5" t="n"/>
      <c r="O196" s="5" t="n">
        <v>987</v>
      </c>
      <c r="P196" s="5" t="n"/>
      <c r="Q196" s="5" t="n"/>
      <c r="R196" s="5" t="n">
        <v>987</v>
      </c>
      <c r="S196" s="5">
        <f>F196*20%</f>
        <v/>
      </c>
      <c r="T196" s="5">
        <f>J196-S196</f>
        <v/>
      </c>
      <c r="U196" s="5">
        <f>F196+J196</f>
        <v/>
      </c>
      <c r="V196" s="5">
        <f>O196-U196</f>
        <v/>
      </c>
      <c r="W196" s="5">
        <f>O196-(P196+R196)</f>
        <v/>
      </c>
      <c r="X196" s="5">
        <f>O196-(P196+Q196+R196)</f>
        <v/>
      </c>
    </row>
    <row r="197">
      <c r="A197" s="2" t="inlineStr">
        <is>
          <t>EJ010423.TXT</t>
        </is>
      </c>
      <c r="B197" s="3" t="inlineStr">
        <is>
          <t>004725</t>
        </is>
      </c>
      <c r="C197" s="3" t="inlineStr">
        <is>
          <t>003757</t>
        </is>
      </c>
      <c r="D197" s="4" t="n">
        <v>44992</v>
      </c>
      <c r="E197" s="2" t="inlineStr">
        <is>
          <t>12:32</t>
        </is>
      </c>
      <c r="F197" s="5" t="n">
        <v>548.33</v>
      </c>
      <c r="G197" s="5" t="n"/>
      <c r="H197" s="5" t="n"/>
      <c r="I197" s="5" t="n"/>
      <c r="J197" s="5" t="n">
        <v>109.67</v>
      </c>
      <c r="K197" s="5" t="n"/>
      <c r="L197" s="5" t="n"/>
      <c r="M197" s="5" t="n"/>
      <c r="N197" s="5" t="n"/>
      <c r="O197" s="5" t="n">
        <v>658</v>
      </c>
      <c r="P197" s="5" t="n"/>
      <c r="Q197" s="5" t="n">
        <v>658</v>
      </c>
      <c r="R197" s="5" t="n"/>
      <c r="S197" s="5">
        <f>F197*20%</f>
        <v/>
      </c>
      <c r="T197" s="5">
        <f>J197-S197</f>
        <v/>
      </c>
      <c r="U197" s="5">
        <f>F197+J197</f>
        <v/>
      </c>
      <c r="V197" s="5">
        <f>O197-U197</f>
        <v/>
      </c>
      <c r="W197" s="5">
        <f>O197-(P197+R197)</f>
        <v/>
      </c>
      <c r="X197" s="5">
        <f>O197-(P197+Q197+R197)</f>
        <v/>
      </c>
    </row>
    <row r="198">
      <c r="A198" s="2" t="inlineStr">
        <is>
          <t>EJ010423.TXT</t>
        </is>
      </c>
      <c r="B198" s="3" t="inlineStr">
        <is>
          <t>004726</t>
        </is>
      </c>
      <c r="C198" s="3" t="inlineStr">
        <is>
          <t>003758</t>
        </is>
      </c>
      <c r="D198" s="4" t="n">
        <v>44992</v>
      </c>
      <c r="E198" s="2" t="inlineStr">
        <is>
          <t>14:59</t>
        </is>
      </c>
      <c r="F198" s="5" t="n">
        <v>822.5</v>
      </c>
      <c r="G198" s="5" t="n"/>
      <c r="H198" s="5" t="n"/>
      <c r="I198" s="5" t="n"/>
      <c r="J198" s="5" t="n">
        <v>164.5</v>
      </c>
      <c r="K198" s="5" t="n"/>
      <c r="L198" s="5" t="n"/>
      <c r="M198" s="5" t="n"/>
      <c r="N198" s="5" t="n"/>
      <c r="O198" s="5" t="n">
        <v>987</v>
      </c>
      <c r="P198" s="5" t="n"/>
      <c r="Q198" s="5" t="n">
        <v>987</v>
      </c>
      <c r="R198" s="5" t="n"/>
      <c r="S198" s="5">
        <f>F198*20%</f>
        <v/>
      </c>
      <c r="T198" s="5">
        <f>J198-S198</f>
        <v/>
      </c>
      <c r="U198" s="5">
        <f>F198+J198</f>
        <v/>
      </c>
      <c r="V198" s="5">
        <f>O198-U198</f>
        <v/>
      </c>
      <c r="W198" s="5">
        <f>O198-(P198+R198)</f>
        <v/>
      </c>
      <c r="X198" s="5">
        <f>O198-(P198+Q198+R198)</f>
        <v/>
      </c>
    </row>
    <row r="199">
      <c r="A199" s="2" t="inlineStr">
        <is>
          <t>EJ010423.TXT</t>
        </is>
      </c>
      <c r="B199" s="3" t="inlineStr">
        <is>
          <t>004727</t>
        </is>
      </c>
      <c r="C199" s="3" t="inlineStr">
        <is>
          <t>003759</t>
        </is>
      </c>
      <c r="D199" s="4" t="n">
        <v>44992</v>
      </c>
      <c r="E199" s="2" t="inlineStr">
        <is>
          <t>14:59</t>
        </is>
      </c>
      <c r="F199" s="5" t="n">
        <v>822.5</v>
      </c>
      <c r="G199" s="5" t="n"/>
      <c r="H199" s="5" t="n"/>
      <c r="I199" s="5" t="n"/>
      <c r="J199" s="5" t="n">
        <v>164.5</v>
      </c>
      <c r="K199" s="5" t="n"/>
      <c r="L199" s="5" t="n"/>
      <c r="M199" s="5" t="n"/>
      <c r="N199" s="5" t="n"/>
      <c r="O199" s="5" t="n">
        <v>987</v>
      </c>
      <c r="P199" s="5" t="n"/>
      <c r="Q199" s="5" t="n">
        <v>987</v>
      </c>
      <c r="R199" s="5" t="n"/>
      <c r="S199" s="5">
        <f>F199*20%</f>
        <v/>
      </c>
      <c r="T199" s="5">
        <f>J199-S199</f>
        <v/>
      </c>
      <c r="U199" s="5">
        <f>F199+J199</f>
        <v/>
      </c>
      <c r="V199" s="5">
        <f>O199-U199</f>
        <v/>
      </c>
      <c r="W199" s="5">
        <f>O199-(P199+R199)</f>
        <v/>
      </c>
      <c r="X199" s="5">
        <f>O199-(P199+Q199+R199)</f>
        <v/>
      </c>
    </row>
    <row r="200">
      <c r="A200" s="2" t="inlineStr">
        <is>
          <t>EJ010423.TXT</t>
        </is>
      </c>
      <c r="B200" s="3" t="inlineStr">
        <is>
          <t>004728</t>
        </is>
      </c>
      <c r="C200" s="3" t="inlineStr">
        <is>
          <t>003760</t>
        </is>
      </c>
      <c r="D200" s="4" t="n">
        <v>44993</v>
      </c>
      <c r="E200" s="2" t="inlineStr">
        <is>
          <t>11:12</t>
        </is>
      </c>
      <c r="F200" s="5" t="n">
        <v>208.33</v>
      </c>
      <c r="G200" s="5" t="n"/>
      <c r="H200" s="5" t="n"/>
      <c r="I200" s="5" t="n"/>
      <c r="J200" s="5" t="n">
        <v>41.67</v>
      </c>
      <c r="K200" s="5" t="n"/>
      <c r="L200" s="5" t="n"/>
      <c r="M200" s="5" t="n"/>
      <c r="N200" s="5" t="n"/>
      <c r="O200" s="5" t="n">
        <v>250</v>
      </c>
      <c r="P200" s="5" t="n"/>
      <c r="Q200" s="5" t="n">
        <v>250</v>
      </c>
      <c r="R200" s="5" t="n"/>
      <c r="S200" s="5">
        <f>F200*20%</f>
        <v/>
      </c>
      <c r="T200" s="5">
        <f>J200-S200</f>
        <v/>
      </c>
      <c r="U200" s="5">
        <f>F200+J200</f>
        <v/>
      </c>
      <c r="V200" s="5">
        <f>O200-U200</f>
        <v/>
      </c>
      <c r="W200" s="5">
        <f>O200-(P200+R200)</f>
        <v/>
      </c>
      <c r="X200" s="5">
        <f>O200-(P200+Q200+R200)</f>
        <v/>
      </c>
    </row>
    <row r="201">
      <c r="A201" s="2" t="inlineStr">
        <is>
          <t>EJ010423.TXT</t>
        </is>
      </c>
      <c r="B201" s="3" t="inlineStr">
        <is>
          <t>004729</t>
        </is>
      </c>
      <c r="C201" s="3" t="inlineStr">
        <is>
          <t>003761</t>
        </is>
      </c>
      <c r="D201" s="4" t="n">
        <v>44993</v>
      </c>
      <c r="E201" s="2" t="inlineStr">
        <is>
          <t>12:20</t>
        </is>
      </c>
      <c r="F201" s="5" t="n">
        <v>763.33</v>
      </c>
      <c r="G201" s="5" t="n"/>
      <c r="H201" s="5" t="n"/>
      <c r="I201" s="5" t="n"/>
      <c r="J201" s="5" t="n">
        <v>152.67</v>
      </c>
      <c r="K201" s="5" t="n"/>
      <c r="L201" s="5" t="n"/>
      <c r="M201" s="5" t="n"/>
      <c r="N201" s="5" t="n"/>
      <c r="O201" s="5" t="n">
        <v>916</v>
      </c>
      <c r="P201" s="5" t="n"/>
      <c r="Q201" s="5" t="n">
        <v>916</v>
      </c>
      <c r="R201" s="5" t="n"/>
      <c r="S201" s="5">
        <f>F201*20%</f>
        <v/>
      </c>
      <c r="T201" s="5">
        <f>J201-S201</f>
        <v/>
      </c>
      <c r="U201" s="5">
        <f>F201+J201</f>
        <v/>
      </c>
      <c r="V201" s="5">
        <f>O201-U201</f>
        <v/>
      </c>
      <c r="W201" s="5">
        <f>O201-(P201+R201)</f>
        <v/>
      </c>
      <c r="X201" s="5">
        <f>O201-(P201+Q201+R201)</f>
        <v/>
      </c>
    </row>
    <row r="202">
      <c r="A202" s="2" t="inlineStr">
        <is>
          <t>EJ010423.TXT</t>
        </is>
      </c>
      <c r="B202" s="3" t="inlineStr">
        <is>
          <t>004730</t>
        </is>
      </c>
      <c r="C202" s="3" t="inlineStr">
        <is>
          <t>003762</t>
        </is>
      </c>
      <c r="D202" s="4" t="n">
        <v>44998</v>
      </c>
      <c r="E202" s="2" t="inlineStr">
        <is>
          <t>14:55</t>
        </is>
      </c>
      <c r="F202" s="5" t="n">
        <v>307.5</v>
      </c>
      <c r="G202" s="5" t="n"/>
      <c r="H202" s="5" t="n"/>
      <c r="I202" s="5" t="n"/>
      <c r="J202" s="5" t="n">
        <v>61.5</v>
      </c>
      <c r="K202" s="5" t="n"/>
      <c r="L202" s="5" t="n"/>
      <c r="M202" s="5" t="n"/>
      <c r="N202" s="5" t="n"/>
      <c r="O202" s="5" t="n">
        <v>369</v>
      </c>
      <c r="P202" s="5" t="n"/>
      <c r="Q202" s="5" t="n">
        <v>369</v>
      </c>
      <c r="R202" s="5" t="n"/>
      <c r="S202" s="5">
        <f>F202*20%</f>
        <v/>
      </c>
      <c r="T202" s="5">
        <f>J202-S202</f>
        <v/>
      </c>
      <c r="U202" s="5">
        <f>F202+J202</f>
        <v/>
      </c>
      <c r="V202" s="5">
        <f>O202-U202</f>
        <v/>
      </c>
      <c r="W202" s="5">
        <f>O202-(P202+R202)</f>
        <v/>
      </c>
      <c r="X202" s="5">
        <f>O202-(P202+Q202+R202)</f>
        <v/>
      </c>
    </row>
    <row r="203">
      <c r="A203" s="2" t="inlineStr">
        <is>
          <t>EJ010423.TXT</t>
        </is>
      </c>
      <c r="B203" s="3" t="inlineStr">
        <is>
          <t>004731</t>
        </is>
      </c>
      <c r="C203" s="3" t="inlineStr">
        <is>
          <t>003763</t>
        </is>
      </c>
      <c r="D203" s="4" t="n">
        <v>44999</v>
      </c>
      <c r="E203" s="2" t="inlineStr">
        <is>
          <t>15:07</t>
        </is>
      </c>
      <c r="F203" s="5" t="n">
        <v>797.5</v>
      </c>
      <c r="G203" s="5" t="n"/>
      <c r="H203" s="5" t="n"/>
      <c r="I203" s="5" t="n"/>
      <c r="J203" s="5" t="n">
        <v>159.5</v>
      </c>
      <c r="K203" s="5" t="n"/>
      <c r="L203" s="5" t="n"/>
      <c r="M203" s="5" t="n"/>
      <c r="N203" s="5" t="n"/>
      <c r="O203" s="5" t="n">
        <v>957</v>
      </c>
      <c r="P203" s="5" t="n"/>
      <c r="Q203" s="5" t="n">
        <v>957</v>
      </c>
      <c r="R203" s="5" t="n"/>
      <c r="S203" s="5">
        <f>F203*20%</f>
        <v/>
      </c>
      <c r="T203" s="5">
        <f>J203-S203</f>
        <v/>
      </c>
      <c r="U203" s="5">
        <f>F203+J203</f>
        <v/>
      </c>
      <c r="V203" s="5">
        <f>O203-U203</f>
        <v/>
      </c>
      <c r="W203" s="5">
        <f>O203-(P203+R203)</f>
        <v/>
      </c>
      <c r="X203" s="5">
        <f>O203-(P203+Q203+R203)</f>
        <v/>
      </c>
    </row>
    <row r="204">
      <c r="A204" s="2" t="inlineStr">
        <is>
          <t>EJ010423.TXT</t>
        </is>
      </c>
      <c r="B204" s="3" t="inlineStr">
        <is>
          <t>004732</t>
        </is>
      </c>
      <c r="C204" s="3" t="inlineStr">
        <is>
          <t>003764</t>
        </is>
      </c>
      <c r="D204" s="4" t="n">
        <v>44999</v>
      </c>
      <c r="E204" s="2" t="inlineStr">
        <is>
          <t>16:56</t>
        </is>
      </c>
      <c r="F204" s="5" t="n">
        <v>797.5</v>
      </c>
      <c r="G204" s="5" t="n"/>
      <c r="H204" s="5" t="n"/>
      <c r="I204" s="5" t="n"/>
      <c r="J204" s="5" t="n">
        <v>159.5</v>
      </c>
      <c r="K204" s="5" t="n"/>
      <c r="L204" s="5" t="n"/>
      <c r="M204" s="5" t="n"/>
      <c r="N204" s="5" t="n"/>
      <c r="O204" s="5" t="n">
        <v>957</v>
      </c>
      <c r="P204" s="5" t="n"/>
      <c r="Q204" s="5" t="n">
        <v>957</v>
      </c>
      <c r="R204" s="5" t="n"/>
      <c r="S204" s="5">
        <f>F204*20%</f>
        <v/>
      </c>
      <c r="T204" s="5">
        <f>J204-S204</f>
        <v/>
      </c>
      <c r="U204" s="5">
        <f>F204+J204</f>
        <v/>
      </c>
      <c r="V204" s="5">
        <f>O204-U204</f>
        <v/>
      </c>
      <c r="W204" s="5">
        <f>O204-(P204+R204)</f>
        <v/>
      </c>
      <c r="X204" s="5">
        <f>O204-(P204+Q204+R204)</f>
        <v/>
      </c>
    </row>
    <row r="205">
      <c r="A205" s="2" t="inlineStr">
        <is>
          <t>EJ010423.TXT</t>
        </is>
      </c>
      <c r="B205" s="3" t="inlineStr">
        <is>
          <t>004733</t>
        </is>
      </c>
      <c r="C205" s="3" t="inlineStr">
        <is>
          <t>003765</t>
        </is>
      </c>
      <c r="D205" s="4" t="n">
        <v>44999</v>
      </c>
      <c r="E205" s="2" t="inlineStr">
        <is>
          <t>18:58</t>
        </is>
      </c>
      <c r="F205" s="5" t="n">
        <v>797.5</v>
      </c>
      <c r="G205" s="5" t="n"/>
      <c r="H205" s="5" t="n"/>
      <c r="I205" s="5" t="n"/>
      <c r="J205" s="5" t="n">
        <v>159.5</v>
      </c>
      <c r="K205" s="5" t="n"/>
      <c r="L205" s="5" t="n"/>
      <c r="M205" s="5" t="n"/>
      <c r="N205" s="5" t="n"/>
      <c r="O205" s="5" t="n">
        <v>957</v>
      </c>
      <c r="P205" s="5" t="n"/>
      <c r="Q205" s="5" t="n">
        <v>957</v>
      </c>
      <c r="R205" s="5" t="n"/>
      <c r="S205" s="5">
        <f>F205*20%</f>
        <v/>
      </c>
      <c r="T205" s="5">
        <f>J205-S205</f>
        <v/>
      </c>
      <c r="U205" s="5">
        <f>F205+J205</f>
        <v/>
      </c>
      <c r="V205" s="5">
        <f>O205-U205</f>
        <v/>
      </c>
      <c r="W205" s="5">
        <f>O205-(P205+R205)</f>
        <v/>
      </c>
      <c r="X205" s="5">
        <f>O205-(P205+Q205+R205)</f>
        <v/>
      </c>
    </row>
    <row r="206">
      <c r="A206" s="2" t="inlineStr">
        <is>
          <t>EJ010423.TXT</t>
        </is>
      </c>
      <c r="B206" s="3" t="inlineStr">
        <is>
          <t>004734</t>
        </is>
      </c>
      <c r="C206" s="3" t="inlineStr">
        <is>
          <t>003766</t>
        </is>
      </c>
      <c r="D206" s="4" t="n">
        <v>44999</v>
      </c>
      <c r="E206" s="2" t="inlineStr">
        <is>
          <t>18:59</t>
        </is>
      </c>
      <c r="F206" s="5" t="n">
        <v>797.5</v>
      </c>
      <c r="G206" s="5" t="n"/>
      <c r="H206" s="5" t="n"/>
      <c r="I206" s="5" t="n"/>
      <c r="J206" s="5" t="n">
        <v>159.5</v>
      </c>
      <c r="K206" s="5" t="n"/>
      <c r="L206" s="5" t="n"/>
      <c r="M206" s="5" t="n"/>
      <c r="N206" s="5" t="n"/>
      <c r="O206" s="5" t="n">
        <v>957</v>
      </c>
      <c r="P206" s="5" t="n"/>
      <c r="Q206" s="5" t="n">
        <v>957</v>
      </c>
      <c r="R206" s="5" t="n"/>
      <c r="S206" s="5">
        <f>F206*20%</f>
        <v/>
      </c>
      <c r="T206" s="5">
        <f>J206-S206</f>
        <v/>
      </c>
      <c r="U206" s="5">
        <f>F206+J206</f>
        <v/>
      </c>
      <c r="V206" s="5">
        <f>O206-U206</f>
        <v/>
      </c>
      <c r="W206" s="5">
        <f>O206-(P206+R206)</f>
        <v/>
      </c>
      <c r="X206" s="5">
        <f>O206-(P206+Q206+R206)</f>
        <v/>
      </c>
    </row>
    <row r="207">
      <c r="A207" s="2" t="inlineStr">
        <is>
          <t>EJ010423.TXT</t>
        </is>
      </c>
      <c r="B207" s="3" t="inlineStr">
        <is>
          <t>004735</t>
        </is>
      </c>
      <c r="C207" s="3" t="inlineStr">
        <is>
          <t>003767</t>
        </is>
      </c>
      <c r="D207" s="4" t="n">
        <v>45000</v>
      </c>
      <c r="E207" s="2" t="inlineStr">
        <is>
          <t>17:19</t>
        </is>
      </c>
      <c r="F207" s="5" t="n">
        <v>797.5</v>
      </c>
      <c r="G207" s="5" t="n"/>
      <c r="H207" s="5" t="n"/>
      <c r="I207" s="5" t="n"/>
      <c r="J207" s="5" t="n">
        <v>159.5</v>
      </c>
      <c r="K207" s="5" t="n"/>
      <c r="L207" s="5" t="n"/>
      <c r="M207" s="5" t="n"/>
      <c r="N207" s="5" t="n"/>
      <c r="O207" s="5" t="n">
        <v>957</v>
      </c>
      <c r="P207" s="5" t="n"/>
      <c r="Q207" s="5" t="n">
        <v>957</v>
      </c>
      <c r="R207" s="5" t="n"/>
      <c r="S207" s="5">
        <f>F207*20%</f>
        <v/>
      </c>
      <c r="T207" s="5">
        <f>J207-S207</f>
        <v/>
      </c>
      <c r="U207" s="5">
        <f>F207+J207</f>
        <v/>
      </c>
      <c r="V207" s="5">
        <f>O207-U207</f>
        <v/>
      </c>
      <c r="W207" s="5">
        <f>O207-(P207+R207)</f>
        <v/>
      </c>
      <c r="X207" s="5">
        <f>O207-(P207+Q207+R207)</f>
        <v/>
      </c>
    </row>
    <row r="208">
      <c r="A208" s="2" t="inlineStr">
        <is>
          <t>EJ010423.TXT</t>
        </is>
      </c>
      <c r="B208" s="3" t="inlineStr">
        <is>
          <t>004736</t>
        </is>
      </c>
      <c r="C208" s="3" t="inlineStr">
        <is>
          <t>003768</t>
        </is>
      </c>
      <c r="D208" s="4" t="n">
        <v>45000</v>
      </c>
      <c r="E208" s="2" t="inlineStr">
        <is>
          <t>17:20</t>
        </is>
      </c>
      <c r="F208" s="5" t="n">
        <v>797.5</v>
      </c>
      <c r="G208" s="5" t="n"/>
      <c r="H208" s="5" t="n"/>
      <c r="I208" s="5" t="n"/>
      <c r="J208" s="5" t="n">
        <v>159.5</v>
      </c>
      <c r="K208" s="5" t="n"/>
      <c r="L208" s="5" t="n"/>
      <c r="M208" s="5" t="n"/>
      <c r="N208" s="5" t="n"/>
      <c r="O208" s="5" t="n">
        <v>957</v>
      </c>
      <c r="P208" s="5" t="n"/>
      <c r="Q208" s="5" t="n">
        <v>957</v>
      </c>
      <c r="R208" s="5" t="n"/>
      <c r="S208" s="5">
        <f>F208*20%</f>
        <v/>
      </c>
      <c r="T208" s="5">
        <f>J208-S208</f>
        <v/>
      </c>
      <c r="U208" s="5">
        <f>F208+J208</f>
        <v/>
      </c>
      <c r="V208" s="5">
        <f>O208-U208</f>
        <v/>
      </c>
      <c r="W208" s="5">
        <f>O208-(P208+R208)</f>
        <v/>
      </c>
      <c r="X208" s="5">
        <f>O208-(P208+Q208+R208)</f>
        <v/>
      </c>
    </row>
    <row r="209">
      <c r="A209" s="2" t="inlineStr">
        <is>
          <t>EJ010423.TXT</t>
        </is>
      </c>
      <c r="B209" s="3" t="inlineStr">
        <is>
          <t>004737</t>
        </is>
      </c>
      <c r="C209" s="3" t="inlineStr">
        <is>
          <t>003769</t>
        </is>
      </c>
      <c r="D209" s="4" t="n">
        <v>45000</v>
      </c>
      <c r="E209" s="2" t="inlineStr">
        <is>
          <t>18:30</t>
        </is>
      </c>
      <c r="F209" s="5" t="n">
        <v>548.33</v>
      </c>
      <c r="G209" s="5" t="n"/>
      <c r="H209" s="5" t="n"/>
      <c r="I209" s="5" t="n"/>
      <c r="J209" s="5" t="n">
        <v>109.67</v>
      </c>
      <c r="K209" s="5" t="n"/>
      <c r="L209" s="5" t="n"/>
      <c r="M209" s="5" t="n"/>
      <c r="N209" s="5" t="n"/>
      <c r="O209" s="5" t="n">
        <v>658</v>
      </c>
      <c r="P209" s="5" t="n"/>
      <c r="Q209" s="5" t="n">
        <v>658</v>
      </c>
      <c r="R209" s="5" t="n"/>
      <c r="S209" s="5">
        <f>F209*20%</f>
        <v/>
      </c>
      <c r="T209" s="5">
        <f>J209-S209</f>
        <v/>
      </c>
      <c r="U209" s="5">
        <f>F209+J209</f>
        <v/>
      </c>
      <c r="V209" s="5">
        <f>O209-U209</f>
        <v/>
      </c>
      <c r="W209" s="5">
        <f>O209-(P209+R209)</f>
        <v/>
      </c>
      <c r="X209" s="5">
        <f>O209-(P209+Q209+R209)</f>
        <v/>
      </c>
    </row>
    <row r="210">
      <c r="A210" s="2" t="inlineStr">
        <is>
          <t>EJ010423.TXT</t>
        </is>
      </c>
      <c r="B210" s="3" t="inlineStr">
        <is>
          <t>004738</t>
        </is>
      </c>
      <c r="C210" s="3" t="inlineStr">
        <is>
          <t>003770</t>
        </is>
      </c>
      <c r="D210" s="4" t="n">
        <v>45001</v>
      </c>
      <c r="E210" s="2" t="inlineStr">
        <is>
          <t>12:02</t>
        </is>
      </c>
      <c r="F210" s="5" t="n">
        <v>531.67</v>
      </c>
      <c r="G210" s="5" t="n"/>
      <c r="H210" s="5" t="n"/>
      <c r="I210" s="5" t="n"/>
      <c r="J210" s="5" t="n">
        <v>106.33</v>
      </c>
      <c r="K210" s="5" t="n"/>
      <c r="L210" s="5" t="n"/>
      <c r="M210" s="5" t="n"/>
      <c r="N210" s="5" t="n"/>
      <c r="O210" s="5" t="n">
        <v>638</v>
      </c>
      <c r="P210" s="5" t="n"/>
      <c r="Q210" s="5" t="n">
        <v>638</v>
      </c>
      <c r="R210" s="5" t="n"/>
      <c r="S210" s="5">
        <f>F210*20%</f>
        <v/>
      </c>
      <c r="T210" s="5">
        <f>J210-S210</f>
        <v/>
      </c>
      <c r="U210" s="5">
        <f>F210+J210</f>
        <v/>
      </c>
      <c r="V210" s="5">
        <f>O210-U210</f>
        <v/>
      </c>
      <c r="W210" s="5">
        <f>O210-(P210+R210)</f>
        <v/>
      </c>
      <c r="X210" s="5">
        <f>O210-(P210+Q210+R210)</f>
        <v/>
      </c>
    </row>
    <row r="211">
      <c r="A211" s="2" t="inlineStr">
        <is>
          <t>EJ010423.TXT</t>
        </is>
      </c>
      <c r="B211" s="3" t="inlineStr">
        <is>
          <t>004739</t>
        </is>
      </c>
      <c r="C211" s="3" t="inlineStr">
        <is>
          <t>003771</t>
        </is>
      </c>
      <c r="D211" s="4" t="n">
        <v>45001</v>
      </c>
      <c r="E211" s="2" t="inlineStr">
        <is>
          <t>18:12</t>
        </is>
      </c>
      <c r="F211" s="5" t="n">
        <v>274.17</v>
      </c>
      <c r="G211" s="5" t="n"/>
      <c r="H211" s="5" t="n"/>
      <c r="I211" s="5" t="n"/>
      <c r="J211" s="5" t="n">
        <v>54.83</v>
      </c>
      <c r="K211" s="5" t="n"/>
      <c r="L211" s="5" t="n"/>
      <c r="M211" s="5" t="n"/>
      <c r="N211" s="5" t="n"/>
      <c r="O211" s="5" t="n">
        <v>329</v>
      </c>
      <c r="P211" s="5" t="n">
        <v>329</v>
      </c>
      <c r="Q211" s="5" t="n"/>
      <c r="R211" s="5" t="n"/>
      <c r="S211" s="5">
        <f>F211*20%</f>
        <v/>
      </c>
      <c r="T211" s="5">
        <f>J211-S211</f>
        <v/>
      </c>
      <c r="U211" s="5">
        <f>F211+J211</f>
        <v/>
      </c>
      <c r="V211" s="5">
        <f>O211-U211</f>
        <v/>
      </c>
      <c r="W211" s="5">
        <f>O211-(P211+R211)</f>
        <v/>
      </c>
      <c r="X211" s="5">
        <f>O211-(P211+Q211+R211)</f>
        <v/>
      </c>
    </row>
    <row r="212">
      <c r="A212" s="2" t="inlineStr">
        <is>
          <t>EJ010423.TXT</t>
        </is>
      </c>
      <c r="B212" s="3" t="inlineStr">
        <is>
          <t>004740</t>
        </is>
      </c>
      <c r="C212" s="3" t="inlineStr">
        <is>
          <t>003772</t>
        </is>
      </c>
      <c r="D212" s="4" t="n">
        <v>45002</v>
      </c>
      <c r="E212" s="2" t="inlineStr">
        <is>
          <t>11:42</t>
        </is>
      </c>
      <c r="F212" s="5" t="n">
        <v>190.83</v>
      </c>
      <c r="G212" s="5" t="n"/>
      <c r="H212" s="5" t="n"/>
      <c r="I212" s="5" t="n"/>
      <c r="J212" s="5" t="n">
        <v>38.17</v>
      </c>
      <c r="K212" s="5" t="n"/>
      <c r="L212" s="5" t="n"/>
      <c r="M212" s="5" t="n"/>
      <c r="N212" s="5" t="n"/>
      <c r="O212" s="5" t="n">
        <v>229</v>
      </c>
      <c r="P212" s="5" t="n"/>
      <c r="Q212" s="5" t="n">
        <v>229</v>
      </c>
      <c r="R212" s="5" t="n"/>
      <c r="S212" s="5">
        <f>F212*20%</f>
        <v/>
      </c>
      <c r="T212" s="5">
        <f>J212-S212</f>
        <v/>
      </c>
      <c r="U212" s="5">
        <f>F212+J212</f>
        <v/>
      </c>
      <c r="V212" s="5">
        <f>O212-U212</f>
        <v/>
      </c>
      <c r="W212" s="5">
        <f>O212-(P212+R212)</f>
        <v/>
      </c>
      <c r="X212" s="5">
        <f>O212-(P212+Q212+R212)</f>
        <v/>
      </c>
    </row>
    <row r="213">
      <c r="A213" s="2" t="inlineStr">
        <is>
          <t>EJ010423.TXT</t>
        </is>
      </c>
      <c r="B213" s="3" t="inlineStr">
        <is>
          <t>004741</t>
        </is>
      </c>
      <c r="C213" s="3" t="inlineStr">
        <is>
          <t>003773</t>
        </is>
      </c>
      <c r="D213" s="4" t="n">
        <v>45003</v>
      </c>
      <c r="E213" s="2" t="inlineStr">
        <is>
          <t>15:04</t>
        </is>
      </c>
      <c r="F213" s="5" t="n">
        <v>822.5</v>
      </c>
      <c r="G213" s="5" t="n"/>
      <c r="H213" s="5" t="n"/>
      <c r="I213" s="5" t="n"/>
      <c r="J213" s="5" t="n">
        <v>164.5</v>
      </c>
      <c r="K213" s="5" t="n"/>
      <c r="L213" s="5" t="n"/>
      <c r="M213" s="5" t="n"/>
      <c r="N213" s="5" t="n"/>
      <c r="O213" s="5" t="n">
        <v>987</v>
      </c>
      <c r="P213" s="5" t="n"/>
      <c r="Q213" s="5" t="n">
        <v>987</v>
      </c>
      <c r="R213" s="5" t="n"/>
      <c r="S213" s="5">
        <f>F213*20%</f>
        <v/>
      </c>
      <c r="T213" s="5">
        <f>J213-S213</f>
        <v/>
      </c>
      <c r="U213" s="5">
        <f>F213+J213</f>
        <v/>
      </c>
      <c r="V213" s="5">
        <f>O213-U213</f>
        <v/>
      </c>
      <c r="W213" s="5">
        <f>O213-(P213+R213)</f>
        <v/>
      </c>
      <c r="X213" s="5">
        <f>O213-(P213+Q213+R213)</f>
        <v/>
      </c>
    </row>
    <row r="214">
      <c r="A214" s="2" t="inlineStr">
        <is>
          <t>EJ010423.TXT</t>
        </is>
      </c>
      <c r="B214" s="3" t="inlineStr">
        <is>
          <t>004742</t>
        </is>
      </c>
      <c r="C214" s="3" t="inlineStr">
        <is>
          <t>003774</t>
        </is>
      </c>
      <c r="D214" s="4" t="n">
        <v>45003</v>
      </c>
      <c r="E214" s="2" t="inlineStr">
        <is>
          <t>15:04</t>
        </is>
      </c>
      <c r="F214" s="5" t="n">
        <v>672.5</v>
      </c>
      <c r="G214" s="5" t="n"/>
      <c r="H214" s="5" t="n"/>
      <c r="I214" s="5" t="n"/>
      <c r="J214" s="5" t="n">
        <v>134.5</v>
      </c>
      <c r="K214" s="5" t="n"/>
      <c r="L214" s="5" t="n"/>
      <c r="M214" s="5" t="n"/>
      <c r="N214" s="5" t="n"/>
      <c r="O214" s="5" t="n">
        <v>807</v>
      </c>
      <c r="P214" s="5" t="n"/>
      <c r="Q214" s="5" t="n">
        <v>807</v>
      </c>
      <c r="R214" s="5" t="n"/>
      <c r="S214" s="5">
        <f>F214*20%</f>
        <v/>
      </c>
      <c r="T214" s="5">
        <f>J214-S214</f>
        <v/>
      </c>
      <c r="U214" s="5">
        <f>F214+J214</f>
        <v/>
      </c>
      <c r="V214" s="5">
        <f>O214-U214</f>
        <v/>
      </c>
      <c r="W214" s="5">
        <f>O214-(P214+R214)</f>
        <v/>
      </c>
      <c r="X214" s="5">
        <f>O214-(P214+Q214+R214)</f>
        <v/>
      </c>
    </row>
    <row r="215">
      <c r="A215" s="2" t="inlineStr">
        <is>
          <t>EJ010423.TXT</t>
        </is>
      </c>
      <c r="B215" s="3" t="inlineStr">
        <is>
          <t>004743</t>
        </is>
      </c>
      <c r="C215" s="3" t="inlineStr">
        <is>
          <t>003775</t>
        </is>
      </c>
      <c r="D215" s="4" t="n">
        <v>45003</v>
      </c>
      <c r="E215" s="2" t="inlineStr">
        <is>
          <t>15:05</t>
        </is>
      </c>
      <c r="F215" s="5" t="n">
        <v>747.5</v>
      </c>
      <c r="G215" s="5" t="n"/>
      <c r="H215" s="5" t="n"/>
      <c r="I215" s="5" t="n"/>
      <c r="J215" s="5" t="n">
        <v>149.5</v>
      </c>
      <c r="K215" s="5" t="n"/>
      <c r="L215" s="5" t="n"/>
      <c r="M215" s="5" t="n"/>
      <c r="N215" s="5" t="n"/>
      <c r="O215" s="5" t="n">
        <v>897</v>
      </c>
      <c r="P215" s="5" t="n"/>
      <c r="Q215" s="5" t="n">
        <v>897</v>
      </c>
      <c r="R215" s="5" t="n"/>
      <c r="S215" s="5">
        <f>F215*20%</f>
        <v/>
      </c>
      <c r="T215" s="5">
        <f>J215-S215</f>
        <v/>
      </c>
      <c r="U215" s="5">
        <f>F215+J215</f>
        <v/>
      </c>
      <c r="V215" s="5">
        <f>O215-U215</f>
        <v/>
      </c>
      <c r="W215" s="5">
        <f>O215-(P215+R215)</f>
        <v/>
      </c>
      <c r="X215" s="5">
        <f>O215-(P215+Q215+R215)</f>
        <v/>
      </c>
    </row>
    <row r="216">
      <c r="A216" s="2" t="inlineStr">
        <is>
          <t>EJ010423.TXT</t>
        </is>
      </c>
      <c r="B216" s="3" t="inlineStr">
        <is>
          <t>004744</t>
        </is>
      </c>
      <c r="C216" s="3" t="inlineStr">
        <is>
          <t>003776</t>
        </is>
      </c>
      <c r="D216" s="4" t="n">
        <v>45003</v>
      </c>
      <c r="E216" s="2" t="inlineStr">
        <is>
          <t>15:06</t>
        </is>
      </c>
      <c r="F216" s="5" t="n">
        <v>473.33</v>
      </c>
      <c r="G216" s="5" t="n"/>
      <c r="H216" s="5" t="n"/>
      <c r="I216" s="5" t="n"/>
      <c r="J216" s="5" t="n">
        <v>94.67</v>
      </c>
      <c r="K216" s="5" t="n"/>
      <c r="L216" s="5" t="n"/>
      <c r="M216" s="5" t="n"/>
      <c r="N216" s="5" t="n"/>
      <c r="O216" s="5" t="n">
        <v>568</v>
      </c>
      <c r="P216" s="5" t="n"/>
      <c r="Q216" s="5" t="n">
        <v>568</v>
      </c>
      <c r="R216" s="5" t="n"/>
      <c r="S216" s="5">
        <f>F216*20%</f>
        <v/>
      </c>
      <c r="T216" s="5">
        <f>J216-S216</f>
        <v/>
      </c>
      <c r="U216" s="5">
        <f>F216+J216</f>
        <v/>
      </c>
      <c r="V216" s="5">
        <f>O216-U216</f>
        <v/>
      </c>
      <c r="W216" s="5">
        <f>O216-(P216+R216)</f>
        <v/>
      </c>
      <c r="X216" s="5">
        <f>O216-(P216+Q216+R216)</f>
        <v/>
      </c>
    </row>
    <row r="217">
      <c r="A217" s="2" t="inlineStr">
        <is>
          <t>EJ010423.TXT</t>
        </is>
      </c>
      <c r="B217" s="3" t="inlineStr">
        <is>
          <t>004745</t>
        </is>
      </c>
      <c r="C217" s="3" t="inlineStr">
        <is>
          <t>003777</t>
        </is>
      </c>
      <c r="D217" s="4" t="n">
        <v>45003</v>
      </c>
      <c r="E217" s="2" t="inlineStr">
        <is>
          <t>15:07</t>
        </is>
      </c>
      <c r="F217" s="5" t="n">
        <v>274.17</v>
      </c>
      <c r="G217" s="5" t="n"/>
      <c r="H217" s="5" t="n"/>
      <c r="I217" s="5" t="n"/>
      <c r="J217" s="5" t="n">
        <v>54.83</v>
      </c>
      <c r="K217" s="5" t="n"/>
      <c r="L217" s="5" t="n"/>
      <c r="M217" s="5" t="n"/>
      <c r="N217" s="5" t="n"/>
      <c r="O217" s="5" t="n">
        <v>329</v>
      </c>
      <c r="P217" s="5" t="n"/>
      <c r="Q217" s="5" t="n">
        <v>329</v>
      </c>
      <c r="R217" s="5" t="n"/>
      <c r="S217" s="5">
        <f>F217*20%</f>
        <v/>
      </c>
      <c r="T217" s="5">
        <f>J217-S217</f>
        <v/>
      </c>
      <c r="U217" s="5">
        <f>F217+J217</f>
        <v/>
      </c>
      <c r="V217" s="5">
        <f>O217-U217</f>
        <v/>
      </c>
      <c r="W217" s="5">
        <f>O217-(P217+R217)</f>
        <v/>
      </c>
      <c r="X217" s="5">
        <f>O217-(P217+Q217+R217)</f>
        <v/>
      </c>
    </row>
    <row r="218">
      <c r="A218" s="2" t="inlineStr">
        <is>
          <t>EJ010423.TXT</t>
        </is>
      </c>
      <c r="B218" s="3" t="inlineStr">
        <is>
          <t>004746</t>
        </is>
      </c>
      <c r="C218" s="3" t="inlineStr">
        <is>
          <t>003778</t>
        </is>
      </c>
      <c r="D218" s="4" t="n">
        <v>45003</v>
      </c>
      <c r="E218" s="2" t="inlineStr">
        <is>
          <t>15:12</t>
        </is>
      </c>
      <c r="F218" s="5" t="n">
        <v>349.17</v>
      </c>
      <c r="G218" s="5" t="n"/>
      <c r="H218" s="5" t="n"/>
      <c r="I218" s="5" t="n"/>
      <c r="J218" s="5" t="n">
        <v>69.83</v>
      </c>
      <c r="K218" s="5" t="n"/>
      <c r="L218" s="5" t="n"/>
      <c r="M218" s="5" t="n"/>
      <c r="N218" s="5" t="n"/>
      <c r="O218" s="5" t="n">
        <v>419</v>
      </c>
      <c r="P218" s="5" t="n"/>
      <c r="Q218" s="5" t="n">
        <v>419</v>
      </c>
      <c r="R218" s="5" t="n"/>
      <c r="S218" s="5">
        <f>F218*20%</f>
        <v/>
      </c>
      <c r="T218" s="5">
        <f>J218-S218</f>
        <v/>
      </c>
      <c r="U218" s="5">
        <f>F218+J218</f>
        <v/>
      </c>
      <c r="V218" s="5">
        <f>O218-U218</f>
        <v/>
      </c>
      <c r="W218" s="5">
        <f>O218-(P218+R218)</f>
        <v/>
      </c>
      <c r="X218" s="5">
        <f>O218-(P218+Q218+R218)</f>
        <v/>
      </c>
    </row>
    <row r="219">
      <c r="A219" s="2" t="inlineStr">
        <is>
          <t>EJ010423.TXT</t>
        </is>
      </c>
      <c r="B219" s="3" t="inlineStr">
        <is>
          <t>004747</t>
        </is>
      </c>
      <c r="C219" s="3" t="inlineStr">
        <is>
          <t>003779</t>
        </is>
      </c>
      <c r="D219" s="4" t="n">
        <v>45003</v>
      </c>
      <c r="E219" s="2" t="inlineStr">
        <is>
          <t>15:15</t>
        </is>
      </c>
      <c r="F219" s="5" t="n">
        <v>208.33</v>
      </c>
      <c r="G219" s="5" t="n"/>
      <c r="H219" s="5" t="n"/>
      <c r="I219" s="5" t="n"/>
      <c r="J219" s="5" t="n">
        <v>41.67</v>
      </c>
      <c r="K219" s="5" t="n"/>
      <c r="L219" s="5" t="n"/>
      <c r="M219" s="5" t="n"/>
      <c r="N219" s="5" t="n"/>
      <c r="O219" s="5" t="n">
        <v>250</v>
      </c>
      <c r="P219" s="5" t="n"/>
      <c r="Q219" s="5" t="n">
        <v>250</v>
      </c>
      <c r="R219" s="5" t="n"/>
      <c r="S219" s="5">
        <f>F219*20%</f>
        <v/>
      </c>
      <c r="T219" s="5">
        <f>J219-S219</f>
        <v/>
      </c>
      <c r="U219" s="5">
        <f>F219+J219</f>
        <v/>
      </c>
      <c r="V219" s="5">
        <f>O219-U219</f>
        <v/>
      </c>
      <c r="W219" s="5">
        <f>O219-(P219+R219)</f>
        <v/>
      </c>
      <c r="X219" s="5">
        <f>O219-(P219+Q219+R219)</f>
        <v/>
      </c>
    </row>
    <row r="220">
      <c r="A220" s="2" t="inlineStr">
        <is>
          <t>EJ010423.TXT</t>
        </is>
      </c>
      <c r="B220" s="3" t="inlineStr">
        <is>
          <t>004748</t>
        </is>
      </c>
      <c r="C220" s="3" t="inlineStr">
        <is>
          <t>003780</t>
        </is>
      </c>
      <c r="D220" s="4" t="n">
        <v>45003</v>
      </c>
      <c r="E220" s="2" t="inlineStr">
        <is>
          <t>17:15</t>
        </is>
      </c>
      <c r="F220" s="5" t="n">
        <v>548.33</v>
      </c>
      <c r="G220" s="5" t="n"/>
      <c r="H220" s="5" t="n"/>
      <c r="I220" s="5" t="n"/>
      <c r="J220" s="5" t="n">
        <v>109.67</v>
      </c>
      <c r="K220" s="5" t="n"/>
      <c r="L220" s="5" t="n"/>
      <c r="M220" s="5" t="n"/>
      <c r="N220" s="5" t="n"/>
      <c r="O220" s="5" t="n">
        <v>658</v>
      </c>
      <c r="P220" s="5" t="n">
        <v>658</v>
      </c>
      <c r="Q220" s="5" t="n"/>
      <c r="R220" s="5" t="n"/>
      <c r="S220" s="5">
        <f>F220*20%</f>
        <v/>
      </c>
      <c r="T220" s="5">
        <f>J220-S220</f>
        <v/>
      </c>
      <c r="U220" s="5">
        <f>F220+J220</f>
        <v/>
      </c>
      <c r="V220" s="5">
        <f>O220-U220</f>
        <v/>
      </c>
      <c r="W220" s="5">
        <f>O220-(P220+R220)</f>
        <v/>
      </c>
      <c r="X220" s="5">
        <f>O220-(P220+Q220+R220)</f>
        <v/>
      </c>
    </row>
    <row r="221">
      <c r="A221" s="2" t="inlineStr">
        <is>
          <t>EJ010423.TXT</t>
        </is>
      </c>
      <c r="B221" s="3" t="inlineStr">
        <is>
          <t>004749</t>
        </is>
      </c>
      <c r="C221" s="3" t="inlineStr">
        <is>
          <t>003781</t>
        </is>
      </c>
      <c r="D221" s="4" t="n">
        <v>45003</v>
      </c>
      <c r="E221" s="2" t="inlineStr">
        <is>
          <t>18:23</t>
        </is>
      </c>
      <c r="F221" s="5" t="n">
        <v>73.33</v>
      </c>
      <c r="G221" s="5" t="n"/>
      <c r="H221" s="5" t="n"/>
      <c r="I221" s="5" t="n"/>
      <c r="J221" s="5" t="n">
        <v>14.67</v>
      </c>
      <c r="K221" s="5" t="n"/>
      <c r="L221" s="5" t="n"/>
      <c r="M221" s="5" t="n"/>
      <c r="N221" s="5" t="n"/>
      <c r="O221" s="5" t="n">
        <v>88</v>
      </c>
      <c r="P221" s="5" t="n">
        <v>88</v>
      </c>
      <c r="Q221" s="5" t="n"/>
      <c r="R221" s="5" t="n"/>
      <c r="S221" s="5">
        <f>F221*20%</f>
        <v/>
      </c>
      <c r="T221" s="5">
        <f>J221-S221</f>
        <v/>
      </c>
      <c r="U221" s="5">
        <f>F221+J221</f>
        <v/>
      </c>
      <c r="V221" s="5">
        <f>O221-U221</f>
        <v/>
      </c>
      <c r="W221" s="5">
        <f>O221-(P221+R221)</f>
        <v/>
      </c>
      <c r="X221" s="5">
        <f>O221-(P221+Q221+R221)</f>
        <v/>
      </c>
    </row>
    <row r="222">
      <c r="A222" s="2" t="inlineStr">
        <is>
          <t>EJ010423.TXT</t>
        </is>
      </c>
      <c r="B222" s="3" t="inlineStr">
        <is>
          <t>004750</t>
        </is>
      </c>
      <c r="C222" s="3" t="inlineStr">
        <is>
          <t>003782</t>
        </is>
      </c>
      <c r="D222" s="4" t="n">
        <v>45005</v>
      </c>
      <c r="E222" s="2" t="inlineStr">
        <is>
          <t>15:26</t>
        </is>
      </c>
      <c r="F222" s="5" t="n">
        <v>666.67</v>
      </c>
      <c r="G222" s="5" t="n"/>
      <c r="H222" s="5" t="n"/>
      <c r="I222" s="5" t="n"/>
      <c r="J222" s="5" t="n">
        <v>133.33</v>
      </c>
      <c r="K222" s="5" t="n"/>
      <c r="L222" s="5" t="n"/>
      <c r="M222" s="5" t="n"/>
      <c r="N222" s="5" t="n"/>
      <c r="O222" s="5" t="n">
        <v>800</v>
      </c>
      <c r="P222" s="5" t="n"/>
      <c r="Q222" s="5" t="n">
        <v>800</v>
      </c>
      <c r="R222" s="5" t="n"/>
      <c r="S222" s="5">
        <f>F222*20%</f>
        <v/>
      </c>
      <c r="T222" s="5">
        <f>J222-S222</f>
        <v/>
      </c>
      <c r="U222" s="5">
        <f>F222+J222</f>
        <v/>
      </c>
      <c r="V222" s="5">
        <f>O222-U222</f>
        <v/>
      </c>
      <c r="W222" s="5">
        <f>O222-(P222+R222)</f>
        <v/>
      </c>
      <c r="X222" s="5">
        <f>O222-(P222+Q222+R222)</f>
        <v/>
      </c>
    </row>
    <row r="223">
      <c r="A223" s="2" t="inlineStr">
        <is>
          <t>EJ010423.TXT</t>
        </is>
      </c>
      <c r="B223" s="3" t="inlineStr">
        <is>
          <t>004751</t>
        </is>
      </c>
      <c r="C223" s="3" t="inlineStr">
        <is>
          <t>003783</t>
        </is>
      </c>
      <c r="D223" s="4" t="n">
        <v>45005</v>
      </c>
      <c r="E223" s="2" t="inlineStr">
        <is>
          <t>15:33</t>
        </is>
      </c>
      <c r="F223" s="5" t="n">
        <v>166.67</v>
      </c>
      <c r="G223" s="5" t="n"/>
      <c r="H223" s="5" t="n"/>
      <c r="I223" s="5" t="n"/>
      <c r="J223" s="5" t="n">
        <v>33.33</v>
      </c>
      <c r="K223" s="5" t="n"/>
      <c r="L223" s="5" t="n"/>
      <c r="M223" s="5" t="n"/>
      <c r="N223" s="5" t="n"/>
      <c r="O223" s="5" t="n">
        <v>200</v>
      </c>
      <c r="P223" s="5" t="n"/>
      <c r="Q223" s="5" t="n">
        <v>200</v>
      </c>
      <c r="R223" s="5" t="n"/>
      <c r="S223" s="5">
        <f>F223*20%</f>
        <v/>
      </c>
      <c r="T223" s="5">
        <f>J223-S223</f>
        <v/>
      </c>
      <c r="U223" s="5">
        <f>F223+J223</f>
        <v/>
      </c>
      <c r="V223" s="5">
        <f>O223-U223</f>
        <v/>
      </c>
      <c r="W223" s="5">
        <f>O223-(P223+R223)</f>
        <v/>
      </c>
      <c r="X223" s="5">
        <f>O223-(P223+Q223+R223)</f>
        <v/>
      </c>
    </row>
    <row r="224">
      <c r="A224" s="2" t="inlineStr">
        <is>
          <t>EJ010423.TXT</t>
        </is>
      </c>
      <c r="B224" s="3" t="inlineStr">
        <is>
          <t>004752</t>
        </is>
      </c>
      <c r="C224" s="3" t="inlineStr">
        <is>
          <t>003784</t>
        </is>
      </c>
      <c r="D224" s="4" t="n">
        <v>45005</v>
      </c>
      <c r="E224" s="2" t="inlineStr">
        <is>
          <t>15:34</t>
        </is>
      </c>
      <c r="F224" s="5" t="n">
        <v>233.33</v>
      </c>
      <c r="G224" s="5" t="n"/>
      <c r="H224" s="5" t="n"/>
      <c r="I224" s="5" t="n"/>
      <c r="J224" s="5" t="n">
        <v>46.67</v>
      </c>
      <c r="K224" s="5" t="n"/>
      <c r="L224" s="5" t="n"/>
      <c r="M224" s="5" t="n"/>
      <c r="N224" s="5" t="n"/>
      <c r="O224" s="5" t="n">
        <v>280</v>
      </c>
      <c r="P224" s="5" t="n"/>
      <c r="Q224" s="5" t="n">
        <v>280</v>
      </c>
      <c r="R224" s="5" t="n"/>
      <c r="S224" s="5">
        <f>F224*20%</f>
        <v/>
      </c>
      <c r="T224" s="5">
        <f>J224-S224</f>
        <v/>
      </c>
      <c r="U224" s="5">
        <f>F224+J224</f>
        <v/>
      </c>
      <c r="V224" s="5">
        <f>O224-U224</f>
        <v/>
      </c>
      <c r="W224" s="5">
        <f>O224-(P224+R224)</f>
        <v/>
      </c>
      <c r="X224" s="5">
        <f>O224-(P224+Q224+R224)</f>
        <v/>
      </c>
    </row>
    <row r="225">
      <c r="A225" s="2" t="inlineStr">
        <is>
          <t>EJ010423.TXT</t>
        </is>
      </c>
      <c r="B225" s="3" t="inlineStr">
        <is>
          <t>004753</t>
        </is>
      </c>
      <c r="C225" s="3" t="inlineStr">
        <is>
          <t>003785</t>
        </is>
      </c>
      <c r="D225" s="4" t="n">
        <v>45006</v>
      </c>
      <c r="E225" s="2" t="inlineStr">
        <is>
          <t>16:56</t>
        </is>
      </c>
      <c r="F225" s="5" t="n">
        <v>381.67</v>
      </c>
      <c r="G225" s="5" t="n"/>
      <c r="H225" s="5" t="n"/>
      <c r="I225" s="5" t="n"/>
      <c r="J225" s="5" t="n">
        <v>76.33</v>
      </c>
      <c r="K225" s="5" t="n"/>
      <c r="L225" s="5" t="n"/>
      <c r="M225" s="5" t="n"/>
      <c r="N225" s="5" t="n"/>
      <c r="O225" s="5" t="n">
        <v>458</v>
      </c>
      <c r="P225" s="5" t="n"/>
      <c r="Q225" s="5" t="n">
        <v>458</v>
      </c>
      <c r="R225" s="5" t="n"/>
      <c r="S225" s="5">
        <f>F225*20%</f>
        <v/>
      </c>
      <c r="T225" s="5">
        <f>J225-S225</f>
        <v/>
      </c>
      <c r="U225" s="5">
        <f>F225+J225</f>
        <v/>
      </c>
      <c r="V225" s="5">
        <f>O225-U225</f>
        <v/>
      </c>
      <c r="W225" s="5">
        <f>O225-(P225+R225)</f>
        <v/>
      </c>
      <c r="X225" s="5">
        <f>O225-(P225+Q225+R225)</f>
        <v/>
      </c>
    </row>
    <row r="226">
      <c r="A226" s="2" t="inlineStr">
        <is>
          <t>EJ010423.TXT</t>
        </is>
      </c>
      <c r="B226" s="3" t="inlineStr">
        <is>
          <t>004754</t>
        </is>
      </c>
      <c r="C226" s="3" t="inlineStr">
        <is>
          <t>003786</t>
        </is>
      </c>
      <c r="D226" s="4" t="n">
        <v>45006</v>
      </c>
      <c r="E226" s="2" t="inlineStr">
        <is>
          <t>17:32</t>
        </is>
      </c>
      <c r="F226" s="5" t="n">
        <v>822.5</v>
      </c>
      <c r="G226" s="5" t="n"/>
      <c r="H226" s="5" t="n"/>
      <c r="I226" s="5" t="n"/>
      <c r="J226" s="5" t="n">
        <v>164.5</v>
      </c>
      <c r="K226" s="5" t="n"/>
      <c r="L226" s="5" t="n"/>
      <c r="M226" s="5" t="n"/>
      <c r="N226" s="5" t="n"/>
      <c r="O226" s="5" t="n">
        <v>987</v>
      </c>
      <c r="P226" s="5" t="n"/>
      <c r="Q226" s="5" t="n">
        <v>987</v>
      </c>
      <c r="R226" s="5" t="n"/>
      <c r="S226" s="5">
        <f>F226*20%</f>
        <v/>
      </c>
      <c r="T226" s="5">
        <f>J226-S226</f>
        <v/>
      </c>
      <c r="U226" s="5">
        <f>F226+J226</f>
        <v/>
      </c>
      <c r="V226" s="5">
        <f>O226-U226</f>
        <v/>
      </c>
      <c r="W226" s="5">
        <f>O226-(P226+R226)</f>
        <v/>
      </c>
      <c r="X226" s="5">
        <f>O226-(P226+Q226+R226)</f>
        <v/>
      </c>
    </row>
    <row r="227">
      <c r="A227" s="2" t="inlineStr">
        <is>
          <t>EJ010423.TXT</t>
        </is>
      </c>
      <c r="B227" s="3" t="inlineStr">
        <is>
          <t>004755</t>
        </is>
      </c>
      <c r="C227" s="3" t="inlineStr">
        <is>
          <t>003787</t>
        </is>
      </c>
      <c r="D227" s="4" t="n">
        <v>45007</v>
      </c>
      <c r="E227" s="2" t="inlineStr">
        <is>
          <t>12:24</t>
        </is>
      </c>
      <c r="F227" s="5" t="n">
        <v>208.33</v>
      </c>
      <c r="G227" s="5" t="n"/>
      <c r="H227" s="5" t="n"/>
      <c r="I227" s="5" t="n"/>
      <c r="J227" s="5" t="n">
        <v>41.67</v>
      </c>
      <c r="K227" s="5" t="n"/>
      <c r="L227" s="5" t="n"/>
      <c r="M227" s="5" t="n"/>
      <c r="N227" s="5" t="n"/>
      <c r="O227" s="5" t="n">
        <v>250</v>
      </c>
      <c r="P227" s="5" t="n"/>
      <c r="Q227" s="5" t="n">
        <v>250</v>
      </c>
      <c r="R227" s="5" t="n"/>
      <c r="S227" s="5">
        <f>F227*20%</f>
        <v/>
      </c>
      <c r="T227" s="5">
        <f>J227-S227</f>
        <v/>
      </c>
      <c r="U227" s="5">
        <f>F227+J227</f>
        <v/>
      </c>
      <c r="V227" s="5">
        <f>O227-U227</f>
        <v/>
      </c>
      <c r="W227" s="5">
        <f>O227-(P227+R227)</f>
        <v/>
      </c>
      <c r="X227" s="5">
        <f>O227-(P227+Q227+R227)</f>
        <v/>
      </c>
    </row>
    <row r="228">
      <c r="A228" s="2" t="inlineStr">
        <is>
          <t>EJ010423.TXT</t>
        </is>
      </c>
      <c r="B228" s="3" t="inlineStr">
        <is>
          <t>004756</t>
        </is>
      </c>
      <c r="C228" s="3" t="inlineStr">
        <is>
          <t>003788</t>
        </is>
      </c>
      <c r="D228" s="4" t="n">
        <v>45009</v>
      </c>
      <c r="E228" s="2" t="inlineStr">
        <is>
          <t>10:49</t>
        </is>
      </c>
      <c r="F228" s="5" t="n">
        <v>548.33</v>
      </c>
      <c r="G228" s="5" t="n"/>
      <c r="H228" s="5" t="n"/>
      <c r="I228" s="5" t="n"/>
      <c r="J228" s="5" t="n">
        <v>109.67</v>
      </c>
      <c r="K228" s="5" t="n"/>
      <c r="L228" s="5" t="n"/>
      <c r="M228" s="5" t="n"/>
      <c r="N228" s="5" t="n"/>
      <c r="O228" s="5" t="n">
        <v>658</v>
      </c>
      <c r="P228" s="5" t="n">
        <v>658</v>
      </c>
      <c r="Q228" s="5" t="n"/>
      <c r="R228" s="5" t="n"/>
      <c r="S228" s="5">
        <f>F228*20%</f>
        <v/>
      </c>
      <c r="T228" s="5">
        <f>J228-S228</f>
        <v/>
      </c>
      <c r="U228" s="5">
        <f>F228+J228</f>
        <v/>
      </c>
      <c r="V228" s="5">
        <f>O228-U228</f>
        <v/>
      </c>
      <c r="W228" s="5">
        <f>O228-(P228+R228)</f>
        <v/>
      </c>
      <c r="X228" s="5">
        <f>O228-(P228+Q228+R228)</f>
        <v/>
      </c>
    </row>
    <row r="229">
      <c r="A229" s="2" t="inlineStr">
        <is>
          <t>EJ010423.TXT</t>
        </is>
      </c>
      <c r="B229" s="3" t="inlineStr">
        <is>
          <t>004757</t>
        </is>
      </c>
      <c r="C229" s="3" t="inlineStr">
        <is>
          <t>003789</t>
        </is>
      </c>
      <c r="D229" s="4" t="n">
        <v>45009</v>
      </c>
      <c r="E229" s="2" t="inlineStr">
        <is>
          <t>18:19</t>
        </is>
      </c>
      <c r="F229" s="5" t="n">
        <v>208.33</v>
      </c>
      <c r="G229" s="5" t="n"/>
      <c r="H229" s="5" t="n"/>
      <c r="I229" s="5" t="n"/>
      <c r="J229" s="5" t="n">
        <v>41.67</v>
      </c>
      <c r="K229" s="5" t="n"/>
      <c r="L229" s="5" t="n"/>
      <c r="M229" s="5" t="n"/>
      <c r="N229" s="5" t="n"/>
      <c r="O229" s="5" t="n">
        <v>250</v>
      </c>
      <c r="P229" s="5" t="n"/>
      <c r="Q229" s="5" t="n">
        <v>250</v>
      </c>
      <c r="R229" s="5" t="n"/>
      <c r="S229" s="5">
        <f>F229*20%</f>
        <v/>
      </c>
      <c r="T229" s="5">
        <f>J229-S229</f>
        <v/>
      </c>
      <c r="U229" s="5">
        <f>F229+J229</f>
        <v/>
      </c>
      <c r="V229" s="5">
        <f>O229-U229</f>
        <v/>
      </c>
      <c r="W229" s="5">
        <f>O229-(P229+R229)</f>
        <v/>
      </c>
      <c r="X229" s="5">
        <f>O229-(P229+Q229+R229)</f>
        <v/>
      </c>
    </row>
    <row r="230">
      <c r="A230" s="2" t="inlineStr">
        <is>
          <t>EJ010423.TXT</t>
        </is>
      </c>
      <c r="B230" s="3" t="inlineStr">
        <is>
          <t>004758</t>
        </is>
      </c>
      <c r="C230" s="3" t="inlineStr">
        <is>
          <t>003790</t>
        </is>
      </c>
      <c r="D230" s="4" t="n">
        <v>45010</v>
      </c>
      <c r="E230" s="2" t="inlineStr">
        <is>
          <t>17:45</t>
        </is>
      </c>
      <c r="F230" s="5" t="n">
        <v>621.67</v>
      </c>
      <c r="G230" s="5" t="n"/>
      <c r="H230" s="5" t="n"/>
      <c r="I230" s="5" t="n"/>
      <c r="J230" s="5" t="n">
        <v>124.33</v>
      </c>
      <c r="K230" s="5" t="n"/>
      <c r="L230" s="5" t="n"/>
      <c r="M230" s="5" t="n"/>
      <c r="N230" s="5" t="n"/>
      <c r="O230" s="5" t="n">
        <v>746</v>
      </c>
      <c r="P230" s="5" t="n">
        <v>746</v>
      </c>
      <c r="Q230" s="5" t="n"/>
      <c r="R230" s="5" t="n"/>
      <c r="S230" s="5">
        <f>F230*20%</f>
        <v/>
      </c>
      <c r="T230" s="5">
        <f>J230-S230</f>
        <v/>
      </c>
      <c r="U230" s="5">
        <f>F230+J230</f>
        <v/>
      </c>
      <c r="V230" s="5">
        <f>O230-U230</f>
        <v/>
      </c>
      <c r="W230" s="5">
        <f>O230-(P230+R230)</f>
        <v/>
      </c>
      <c r="X230" s="5">
        <f>O230-(P230+Q230+R230)</f>
        <v/>
      </c>
    </row>
    <row r="231">
      <c r="A231" s="2" t="inlineStr">
        <is>
          <t>EJ010423.TXT</t>
        </is>
      </c>
      <c r="B231" s="3" t="inlineStr">
        <is>
          <t>004759</t>
        </is>
      </c>
      <c r="C231" s="3" t="inlineStr">
        <is>
          <t>003791</t>
        </is>
      </c>
      <c r="D231" s="4" t="n">
        <v>45012</v>
      </c>
      <c r="E231" s="2" t="inlineStr">
        <is>
          <t>10:05</t>
        </is>
      </c>
      <c r="F231" s="5" t="n">
        <v>531.67</v>
      </c>
      <c r="G231" s="5" t="n"/>
      <c r="H231" s="5" t="n"/>
      <c r="I231" s="5" t="n"/>
      <c r="J231" s="5" t="n">
        <v>106.33</v>
      </c>
      <c r="K231" s="5" t="n"/>
      <c r="L231" s="5" t="n"/>
      <c r="M231" s="5" t="n"/>
      <c r="N231" s="5" t="n"/>
      <c r="O231" s="5" t="n">
        <v>638</v>
      </c>
      <c r="P231" s="5" t="n">
        <v>638</v>
      </c>
      <c r="Q231" s="5" t="n"/>
      <c r="R231" s="5" t="n"/>
      <c r="S231" s="5">
        <f>F231*20%</f>
        <v/>
      </c>
      <c r="T231" s="5">
        <f>J231-S231</f>
        <v/>
      </c>
      <c r="U231" s="5">
        <f>F231+J231</f>
        <v/>
      </c>
      <c r="V231" s="5">
        <f>O231-U231</f>
        <v/>
      </c>
      <c r="W231" s="5">
        <f>O231-(P231+R231)</f>
        <v/>
      </c>
      <c r="X231" s="5">
        <f>O231-(P231+Q231+R231)</f>
        <v/>
      </c>
    </row>
    <row r="232">
      <c r="A232" s="2" t="inlineStr">
        <is>
          <t>EJ010423.TXT</t>
        </is>
      </c>
      <c r="B232" s="3" t="inlineStr">
        <is>
          <t>004760</t>
        </is>
      </c>
      <c r="C232" s="3" t="inlineStr">
        <is>
          <t>003792</t>
        </is>
      </c>
      <c r="D232" s="4" t="n">
        <v>45012</v>
      </c>
      <c r="E232" s="2" t="inlineStr">
        <is>
          <t>14:37</t>
        </is>
      </c>
      <c r="F232" s="5" t="n">
        <v>548.33</v>
      </c>
      <c r="G232" s="5" t="n"/>
      <c r="H232" s="5" t="n"/>
      <c r="I232" s="5" t="n"/>
      <c r="J232" s="5" t="n">
        <v>109.67</v>
      </c>
      <c r="K232" s="5" t="n"/>
      <c r="L232" s="5" t="n"/>
      <c r="M232" s="5" t="n"/>
      <c r="N232" s="5" t="n"/>
      <c r="O232" s="5" t="n">
        <v>658</v>
      </c>
      <c r="P232" s="5" t="n">
        <v>658</v>
      </c>
      <c r="Q232" s="5" t="n"/>
      <c r="R232" s="5" t="n"/>
      <c r="S232" s="5">
        <f>F232*20%</f>
        <v/>
      </c>
      <c r="T232" s="5">
        <f>J232-S232</f>
        <v/>
      </c>
      <c r="U232" s="5">
        <f>F232+J232</f>
        <v/>
      </c>
      <c r="V232" s="5">
        <f>O232-U232</f>
        <v/>
      </c>
      <c r="W232" s="5">
        <f>O232-(P232+R232)</f>
        <v/>
      </c>
      <c r="X232" s="5">
        <f>O232-(P232+Q232+R232)</f>
        <v/>
      </c>
    </row>
    <row r="233">
      <c r="A233" s="2" t="inlineStr">
        <is>
          <t>EJ010423.TXT</t>
        </is>
      </c>
      <c r="B233" s="3" t="inlineStr">
        <is>
          <t>004761</t>
        </is>
      </c>
      <c r="C233" s="3" t="inlineStr">
        <is>
          <t>003793</t>
        </is>
      </c>
      <c r="D233" s="4" t="n">
        <v>45012</v>
      </c>
      <c r="E233" s="2" t="inlineStr">
        <is>
          <t>14:57</t>
        </is>
      </c>
      <c r="F233" s="5" t="n">
        <v>274.17</v>
      </c>
      <c r="G233" s="5" t="n"/>
      <c r="H233" s="5" t="n"/>
      <c r="I233" s="5" t="n"/>
      <c r="J233" s="5" t="n">
        <v>54.83</v>
      </c>
      <c r="K233" s="5" t="n"/>
      <c r="L233" s="5" t="n"/>
      <c r="M233" s="5" t="n"/>
      <c r="N233" s="5" t="n"/>
      <c r="O233" s="5" t="n">
        <v>329</v>
      </c>
      <c r="P233" s="5" t="n"/>
      <c r="Q233" s="5" t="n">
        <v>329</v>
      </c>
      <c r="R233" s="5" t="n"/>
      <c r="S233" s="5">
        <f>F233*20%</f>
        <v/>
      </c>
      <c r="T233" s="5">
        <f>J233-S233</f>
        <v/>
      </c>
      <c r="U233" s="5">
        <f>F233+J233</f>
        <v/>
      </c>
      <c r="V233" s="5">
        <f>O233-U233</f>
        <v/>
      </c>
      <c r="W233" s="5">
        <f>O233-(P233+R233)</f>
        <v/>
      </c>
      <c r="X233" s="5">
        <f>O233-(P233+Q233+R233)</f>
        <v/>
      </c>
    </row>
    <row r="234">
      <c r="A234" s="2" t="inlineStr">
        <is>
          <t>EJ010423.TXT</t>
        </is>
      </c>
      <c r="B234" s="3" t="inlineStr">
        <is>
          <t>004762</t>
        </is>
      </c>
      <c r="C234" s="3" t="inlineStr">
        <is>
          <t>003794</t>
        </is>
      </c>
      <c r="D234" s="4" t="n">
        <v>45013</v>
      </c>
      <c r="E234" s="2" t="inlineStr">
        <is>
          <t>09:09</t>
        </is>
      </c>
      <c r="F234" s="5" t="n">
        <v>822.5</v>
      </c>
      <c r="G234" s="5" t="n"/>
      <c r="H234" s="5" t="n"/>
      <c r="I234" s="5" t="n"/>
      <c r="J234" s="5" t="n">
        <v>164.5</v>
      </c>
      <c r="K234" s="5" t="n"/>
      <c r="L234" s="5" t="n"/>
      <c r="M234" s="5" t="n"/>
      <c r="N234" s="5" t="n"/>
      <c r="O234" s="5" t="n">
        <v>987</v>
      </c>
      <c r="P234" s="5" t="n"/>
      <c r="Q234" s="5" t="n">
        <v>987</v>
      </c>
      <c r="R234" s="5" t="n"/>
      <c r="S234" s="5">
        <f>F234*20%</f>
        <v/>
      </c>
      <c r="T234" s="5">
        <f>J234-S234</f>
        <v/>
      </c>
      <c r="U234" s="5">
        <f>F234+J234</f>
        <v/>
      </c>
      <c r="V234" s="5">
        <f>O234-U234</f>
        <v/>
      </c>
      <c r="W234" s="5">
        <f>O234-(P234+R234)</f>
        <v/>
      </c>
      <c r="X234" s="5">
        <f>O234-(P234+Q234+R234)</f>
        <v/>
      </c>
    </row>
    <row r="235">
      <c r="A235" s="2" t="inlineStr">
        <is>
          <t>EJ010423.TXT</t>
        </is>
      </c>
      <c r="B235" s="3" t="inlineStr">
        <is>
          <t>004763</t>
        </is>
      </c>
      <c r="C235" s="3" t="inlineStr">
        <is>
          <t>003795</t>
        </is>
      </c>
      <c r="D235" s="4" t="n">
        <v>45013</v>
      </c>
      <c r="E235" s="2" t="inlineStr">
        <is>
          <t>12:12</t>
        </is>
      </c>
      <c r="F235" s="5" t="n">
        <v>797.5</v>
      </c>
      <c r="G235" s="5" t="n"/>
      <c r="H235" s="5" t="n"/>
      <c r="I235" s="5" t="n"/>
      <c r="J235" s="5" t="n">
        <v>159.5</v>
      </c>
      <c r="K235" s="5" t="n"/>
      <c r="L235" s="5" t="n"/>
      <c r="M235" s="5" t="n"/>
      <c r="N235" s="5" t="n"/>
      <c r="O235" s="5" t="n">
        <v>957</v>
      </c>
      <c r="P235" s="5" t="n"/>
      <c r="Q235" s="5" t="n">
        <v>957</v>
      </c>
      <c r="R235" s="5" t="n"/>
      <c r="S235" s="5">
        <f>F235*20%</f>
        <v/>
      </c>
      <c r="T235" s="5">
        <f>J235-S235</f>
        <v/>
      </c>
      <c r="U235" s="5">
        <f>F235+J235</f>
        <v/>
      </c>
      <c r="V235" s="5">
        <f>O235-U235</f>
        <v/>
      </c>
      <c r="W235" s="5">
        <f>O235-(P235+R235)</f>
        <v/>
      </c>
      <c r="X235" s="5">
        <f>O235-(P235+Q235+R235)</f>
        <v/>
      </c>
    </row>
    <row r="236">
      <c r="A236" s="2" t="inlineStr">
        <is>
          <t>EJ010423.TXT</t>
        </is>
      </c>
      <c r="B236" s="3" t="inlineStr">
        <is>
          <t>004764</t>
        </is>
      </c>
      <c r="C236" s="3" t="inlineStr">
        <is>
          <t>003796</t>
        </is>
      </c>
      <c r="D236" s="4" t="n">
        <v>45013</v>
      </c>
      <c r="E236" s="2" t="inlineStr">
        <is>
          <t>12:13</t>
        </is>
      </c>
      <c r="F236" s="5" t="n">
        <v>797.5</v>
      </c>
      <c r="G236" s="5" t="n"/>
      <c r="H236" s="5" t="n"/>
      <c r="I236" s="5" t="n"/>
      <c r="J236" s="5" t="n">
        <v>159.5</v>
      </c>
      <c r="K236" s="5" t="n"/>
      <c r="L236" s="5" t="n"/>
      <c r="M236" s="5" t="n"/>
      <c r="N236" s="5" t="n"/>
      <c r="O236" s="5" t="n">
        <v>957</v>
      </c>
      <c r="P236" s="5" t="n"/>
      <c r="Q236" s="5" t="n">
        <v>957</v>
      </c>
      <c r="R236" s="5" t="n"/>
      <c r="S236" s="5">
        <f>F236*20%</f>
        <v/>
      </c>
      <c r="T236" s="5">
        <f>J236-S236</f>
        <v/>
      </c>
      <c r="U236" s="5">
        <f>F236+J236</f>
        <v/>
      </c>
      <c r="V236" s="5">
        <f>O236-U236</f>
        <v/>
      </c>
      <c r="W236" s="5">
        <f>O236-(P236+R236)</f>
        <v/>
      </c>
      <c r="X236" s="5">
        <f>O236-(P236+Q236+R236)</f>
        <v/>
      </c>
    </row>
    <row r="237">
      <c r="A237" s="2" t="inlineStr">
        <is>
          <t>EJ010423.TXT</t>
        </is>
      </c>
      <c r="B237" s="3" t="inlineStr">
        <is>
          <t>004765</t>
        </is>
      </c>
      <c r="C237" s="3" t="inlineStr">
        <is>
          <t>003797</t>
        </is>
      </c>
      <c r="D237" s="4" t="n">
        <v>45014</v>
      </c>
      <c r="E237" s="2" t="inlineStr">
        <is>
          <t>10:57</t>
        </is>
      </c>
      <c r="F237" s="5" t="n">
        <v>175</v>
      </c>
      <c r="G237" s="5" t="n"/>
      <c r="H237" s="5" t="n"/>
      <c r="I237" s="5" t="n"/>
      <c r="J237" s="5" t="n">
        <v>35</v>
      </c>
      <c r="K237" s="5" t="n"/>
      <c r="L237" s="5" t="n"/>
      <c r="M237" s="5" t="n"/>
      <c r="N237" s="5" t="n"/>
      <c r="O237" s="5" t="n">
        <v>210</v>
      </c>
      <c r="P237" s="5" t="n">
        <v>210</v>
      </c>
      <c r="Q237" s="5" t="n"/>
      <c r="R237" s="5" t="n"/>
      <c r="S237" s="5">
        <f>F237*20%</f>
        <v/>
      </c>
      <c r="T237" s="5">
        <f>J237-S237</f>
        <v/>
      </c>
      <c r="U237" s="5">
        <f>F237+J237</f>
        <v/>
      </c>
      <c r="V237" s="5">
        <f>O237-U237</f>
        <v/>
      </c>
      <c r="W237" s="5">
        <f>O237-(P237+R237)</f>
        <v/>
      </c>
      <c r="X237" s="5">
        <f>O237-(P237+Q237+R237)</f>
        <v/>
      </c>
    </row>
    <row r="238">
      <c r="A238" s="2" t="inlineStr">
        <is>
          <t>EJ010423.TXT</t>
        </is>
      </c>
      <c r="B238" s="3" t="inlineStr">
        <is>
          <t>004766</t>
        </is>
      </c>
      <c r="C238" s="3" t="inlineStr">
        <is>
          <t>003798</t>
        </is>
      </c>
      <c r="D238" s="4" t="n">
        <v>45014</v>
      </c>
      <c r="E238" s="2" t="inlineStr">
        <is>
          <t>13:58</t>
        </is>
      </c>
      <c r="F238" s="5" t="n">
        <v>274.17</v>
      </c>
      <c r="G238" s="5" t="n"/>
      <c r="H238" s="5" t="n"/>
      <c r="I238" s="5" t="n"/>
      <c r="J238" s="5" t="n">
        <v>54.83</v>
      </c>
      <c r="K238" s="5" t="n"/>
      <c r="L238" s="5" t="n"/>
      <c r="M238" s="5" t="n"/>
      <c r="N238" s="5" t="n"/>
      <c r="O238" s="5" t="n">
        <v>329</v>
      </c>
      <c r="P238" s="5" t="n">
        <v>329</v>
      </c>
      <c r="Q238" s="5" t="n"/>
      <c r="R238" s="5" t="n"/>
      <c r="S238" s="5">
        <f>F238*20%</f>
        <v/>
      </c>
      <c r="T238" s="5">
        <f>J238-S238</f>
        <v/>
      </c>
      <c r="U238" s="5">
        <f>F238+J238</f>
        <v/>
      </c>
      <c r="V238" s="5">
        <f>O238-U238</f>
        <v/>
      </c>
      <c r="W238" s="5">
        <f>O238-(P238+R238)</f>
        <v/>
      </c>
      <c r="X238" s="5">
        <f>O238-(P238+Q238+R238)</f>
        <v/>
      </c>
    </row>
    <row r="239">
      <c r="A239" s="2" t="inlineStr">
        <is>
          <t>EJ010423.TXT</t>
        </is>
      </c>
      <c r="B239" s="3" t="inlineStr">
        <is>
          <t>004767</t>
        </is>
      </c>
      <c r="C239" s="3" t="inlineStr">
        <is>
          <t>003799</t>
        </is>
      </c>
      <c r="D239" s="4" t="n">
        <v>45014</v>
      </c>
      <c r="E239" s="2" t="inlineStr">
        <is>
          <t>14:16</t>
        </is>
      </c>
      <c r="F239" s="5" t="n">
        <v>822.5</v>
      </c>
      <c r="G239" s="5" t="n"/>
      <c r="H239" s="5" t="n"/>
      <c r="I239" s="5" t="n"/>
      <c r="J239" s="5" t="n">
        <v>164.5</v>
      </c>
      <c r="K239" s="5" t="n"/>
      <c r="L239" s="5" t="n"/>
      <c r="M239" s="5" t="n"/>
      <c r="N239" s="5" t="n"/>
      <c r="O239" s="5" t="n">
        <v>987</v>
      </c>
      <c r="P239" s="5" t="n"/>
      <c r="Q239" s="5" t="n">
        <v>987</v>
      </c>
      <c r="R239" s="5" t="n"/>
      <c r="S239" s="5">
        <f>F239*20%</f>
        <v/>
      </c>
      <c r="T239" s="5">
        <f>J239-S239</f>
        <v/>
      </c>
      <c r="U239" s="5">
        <f>F239+J239</f>
        <v/>
      </c>
      <c r="V239" s="5">
        <f>O239-U239</f>
        <v/>
      </c>
      <c r="W239" s="5">
        <f>O239-(P239+R239)</f>
        <v/>
      </c>
      <c r="X239" s="5">
        <f>O239-(P239+Q239+R239)</f>
        <v/>
      </c>
    </row>
    <row r="240">
      <c r="A240" s="2" t="inlineStr">
        <is>
          <t>EJ010423.TXT</t>
        </is>
      </c>
      <c r="B240" s="3" t="inlineStr">
        <is>
          <t>004768</t>
        </is>
      </c>
      <c r="C240" s="3" t="inlineStr">
        <is>
          <t>003800</t>
        </is>
      </c>
      <c r="D240" s="4" t="n">
        <v>45014</v>
      </c>
      <c r="E240" s="2" t="inlineStr">
        <is>
          <t>14:23</t>
        </is>
      </c>
      <c r="F240" s="5" t="n">
        <v>797.5</v>
      </c>
      <c r="G240" s="5" t="n"/>
      <c r="H240" s="5" t="n"/>
      <c r="I240" s="5" t="n"/>
      <c r="J240" s="5" t="n">
        <v>159.5</v>
      </c>
      <c r="K240" s="5" t="n"/>
      <c r="L240" s="5" t="n"/>
      <c r="M240" s="5" t="n"/>
      <c r="N240" s="5" t="n"/>
      <c r="O240" s="5" t="n">
        <v>957</v>
      </c>
      <c r="P240" s="5" t="n"/>
      <c r="Q240" s="5" t="n">
        <v>957</v>
      </c>
      <c r="R240" s="5" t="n"/>
      <c r="S240" s="5">
        <f>F240*20%</f>
        <v/>
      </c>
      <c r="T240" s="5">
        <f>J240-S240</f>
        <v/>
      </c>
      <c r="U240" s="5">
        <f>F240+J240</f>
        <v/>
      </c>
      <c r="V240" s="5">
        <f>O240-U240</f>
        <v/>
      </c>
      <c r="W240" s="5">
        <f>O240-(P240+R240)</f>
        <v/>
      </c>
      <c r="X240" s="5">
        <f>O240-(P240+Q240+R240)</f>
        <v/>
      </c>
    </row>
    <row r="241">
      <c r="A241" s="2" t="inlineStr">
        <is>
          <t>EJ010423.TXT</t>
        </is>
      </c>
      <c r="B241" s="3" t="inlineStr">
        <is>
          <t>004769</t>
        </is>
      </c>
      <c r="C241" s="3" t="inlineStr">
        <is>
          <t>003801</t>
        </is>
      </c>
      <c r="D241" s="4" t="n">
        <v>45014</v>
      </c>
      <c r="E241" s="2" t="inlineStr">
        <is>
          <t>14:29</t>
        </is>
      </c>
      <c r="F241" s="5" t="n">
        <v>797.5</v>
      </c>
      <c r="G241" s="5" t="n"/>
      <c r="H241" s="5" t="n"/>
      <c r="I241" s="5" t="n"/>
      <c r="J241" s="5" t="n">
        <v>159.5</v>
      </c>
      <c r="K241" s="5" t="n"/>
      <c r="L241" s="5" t="n"/>
      <c r="M241" s="5" t="n"/>
      <c r="N241" s="5" t="n"/>
      <c r="O241" s="5" t="n">
        <v>957</v>
      </c>
      <c r="P241" s="5" t="n"/>
      <c r="Q241" s="5" t="n">
        <v>957</v>
      </c>
      <c r="R241" s="5" t="n"/>
      <c r="S241" s="5">
        <f>F241*20%</f>
        <v/>
      </c>
      <c r="T241" s="5">
        <f>J241-S241</f>
        <v/>
      </c>
      <c r="U241" s="5">
        <f>F241+J241</f>
        <v/>
      </c>
      <c r="V241" s="5">
        <f>O241-U241</f>
        <v/>
      </c>
      <c r="W241" s="5">
        <f>O241-(P241+R241)</f>
        <v/>
      </c>
      <c r="X241" s="5">
        <f>O241-(P241+Q241+R241)</f>
        <v/>
      </c>
    </row>
    <row r="242">
      <c r="A242" s="2" t="inlineStr">
        <is>
          <t>EJ010423.TXT</t>
        </is>
      </c>
      <c r="B242" s="3" t="inlineStr">
        <is>
          <t>004770</t>
        </is>
      </c>
      <c r="C242" s="3" t="inlineStr">
        <is>
          <t>003802</t>
        </is>
      </c>
      <c r="D242" s="4" t="n">
        <v>45015</v>
      </c>
      <c r="E242" s="2" t="inlineStr">
        <is>
          <t>11:08</t>
        </is>
      </c>
      <c r="F242" s="5" t="n">
        <v>797.5</v>
      </c>
      <c r="G242" s="5" t="n"/>
      <c r="H242" s="5" t="n"/>
      <c r="I242" s="5" t="n"/>
      <c r="J242" s="5" t="n">
        <v>159.5</v>
      </c>
      <c r="K242" s="5" t="n"/>
      <c r="L242" s="5" t="n"/>
      <c r="M242" s="5" t="n"/>
      <c r="N242" s="5" t="n"/>
      <c r="O242" s="5" t="n">
        <v>957</v>
      </c>
      <c r="P242" s="5" t="n"/>
      <c r="Q242" s="5" t="n">
        <v>957</v>
      </c>
      <c r="R242" s="5" t="n"/>
      <c r="S242" s="5">
        <f>F242*20%</f>
        <v/>
      </c>
      <c r="T242" s="5">
        <f>J242-S242</f>
        <v/>
      </c>
      <c r="U242" s="5">
        <f>F242+J242</f>
        <v/>
      </c>
      <c r="V242" s="5">
        <f>O242-U242</f>
        <v/>
      </c>
      <c r="W242" s="5">
        <f>O242-(P242+R242)</f>
        <v/>
      </c>
      <c r="X242" s="5">
        <f>O242-(P242+Q242+R242)</f>
        <v/>
      </c>
    </row>
    <row r="243">
      <c r="A243" s="2" t="inlineStr">
        <is>
          <t>EJ010423.TXT</t>
        </is>
      </c>
      <c r="B243" s="3" t="inlineStr">
        <is>
          <t>004771</t>
        </is>
      </c>
      <c r="C243" s="3" t="inlineStr">
        <is>
          <t>003803</t>
        </is>
      </c>
      <c r="D243" s="4" t="n">
        <v>45016</v>
      </c>
      <c r="E243" s="2" t="inlineStr">
        <is>
          <t>09:47</t>
        </is>
      </c>
      <c r="F243" s="5" t="n">
        <v>797.5</v>
      </c>
      <c r="G243" s="5" t="n"/>
      <c r="H243" s="5" t="n"/>
      <c r="I243" s="5" t="n"/>
      <c r="J243" s="5" t="n">
        <v>159.5</v>
      </c>
      <c r="K243" s="5" t="n"/>
      <c r="L243" s="5" t="n"/>
      <c r="M243" s="5" t="n"/>
      <c r="N243" s="5" t="n"/>
      <c r="O243" s="5" t="n">
        <v>957</v>
      </c>
      <c r="P243" s="5" t="n"/>
      <c r="Q243" s="5" t="n">
        <v>957</v>
      </c>
      <c r="R243" s="5" t="n"/>
      <c r="S243" s="5">
        <f>F243*20%</f>
        <v/>
      </c>
      <c r="T243" s="5">
        <f>J243-S243</f>
        <v/>
      </c>
      <c r="U243" s="5">
        <f>F243+J243</f>
        <v/>
      </c>
      <c r="V243" s="5">
        <f>O243-U243</f>
        <v/>
      </c>
      <c r="W243" s="5">
        <f>O243-(P243+R243)</f>
        <v/>
      </c>
      <c r="X243" s="5">
        <f>O243-(P243+Q243+R243)</f>
        <v/>
      </c>
    </row>
    <row r="244">
      <c r="A244" s="2" t="inlineStr">
        <is>
          <t>EJ010423.TXT</t>
        </is>
      </c>
      <c r="B244" s="3" t="inlineStr">
        <is>
          <t>004772</t>
        </is>
      </c>
      <c r="C244" s="3" t="inlineStr">
        <is>
          <t>003804</t>
        </is>
      </c>
      <c r="D244" s="4" t="n">
        <v>45016</v>
      </c>
      <c r="E244" s="2" t="inlineStr">
        <is>
          <t>14:26</t>
        </is>
      </c>
      <c r="F244" s="5" t="n">
        <v>797.5</v>
      </c>
      <c r="G244" s="5" t="n"/>
      <c r="H244" s="5" t="n"/>
      <c r="I244" s="5" t="n"/>
      <c r="J244" s="5" t="n">
        <v>159.5</v>
      </c>
      <c r="K244" s="5" t="n"/>
      <c r="L244" s="5" t="n"/>
      <c r="M244" s="5" t="n"/>
      <c r="N244" s="5" t="n"/>
      <c r="O244" s="5" t="n">
        <v>957</v>
      </c>
      <c r="P244" s="5" t="n"/>
      <c r="Q244" s="5" t="n">
        <v>957</v>
      </c>
      <c r="R244" s="5" t="n"/>
      <c r="S244" s="5">
        <f>F244*20%</f>
        <v/>
      </c>
      <c r="T244" s="5">
        <f>J244-S244</f>
        <v/>
      </c>
      <c r="U244" s="5">
        <f>F244+J244</f>
        <v/>
      </c>
      <c r="V244" s="5">
        <f>O244-U244</f>
        <v/>
      </c>
      <c r="W244" s="5">
        <f>O244-(P244+R244)</f>
        <v/>
      </c>
      <c r="X244" s="5">
        <f>O244-(P244+Q244+R244)</f>
        <v/>
      </c>
    </row>
    <row r="245">
      <c r="A245" s="2" t="inlineStr">
        <is>
          <t>EJ010423.TXT</t>
        </is>
      </c>
      <c r="B245" s="3" t="inlineStr">
        <is>
          <t>004773</t>
        </is>
      </c>
      <c r="C245" s="3" t="inlineStr">
        <is>
          <t>003805</t>
        </is>
      </c>
      <c r="D245" s="4" t="n">
        <v>45016</v>
      </c>
      <c r="E245" s="2" t="inlineStr">
        <is>
          <t>14:33</t>
        </is>
      </c>
      <c r="F245" s="5" t="n">
        <v>131.67</v>
      </c>
      <c r="G245" s="5" t="n"/>
      <c r="H245" s="5" t="n"/>
      <c r="I245" s="5" t="n"/>
      <c r="J245" s="5" t="n">
        <v>26.33</v>
      </c>
      <c r="K245" s="5" t="n"/>
      <c r="L245" s="5" t="n"/>
      <c r="M245" s="5" t="n"/>
      <c r="N245" s="5" t="n"/>
      <c r="O245" s="5" t="n">
        <v>158</v>
      </c>
      <c r="P245" s="5" t="n"/>
      <c r="Q245" s="5" t="n">
        <v>158</v>
      </c>
      <c r="R245" s="5" t="n"/>
      <c r="S245" s="5">
        <f>F245*20%</f>
        <v/>
      </c>
      <c r="T245" s="5">
        <f>J245-S245</f>
        <v/>
      </c>
      <c r="U245" s="5">
        <f>F245+J245</f>
        <v/>
      </c>
      <c r="V245" s="5">
        <f>O245-U245</f>
        <v/>
      </c>
      <c r="W245" s="5">
        <f>O245-(P245+R245)</f>
        <v/>
      </c>
      <c r="X245" s="5">
        <f>O245-(P245+Q245+R245)</f>
        <v/>
      </c>
    </row>
    <row r="246">
      <c r="A246" s="2" t="inlineStr">
        <is>
          <t>EJ010423.TXT</t>
        </is>
      </c>
      <c r="B246" s="3" t="inlineStr">
        <is>
          <t>004774</t>
        </is>
      </c>
      <c r="C246" s="3" t="inlineStr">
        <is>
          <t>003806</t>
        </is>
      </c>
      <c r="D246" s="4" t="n">
        <v>45016</v>
      </c>
      <c r="E246" s="2" t="inlineStr">
        <is>
          <t>16:28</t>
        </is>
      </c>
      <c r="F246" s="5" t="n">
        <v>83.33</v>
      </c>
      <c r="G246" s="5" t="n"/>
      <c r="H246" s="5" t="n"/>
      <c r="I246" s="5" t="n"/>
      <c r="J246" s="5" t="n">
        <v>16.67</v>
      </c>
      <c r="K246" s="5" t="n"/>
      <c r="L246" s="5" t="n"/>
      <c r="M246" s="5" t="n"/>
      <c r="N246" s="5" t="n"/>
      <c r="O246" s="5" t="n">
        <v>100</v>
      </c>
      <c r="P246" s="5" t="n">
        <v>100</v>
      </c>
      <c r="Q246" s="5" t="n"/>
      <c r="R246" s="5" t="n"/>
      <c r="S246" s="5">
        <f>F246*20%</f>
        <v/>
      </c>
      <c r="T246" s="5">
        <f>J246-S246</f>
        <v/>
      </c>
      <c r="U246" s="5">
        <f>F246+J246</f>
        <v/>
      </c>
      <c r="V246" s="5">
        <f>O246-U246</f>
        <v/>
      </c>
      <c r="W246" s="5">
        <f>O246-(P246+R246)</f>
        <v/>
      </c>
      <c r="X246" s="5">
        <f>O246-(P246+Q246+R246)</f>
        <v/>
      </c>
    </row>
    <row r="247">
      <c r="A247" s="2" t="inlineStr">
        <is>
          <t>EJ010423.TXT</t>
        </is>
      </c>
      <c r="B247" s="3" t="inlineStr">
        <is>
          <t>004775</t>
        </is>
      </c>
      <c r="C247" s="3" t="inlineStr">
        <is>
          <t>003807</t>
        </is>
      </c>
      <c r="D247" s="4" t="n">
        <v>45016</v>
      </c>
      <c r="E247" s="2" t="inlineStr">
        <is>
          <t>16:28</t>
        </is>
      </c>
      <c r="F247" s="5" t="n">
        <v>15</v>
      </c>
      <c r="G247" s="5" t="n"/>
      <c r="H247" s="5" t="n"/>
      <c r="I247" s="5" t="n"/>
      <c r="J247" s="5" t="n">
        <v>3</v>
      </c>
      <c r="K247" s="5" t="n"/>
      <c r="L247" s="5" t="n"/>
      <c r="M247" s="5" t="n"/>
      <c r="N247" s="5" t="n"/>
      <c r="O247" s="5" t="n">
        <v>18</v>
      </c>
      <c r="P247" s="5" t="n"/>
      <c r="Q247" s="5" t="n">
        <v>18</v>
      </c>
      <c r="R247" s="5" t="n"/>
      <c r="S247" s="5">
        <f>F247*20%</f>
        <v/>
      </c>
      <c r="T247" s="5">
        <f>J247-S247</f>
        <v/>
      </c>
      <c r="U247" s="5">
        <f>F247+J247</f>
        <v/>
      </c>
      <c r="V247" s="5">
        <f>O247-U247</f>
        <v/>
      </c>
      <c r="W247" s="5">
        <f>O247-(P247+R247)</f>
        <v/>
      </c>
      <c r="X247" s="5">
        <f>O247-(P247+Q247+R247)</f>
        <v/>
      </c>
    </row>
    <row r="248">
      <c r="A248" s="2" t="inlineStr">
        <is>
          <t>EJ020523.TXT</t>
        </is>
      </c>
      <c r="B248" s="3" t="inlineStr">
        <is>
          <t>004783</t>
        </is>
      </c>
      <c r="C248" s="3" t="inlineStr">
        <is>
          <t>003808</t>
        </is>
      </c>
      <c r="D248" s="4" t="n">
        <v>45017</v>
      </c>
      <c r="E248" s="2" t="inlineStr">
        <is>
          <t>14:46</t>
        </is>
      </c>
      <c r="F248" s="5" t="n">
        <v>190.83</v>
      </c>
      <c r="G248" s="5" t="n"/>
      <c r="H248" s="5" t="n"/>
      <c r="I248" s="5" t="n"/>
      <c r="J248" s="5" t="n">
        <v>38.17</v>
      </c>
      <c r="K248" s="5" t="n"/>
      <c r="L248" s="5" t="n"/>
      <c r="M248" s="5" t="n"/>
      <c r="N248" s="5" t="n"/>
      <c r="O248" s="5" t="n">
        <v>229</v>
      </c>
      <c r="P248" s="5" t="n">
        <v>229</v>
      </c>
      <c r="Q248" s="5" t="n"/>
      <c r="R248" s="5" t="n"/>
      <c r="S248" s="5">
        <f>F248*20%</f>
        <v/>
      </c>
      <c r="T248" s="5">
        <f>J248-S248</f>
        <v/>
      </c>
      <c r="U248" s="5">
        <f>F248+J248</f>
        <v/>
      </c>
      <c r="V248" s="5">
        <f>O248-U248</f>
        <v/>
      </c>
      <c r="W248" s="5">
        <f>O248-(P248+R248)</f>
        <v/>
      </c>
      <c r="X248" s="5">
        <f>O248-(P248+Q248+R248)</f>
        <v/>
      </c>
    </row>
    <row r="249">
      <c r="A249" s="2" t="inlineStr">
        <is>
          <t>EJ020523.TXT</t>
        </is>
      </c>
      <c r="B249" s="3" t="inlineStr">
        <is>
          <t>004784</t>
        </is>
      </c>
      <c r="C249" s="3" t="inlineStr">
        <is>
          <t>003809</t>
        </is>
      </c>
      <c r="D249" s="4" t="n">
        <v>45019</v>
      </c>
      <c r="E249" s="2" t="inlineStr">
        <is>
          <t>14:30</t>
        </is>
      </c>
      <c r="F249" s="5" t="n">
        <v>797.5</v>
      </c>
      <c r="G249" s="5" t="n"/>
      <c r="H249" s="5" t="n"/>
      <c r="I249" s="5" t="n"/>
      <c r="J249" s="5" t="n">
        <v>159.5</v>
      </c>
      <c r="K249" s="5" t="n"/>
      <c r="L249" s="5" t="n"/>
      <c r="M249" s="5" t="n"/>
      <c r="N249" s="5" t="n"/>
      <c r="O249" s="5" t="n">
        <v>957</v>
      </c>
      <c r="P249" s="5" t="n"/>
      <c r="Q249" s="5" t="n">
        <v>957</v>
      </c>
      <c r="R249" s="5" t="n"/>
      <c r="S249" s="5">
        <f>F249*20%</f>
        <v/>
      </c>
      <c r="T249" s="5">
        <f>J249-S249</f>
        <v/>
      </c>
      <c r="U249" s="5">
        <f>F249+J249</f>
        <v/>
      </c>
      <c r="V249" s="5">
        <f>O249-U249</f>
        <v/>
      </c>
      <c r="W249" s="5">
        <f>O249-(P249+R249)</f>
        <v/>
      </c>
      <c r="X249" s="5">
        <f>O249-(P249+Q249+R249)</f>
        <v/>
      </c>
    </row>
    <row r="250">
      <c r="A250" s="2" t="inlineStr">
        <is>
          <t>EJ020523.TXT</t>
        </is>
      </c>
      <c r="B250" s="3" t="inlineStr">
        <is>
          <t>004785</t>
        </is>
      </c>
      <c r="C250" s="3" t="inlineStr">
        <is>
          <t>003810</t>
        </is>
      </c>
      <c r="D250" s="4" t="n">
        <v>45019</v>
      </c>
      <c r="E250" s="2" t="inlineStr">
        <is>
          <t>14:30</t>
        </is>
      </c>
      <c r="F250" s="5" t="n">
        <v>797.5</v>
      </c>
      <c r="G250" s="5" t="n"/>
      <c r="H250" s="5" t="n"/>
      <c r="I250" s="5" t="n"/>
      <c r="J250" s="5" t="n">
        <v>159.5</v>
      </c>
      <c r="K250" s="5" t="n"/>
      <c r="L250" s="5" t="n"/>
      <c r="M250" s="5" t="n"/>
      <c r="N250" s="5" t="n"/>
      <c r="O250" s="5" t="n">
        <v>957</v>
      </c>
      <c r="P250" s="5" t="n"/>
      <c r="Q250" s="5" t="n">
        <v>957</v>
      </c>
      <c r="R250" s="5" t="n"/>
      <c r="S250" s="5">
        <f>F250*20%</f>
        <v/>
      </c>
      <c r="T250" s="5">
        <f>J250-S250</f>
        <v/>
      </c>
      <c r="U250" s="5">
        <f>F250+J250</f>
        <v/>
      </c>
      <c r="V250" s="5">
        <f>O250-U250</f>
        <v/>
      </c>
      <c r="W250" s="5">
        <f>O250-(P250+R250)</f>
        <v/>
      </c>
      <c r="X250" s="5">
        <f>O250-(P250+Q250+R250)</f>
        <v/>
      </c>
    </row>
    <row r="251">
      <c r="A251" s="2" t="inlineStr">
        <is>
          <t>EJ020523.TXT</t>
        </is>
      </c>
      <c r="B251" s="3" t="inlineStr">
        <is>
          <t>004786</t>
        </is>
      </c>
      <c r="C251" s="3" t="inlineStr">
        <is>
          <t>003811</t>
        </is>
      </c>
      <c r="D251" s="4" t="n">
        <v>45019</v>
      </c>
      <c r="E251" s="2" t="inlineStr">
        <is>
          <t>17:35</t>
        </is>
      </c>
      <c r="F251" s="5" t="n">
        <v>531.67</v>
      </c>
      <c r="G251" s="5" t="n"/>
      <c r="H251" s="5" t="n"/>
      <c r="I251" s="5" t="n"/>
      <c r="J251" s="5" t="n">
        <v>106.33</v>
      </c>
      <c r="K251" s="5" t="n"/>
      <c r="L251" s="5" t="n"/>
      <c r="M251" s="5" t="n"/>
      <c r="N251" s="5" t="n"/>
      <c r="O251" s="5" t="n">
        <v>638</v>
      </c>
      <c r="P251" s="5" t="n"/>
      <c r="Q251" s="5" t="n">
        <v>638</v>
      </c>
      <c r="R251" s="5" t="n"/>
      <c r="S251" s="5">
        <f>F251*20%</f>
        <v/>
      </c>
      <c r="T251" s="5">
        <f>J251-S251</f>
        <v/>
      </c>
      <c r="U251" s="5">
        <f>F251+J251</f>
        <v/>
      </c>
      <c r="V251" s="5">
        <f>O251-U251</f>
        <v/>
      </c>
      <c r="W251" s="5">
        <f>O251-(P251+R251)</f>
        <v/>
      </c>
      <c r="X251" s="5">
        <f>O251-(P251+Q251+R251)</f>
        <v/>
      </c>
    </row>
    <row r="252">
      <c r="A252" s="2" t="inlineStr">
        <is>
          <t>EJ020523.TXT</t>
        </is>
      </c>
      <c r="B252" s="3" t="inlineStr">
        <is>
          <t>004787</t>
        </is>
      </c>
      <c r="C252" s="3" t="inlineStr">
        <is>
          <t>003812</t>
        </is>
      </c>
      <c r="D252" s="4" t="n">
        <v>45019</v>
      </c>
      <c r="E252" s="2" t="inlineStr">
        <is>
          <t>17:36</t>
        </is>
      </c>
      <c r="F252" s="5" t="n">
        <v>265.83</v>
      </c>
      <c r="G252" s="5" t="n"/>
      <c r="H252" s="5" t="n"/>
      <c r="I252" s="5" t="n"/>
      <c r="J252" s="5" t="n">
        <v>53.17</v>
      </c>
      <c r="K252" s="5" t="n"/>
      <c r="L252" s="5" t="n"/>
      <c r="M252" s="5" t="n"/>
      <c r="N252" s="5" t="n"/>
      <c r="O252" s="5" t="n">
        <v>319</v>
      </c>
      <c r="P252" s="5" t="n"/>
      <c r="Q252" s="5" t="n">
        <v>319</v>
      </c>
      <c r="R252" s="5" t="n"/>
      <c r="S252" s="5">
        <f>F252*20%</f>
        <v/>
      </c>
      <c r="T252" s="5">
        <f>J252-S252</f>
        <v/>
      </c>
      <c r="U252" s="5">
        <f>F252+J252</f>
        <v/>
      </c>
      <c r="V252" s="5">
        <f>O252-U252</f>
        <v/>
      </c>
      <c r="W252" s="5">
        <f>O252-(P252+R252)</f>
        <v/>
      </c>
      <c r="X252" s="5">
        <f>O252-(P252+Q252+R252)</f>
        <v/>
      </c>
    </row>
    <row r="253">
      <c r="A253" s="2" t="inlineStr">
        <is>
          <t>EJ020523.TXT</t>
        </is>
      </c>
      <c r="B253" s="3" t="inlineStr">
        <is>
          <t>004788</t>
        </is>
      </c>
      <c r="C253" s="3" t="inlineStr">
        <is>
          <t>003813</t>
        </is>
      </c>
      <c r="D253" s="4" t="n">
        <v>45019</v>
      </c>
      <c r="E253" s="2" t="inlineStr">
        <is>
          <t>17:36</t>
        </is>
      </c>
      <c r="F253" s="5" t="n">
        <v>531.67</v>
      </c>
      <c r="G253" s="5" t="n"/>
      <c r="H253" s="5" t="n"/>
      <c r="I253" s="5" t="n"/>
      <c r="J253" s="5" t="n">
        <v>106.33</v>
      </c>
      <c r="K253" s="5" t="n"/>
      <c r="L253" s="5" t="n"/>
      <c r="M253" s="5" t="n"/>
      <c r="N253" s="5" t="n"/>
      <c r="O253" s="5" t="n">
        <v>638</v>
      </c>
      <c r="P253" s="5" t="n"/>
      <c r="Q253" s="5" t="n">
        <v>638</v>
      </c>
      <c r="R253" s="5" t="n"/>
      <c r="S253" s="5">
        <f>F253*20%</f>
        <v/>
      </c>
      <c r="T253" s="5">
        <f>J253-S253</f>
        <v/>
      </c>
      <c r="U253" s="5">
        <f>F253+J253</f>
        <v/>
      </c>
      <c r="V253" s="5">
        <f>O253-U253</f>
        <v/>
      </c>
      <c r="W253" s="5">
        <f>O253-(P253+R253)</f>
        <v/>
      </c>
      <c r="X253" s="5">
        <f>O253-(P253+Q253+R253)</f>
        <v/>
      </c>
    </row>
    <row r="254">
      <c r="A254" s="2" t="inlineStr">
        <is>
          <t>EJ020523.TXT</t>
        </is>
      </c>
      <c r="B254" s="3" t="inlineStr">
        <is>
          <t>004789</t>
        </is>
      </c>
      <c r="C254" s="3" t="inlineStr">
        <is>
          <t>003814</t>
        </is>
      </c>
      <c r="D254" s="4" t="n">
        <v>45019</v>
      </c>
      <c r="E254" s="2" t="inlineStr">
        <is>
          <t>17:36</t>
        </is>
      </c>
      <c r="F254" s="5" t="n">
        <v>797.5</v>
      </c>
      <c r="G254" s="5" t="n"/>
      <c r="H254" s="5" t="n"/>
      <c r="I254" s="5" t="n"/>
      <c r="J254" s="5" t="n">
        <v>159.5</v>
      </c>
      <c r="K254" s="5" t="n"/>
      <c r="L254" s="5" t="n"/>
      <c r="M254" s="5" t="n"/>
      <c r="N254" s="5" t="n"/>
      <c r="O254" s="5" t="n">
        <v>957</v>
      </c>
      <c r="P254" s="5" t="n"/>
      <c r="Q254" s="5" t="n">
        <v>957</v>
      </c>
      <c r="R254" s="5" t="n"/>
      <c r="S254" s="5">
        <f>F254*20%</f>
        <v/>
      </c>
      <c r="T254" s="5">
        <f>J254-S254</f>
        <v/>
      </c>
      <c r="U254" s="5">
        <f>F254+J254</f>
        <v/>
      </c>
      <c r="V254" s="5">
        <f>O254-U254</f>
        <v/>
      </c>
      <c r="W254" s="5">
        <f>O254-(P254+R254)</f>
        <v/>
      </c>
      <c r="X254" s="5">
        <f>O254-(P254+Q254+R254)</f>
        <v/>
      </c>
    </row>
    <row r="255">
      <c r="A255" s="2" t="inlineStr">
        <is>
          <t>EJ020523.TXT</t>
        </is>
      </c>
      <c r="B255" s="3" t="inlineStr">
        <is>
          <t>004790</t>
        </is>
      </c>
      <c r="C255" s="3" t="inlineStr">
        <is>
          <t>003815</t>
        </is>
      </c>
      <c r="D255" s="4" t="n">
        <v>45019</v>
      </c>
      <c r="E255" s="2" t="inlineStr">
        <is>
          <t>17:37</t>
        </is>
      </c>
      <c r="F255" s="5" t="n">
        <v>265.83</v>
      </c>
      <c r="G255" s="5" t="n"/>
      <c r="H255" s="5" t="n"/>
      <c r="I255" s="5" t="n"/>
      <c r="J255" s="5" t="n">
        <v>53.17</v>
      </c>
      <c r="K255" s="5" t="n"/>
      <c r="L255" s="5" t="n"/>
      <c r="M255" s="5" t="n"/>
      <c r="N255" s="5" t="n"/>
      <c r="O255" s="5" t="n">
        <v>319</v>
      </c>
      <c r="P255" s="5" t="n"/>
      <c r="Q255" s="5" t="n">
        <v>319</v>
      </c>
      <c r="R255" s="5" t="n"/>
      <c r="S255" s="5">
        <f>F255*20%</f>
        <v/>
      </c>
      <c r="T255" s="5">
        <f>J255-S255</f>
        <v/>
      </c>
      <c r="U255" s="5">
        <f>F255+J255</f>
        <v/>
      </c>
      <c r="V255" s="5">
        <f>O255-U255</f>
        <v/>
      </c>
      <c r="W255" s="5">
        <f>O255-(P255+R255)</f>
        <v/>
      </c>
      <c r="X255" s="5">
        <f>O255-(P255+Q255+R255)</f>
        <v/>
      </c>
    </row>
    <row r="256">
      <c r="A256" s="2" t="inlineStr">
        <is>
          <t>EJ020523.TXT</t>
        </is>
      </c>
      <c r="B256" s="3" t="inlineStr">
        <is>
          <t>004791</t>
        </is>
      </c>
      <c r="C256" s="3" t="inlineStr">
        <is>
          <t>003816</t>
        </is>
      </c>
      <c r="D256" s="4" t="n">
        <v>45019</v>
      </c>
      <c r="E256" s="2" t="inlineStr">
        <is>
          <t>17:37</t>
        </is>
      </c>
      <c r="F256" s="5" t="n">
        <v>531.67</v>
      </c>
      <c r="G256" s="5" t="n"/>
      <c r="H256" s="5" t="n"/>
      <c r="I256" s="5" t="n"/>
      <c r="J256" s="5" t="n">
        <v>106.33</v>
      </c>
      <c r="K256" s="5" t="n"/>
      <c r="L256" s="5" t="n"/>
      <c r="M256" s="5" t="n"/>
      <c r="N256" s="5" t="n"/>
      <c r="O256" s="5" t="n">
        <v>638</v>
      </c>
      <c r="P256" s="5" t="n"/>
      <c r="Q256" s="5" t="n">
        <v>638</v>
      </c>
      <c r="R256" s="5" t="n"/>
      <c r="S256" s="5">
        <f>F256*20%</f>
        <v/>
      </c>
      <c r="T256" s="5">
        <f>J256-S256</f>
        <v/>
      </c>
      <c r="U256" s="5">
        <f>F256+J256</f>
        <v/>
      </c>
      <c r="V256" s="5">
        <f>O256-U256</f>
        <v/>
      </c>
      <c r="W256" s="5">
        <f>O256-(P256+R256)</f>
        <v/>
      </c>
      <c r="X256" s="5">
        <f>O256-(P256+Q256+R256)</f>
        <v/>
      </c>
    </row>
    <row r="257">
      <c r="A257" s="2" t="inlineStr">
        <is>
          <t>EJ020523.TXT</t>
        </is>
      </c>
      <c r="B257" s="3" t="inlineStr">
        <is>
          <t>004792</t>
        </is>
      </c>
      <c r="C257" s="3" t="inlineStr">
        <is>
          <t>003817</t>
        </is>
      </c>
      <c r="D257" s="4" t="n">
        <v>45019</v>
      </c>
      <c r="E257" s="2" t="inlineStr">
        <is>
          <t>17:37</t>
        </is>
      </c>
      <c r="F257" s="5" t="n">
        <v>531.67</v>
      </c>
      <c r="G257" s="5" t="n"/>
      <c r="H257" s="5" t="n"/>
      <c r="I257" s="5" t="n"/>
      <c r="J257" s="5" t="n">
        <v>106.33</v>
      </c>
      <c r="K257" s="5" t="n"/>
      <c r="L257" s="5" t="n"/>
      <c r="M257" s="5" t="n"/>
      <c r="N257" s="5" t="n"/>
      <c r="O257" s="5" t="n">
        <v>638</v>
      </c>
      <c r="P257" s="5" t="n"/>
      <c r="Q257" s="5" t="n">
        <v>638</v>
      </c>
      <c r="R257" s="5" t="n"/>
      <c r="S257" s="5">
        <f>F257*20%</f>
        <v/>
      </c>
      <c r="T257" s="5">
        <f>J257-S257</f>
        <v/>
      </c>
      <c r="U257" s="5">
        <f>F257+J257</f>
        <v/>
      </c>
      <c r="V257" s="5">
        <f>O257-U257</f>
        <v/>
      </c>
      <c r="W257" s="5">
        <f>O257-(P257+R257)</f>
        <v/>
      </c>
      <c r="X257" s="5">
        <f>O257-(P257+Q257+R257)</f>
        <v/>
      </c>
    </row>
    <row r="258">
      <c r="A258" s="2" t="inlineStr">
        <is>
          <t>EJ020523.TXT</t>
        </is>
      </c>
      <c r="B258" s="3" t="inlineStr">
        <is>
          <t>004793</t>
        </is>
      </c>
      <c r="C258" s="3" t="inlineStr">
        <is>
          <t>003818</t>
        </is>
      </c>
      <c r="D258" s="4" t="n">
        <v>45019</v>
      </c>
      <c r="E258" s="2" t="inlineStr">
        <is>
          <t>17:38</t>
        </is>
      </c>
      <c r="F258" s="5" t="n">
        <v>797.5</v>
      </c>
      <c r="G258" s="5" t="n"/>
      <c r="H258" s="5" t="n"/>
      <c r="I258" s="5" t="n"/>
      <c r="J258" s="5" t="n">
        <v>159.5</v>
      </c>
      <c r="K258" s="5" t="n"/>
      <c r="L258" s="5" t="n"/>
      <c r="M258" s="5" t="n"/>
      <c r="N258" s="5" t="n"/>
      <c r="O258" s="5" t="n">
        <v>957</v>
      </c>
      <c r="P258" s="5" t="n"/>
      <c r="Q258" s="5" t="n">
        <v>957</v>
      </c>
      <c r="R258" s="5" t="n"/>
      <c r="S258" s="5">
        <f>F258*20%</f>
        <v/>
      </c>
      <c r="T258" s="5">
        <f>J258-S258</f>
        <v/>
      </c>
      <c r="U258" s="5">
        <f>F258+J258</f>
        <v/>
      </c>
      <c r="V258" s="5">
        <f>O258-U258</f>
        <v/>
      </c>
      <c r="W258" s="5">
        <f>O258-(P258+R258)</f>
        <v/>
      </c>
      <c r="X258" s="5">
        <f>O258-(P258+Q258+R258)</f>
        <v/>
      </c>
    </row>
    <row r="259">
      <c r="A259" s="2" t="inlineStr">
        <is>
          <t>EJ020523.TXT</t>
        </is>
      </c>
      <c r="B259" s="3" t="inlineStr">
        <is>
          <t>004794</t>
        </is>
      </c>
      <c r="C259" s="3" t="inlineStr">
        <is>
          <t>003819</t>
        </is>
      </c>
      <c r="D259" s="4" t="n">
        <v>45019</v>
      </c>
      <c r="E259" s="2" t="inlineStr">
        <is>
          <t>17:38</t>
        </is>
      </c>
      <c r="F259" s="5" t="n">
        <v>265.83</v>
      </c>
      <c r="G259" s="5" t="n"/>
      <c r="H259" s="5" t="n"/>
      <c r="I259" s="5" t="n"/>
      <c r="J259" s="5" t="n">
        <v>53.17</v>
      </c>
      <c r="K259" s="5" t="n"/>
      <c r="L259" s="5" t="n"/>
      <c r="M259" s="5" t="n"/>
      <c r="N259" s="5" t="n"/>
      <c r="O259" s="5" t="n">
        <v>319</v>
      </c>
      <c r="P259" s="5" t="n"/>
      <c r="Q259" s="5" t="n">
        <v>319</v>
      </c>
      <c r="R259" s="5" t="n"/>
      <c r="S259" s="5">
        <f>F259*20%</f>
        <v/>
      </c>
      <c r="T259" s="5">
        <f>J259-S259</f>
        <v/>
      </c>
      <c r="U259" s="5">
        <f>F259+J259</f>
        <v/>
      </c>
      <c r="V259" s="5">
        <f>O259-U259</f>
        <v/>
      </c>
      <c r="W259" s="5">
        <f>O259-(P259+R259)</f>
        <v/>
      </c>
      <c r="X259" s="5">
        <f>O259-(P259+Q259+R259)</f>
        <v/>
      </c>
    </row>
    <row r="260">
      <c r="A260" s="2" t="inlineStr">
        <is>
          <t>EJ020523.TXT</t>
        </is>
      </c>
      <c r="B260" s="3" t="inlineStr">
        <is>
          <t>004795</t>
        </is>
      </c>
      <c r="C260" s="3" t="inlineStr">
        <is>
          <t>003820</t>
        </is>
      </c>
      <c r="D260" s="4" t="n">
        <v>45019</v>
      </c>
      <c r="E260" s="2" t="inlineStr">
        <is>
          <t>17:39</t>
        </is>
      </c>
      <c r="F260" s="5" t="n">
        <v>265.83</v>
      </c>
      <c r="G260" s="5" t="n"/>
      <c r="H260" s="5" t="n"/>
      <c r="I260" s="5" t="n"/>
      <c r="J260" s="5" t="n">
        <v>53.17</v>
      </c>
      <c r="K260" s="5" t="n"/>
      <c r="L260" s="5" t="n"/>
      <c r="M260" s="5" t="n"/>
      <c r="N260" s="5" t="n"/>
      <c r="O260" s="5" t="n">
        <v>319</v>
      </c>
      <c r="P260" s="5" t="n"/>
      <c r="Q260" s="5" t="n">
        <v>319</v>
      </c>
      <c r="R260" s="5" t="n"/>
      <c r="S260" s="5">
        <f>F260*20%</f>
        <v/>
      </c>
      <c r="T260" s="5">
        <f>J260-S260</f>
        <v/>
      </c>
      <c r="U260" s="5">
        <f>F260+J260</f>
        <v/>
      </c>
      <c r="V260" s="5">
        <f>O260-U260</f>
        <v/>
      </c>
      <c r="W260" s="5">
        <f>O260-(P260+R260)</f>
        <v/>
      </c>
      <c r="X260" s="5">
        <f>O260-(P260+Q260+R260)</f>
        <v/>
      </c>
    </row>
    <row r="261">
      <c r="A261" s="2" t="inlineStr">
        <is>
          <t>EJ020523.TXT</t>
        </is>
      </c>
      <c r="B261" s="3" t="inlineStr">
        <is>
          <t>004796</t>
        </is>
      </c>
      <c r="C261" s="3" t="inlineStr">
        <is>
          <t>003821</t>
        </is>
      </c>
      <c r="D261" s="4" t="n">
        <v>45020</v>
      </c>
      <c r="E261" s="2" t="inlineStr">
        <is>
          <t>09:08</t>
        </is>
      </c>
      <c r="F261" s="5" t="n">
        <v>797.5</v>
      </c>
      <c r="G261" s="5" t="n"/>
      <c r="H261" s="5" t="n"/>
      <c r="I261" s="5" t="n"/>
      <c r="J261" s="5" t="n">
        <v>159.5</v>
      </c>
      <c r="K261" s="5" t="n"/>
      <c r="L261" s="5" t="n"/>
      <c r="M261" s="5" t="n"/>
      <c r="N261" s="5" t="n"/>
      <c r="O261" s="5" t="n">
        <v>957</v>
      </c>
      <c r="P261" s="5" t="n"/>
      <c r="Q261" s="5" t="n">
        <v>957</v>
      </c>
      <c r="R261" s="5" t="n"/>
      <c r="S261" s="5">
        <f>F261*20%</f>
        <v/>
      </c>
      <c r="T261" s="5">
        <f>J261-S261</f>
        <v/>
      </c>
      <c r="U261" s="5">
        <f>F261+J261</f>
        <v/>
      </c>
      <c r="V261" s="5">
        <f>O261-U261</f>
        <v/>
      </c>
      <c r="W261" s="5">
        <f>O261-(P261+R261)</f>
        <v/>
      </c>
      <c r="X261" s="5">
        <f>O261-(P261+Q261+R261)</f>
        <v/>
      </c>
    </row>
    <row r="262">
      <c r="A262" s="2" t="inlineStr">
        <is>
          <t>EJ020523.TXT</t>
        </is>
      </c>
      <c r="B262" s="3" t="inlineStr">
        <is>
          <t>004797</t>
        </is>
      </c>
      <c r="C262" s="3" t="inlineStr">
        <is>
          <t>003822</t>
        </is>
      </c>
      <c r="D262" s="4" t="n">
        <v>45020</v>
      </c>
      <c r="E262" s="2" t="inlineStr">
        <is>
          <t>09:08</t>
        </is>
      </c>
      <c r="F262" s="5" t="n">
        <v>797.5</v>
      </c>
      <c r="G262" s="5" t="n"/>
      <c r="H262" s="5" t="n"/>
      <c r="I262" s="5" t="n"/>
      <c r="J262" s="5" t="n">
        <v>159.5</v>
      </c>
      <c r="K262" s="5" t="n"/>
      <c r="L262" s="5" t="n"/>
      <c r="M262" s="5" t="n"/>
      <c r="N262" s="5" t="n"/>
      <c r="O262" s="5" t="n">
        <v>957</v>
      </c>
      <c r="P262" s="5" t="n"/>
      <c r="Q262" s="5" t="n">
        <v>957</v>
      </c>
      <c r="R262" s="5" t="n"/>
      <c r="S262" s="5">
        <f>F262*20%</f>
        <v/>
      </c>
      <c r="T262" s="5">
        <f>J262-S262</f>
        <v/>
      </c>
      <c r="U262" s="5">
        <f>F262+J262</f>
        <v/>
      </c>
      <c r="V262" s="5">
        <f>O262-U262</f>
        <v/>
      </c>
      <c r="W262" s="5">
        <f>O262-(P262+R262)</f>
        <v/>
      </c>
      <c r="X262" s="5">
        <f>O262-(P262+Q262+R262)</f>
        <v/>
      </c>
    </row>
    <row r="263">
      <c r="A263" s="2" t="inlineStr">
        <is>
          <t>EJ020523.TXT</t>
        </is>
      </c>
      <c r="B263" s="3" t="inlineStr">
        <is>
          <t>004798</t>
        </is>
      </c>
      <c r="C263" s="3" t="inlineStr">
        <is>
          <t>003823</t>
        </is>
      </c>
      <c r="D263" s="4" t="n">
        <v>45020</v>
      </c>
      <c r="E263" s="2" t="inlineStr">
        <is>
          <t>09:13</t>
        </is>
      </c>
      <c r="F263" s="5" t="n">
        <v>307.5</v>
      </c>
      <c r="G263" s="5" t="n"/>
      <c r="H263" s="5" t="n"/>
      <c r="I263" s="5" t="n"/>
      <c r="J263" s="5" t="n">
        <v>61.5</v>
      </c>
      <c r="K263" s="5" t="n"/>
      <c r="L263" s="5" t="n"/>
      <c r="M263" s="5" t="n"/>
      <c r="N263" s="5" t="n"/>
      <c r="O263" s="5" t="n">
        <v>369</v>
      </c>
      <c r="P263" s="5" t="n"/>
      <c r="Q263" s="5" t="n">
        <v>369</v>
      </c>
      <c r="R263" s="5" t="n"/>
      <c r="S263" s="5">
        <f>F263*20%</f>
        <v/>
      </c>
      <c r="T263" s="5">
        <f>J263-S263</f>
        <v/>
      </c>
      <c r="U263" s="5">
        <f>F263+J263</f>
        <v/>
      </c>
      <c r="V263" s="5">
        <f>O263-U263</f>
        <v/>
      </c>
      <c r="W263" s="5">
        <f>O263-(P263+R263)</f>
        <v/>
      </c>
      <c r="X263" s="5">
        <f>O263-(P263+Q263+R263)</f>
        <v/>
      </c>
    </row>
    <row r="264">
      <c r="A264" s="2" t="inlineStr">
        <is>
          <t>EJ020523.TXT</t>
        </is>
      </c>
      <c r="B264" s="3" t="inlineStr">
        <is>
          <t>004799</t>
        </is>
      </c>
      <c r="C264" s="3" t="inlineStr">
        <is>
          <t>003824</t>
        </is>
      </c>
      <c r="D264" s="4" t="n">
        <v>45020</v>
      </c>
      <c r="E264" s="2" t="inlineStr">
        <is>
          <t>10:50</t>
        </is>
      </c>
      <c r="F264" s="5" t="n">
        <v>822.5</v>
      </c>
      <c r="G264" s="5" t="n"/>
      <c r="H264" s="5" t="n"/>
      <c r="I264" s="5" t="n"/>
      <c r="J264" s="5" t="n">
        <v>164.5</v>
      </c>
      <c r="K264" s="5" t="n"/>
      <c r="L264" s="5" t="n"/>
      <c r="M264" s="5" t="n"/>
      <c r="N264" s="5" t="n"/>
      <c r="O264" s="5" t="n">
        <v>987</v>
      </c>
      <c r="P264" s="5" t="n"/>
      <c r="Q264" s="5" t="n">
        <v>987</v>
      </c>
      <c r="R264" s="5" t="n"/>
      <c r="S264" s="5">
        <f>F264*20%</f>
        <v/>
      </c>
      <c r="T264" s="5">
        <f>J264-S264</f>
        <v/>
      </c>
      <c r="U264" s="5">
        <f>F264+J264</f>
        <v/>
      </c>
      <c r="V264" s="5">
        <f>O264-U264</f>
        <v/>
      </c>
      <c r="W264" s="5">
        <f>O264-(P264+R264)</f>
        <v/>
      </c>
      <c r="X264" s="5">
        <f>O264-(P264+Q264+R264)</f>
        <v/>
      </c>
    </row>
    <row r="265">
      <c r="A265" s="2" t="inlineStr">
        <is>
          <t>EJ020523.TXT</t>
        </is>
      </c>
      <c r="B265" s="3" t="inlineStr">
        <is>
          <t>004800</t>
        </is>
      </c>
      <c r="C265" s="3" t="inlineStr">
        <is>
          <t>003825</t>
        </is>
      </c>
      <c r="D265" s="4" t="n">
        <v>45020</v>
      </c>
      <c r="E265" s="2" t="inlineStr">
        <is>
          <t>16:48</t>
        </is>
      </c>
      <c r="F265" s="5" t="n">
        <v>49.17</v>
      </c>
      <c r="G265" s="5" t="n"/>
      <c r="H265" s="5" t="n"/>
      <c r="I265" s="5" t="n"/>
      <c r="J265" s="5" t="n">
        <v>9.83</v>
      </c>
      <c r="K265" s="5" t="n"/>
      <c r="L265" s="5" t="n"/>
      <c r="M265" s="5" t="n"/>
      <c r="N265" s="5" t="n"/>
      <c r="O265" s="5" t="n">
        <v>59</v>
      </c>
      <c r="P265" s="5" t="n"/>
      <c r="Q265" s="5" t="n">
        <v>59</v>
      </c>
      <c r="R265" s="5" t="n"/>
      <c r="S265" s="5">
        <f>F265*20%</f>
        <v/>
      </c>
      <c r="T265" s="5">
        <f>J265-S265</f>
        <v/>
      </c>
      <c r="U265" s="5">
        <f>F265+J265</f>
        <v/>
      </c>
      <c r="V265" s="5">
        <f>O265-U265</f>
        <v/>
      </c>
      <c r="W265" s="5">
        <f>O265-(P265+R265)</f>
        <v/>
      </c>
      <c r="X265" s="5">
        <f>O265-(P265+Q265+R265)</f>
        <v/>
      </c>
    </row>
    <row r="266">
      <c r="A266" s="2" t="inlineStr">
        <is>
          <t>EJ020523.TXT</t>
        </is>
      </c>
      <c r="B266" s="3" t="inlineStr">
        <is>
          <t>004801</t>
        </is>
      </c>
      <c r="C266" s="3" t="inlineStr">
        <is>
          <t>003826</t>
        </is>
      </c>
      <c r="D266" s="4" t="n">
        <v>45020</v>
      </c>
      <c r="E266" s="2" t="inlineStr">
        <is>
          <t>17:05</t>
        </is>
      </c>
      <c r="F266" s="5" t="n">
        <v>240</v>
      </c>
      <c r="G266" s="5" t="n"/>
      <c r="H266" s="5" t="n"/>
      <c r="I266" s="5" t="n"/>
      <c r="J266" s="5" t="n">
        <v>48</v>
      </c>
      <c r="K266" s="5" t="n"/>
      <c r="L266" s="5" t="n"/>
      <c r="M266" s="5" t="n"/>
      <c r="N266" s="5" t="n"/>
      <c r="O266" s="5" t="n">
        <v>288</v>
      </c>
      <c r="P266" s="5" t="n"/>
      <c r="Q266" s="5" t="n">
        <v>288</v>
      </c>
      <c r="R266" s="5" t="n"/>
      <c r="S266" s="5">
        <f>F266*20%</f>
        <v/>
      </c>
      <c r="T266" s="5">
        <f>J266-S266</f>
        <v/>
      </c>
      <c r="U266" s="5">
        <f>F266+J266</f>
        <v/>
      </c>
      <c r="V266" s="5">
        <f>O266-U266</f>
        <v/>
      </c>
      <c r="W266" s="5">
        <f>O266-(P266+R266)</f>
        <v/>
      </c>
      <c r="X266" s="5">
        <f>O266-(P266+Q266+R266)</f>
        <v/>
      </c>
    </row>
    <row r="267">
      <c r="A267" s="2" t="inlineStr">
        <is>
          <t>EJ020523.TXT</t>
        </is>
      </c>
      <c r="B267" s="3" t="inlineStr">
        <is>
          <t>004802</t>
        </is>
      </c>
      <c r="C267" s="3" t="inlineStr">
        <is>
          <t>003827</t>
        </is>
      </c>
      <c r="D267" s="4" t="n">
        <v>45021</v>
      </c>
      <c r="E267" s="2" t="inlineStr">
        <is>
          <t>11:14</t>
        </is>
      </c>
      <c r="F267" s="5" t="n">
        <v>531.67</v>
      </c>
      <c r="G267" s="5" t="n"/>
      <c r="H267" s="5" t="n"/>
      <c r="I267" s="5" t="n"/>
      <c r="J267" s="5" t="n">
        <v>106.33</v>
      </c>
      <c r="K267" s="5" t="n"/>
      <c r="L267" s="5" t="n"/>
      <c r="M267" s="5" t="n"/>
      <c r="N267" s="5" t="n"/>
      <c r="O267" s="5" t="n">
        <v>638</v>
      </c>
      <c r="P267" s="5" t="n"/>
      <c r="Q267" s="5" t="n">
        <v>638</v>
      </c>
      <c r="R267" s="5" t="n"/>
      <c r="S267" s="5">
        <f>F267*20%</f>
        <v/>
      </c>
      <c r="T267" s="5">
        <f>J267-S267</f>
        <v/>
      </c>
      <c r="U267" s="5">
        <f>F267+J267</f>
        <v/>
      </c>
      <c r="V267" s="5">
        <f>O267-U267</f>
        <v/>
      </c>
      <c r="W267" s="5">
        <f>O267-(P267+R267)</f>
        <v/>
      </c>
      <c r="X267" s="5">
        <f>O267-(P267+Q267+R267)</f>
        <v/>
      </c>
    </row>
    <row r="268">
      <c r="A268" s="2" t="inlineStr">
        <is>
          <t>EJ020523.TXT</t>
        </is>
      </c>
      <c r="B268" s="3" t="inlineStr">
        <is>
          <t>004803</t>
        </is>
      </c>
      <c r="C268" s="3" t="inlineStr">
        <is>
          <t>003828</t>
        </is>
      </c>
      <c r="D268" s="4" t="n">
        <v>45021</v>
      </c>
      <c r="E268" s="2" t="inlineStr">
        <is>
          <t>11:15</t>
        </is>
      </c>
      <c r="F268" s="5" t="n">
        <v>175</v>
      </c>
      <c r="G268" s="5" t="n"/>
      <c r="H268" s="5" t="n"/>
      <c r="I268" s="5" t="n"/>
      <c r="J268" s="5" t="n">
        <v>35</v>
      </c>
      <c r="K268" s="5" t="n"/>
      <c r="L268" s="5" t="n"/>
      <c r="M268" s="5" t="n"/>
      <c r="N268" s="5" t="n"/>
      <c r="O268" s="5" t="n">
        <v>210</v>
      </c>
      <c r="P268" s="5" t="n"/>
      <c r="Q268" s="5" t="n">
        <v>210</v>
      </c>
      <c r="R268" s="5" t="n"/>
      <c r="S268" s="5">
        <f>F268*20%</f>
        <v/>
      </c>
      <c r="T268" s="5">
        <f>J268-S268</f>
        <v/>
      </c>
      <c r="U268" s="5">
        <f>F268+J268</f>
        <v/>
      </c>
      <c r="V268" s="5">
        <f>O268-U268</f>
        <v/>
      </c>
      <c r="W268" s="5">
        <f>O268-(P268+R268)</f>
        <v/>
      </c>
      <c r="X268" s="5">
        <f>O268-(P268+Q268+R268)</f>
        <v/>
      </c>
    </row>
    <row r="269">
      <c r="A269" s="2" t="inlineStr">
        <is>
          <t>EJ020523.TXT</t>
        </is>
      </c>
      <c r="B269" s="3" t="inlineStr">
        <is>
          <t>004804</t>
        </is>
      </c>
      <c r="C269" s="3" t="inlineStr">
        <is>
          <t>003829</t>
        </is>
      </c>
      <c r="D269" s="4" t="n">
        <v>45021</v>
      </c>
      <c r="E269" s="2" t="inlineStr">
        <is>
          <t>13:55</t>
        </is>
      </c>
      <c r="F269" s="5" t="n">
        <v>797.5</v>
      </c>
      <c r="G269" s="5" t="n"/>
      <c r="H269" s="5" t="n"/>
      <c r="I269" s="5" t="n"/>
      <c r="J269" s="5" t="n">
        <v>159.5</v>
      </c>
      <c r="K269" s="5" t="n"/>
      <c r="L269" s="5" t="n"/>
      <c r="M269" s="5" t="n"/>
      <c r="N269" s="5" t="n"/>
      <c r="O269" s="5" t="n">
        <v>957</v>
      </c>
      <c r="P269" s="5" t="n"/>
      <c r="Q269" s="5" t="n">
        <v>957</v>
      </c>
      <c r="R269" s="5" t="n"/>
      <c r="S269" s="5">
        <f>F269*20%</f>
        <v/>
      </c>
      <c r="T269" s="5">
        <f>J269-S269</f>
        <v/>
      </c>
      <c r="U269" s="5">
        <f>F269+J269</f>
        <v/>
      </c>
      <c r="V269" s="5">
        <f>O269-U269</f>
        <v/>
      </c>
      <c r="W269" s="5">
        <f>O269-(P269+R269)</f>
        <v/>
      </c>
      <c r="X269" s="5">
        <f>O269-(P269+Q269+R269)</f>
        <v/>
      </c>
    </row>
    <row r="270">
      <c r="A270" s="2" t="inlineStr">
        <is>
          <t>EJ020523.TXT</t>
        </is>
      </c>
      <c r="B270" s="3" t="inlineStr">
        <is>
          <t>004805</t>
        </is>
      </c>
      <c r="C270" s="3" t="inlineStr">
        <is>
          <t>003830</t>
        </is>
      </c>
      <c r="D270" s="4" t="n">
        <v>45021</v>
      </c>
      <c r="E270" s="2" t="inlineStr">
        <is>
          <t>13:55</t>
        </is>
      </c>
      <c r="F270" s="5" t="n">
        <v>797.5</v>
      </c>
      <c r="G270" s="5" t="n"/>
      <c r="H270" s="5" t="n"/>
      <c r="I270" s="5" t="n"/>
      <c r="J270" s="5" t="n">
        <v>159.5</v>
      </c>
      <c r="K270" s="5" t="n"/>
      <c r="L270" s="5" t="n"/>
      <c r="M270" s="5" t="n"/>
      <c r="N270" s="5" t="n"/>
      <c r="O270" s="5" t="n">
        <v>957</v>
      </c>
      <c r="P270" s="5" t="n"/>
      <c r="Q270" s="5" t="n">
        <v>957</v>
      </c>
      <c r="R270" s="5" t="n"/>
      <c r="S270" s="5">
        <f>F270*20%</f>
        <v/>
      </c>
      <c r="T270" s="5">
        <f>J270-S270</f>
        <v/>
      </c>
      <c r="U270" s="5">
        <f>F270+J270</f>
        <v/>
      </c>
      <c r="V270" s="5">
        <f>O270-U270</f>
        <v/>
      </c>
      <c r="W270" s="5">
        <f>O270-(P270+R270)</f>
        <v/>
      </c>
      <c r="X270" s="5">
        <f>O270-(P270+Q270+R270)</f>
        <v/>
      </c>
    </row>
    <row r="271">
      <c r="A271" s="2" t="inlineStr">
        <is>
          <t>EJ020523.TXT</t>
        </is>
      </c>
      <c r="B271" s="3" t="inlineStr">
        <is>
          <t>004806</t>
        </is>
      </c>
      <c r="C271" s="3" t="inlineStr">
        <is>
          <t>003831</t>
        </is>
      </c>
      <c r="D271" s="4" t="n">
        <v>45022</v>
      </c>
      <c r="E271" s="2" t="inlineStr">
        <is>
          <t>10:13</t>
        </is>
      </c>
      <c r="F271" s="5" t="n">
        <v>797.5</v>
      </c>
      <c r="G271" s="5" t="n"/>
      <c r="H271" s="5" t="n"/>
      <c r="I271" s="5" t="n"/>
      <c r="J271" s="5" t="n">
        <v>159.5</v>
      </c>
      <c r="K271" s="5" t="n"/>
      <c r="L271" s="5" t="n"/>
      <c r="M271" s="5" t="n"/>
      <c r="N271" s="5" t="n"/>
      <c r="O271" s="5" t="n">
        <v>957</v>
      </c>
      <c r="P271" s="5" t="n"/>
      <c r="Q271" s="5" t="n">
        <v>957</v>
      </c>
      <c r="R271" s="5" t="n"/>
      <c r="S271" s="5">
        <f>F271*20%</f>
        <v/>
      </c>
      <c r="T271" s="5">
        <f>J271-S271</f>
        <v/>
      </c>
      <c r="U271" s="5">
        <f>F271+J271</f>
        <v/>
      </c>
      <c r="V271" s="5">
        <f>O271-U271</f>
        <v/>
      </c>
      <c r="W271" s="5">
        <f>O271-(P271+R271)</f>
        <v/>
      </c>
      <c r="X271" s="5">
        <f>O271-(P271+Q271+R271)</f>
        <v/>
      </c>
    </row>
    <row r="272">
      <c r="A272" s="2" t="inlineStr">
        <is>
          <t>EJ020523.TXT</t>
        </is>
      </c>
      <c r="B272" s="3" t="inlineStr">
        <is>
          <t>004807</t>
        </is>
      </c>
      <c r="C272" s="3" t="inlineStr">
        <is>
          <t>003832</t>
        </is>
      </c>
      <c r="D272" s="4" t="n">
        <v>45022</v>
      </c>
      <c r="E272" s="2" t="inlineStr">
        <is>
          <t>10:14</t>
        </is>
      </c>
      <c r="F272" s="5" t="n">
        <v>797.5</v>
      </c>
      <c r="G272" s="5" t="n"/>
      <c r="H272" s="5" t="n"/>
      <c r="I272" s="5" t="n"/>
      <c r="J272" s="5" t="n">
        <v>159.5</v>
      </c>
      <c r="K272" s="5" t="n"/>
      <c r="L272" s="5" t="n"/>
      <c r="M272" s="5" t="n"/>
      <c r="N272" s="5" t="n"/>
      <c r="O272" s="5" t="n">
        <v>957</v>
      </c>
      <c r="P272" s="5" t="n"/>
      <c r="Q272" s="5" t="n">
        <v>957</v>
      </c>
      <c r="R272" s="5" t="n"/>
      <c r="S272" s="5">
        <f>F272*20%</f>
        <v/>
      </c>
      <c r="T272" s="5">
        <f>J272-S272</f>
        <v/>
      </c>
      <c r="U272" s="5">
        <f>F272+J272</f>
        <v/>
      </c>
      <c r="V272" s="5">
        <f>O272-U272</f>
        <v/>
      </c>
      <c r="W272" s="5">
        <f>O272-(P272+R272)</f>
        <v/>
      </c>
      <c r="X272" s="5">
        <f>O272-(P272+Q272+R272)</f>
        <v/>
      </c>
    </row>
    <row r="273">
      <c r="A273" s="2" t="inlineStr">
        <is>
          <t>EJ020523.TXT</t>
        </is>
      </c>
      <c r="B273" s="3" t="inlineStr">
        <is>
          <t>004808</t>
        </is>
      </c>
      <c r="C273" s="3" t="inlineStr">
        <is>
          <t>003833</t>
        </is>
      </c>
      <c r="D273" s="4" t="n">
        <v>45022</v>
      </c>
      <c r="E273" s="2" t="inlineStr">
        <is>
          <t>12:09</t>
        </is>
      </c>
      <c r="F273" s="5" t="n">
        <v>208.33</v>
      </c>
      <c r="G273" s="5" t="n"/>
      <c r="H273" s="5" t="n"/>
      <c r="I273" s="5" t="n"/>
      <c r="J273" s="5" t="n">
        <v>41.67</v>
      </c>
      <c r="K273" s="5" t="n"/>
      <c r="L273" s="5" t="n"/>
      <c r="M273" s="5" t="n"/>
      <c r="N273" s="5" t="n"/>
      <c r="O273" s="5" t="n">
        <v>250</v>
      </c>
      <c r="P273" s="5" t="n"/>
      <c r="Q273" s="5" t="n">
        <v>250</v>
      </c>
      <c r="R273" s="5" t="n"/>
      <c r="S273" s="5">
        <f>F273*20%</f>
        <v/>
      </c>
      <c r="T273" s="5">
        <f>J273-S273</f>
        <v/>
      </c>
      <c r="U273" s="5">
        <f>F273+J273</f>
        <v/>
      </c>
      <c r="V273" s="5">
        <f>O273-U273</f>
        <v/>
      </c>
      <c r="W273" s="5">
        <f>O273-(P273+R273)</f>
        <v/>
      </c>
      <c r="X273" s="5">
        <f>O273-(P273+Q273+R273)</f>
        <v/>
      </c>
    </row>
    <row r="274">
      <c r="A274" s="2" t="inlineStr">
        <is>
          <t>EJ020523.TXT</t>
        </is>
      </c>
      <c r="B274" s="3" t="inlineStr">
        <is>
          <t>004809</t>
        </is>
      </c>
      <c r="C274" s="3" t="inlineStr">
        <is>
          <t>003834</t>
        </is>
      </c>
      <c r="D274" s="4" t="n">
        <v>45022</v>
      </c>
      <c r="E274" s="2" t="inlineStr">
        <is>
          <t>14:09</t>
        </is>
      </c>
      <c r="F274" s="5" t="n">
        <v>208.33</v>
      </c>
      <c r="G274" s="5" t="n"/>
      <c r="H274" s="5" t="n"/>
      <c r="I274" s="5" t="n"/>
      <c r="J274" s="5" t="n">
        <v>41.67</v>
      </c>
      <c r="K274" s="5" t="n"/>
      <c r="L274" s="5" t="n"/>
      <c r="M274" s="5" t="n"/>
      <c r="N274" s="5" t="n"/>
      <c r="O274" s="5" t="n">
        <v>250</v>
      </c>
      <c r="P274" s="5" t="n"/>
      <c r="Q274" s="5" t="n">
        <v>250</v>
      </c>
      <c r="R274" s="5" t="n"/>
      <c r="S274" s="5">
        <f>F274*20%</f>
        <v/>
      </c>
      <c r="T274" s="5">
        <f>J274-S274</f>
        <v/>
      </c>
      <c r="U274" s="5">
        <f>F274+J274</f>
        <v/>
      </c>
      <c r="V274" s="5">
        <f>O274-U274</f>
        <v/>
      </c>
      <c r="W274" s="5">
        <f>O274-(P274+R274)</f>
        <v/>
      </c>
      <c r="X274" s="5">
        <f>O274-(P274+Q274+R274)</f>
        <v/>
      </c>
    </row>
    <row r="275">
      <c r="A275" s="2" t="inlineStr">
        <is>
          <t>EJ020523.TXT</t>
        </is>
      </c>
      <c r="B275" s="3" t="inlineStr">
        <is>
          <t>004810</t>
        </is>
      </c>
      <c r="C275" s="3" t="inlineStr">
        <is>
          <t>003835</t>
        </is>
      </c>
      <c r="D275" s="4" t="n">
        <v>45023</v>
      </c>
      <c r="E275" s="2" t="inlineStr">
        <is>
          <t>09:40</t>
        </is>
      </c>
      <c r="F275" s="5" t="n">
        <v>797.5</v>
      </c>
      <c r="G275" s="5" t="n"/>
      <c r="H275" s="5" t="n"/>
      <c r="I275" s="5" t="n"/>
      <c r="J275" s="5" t="n">
        <v>159.5</v>
      </c>
      <c r="K275" s="5" t="n"/>
      <c r="L275" s="5" t="n"/>
      <c r="M275" s="5" t="n"/>
      <c r="N275" s="5" t="n"/>
      <c r="O275" s="5" t="n">
        <v>957</v>
      </c>
      <c r="P275" s="5" t="n"/>
      <c r="Q275" s="5" t="n">
        <v>957</v>
      </c>
      <c r="R275" s="5" t="n"/>
      <c r="S275" s="5">
        <f>F275*20%</f>
        <v/>
      </c>
      <c r="T275" s="5">
        <f>J275-S275</f>
        <v/>
      </c>
      <c r="U275" s="5">
        <f>F275+J275</f>
        <v/>
      </c>
      <c r="V275" s="5">
        <f>O275-U275</f>
        <v/>
      </c>
      <c r="W275" s="5">
        <f>O275-(P275+R275)</f>
        <v/>
      </c>
      <c r="X275" s="5">
        <f>O275-(P275+Q275+R275)</f>
        <v/>
      </c>
    </row>
    <row r="276">
      <c r="A276" s="2" t="inlineStr">
        <is>
          <t>EJ020523.TXT</t>
        </is>
      </c>
      <c r="B276" s="3" t="inlineStr">
        <is>
          <t>004811</t>
        </is>
      </c>
      <c r="C276" s="3" t="inlineStr">
        <is>
          <t>003836</t>
        </is>
      </c>
      <c r="D276" s="4" t="n">
        <v>45023</v>
      </c>
      <c r="E276" s="2" t="inlineStr">
        <is>
          <t>13:34</t>
        </is>
      </c>
      <c r="F276" s="5" t="n">
        <v>98.33</v>
      </c>
      <c r="G276" s="5" t="n"/>
      <c r="H276" s="5" t="n"/>
      <c r="I276" s="5" t="n"/>
      <c r="J276" s="5" t="n">
        <v>19.67</v>
      </c>
      <c r="K276" s="5" t="n"/>
      <c r="L276" s="5" t="n"/>
      <c r="M276" s="5" t="n"/>
      <c r="N276" s="5" t="n"/>
      <c r="O276" s="5" t="n">
        <v>118</v>
      </c>
      <c r="P276" s="5" t="n">
        <v>118</v>
      </c>
      <c r="Q276" s="5" t="n"/>
      <c r="R276" s="5" t="n"/>
      <c r="S276" s="5">
        <f>F276*20%</f>
        <v/>
      </c>
      <c r="T276" s="5">
        <f>J276-S276</f>
        <v/>
      </c>
      <c r="U276" s="5">
        <f>F276+J276</f>
        <v/>
      </c>
      <c r="V276" s="5">
        <f>O276-U276</f>
        <v/>
      </c>
      <c r="W276" s="5">
        <f>O276-(P276+R276)</f>
        <v/>
      </c>
      <c r="X276" s="5">
        <f>O276-(P276+Q276+R276)</f>
        <v/>
      </c>
    </row>
    <row r="277">
      <c r="A277" s="2" t="inlineStr">
        <is>
          <t>EJ020523.TXT</t>
        </is>
      </c>
      <c r="B277" s="3" t="inlineStr">
        <is>
          <t>004812</t>
        </is>
      </c>
      <c r="C277" s="3" t="inlineStr">
        <is>
          <t>003837</t>
        </is>
      </c>
      <c r="D277" s="4" t="n">
        <v>45023</v>
      </c>
      <c r="E277" s="2" t="inlineStr">
        <is>
          <t>16:11</t>
        </is>
      </c>
      <c r="F277" s="5" t="n">
        <v>799.17</v>
      </c>
      <c r="G277" s="5" t="n"/>
      <c r="H277" s="5" t="n"/>
      <c r="I277" s="5" t="n"/>
      <c r="J277" s="5" t="n">
        <v>159.83</v>
      </c>
      <c r="K277" s="5" t="n"/>
      <c r="L277" s="5" t="n"/>
      <c r="M277" s="5" t="n"/>
      <c r="N277" s="5" t="n"/>
      <c r="O277" s="5" t="n">
        <v>959</v>
      </c>
      <c r="P277" s="5" t="n"/>
      <c r="Q277" s="5" t="n">
        <v>959</v>
      </c>
      <c r="R277" s="5" t="n"/>
      <c r="S277" s="5">
        <f>F277*20%</f>
        <v/>
      </c>
      <c r="T277" s="5">
        <f>J277-S277</f>
        <v/>
      </c>
      <c r="U277" s="5">
        <f>F277+J277</f>
        <v/>
      </c>
      <c r="V277" s="5">
        <f>O277-U277</f>
        <v/>
      </c>
      <c r="W277" s="5">
        <f>O277-(P277+R277)</f>
        <v/>
      </c>
      <c r="X277" s="5">
        <f>O277-(P277+Q277+R277)</f>
        <v/>
      </c>
    </row>
    <row r="278">
      <c r="A278" s="2" t="inlineStr">
        <is>
          <t>EJ020523.TXT</t>
        </is>
      </c>
      <c r="B278" s="3" t="inlineStr">
        <is>
          <t>004813</t>
        </is>
      </c>
      <c r="C278" s="3" t="inlineStr">
        <is>
          <t>003838</t>
        </is>
      </c>
      <c r="D278" s="4" t="n">
        <v>45023</v>
      </c>
      <c r="E278" s="2" t="inlineStr">
        <is>
          <t>16:17</t>
        </is>
      </c>
      <c r="F278" s="5" t="n">
        <v>208.33</v>
      </c>
      <c r="G278" s="5" t="n"/>
      <c r="H278" s="5" t="n"/>
      <c r="I278" s="5" t="n"/>
      <c r="J278" s="5" t="n">
        <v>41.67</v>
      </c>
      <c r="K278" s="5" t="n"/>
      <c r="L278" s="5" t="n"/>
      <c r="M278" s="5" t="n"/>
      <c r="N278" s="5" t="n"/>
      <c r="O278" s="5" t="n">
        <v>250</v>
      </c>
      <c r="P278" s="5" t="n"/>
      <c r="Q278" s="5" t="n">
        <v>250</v>
      </c>
      <c r="R278" s="5" t="n"/>
      <c r="S278" s="5">
        <f>F278*20%</f>
        <v/>
      </c>
      <c r="T278" s="5">
        <f>J278-S278</f>
        <v/>
      </c>
      <c r="U278" s="5">
        <f>F278+J278</f>
        <v/>
      </c>
      <c r="V278" s="5">
        <f>O278-U278</f>
        <v/>
      </c>
      <c r="W278" s="5">
        <f>O278-(P278+R278)</f>
        <v/>
      </c>
      <c r="X278" s="5">
        <f>O278-(P278+Q278+R278)</f>
        <v/>
      </c>
    </row>
    <row r="279">
      <c r="A279" s="2" t="inlineStr">
        <is>
          <t>EJ020523.TXT</t>
        </is>
      </c>
      <c r="B279" s="3" t="inlineStr">
        <is>
          <t>004814</t>
        </is>
      </c>
      <c r="C279" s="3" t="inlineStr">
        <is>
          <t>003839</t>
        </is>
      </c>
      <c r="D279" s="4" t="n">
        <v>45024</v>
      </c>
      <c r="E279" s="2" t="inlineStr">
        <is>
          <t>16:00</t>
        </is>
      </c>
      <c r="F279" s="5" t="n">
        <v>98.33</v>
      </c>
      <c r="G279" s="5" t="n"/>
      <c r="H279" s="5" t="n"/>
      <c r="I279" s="5" t="n"/>
      <c r="J279" s="5" t="n">
        <v>19.67</v>
      </c>
      <c r="K279" s="5" t="n"/>
      <c r="L279" s="5" t="n"/>
      <c r="M279" s="5" t="n"/>
      <c r="N279" s="5" t="n"/>
      <c r="O279" s="5" t="n">
        <v>118</v>
      </c>
      <c r="P279" s="5" t="n">
        <v>118</v>
      </c>
      <c r="Q279" s="5" t="n"/>
      <c r="R279" s="5" t="n"/>
      <c r="S279" s="5">
        <f>F279*20%</f>
        <v/>
      </c>
      <c r="T279" s="5">
        <f>J279-S279</f>
        <v/>
      </c>
      <c r="U279" s="5">
        <f>F279+J279</f>
        <v/>
      </c>
      <c r="V279" s="5">
        <f>O279-U279</f>
        <v/>
      </c>
      <c r="W279" s="5">
        <f>O279-(P279+R279)</f>
        <v/>
      </c>
      <c r="X279" s="5">
        <f>O279-(P279+Q279+R279)</f>
        <v/>
      </c>
    </row>
    <row r="280">
      <c r="A280" s="2" t="inlineStr">
        <is>
          <t>EJ020523.TXT</t>
        </is>
      </c>
      <c r="B280" s="3" t="inlineStr">
        <is>
          <t>004815</t>
        </is>
      </c>
      <c r="C280" s="3" t="inlineStr">
        <is>
          <t>003840</t>
        </is>
      </c>
      <c r="D280" s="4" t="n">
        <v>45027</v>
      </c>
      <c r="E280" s="2" t="inlineStr">
        <is>
          <t>09:52</t>
        </is>
      </c>
      <c r="F280" s="5" t="n">
        <v>797.5</v>
      </c>
      <c r="G280" s="5" t="n"/>
      <c r="H280" s="5" t="n"/>
      <c r="I280" s="5" t="n"/>
      <c r="J280" s="5" t="n">
        <v>159.5</v>
      </c>
      <c r="K280" s="5" t="n"/>
      <c r="L280" s="5" t="n"/>
      <c r="M280" s="5" t="n"/>
      <c r="N280" s="5" t="n"/>
      <c r="O280" s="5" t="n">
        <v>957</v>
      </c>
      <c r="P280" s="5" t="n"/>
      <c r="Q280" s="5" t="n">
        <v>957</v>
      </c>
      <c r="R280" s="5" t="n"/>
      <c r="S280" s="5">
        <f>F280*20%</f>
        <v/>
      </c>
      <c r="T280" s="5">
        <f>J280-S280</f>
        <v/>
      </c>
      <c r="U280" s="5">
        <f>F280+J280</f>
        <v/>
      </c>
      <c r="V280" s="5">
        <f>O280-U280</f>
        <v/>
      </c>
      <c r="W280" s="5">
        <f>O280-(P280+R280)</f>
        <v/>
      </c>
      <c r="X280" s="5">
        <f>O280-(P280+Q280+R280)</f>
        <v/>
      </c>
    </row>
    <row r="281">
      <c r="A281" s="2" t="inlineStr">
        <is>
          <t>EJ020523.TXT</t>
        </is>
      </c>
      <c r="B281" s="3" t="inlineStr">
        <is>
          <t>004816</t>
        </is>
      </c>
      <c r="C281" s="3" t="inlineStr">
        <is>
          <t>003841</t>
        </is>
      </c>
      <c r="D281" s="4" t="n">
        <v>45028</v>
      </c>
      <c r="E281" s="2" t="inlineStr">
        <is>
          <t>10:11</t>
        </is>
      </c>
      <c r="F281" s="5" t="n">
        <v>797.5</v>
      </c>
      <c r="G281" s="5" t="n"/>
      <c r="H281" s="5" t="n"/>
      <c r="I281" s="5" t="n"/>
      <c r="J281" s="5" t="n">
        <v>159.5</v>
      </c>
      <c r="K281" s="5" t="n"/>
      <c r="L281" s="5" t="n"/>
      <c r="M281" s="5" t="n"/>
      <c r="N281" s="5" t="n"/>
      <c r="O281" s="5" t="n">
        <v>957</v>
      </c>
      <c r="P281" s="5" t="n"/>
      <c r="Q281" s="5" t="n">
        <v>957</v>
      </c>
      <c r="R281" s="5" t="n"/>
      <c r="S281" s="5">
        <f>F281*20%</f>
        <v/>
      </c>
      <c r="T281" s="5">
        <f>J281-S281</f>
        <v/>
      </c>
      <c r="U281" s="5">
        <f>F281+J281</f>
        <v/>
      </c>
      <c r="V281" s="5">
        <f>O281-U281</f>
        <v/>
      </c>
      <c r="W281" s="5">
        <f>O281-(P281+R281)</f>
        <v/>
      </c>
      <c r="X281" s="5">
        <f>O281-(P281+Q281+R281)</f>
        <v/>
      </c>
    </row>
    <row r="282">
      <c r="A282" s="2" t="inlineStr">
        <is>
          <t>EJ020523.TXT</t>
        </is>
      </c>
      <c r="B282" s="3" t="inlineStr">
        <is>
          <t>004817</t>
        </is>
      </c>
      <c r="C282" s="3" t="inlineStr">
        <is>
          <t>003842</t>
        </is>
      </c>
      <c r="D282" s="4" t="n">
        <v>45028</v>
      </c>
      <c r="E282" s="2" t="inlineStr">
        <is>
          <t>11:28</t>
        </is>
      </c>
      <c r="F282" s="5" t="n">
        <v>263.33</v>
      </c>
      <c r="G282" s="5" t="n"/>
      <c r="H282" s="5" t="n"/>
      <c r="I282" s="5" t="n"/>
      <c r="J282" s="5" t="n">
        <v>52.67</v>
      </c>
      <c r="K282" s="5" t="n"/>
      <c r="L282" s="5" t="n"/>
      <c r="M282" s="5" t="n"/>
      <c r="N282" s="5" t="n"/>
      <c r="O282" s="5" t="n">
        <v>316</v>
      </c>
      <c r="P282" s="5" t="n">
        <v>316</v>
      </c>
      <c r="Q282" s="5" t="n"/>
      <c r="R282" s="5" t="n"/>
      <c r="S282" s="5">
        <f>F282*20%</f>
        <v/>
      </c>
      <c r="T282" s="5">
        <f>J282-S282</f>
        <v/>
      </c>
      <c r="U282" s="5">
        <f>F282+J282</f>
        <v/>
      </c>
      <c r="V282" s="5">
        <f>O282-U282</f>
        <v/>
      </c>
      <c r="W282" s="5">
        <f>O282-(P282+R282)</f>
        <v/>
      </c>
      <c r="X282" s="5">
        <f>O282-(P282+Q282+R282)</f>
        <v/>
      </c>
    </row>
    <row r="283">
      <c r="A283" s="2" t="inlineStr">
        <is>
          <t>EJ020523.TXT</t>
        </is>
      </c>
      <c r="B283" s="3" t="inlineStr">
        <is>
          <t>004818</t>
        </is>
      </c>
      <c r="C283" s="3" t="inlineStr">
        <is>
          <t>003843</t>
        </is>
      </c>
      <c r="D283" s="4" t="n">
        <v>45028</v>
      </c>
      <c r="E283" s="2" t="inlineStr">
        <is>
          <t>11:32</t>
        </is>
      </c>
      <c r="F283" s="5" t="n">
        <v>398.33</v>
      </c>
      <c r="G283" s="5" t="n"/>
      <c r="H283" s="5" t="n"/>
      <c r="I283" s="5" t="n"/>
      <c r="J283" s="5" t="n">
        <v>79.67</v>
      </c>
      <c r="K283" s="5" t="n"/>
      <c r="L283" s="5" t="n"/>
      <c r="M283" s="5" t="n"/>
      <c r="N283" s="5" t="n"/>
      <c r="O283" s="5" t="n">
        <v>478</v>
      </c>
      <c r="P283" s="5" t="n">
        <v>478</v>
      </c>
      <c r="Q283" s="5" t="n"/>
      <c r="R283" s="5" t="n"/>
      <c r="S283" s="5">
        <f>F283*20%</f>
        <v/>
      </c>
      <c r="T283" s="5">
        <f>J283-S283</f>
        <v/>
      </c>
      <c r="U283" s="5">
        <f>F283+J283</f>
        <v/>
      </c>
      <c r="V283" s="5">
        <f>O283-U283</f>
        <v/>
      </c>
      <c r="W283" s="5">
        <f>O283-(P283+R283)</f>
        <v/>
      </c>
      <c r="X283" s="5">
        <f>O283-(P283+Q283+R283)</f>
        <v/>
      </c>
    </row>
    <row r="284">
      <c r="A284" s="2" t="inlineStr">
        <is>
          <t>EJ020523.TXT</t>
        </is>
      </c>
      <c r="B284" s="3" t="inlineStr">
        <is>
          <t>004819</t>
        </is>
      </c>
      <c r="C284" s="3" t="inlineStr">
        <is>
          <t>003844</t>
        </is>
      </c>
      <c r="D284" s="4" t="n">
        <v>45028</v>
      </c>
      <c r="E284" s="2" t="inlineStr">
        <is>
          <t>16:03</t>
        </is>
      </c>
      <c r="F284" s="5" t="n">
        <v>250</v>
      </c>
      <c r="G284" s="5" t="n"/>
      <c r="H284" s="5" t="n"/>
      <c r="I284" s="5" t="n"/>
      <c r="J284" s="5" t="n">
        <v>50</v>
      </c>
      <c r="K284" s="5" t="n"/>
      <c r="L284" s="5" t="n"/>
      <c r="M284" s="5" t="n"/>
      <c r="N284" s="5" t="n"/>
      <c r="O284" s="5" t="n">
        <v>300</v>
      </c>
      <c r="P284" s="5" t="n"/>
      <c r="Q284" s="5" t="n">
        <v>300</v>
      </c>
      <c r="R284" s="5" t="n"/>
      <c r="S284" s="5">
        <f>F284*20%</f>
        <v/>
      </c>
      <c r="T284" s="5">
        <f>J284-S284</f>
        <v/>
      </c>
      <c r="U284" s="5">
        <f>F284+J284</f>
        <v/>
      </c>
      <c r="V284" s="5">
        <f>O284-U284</f>
        <v/>
      </c>
      <c r="W284" s="5">
        <f>O284-(P284+R284)</f>
        <v/>
      </c>
      <c r="X284" s="5">
        <f>O284-(P284+Q284+R284)</f>
        <v/>
      </c>
    </row>
    <row r="285">
      <c r="A285" s="2" t="inlineStr">
        <is>
          <t>EJ020523.TXT</t>
        </is>
      </c>
      <c r="B285" s="3" t="inlineStr">
        <is>
          <t>004820</t>
        </is>
      </c>
      <c r="C285" s="3" t="inlineStr">
        <is>
          <t>003845</t>
        </is>
      </c>
      <c r="D285" s="4" t="n">
        <v>45028</v>
      </c>
      <c r="E285" s="2" t="inlineStr">
        <is>
          <t>16:03</t>
        </is>
      </c>
      <c r="F285" s="5" t="n">
        <v>298.33</v>
      </c>
      <c r="G285" s="5" t="n"/>
      <c r="H285" s="5" t="n"/>
      <c r="I285" s="5" t="n"/>
      <c r="J285" s="5" t="n">
        <v>59.67</v>
      </c>
      <c r="K285" s="5" t="n"/>
      <c r="L285" s="5" t="n"/>
      <c r="M285" s="5" t="n"/>
      <c r="N285" s="5" t="n"/>
      <c r="O285" s="5" t="n">
        <v>358</v>
      </c>
      <c r="P285" s="5" t="n">
        <v>358</v>
      </c>
      <c r="Q285" s="5" t="n"/>
      <c r="R285" s="5" t="n"/>
      <c r="S285" s="5">
        <f>F285*20%</f>
        <v/>
      </c>
      <c r="T285" s="5">
        <f>J285-S285</f>
        <v/>
      </c>
      <c r="U285" s="5">
        <f>F285+J285</f>
        <v/>
      </c>
      <c r="V285" s="5">
        <f>O285-U285</f>
        <v/>
      </c>
      <c r="W285" s="5">
        <f>O285-(P285+R285)</f>
        <v/>
      </c>
      <c r="X285" s="5">
        <f>O285-(P285+Q285+R285)</f>
        <v/>
      </c>
    </row>
    <row r="286">
      <c r="A286" s="2" t="inlineStr">
        <is>
          <t>EJ020523.TXT</t>
        </is>
      </c>
      <c r="B286" s="3" t="inlineStr">
        <is>
          <t>004821</t>
        </is>
      </c>
      <c r="C286" s="3" t="inlineStr">
        <is>
          <t>003846</t>
        </is>
      </c>
      <c r="D286" s="4" t="n">
        <v>45029</v>
      </c>
      <c r="E286" s="2" t="inlineStr">
        <is>
          <t>09:52</t>
        </is>
      </c>
      <c r="F286" s="5" t="n">
        <v>797.5</v>
      </c>
      <c r="G286" s="5" t="n"/>
      <c r="H286" s="5" t="n"/>
      <c r="I286" s="5" t="n"/>
      <c r="J286" s="5" t="n">
        <v>159.5</v>
      </c>
      <c r="K286" s="5" t="n"/>
      <c r="L286" s="5" t="n"/>
      <c r="M286" s="5" t="n"/>
      <c r="N286" s="5" t="n"/>
      <c r="O286" s="5" t="n">
        <v>957</v>
      </c>
      <c r="P286" s="5" t="n"/>
      <c r="Q286" s="5" t="n">
        <v>957</v>
      </c>
      <c r="R286" s="5" t="n"/>
      <c r="S286" s="5">
        <f>F286*20%</f>
        <v/>
      </c>
      <c r="T286" s="5">
        <f>J286-S286</f>
        <v/>
      </c>
      <c r="U286" s="5">
        <f>F286+J286</f>
        <v/>
      </c>
      <c r="V286" s="5">
        <f>O286-U286</f>
        <v/>
      </c>
      <c r="W286" s="5">
        <f>O286-(P286+R286)</f>
        <v/>
      </c>
      <c r="X286" s="5">
        <f>O286-(P286+Q286+R286)</f>
        <v/>
      </c>
    </row>
    <row r="287">
      <c r="A287" s="2" t="inlineStr">
        <is>
          <t>EJ020523.TXT</t>
        </is>
      </c>
      <c r="B287" s="3" t="inlineStr">
        <is>
          <t>004822</t>
        </is>
      </c>
      <c r="C287" s="3" t="inlineStr">
        <is>
          <t>003847</t>
        </is>
      </c>
      <c r="D287" s="4" t="n">
        <v>45029</v>
      </c>
      <c r="E287" s="2" t="inlineStr">
        <is>
          <t>11:02</t>
        </is>
      </c>
      <c r="F287" s="5" t="n">
        <v>797.5</v>
      </c>
      <c r="G287" s="5" t="n"/>
      <c r="H287" s="5" t="n"/>
      <c r="I287" s="5" t="n"/>
      <c r="J287" s="5" t="n">
        <v>159.5</v>
      </c>
      <c r="K287" s="5" t="n"/>
      <c r="L287" s="5" t="n"/>
      <c r="M287" s="5" t="n"/>
      <c r="N287" s="5" t="n"/>
      <c r="O287" s="5" t="n">
        <v>957</v>
      </c>
      <c r="P287" s="5" t="n"/>
      <c r="Q287" s="5" t="n">
        <v>957</v>
      </c>
      <c r="R287" s="5" t="n"/>
      <c r="S287" s="5">
        <f>F287*20%</f>
        <v/>
      </c>
      <c r="T287" s="5">
        <f>J287-S287</f>
        <v/>
      </c>
      <c r="U287" s="5">
        <f>F287+J287</f>
        <v/>
      </c>
      <c r="V287" s="5">
        <f>O287-U287</f>
        <v/>
      </c>
      <c r="W287" s="5">
        <f>O287-(P287+R287)</f>
        <v/>
      </c>
      <c r="X287" s="5">
        <f>O287-(P287+Q287+R287)</f>
        <v/>
      </c>
    </row>
    <row r="288">
      <c r="A288" s="2" t="inlineStr">
        <is>
          <t>EJ020523.TXT</t>
        </is>
      </c>
      <c r="B288" s="3" t="inlineStr">
        <is>
          <t>004823</t>
        </is>
      </c>
      <c r="C288" s="3" t="inlineStr">
        <is>
          <t>003848</t>
        </is>
      </c>
      <c r="D288" s="4" t="n">
        <v>45031</v>
      </c>
      <c r="E288" s="2" t="inlineStr">
        <is>
          <t>15:38</t>
        </is>
      </c>
      <c r="F288" s="5" t="n">
        <v>582.5</v>
      </c>
      <c r="G288" s="5" t="n"/>
      <c r="H288" s="5" t="n"/>
      <c r="I288" s="5" t="n"/>
      <c r="J288" s="5" t="n">
        <v>116.5</v>
      </c>
      <c r="K288" s="5" t="n"/>
      <c r="L288" s="5" t="n"/>
      <c r="M288" s="5" t="n"/>
      <c r="N288" s="5" t="n"/>
      <c r="O288" s="5" t="n">
        <v>699</v>
      </c>
      <c r="P288" s="5" t="n">
        <v>699</v>
      </c>
      <c r="Q288" s="5" t="n"/>
      <c r="R288" s="5" t="n"/>
      <c r="S288" s="5">
        <f>F288*20%</f>
        <v/>
      </c>
      <c r="T288" s="5">
        <f>J288-S288</f>
        <v/>
      </c>
      <c r="U288" s="5">
        <f>F288+J288</f>
        <v/>
      </c>
      <c r="V288" s="5">
        <f>O288-U288</f>
        <v/>
      </c>
      <c r="W288" s="5">
        <f>O288-(P288+R288)</f>
        <v/>
      </c>
      <c r="X288" s="5">
        <f>O288-(P288+Q288+R288)</f>
        <v/>
      </c>
    </row>
    <row r="289">
      <c r="A289" s="2" t="inlineStr">
        <is>
          <t>EJ020523.TXT</t>
        </is>
      </c>
      <c r="B289" s="3" t="inlineStr">
        <is>
          <t>004824</t>
        </is>
      </c>
      <c r="C289" s="3" t="inlineStr">
        <is>
          <t>003849</t>
        </is>
      </c>
      <c r="D289" s="4" t="n">
        <v>45031</v>
      </c>
      <c r="E289" s="2" t="inlineStr">
        <is>
          <t>16:43</t>
        </is>
      </c>
      <c r="F289" s="5" t="n">
        <v>49.17</v>
      </c>
      <c r="G289" s="5" t="n"/>
      <c r="H289" s="5" t="n"/>
      <c r="I289" s="5" t="n"/>
      <c r="J289" s="5" t="n">
        <v>9.83</v>
      </c>
      <c r="K289" s="5" t="n"/>
      <c r="L289" s="5" t="n"/>
      <c r="M289" s="5" t="n"/>
      <c r="N289" s="5" t="n"/>
      <c r="O289" s="5" t="n">
        <v>59</v>
      </c>
      <c r="P289" s="5" t="n">
        <v>59</v>
      </c>
      <c r="Q289" s="5" t="n"/>
      <c r="R289" s="5" t="n"/>
      <c r="S289" s="5">
        <f>F289*20%</f>
        <v/>
      </c>
      <c r="T289" s="5">
        <f>J289-S289</f>
        <v/>
      </c>
      <c r="U289" s="5">
        <f>F289+J289</f>
        <v/>
      </c>
      <c r="V289" s="5">
        <f>O289-U289</f>
        <v/>
      </c>
      <c r="W289" s="5">
        <f>O289-(P289+R289)</f>
        <v/>
      </c>
      <c r="X289" s="5">
        <f>O289-(P289+Q289+R289)</f>
        <v/>
      </c>
    </row>
    <row r="290">
      <c r="A290" s="2" t="inlineStr">
        <is>
          <t>EJ020523.TXT</t>
        </is>
      </c>
      <c r="B290" s="3" t="inlineStr">
        <is>
          <t>004825</t>
        </is>
      </c>
      <c r="C290" s="3" t="inlineStr">
        <is>
          <t>003850</t>
        </is>
      </c>
      <c r="D290" s="4" t="n">
        <v>45033</v>
      </c>
      <c r="E290" s="2" t="inlineStr">
        <is>
          <t>17:37</t>
        </is>
      </c>
      <c r="F290" s="5" t="n">
        <v>582.5</v>
      </c>
      <c r="G290" s="5" t="n"/>
      <c r="H290" s="5" t="n"/>
      <c r="I290" s="5" t="n"/>
      <c r="J290" s="5" t="n">
        <v>116.5</v>
      </c>
      <c r="K290" s="5" t="n"/>
      <c r="L290" s="5" t="n"/>
      <c r="M290" s="5" t="n"/>
      <c r="N290" s="5" t="n"/>
      <c r="O290" s="5" t="n">
        <v>699</v>
      </c>
      <c r="P290" s="5" t="n"/>
      <c r="Q290" s="5" t="n">
        <v>699</v>
      </c>
      <c r="R290" s="5" t="n"/>
      <c r="S290" s="5">
        <f>F290*20%</f>
        <v/>
      </c>
      <c r="T290" s="5">
        <f>J290-S290</f>
        <v/>
      </c>
      <c r="U290" s="5">
        <f>F290+J290</f>
        <v/>
      </c>
      <c r="V290" s="5">
        <f>O290-U290</f>
        <v/>
      </c>
      <c r="W290" s="5">
        <f>O290-(P290+R290)</f>
        <v/>
      </c>
      <c r="X290" s="5">
        <f>O290-(P290+Q290+R290)</f>
        <v/>
      </c>
    </row>
    <row r="291">
      <c r="A291" s="2" t="inlineStr">
        <is>
          <t>EJ020523.TXT</t>
        </is>
      </c>
      <c r="B291" s="3" t="inlineStr">
        <is>
          <t>004826</t>
        </is>
      </c>
      <c r="C291" s="3" t="inlineStr">
        <is>
          <t>003851</t>
        </is>
      </c>
      <c r="D291" s="4" t="n">
        <v>45034</v>
      </c>
      <c r="E291" s="2" t="inlineStr">
        <is>
          <t>17:18</t>
        </is>
      </c>
      <c r="F291" s="5" t="n">
        <v>274.17</v>
      </c>
      <c r="G291" s="5" t="n"/>
      <c r="H291" s="5" t="n"/>
      <c r="I291" s="5" t="n"/>
      <c r="J291" s="5" t="n">
        <v>54.83</v>
      </c>
      <c r="K291" s="5" t="n"/>
      <c r="L291" s="5" t="n"/>
      <c r="M291" s="5" t="n"/>
      <c r="N291" s="5" t="n"/>
      <c r="O291" s="5" t="n">
        <v>329</v>
      </c>
      <c r="P291" s="5" t="n"/>
      <c r="Q291" s="5" t="n">
        <v>329</v>
      </c>
      <c r="R291" s="5" t="n"/>
      <c r="S291" s="5">
        <f>F291*20%</f>
        <v/>
      </c>
      <c r="T291" s="5">
        <f>J291-S291</f>
        <v/>
      </c>
      <c r="U291" s="5">
        <f>F291+J291</f>
        <v/>
      </c>
      <c r="V291" s="5">
        <f>O291-U291</f>
        <v/>
      </c>
      <c r="W291" s="5">
        <f>O291-(P291+R291)</f>
        <v/>
      </c>
      <c r="X291" s="5">
        <f>O291-(P291+Q291+R291)</f>
        <v/>
      </c>
    </row>
    <row r="292">
      <c r="A292" s="2" t="inlineStr">
        <is>
          <t>EJ020523.TXT</t>
        </is>
      </c>
      <c r="B292" s="3" t="inlineStr">
        <is>
          <t>004827</t>
        </is>
      </c>
      <c r="C292" s="3" t="inlineStr">
        <is>
          <t>003852</t>
        </is>
      </c>
      <c r="D292" s="4" t="n">
        <v>45035</v>
      </c>
      <c r="E292" s="2" t="inlineStr">
        <is>
          <t>14:47</t>
        </is>
      </c>
      <c r="F292" s="5" t="n">
        <v>83.33</v>
      </c>
      <c r="G292" s="5" t="n"/>
      <c r="H292" s="5" t="n"/>
      <c r="I292" s="5" t="n"/>
      <c r="J292" s="5" t="n">
        <v>16.67</v>
      </c>
      <c r="K292" s="5" t="n"/>
      <c r="L292" s="5" t="n"/>
      <c r="M292" s="5" t="n"/>
      <c r="N292" s="5" t="n"/>
      <c r="O292" s="5" t="n">
        <v>100</v>
      </c>
      <c r="P292" s="5" t="n"/>
      <c r="Q292" s="5" t="n">
        <v>100</v>
      </c>
      <c r="R292" s="5" t="n"/>
      <c r="S292" s="5">
        <f>F292*20%</f>
        <v/>
      </c>
      <c r="T292" s="5">
        <f>J292-S292</f>
        <v/>
      </c>
      <c r="U292" s="5">
        <f>F292+J292</f>
        <v/>
      </c>
      <c r="V292" s="5">
        <f>O292-U292</f>
        <v/>
      </c>
      <c r="W292" s="5">
        <f>O292-(P292+R292)</f>
        <v/>
      </c>
      <c r="X292" s="5">
        <f>O292-(P292+Q292+R292)</f>
        <v/>
      </c>
    </row>
    <row r="293">
      <c r="A293" s="2" t="inlineStr">
        <is>
          <t>EJ020523.TXT</t>
        </is>
      </c>
      <c r="B293" s="3" t="inlineStr">
        <is>
          <t>004828</t>
        </is>
      </c>
      <c r="C293" s="3" t="inlineStr">
        <is>
          <t>003853</t>
        </is>
      </c>
      <c r="D293" s="4" t="n">
        <v>45035</v>
      </c>
      <c r="E293" s="2" t="inlineStr">
        <is>
          <t>14:47</t>
        </is>
      </c>
      <c r="F293" s="5" t="n">
        <v>25</v>
      </c>
      <c r="G293" s="5" t="n"/>
      <c r="H293" s="5" t="n"/>
      <c r="I293" s="5" t="n"/>
      <c r="J293" s="5" t="n">
        <v>5</v>
      </c>
      <c r="K293" s="5" t="n"/>
      <c r="L293" s="5" t="n"/>
      <c r="M293" s="5" t="n"/>
      <c r="N293" s="5" t="n"/>
      <c r="O293" s="5" t="n">
        <v>30</v>
      </c>
      <c r="P293" s="5" t="n">
        <v>30</v>
      </c>
      <c r="Q293" s="5" t="n"/>
      <c r="R293" s="5" t="n"/>
      <c r="S293" s="5">
        <f>F293*20%</f>
        <v/>
      </c>
      <c r="T293" s="5">
        <f>J293-S293</f>
        <v/>
      </c>
      <c r="U293" s="5">
        <f>F293+J293</f>
        <v/>
      </c>
      <c r="V293" s="5">
        <f>O293-U293</f>
        <v/>
      </c>
      <c r="W293" s="5">
        <f>O293-(P293+R293)</f>
        <v/>
      </c>
      <c r="X293" s="5">
        <f>O293-(P293+Q293+R293)</f>
        <v/>
      </c>
    </row>
    <row r="294">
      <c r="A294" s="2" t="inlineStr">
        <is>
          <t>EJ020523.TXT</t>
        </is>
      </c>
      <c r="B294" s="3" t="inlineStr">
        <is>
          <t>004829</t>
        </is>
      </c>
      <c r="C294" s="3" t="inlineStr">
        <is>
          <t>003854</t>
        </is>
      </c>
      <c r="D294" s="4" t="n">
        <v>45036</v>
      </c>
      <c r="E294" s="2" t="inlineStr">
        <is>
          <t>13:53</t>
        </is>
      </c>
      <c r="F294" s="5" t="n">
        <v>650</v>
      </c>
      <c r="G294" s="5" t="n"/>
      <c r="H294" s="5" t="n"/>
      <c r="I294" s="5" t="n"/>
      <c r="J294" s="5" t="n">
        <v>130</v>
      </c>
      <c r="K294" s="5" t="n"/>
      <c r="L294" s="5" t="n"/>
      <c r="M294" s="5" t="n"/>
      <c r="N294" s="5" t="n"/>
      <c r="O294" s="5" t="n">
        <v>780</v>
      </c>
      <c r="P294" s="5" t="n"/>
      <c r="Q294" s="5" t="n">
        <v>780</v>
      </c>
      <c r="R294" s="5" t="n"/>
      <c r="S294" s="5">
        <f>F294*20%</f>
        <v/>
      </c>
      <c r="T294" s="5">
        <f>J294-S294</f>
        <v/>
      </c>
      <c r="U294" s="5">
        <f>F294+J294</f>
        <v/>
      </c>
      <c r="V294" s="5">
        <f>O294-U294</f>
        <v/>
      </c>
      <c r="W294" s="5">
        <f>O294-(P294+R294)</f>
        <v/>
      </c>
      <c r="X294" s="5">
        <f>O294-(P294+Q294+R294)</f>
        <v/>
      </c>
    </row>
    <row r="295">
      <c r="A295" s="2" t="inlineStr">
        <is>
          <t>EJ020523.TXT</t>
        </is>
      </c>
      <c r="B295" s="3" t="inlineStr">
        <is>
          <t>004830</t>
        </is>
      </c>
      <c r="C295" s="3" t="inlineStr">
        <is>
          <t>003855</t>
        </is>
      </c>
      <c r="D295" s="4" t="n">
        <v>45036</v>
      </c>
      <c r="E295" s="2" t="inlineStr">
        <is>
          <t>13:53</t>
        </is>
      </c>
      <c r="F295" s="5" t="n">
        <v>799.17</v>
      </c>
      <c r="G295" s="5" t="n"/>
      <c r="H295" s="5" t="n"/>
      <c r="I295" s="5" t="n"/>
      <c r="J295" s="5" t="n">
        <v>159.83</v>
      </c>
      <c r="K295" s="5" t="n"/>
      <c r="L295" s="5" t="n"/>
      <c r="M295" s="5" t="n"/>
      <c r="N295" s="5" t="n"/>
      <c r="O295" s="5" t="n">
        <v>959</v>
      </c>
      <c r="P295" s="5" t="n"/>
      <c r="Q295" s="5" t="n">
        <v>959</v>
      </c>
      <c r="R295" s="5" t="n"/>
      <c r="S295" s="5">
        <f>F295*20%</f>
        <v/>
      </c>
      <c r="T295" s="5">
        <f>J295-S295</f>
        <v/>
      </c>
      <c r="U295" s="5">
        <f>F295+J295</f>
        <v/>
      </c>
      <c r="V295" s="5">
        <f>O295-U295</f>
        <v/>
      </c>
      <c r="W295" s="5">
        <f>O295-(P295+R295)</f>
        <v/>
      </c>
      <c r="X295" s="5">
        <f>O295-(P295+Q295+R295)</f>
        <v/>
      </c>
    </row>
    <row r="296">
      <c r="A296" s="2" t="inlineStr">
        <is>
          <t>EJ020523.TXT</t>
        </is>
      </c>
      <c r="B296" s="3" t="inlineStr">
        <is>
          <t>004831</t>
        </is>
      </c>
      <c r="C296" s="3" t="inlineStr">
        <is>
          <t>003856</t>
        </is>
      </c>
      <c r="D296" s="4" t="n">
        <v>45036</v>
      </c>
      <c r="E296" s="2" t="inlineStr">
        <is>
          <t>15:06</t>
        </is>
      </c>
      <c r="F296" s="5" t="n">
        <v>548.33</v>
      </c>
      <c r="G296" s="5" t="n"/>
      <c r="H296" s="5" t="n"/>
      <c r="I296" s="5" t="n"/>
      <c r="J296" s="5" t="n">
        <v>109.67</v>
      </c>
      <c r="K296" s="5" t="n"/>
      <c r="L296" s="5" t="n"/>
      <c r="M296" s="5" t="n"/>
      <c r="N296" s="5" t="n"/>
      <c r="O296" s="5" t="n">
        <v>658</v>
      </c>
      <c r="P296" s="5" t="n">
        <v>658</v>
      </c>
      <c r="Q296" s="5" t="n"/>
      <c r="R296" s="5" t="n"/>
      <c r="S296" s="5">
        <f>F296*20%</f>
        <v/>
      </c>
      <c r="T296" s="5">
        <f>J296-S296</f>
        <v/>
      </c>
      <c r="U296" s="5">
        <f>F296+J296</f>
        <v/>
      </c>
      <c r="V296" s="5">
        <f>O296-U296</f>
        <v/>
      </c>
      <c r="W296" s="5">
        <f>O296-(P296+R296)</f>
        <v/>
      </c>
      <c r="X296" s="5">
        <f>O296-(P296+Q296+R296)</f>
        <v/>
      </c>
    </row>
    <row r="297">
      <c r="A297" s="2" t="inlineStr">
        <is>
          <t>EJ020523.TXT</t>
        </is>
      </c>
      <c r="B297" s="3" t="inlineStr">
        <is>
          <t>004832</t>
        </is>
      </c>
      <c r="C297" s="3" t="inlineStr">
        <is>
          <t>003857</t>
        </is>
      </c>
      <c r="D297" s="4" t="n">
        <v>45037</v>
      </c>
      <c r="E297" s="2" t="inlineStr">
        <is>
          <t>11:10</t>
        </is>
      </c>
      <c r="F297" s="5" t="n">
        <v>548.33</v>
      </c>
      <c r="G297" s="5" t="n"/>
      <c r="H297" s="5" t="n"/>
      <c r="I297" s="5" t="n"/>
      <c r="J297" s="5" t="n">
        <v>109.67</v>
      </c>
      <c r="K297" s="5" t="n"/>
      <c r="L297" s="5" t="n"/>
      <c r="M297" s="5" t="n"/>
      <c r="N297" s="5" t="n"/>
      <c r="O297" s="5" t="n">
        <v>658</v>
      </c>
      <c r="P297" s="5" t="n"/>
      <c r="Q297" s="5" t="n">
        <v>658</v>
      </c>
      <c r="R297" s="5" t="n"/>
      <c r="S297" s="5">
        <f>F297*20%</f>
        <v/>
      </c>
      <c r="T297" s="5">
        <f>J297-S297</f>
        <v/>
      </c>
      <c r="U297" s="5">
        <f>F297+J297</f>
        <v/>
      </c>
      <c r="V297" s="5">
        <f>O297-U297</f>
        <v/>
      </c>
      <c r="W297" s="5">
        <f>O297-(P297+R297)</f>
        <v/>
      </c>
      <c r="X297" s="5">
        <f>O297-(P297+Q297+R297)</f>
        <v/>
      </c>
    </row>
    <row r="298">
      <c r="A298" s="2" t="inlineStr">
        <is>
          <t>EJ020523.TXT</t>
        </is>
      </c>
      <c r="B298" s="3" t="inlineStr">
        <is>
          <t>004833</t>
        </is>
      </c>
      <c r="C298" s="3" t="inlineStr">
        <is>
          <t>003858</t>
        </is>
      </c>
      <c r="D298" s="4" t="n">
        <v>45037</v>
      </c>
      <c r="E298" s="2" t="inlineStr">
        <is>
          <t>15:13</t>
        </is>
      </c>
      <c r="F298" s="5" t="n">
        <v>548.33</v>
      </c>
      <c r="G298" s="5" t="n"/>
      <c r="H298" s="5" t="n"/>
      <c r="I298" s="5" t="n"/>
      <c r="J298" s="5" t="n">
        <v>109.67</v>
      </c>
      <c r="K298" s="5" t="n"/>
      <c r="L298" s="5" t="n"/>
      <c r="M298" s="5" t="n"/>
      <c r="N298" s="5" t="n"/>
      <c r="O298" s="5" t="n">
        <v>658</v>
      </c>
      <c r="P298" s="5" t="n">
        <v>658</v>
      </c>
      <c r="Q298" s="5" t="n"/>
      <c r="R298" s="5" t="n"/>
      <c r="S298" s="5">
        <f>F298*20%</f>
        <v/>
      </c>
      <c r="T298" s="5">
        <f>J298-S298</f>
        <v/>
      </c>
      <c r="U298" s="5">
        <f>F298+J298</f>
        <v/>
      </c>
      <c r="V298" s="5">
        <f>O298-U298</f>
        <v/>
      </c>
      <c r="W298" s="5">
        <f>O298-(P298+R298)</f>
        <v/>
      </c>
      <c r="X298" s="5">
        <f>O298-(P298+Q298+R298)</f>
        <v/>
      </c>
    </row>
    <row r="299">
      <c r="A299" s="2" t="inlineStr">
        <is>
          <t>EJ020523.TXT</t>
        </is>
      </c>
      <c r="B299" s="3" t="inlineStr">
        <is>
          <t>004834</t>
        </is>
      </c>
      <c r="C299" s="3" t="inlineStr">
        <is>
          <t>003859</t>
        </is>
      </c>
      <c r="D299" s="4" t="n">
        <v>45037</v>
      </c>
      <c r="E299" s="2" t="inlineStr">
        <is>
          <t>16:51</t>
        </is>
      </c>
      <c r="F299" s="5" t="n">
        <v>274.17</v>
      </c>
      <c r="G299" s="5" t="n"/>
      <c r="H299" s="5" t="n"/>
      <c r="I299" s="5" t="n"/>
      <c r="J299" s="5" t="n">
        <v>54.83</v>
      </c>
      <c r="K299" s="5" t="n"/>
      <c r="L299" s="5" t="n"/>
      <c r="M299" s="5" t="n"/>
      <c r="N299" s="5" t="n"/>
      <c r="O299" s="5" t="n">
        <v>329</v>
      </c>
      <c r="P299" s="5" t="n">
        <v>329</v>
      </c>
      <c r="Q299" s="5" t="n"/>
      <c r="R299" s="5" t="n"/>
      <c r="S299" s="5">
        <f>F299*20%</f>
        <v/>
      </c>
      <c r="T299" s="5">
        <f>J299-S299</f>
        <v/>
      </c>
      <c r="U299" s="5">
        <f>F299+J299</f>
        <v/>
      </c>
      <c r="V299" s="5">
        <f>O299-U299</f>
        <v/>
      </c>
      <c r="W299" s="5">
        <f>O299-(P299+R299)</f>
        <v/>
      </c>
      <c r="X299" s="5">
        <f>O299-(P299+Q299+R299)</f>
        <v/>
      </c>
    </row>
    <row r="300">
      <c r="A300" s="2" t="inlineStr">
        <is>
          <t>EJ020523.TXT</t>
        </is>
      </c>
      <c r="B300" s="3" t="inlineStr">
        <is>
          <t>004835</t>
        </is>
      </c>
      <c r="C300" s="3" t="inlineStr">
        <is>
          <t>003860</t>
        </is>
      </c>
      <c r="D300" s="4" t="n">
        <v>45038</v>
      </c>
      <c r="E300" s="2" t="inlineStr">
        <is>
          <t>15:51</t>
        </is>
      </c>
      <c r="F300" s="5" t="n">
        <v>548.33</v>
      </c>
      <c r="G300" s="5" t="n"/>
      <c r="H300" s="5" t="n"/>
      <c r="I300" s="5" t="n"/>
      <c r="J300" s="5" t="n">
        <v>109.67</v>
      </c>
      <c r="K300" s="5" t="n"/>
      <c r="L300" s="5" t="n"/>
      <c r="M300" s="5" t="n"/>
      <c r="N300" s="5" t="n"/>
      <c r="O300" s="5" t="n">
        <v>658</v>
      </c>
      <c r="P300" s="5" t="n">
        <v>658</v>
      </c>
      <c r="Q300" s="5" t="n"/>
      <c r="R300" s="5" t="n"/>
      <c r="S300" s="5">
        <f>F300*20%</f>
        <v/>
      </c>
      <c r="T300" s="5">
        <f>J300-S300</f>
        <v/>
      </c>
      <c r="U300" s="5">
        <f>F300+J300</f>
        <v/>
      </c>
      <c r="V300" s="5">
        <f>O300-U300</f>
        <v/>
      </c>
      <c r="W300" s="5">
        <f>O300-(P300+R300)</f>
        <v/>
      </c>
      <c r="X300" s="5">
        <f>O300-(P300+Q300+R300)</f>
        <v/>
      </c>
    </row>
    <row r="301">
      <c r="A301" s="2" t="inlineStr">
        <is>
          <t>EJ020523.TXT</t>
        </is>
      </c>
      <c r="B301" s="3" t="inlineStr">
        <is>
          <t>004836</t>
        </is>
      </c>
      <c r="C301" s="3" t="inlineStr">
        <is>
          <t>003861</t>
        </is>
      </c>
      <c r="D301" s="4" t="n">
        <v>45040</v>
      </c>
      <c r="E301" s="2" t="inlineStr">
        <is>
          <t>10:05</t>
        </is>
      </c>
      <c r="F301" s="5" t="n">
        <v>10400</v>
      </c>
      <c r="G301" s="5" t="n"/>
      <c r="H301" s="5" t="n"/>
      <c r="I301" s="5" t="n"/>
      <c r="J301" s="5" t="n">
        <v>2080</v>
      </c>
      <c r="K301" s="5" t="n"/>
      <c r="L301" s="5" t="n"/>
      <c r="M301" s="5" t="n"/>
      <c r="N301" s="5" t="n"/>
      <c r="O301" s="5" t="n">
        <v>12480</v>
      </c>
      <c r="P301" s="5" t="n">
        <v>12480</v>
      </c>
      <c r="Q301" s="5" t="n"/>
      <c r="R301" s="5" t="n"/>
      <c r="S301" s="5">
        <f>F301*20%</f>
        <v/>
      </c>
      <c r="T301" s="5">
        <f>J301-S301</f>
        <v/>
      </c>
      <c r="U301" s="5">
        <f>F301+J301</f>
        <v/>
      </c>
      <c r="V301" s="5">
        <f>O301-U301</f>
        <v/>
      </c>
      <c r="W301" s="5">
        <f>O301-(P301+R301)</f>
        <v/>
      </c>
      <c r="X301" s="5">
        <f>O301-(P301+Q301+R301)</f>
        <v/>
      </c>
    </row>
    <row r="302">
      <c r="A302" s="2" t="inlineStr">
        <is>
          <t>EJ020523.TXT</t>
        </is>
      </c>
      <c r="B302" s="3" t="inlineStr">
        <is>
          <t>004837</t>
        </is>
      </c>
      <c r="C302" s="3" t="inlineStr">
        <is>
          <t>003862</t>
        </is>
      </c>
      <c r="D302" s="4" t="n">
        <v>45040</v>
      </c>
      <c r="E302" s="2" t="inlineStr">
        <is>
          <t>15:56</t>
        </is>
      </c>
      <c r="F302" s="5" t="n">
        <v>274.17</v>
      </c>
      <c r="G302" s="5" t="n"/>
      <c r="H302" s="5" t="n"/>
      <c r="I302" s="5" t="n"/>
      <c r="J302" s="5" t="n">
        <v>54.83</v>
      </c>
      <c r="K302" s="5" t="n"/>
      <c r="L302" s="5" t="n"/>
      <c r="M302" s="5" t="n"/>
      <c r="N302" s="5" t="n"/>
      <c r="O302" s="5" t="n">
        <v>329</v>
      </c>
      <c r="P302" s="5" t="n">
        <v>329</v>
      </c>
      <c r="Q302" s="5" t="n"/>
      <c r="R302" s="5" t="n"/>
      <c r="S302" s="5">
        <f>F302*20%</f>
        <v/>
      </c>
      <c r="T302" s="5">
        <f>J302-S302</f>
        <v/>
      </c>
      <c r="U302" s="5">
        <f>F302+J302</f>
        <v/>
      </c>
      <c r="V302" s="5">
        <f>O302-U302</f>
        <v/>
      </c>
      <c r="W302" s="5">
        <f>O302-(P302+R302)</f>
        <v/>
      </c>
      <c r="X302" s="5">
        <f>O302-(P302+Q302+R302)</f>
        <v/>
      </c>
    </row>
    <row r="303">
      <c r="A303" s="2" t="inlineStr">
        <is>
          <t>EJ020523.TXT</t>
        </is>
      </c>
      <c r="B303" s="3" t="inlineStr">
        <is>
          <t>004838</t>
        </is>
      </c>
      <c r="C303" s="3" t="inlineStr">
        <is>
          <t>003863</t>
        </is>
      </c>
      <c r="D303" s="4" t="n">
        <v>45041</v>
      </c>
      <c r="E303" s="2" t="inlineStr">
        <is>
          <t>15:14</t>
        </is>
      </c>
      <c r="F303" s="5" t="n">
        <v>500</v>
      </c>
      <c r="G303" s="5" t="n"/>
      <c r="H303" s="5" t="n"/>
      <c r="I303" s="5" t="n"/>
      <c r="J303" s="5" t="n">
        <v>100</v>
      </c>
      <c r="K303" s="5" t="n"/>
      <c r="L303" s="5" t="n"/>
      <c r="M303" s="5" t="n"/>
      <c r="N303" s="5" t="n"/>
      <c r="O303" s="5" t="n">
        <v>600</v>
      </c>
      <c r="P303" s="5" t="n">
        <v>600</v>
      </c>
      <c r="Q303" s="5" t="n"/>
      <c r="R303" s="5" t="n"/>
      <c r="S303" s="5">
        <f>F303*20%</f>
        <v/>
      </c>
      <c r="T303" s="5">
        <f>J303-S303</f>
        <v/>
      </c>
      <c r="U303" s="5">
        <f>F303+J303</f>
        <v/>
      </c>
      <c r="V303" s="5">
        <f>O303-U303</f>
        <v/>
      </c>
      <c r="W303" s="5">
        <f>O303-(P303+R303)</f>
        <v/>
      </c>
      <c r="X303" s="5">
        <f>O303-(P303+Q303+R303)</f>
        <v/>
      </c>
    </row>
    <row r="304">
      <c r="A304" s="2" t="inlineStr">
        <is>
          <t>EJ020523.TXT</t>
        </is>
      </c>
      <c r="B304" s="3" t="inlineStr">
        <is>
          <t>004839</t>
        </is>
      </c>
      <c r="C304" s="3" t="inlineStr">
        <is>
          <t>003864</t>
        </is>
      </c>
      <c r="D304" s="4" t="n">
        <v>45041</v>
      </c>
      <c r="E304" s="2" t="inlineStr">
        <is>
          <t>17:15</t>
        </is>
      </c>
      <c r="F304" s="5" t="n">
        <v>548.33</v>
      </c>
      <c r="G304" s="5" t="n"/>
      <c r="H304" s="5" t="n"/>
      <c r="I304" s="5" t="n"/>
      <c r="J304" s="5" t="n">
        <v>109.67</v>
      </c>
      <c r="K304" s="5" t="n"/>
      <c r="L304" s="5" t="n"/>
      <c r="M304" s="5" t="n"/>
      <c r="N304" s="5" t="n"/>
      <c r="O304" s="5" t="n">
        <v>658</v>
      </c>
      <c r="P304" s="5" t="n">
        <v>658</v>
      </c>
      <c r="Q304" s="5" t="n"/>
      <c r="R304" s="5" t="n"/>
      <c r="S304" s="5">
        <f>F304*20%</f>
        <v/>
      </c>
      <c r="T304" s="5">
        <f>J304-S304</f>
        <v/>
      </c>
      <c r="U304" s="5">
        <f>F304+J304</f>
        <v/>
      </c>
      <c r="V304" s="5">
        <f>O304-U304</f>
        <v/>
      </c>
      <c r="W304" s="5">
        <f>O304-(P304+R304)</f>
        <v/>
      </c>
      <c r="X304" s="5">
        <f>O304-(P304+Q304+R304)</f>
        <v/>
      </c>
    </row>
    <row r="305">
      <c r="A305" s="2" t="inlineStr">
        <is>
          <t>EJ020523.TXT</t>
        </is>
      </c>
      <c r="B305" s="3" t="inlineStr">
        <is>
          <t>004840</t>
        </is>
      </c>
      <c r="C305" s="3" t="inlineStr">
        <is>
          <t>003865</t>
        </is>
      </c>
      <c r="D305" s="4" t="n">
        <v>45042</v>
      </c>
      <c r="E305" s="2" t="inlineStr">
        <is>
          <t>13:46</t>
        </is>
      </c>
      <c r="F305" s="5" t="n">
        <v>615</v>
      </c>
      <c r="G305" s="5" t="n"/>
      <c r="H305" s="5" t="n"/>
      <c r="I305" s="5" t="n"/>
      <c r="J305" s="5" t="n">
        <v>123</v>
      </c>
      <c r="K305" s="5" t="n"/>
      <c r="L305" s="5" t="n"/>
      <c r="M305" s="5" t="n"/>
      <c r="N305" s="5" t="n"/>
      <c r="O305" s="5" t="n">
        <v>738</v>
      </c>
      <c r="P305" s="5" t="n">
        <v>738</v>
      </c>
      <c r="Q305" s="5" t="n"/>
      <c r="R305" s="5" t="n"/>
      <c r="S305" s="5">
        <f>F305*20%</f>
        <v/>
      </c>
      <c r="T305" s="5">
        <f>J305-S305</f>
        <v/>
      </c>
      <c r="U305" s="5">
        <f>F305+J305</f>
        <v/>
      </c>
      <c r="V305" s="5">
        <f>O305-U305</f>
        <v/>
      </c>
      <c r="W305" s="5">
        <f>O305-(P305+R305)</f>
        <v/>
      </c>
      <c r="X305" s="5">
        <f>O305-(P305+Q305+R305)</f>
        <v/>
      </c>
    </row>
    <row r="306">
      <c r="A306" s="2" t="inlineStr">
        <is>
          <t>EJ020523.TXT</t>
        </is>
      </c>
      <c r="B306" s="3" t="inlineStr">
        <is>
          <t>004841</t>
        </is>
      </c>
      <c r="C306" s="3" t="inlineStr">
        <is>
          <t>003866</t>
        </is>
      </c>
      <c r="D306" s="4" t="n">
        <v>45042</v>
      </c>
      <c r="E306" s="2" t="inlineStr">
        <is>
          <t>15:19</t>
        </is>
      </c>
      <c r="F306" s="5" t="n">
        <v>548.33</v>
      </c>
      <c r="G306" s="5" t="n"/>
      <c r="H306" s="5" t="n"/>
      <c r="I306" s="5" t="n"/>
      <c r="J306" s="5" t="n">
        <v>109.67</v>
      </c>
      <c r="K306" s="5" t="n"/>
      <c r="L306" s="5" t="n"/>
      <c r="M306" s="5" t="n"/>
      <c r="N306" s="5" t="n"/>
      <c r="O306" s="5" t="n">
        <v>658</v>
      </c>
      <c r="P306" s="5" t="n">
        <v>658</v>
      </c>
      <c r="Q306" s="5" t="n"/>
      <c r="R306" s="5" t="n"/>
      <c r="S306" s="5">
        <f>F306*20%</f>
        <v/>
      </c>
      <c r="T306" s="5">
        <f>J306-S306</f>
        <v/>
      </c>
      <c r="U306" s="5">
        <f>F306+J306</f>
        <v/>
      </c>
      <c r="V306" s="5">
        <f>O306-U306</f>
        <v/>
      </c>
      <c r="W306" s="5">
        <f>O306-(P306+R306)</f>
        <v/>
      </c>
      <c r="X306" s="5">
        <f>O306-(P306+Q306+R306)</f>
        <v/>
      </c>
    </row>
    <row r="307">
      <c r="A307" s="2" t="inlineStr">
        <is>
          <t>EJ020523.TXT</t>
        </is>
      </c>
      <c r="B307" s="3" t="inlineStr">
        <is>
          <t>004842</t>
        </is>
      </c>
      <c r="C307" s="3" t="inlineStr">
        <is>
          <t>003867</t>
        </is>
      </c>
      <c r="D307" s="4" t="n">
        <v>45043</v>
      </c>
      <c r="E307" s="2" t="inlineStr">
        <is>
          <t>14:01</t>
        </is>
      </c>
      <c r="F307" s="5" t="n">
        <v>531.67</v>
      </c>
      <c r="G307" s="5" t="n"/>
      <c r="H307" s="5" t="n"/>
      <c r="I307" s="5" t="n"/>
      <c r="J307" s="5" t="n">
        <v>106.33</v>
      </c>
      <c r="K307" s="5" t="n"/>
      <c r="L307" s="5" t="n"/>
      <c r="M307" s="5" t="n"/>
      <c r="N307" s="5" t="n"/>
      <c r="O307" s="5" t="n">
        <v>638</v>
      </c>
      <c r="P307" s="5" t="n"/>
      <c r="Q307" s="5" t="n">
        <v>638</v>
      </c>
      <c r="R307" s="5" t="n"/>
      <c r="S307" s="5">
        <f>F307*20%</f>
        <v/>
      </c>
      <c r="T307" s="5">
        <f>J307-S307</f>
        <v/>
      </c>
      <c r="U307" s="5">
        <f>F307+J307</f>
        <v/>
      </c>
      <c r="V307" s="5">
        <f>O307-U307</f>
        <v/>
      </c>
      <c r="W307" s="5">
        <f>O307-(P307+R307)</f>
        <v/>
      </c>
      <c r="X307" s="5">
        <f>O307-(P307+Q307+R307)</f>
        <v/>
      </c>
    </row>
    <row r="308">
      <c r="A308" s="2" t="inlineStr">
        <is>
          <t>EJ020523.TXT</t>
        </is>
      </c>
      <c r="B308" s="3" t="inlineStr">
        <is>
          <t>004843</t>
        </is>
      </c>
      <c r="C308" s="3" t="inlineStr">
        <is>
          <t>003868</t>
        </is>
      </c>
      <c r="D308" s="4" t="n">
        <v>45043</v>
      </c>
      <c r="E308" s="2" t="inlineStr">
        <is>
          <t>14:11</t>
        </is>
      </c>
      <c r="F308" s="5" t="n">
        <v>274.17</v>
      </c>
      <c r="G308" s="5" t="n"/>
      <c r="H308" s="5" t="n"/>
      <c r="I308" s="5" t="n"/>
      <c r="J308" s="5" t="n">
        <v>54.83</v>
      </c>
      <c r="K308" s="5" t="n"/>
      <c r="L308" s="5" t="n"/>
      <c r="M308" s="5" t="n"/>
      <c r="N308" s="5" t="n"/>
      <c r="O308" s="5" t="n">
        <v>329</v>
      </c>
      <c r="P308" s="5" t="n">
        <v>329</v>
      </c>
      <c r="Q308" s="5" t="n"/>
      <c r="R308" s="5" t="n"/>
      <c r="S308" s="5">
        <f>F308*20%</f>
        <v/>
      </c>
      <c r="T308" s="5">
        <f>J308-S308</f>
        <v/>
      </c>
      <c r="U308" s="5">
        <f>F308+J308</f>
        <v/>
      </c>
      <c r="V308" s="5">
        <f>O308-U308</f>
        <v/>
      </c>
      <c r="W308" s="5">
        <f>O308-(P308+R308)</f>
        <v/>
      </c>
      <c r="X308" s="5">
        <f>O308-(P308+Q308+R308)</f>
        <v/>
      </c>
    </row>
    <row r="309">
      <c r="A309" s="2" t="inlineStr">
        <is>
          <t>EJ020523.TXT</t>
        </is>
      </c>
      <c r="B309" s="3" t="inlineStr">
        <is>
          <t>004844</t>
        </is>
      </c>
      <c r="C309" s="3" t="inlineStr">
        <is>
          <t>003869</t>
        </is>
      </c>
      <c r="D309" s="4" t="n">
        <v>45043</v>
      </c>
      <c r="E309" s="2" t="inlineStr">
        <is>
          <t>15:33</t>
        </is>
      </c>
      <c r="F309" s="5" t="n">
        <v>305</v>
      </c>
      <c r="G309" s="5" t="n"/>
      <c r="H309" s="5" t="n"/>
      <c r="I309" s="5" t="n"/>
      <c r="J309" s="5" t="n">
        <v>61</v>
      </c>
      <c r="K309" s="5" t="n"/>
      <c r="L309" s="5" t="n"/>
      <c r="M309" s="5" t="n"/>
      <c r="N309" s="5" t="n"/>
      <c r="O309" s="5" t="n">
        <v>366</v>
      </c>
      <c r="P309" s="5" t="n"/>
      <c r="Q309" s="5" t="n">
        <v>366</v>
      </c>
      <c r="R309" s="5" t="n"/>
      <c r="S309" s="5">
        <f>F309*20%</f>
        <v/>
      </c>
      <c r="T309" s="5">
        <f>J309-S309</f>
        <v/>
      </c>
      <c r="U309" s="5">
        <f>F309+J309</f>
        <v/>
      </c>
      <c r="V309" s="5">
        <f>O309-U309</f>
        <v/>
      </c>
      <c r="W309" s="5">
        <f>O309-(P309+R309)</f>
        <v/>
      </c>
      <c r="X309" s="5">
        <f>O309-(P309+Q309+R309)</f>
        <v/>
      </c>
    </row>
    <row r="310">
      <c r="A310" s="2" t="inlineStr">
        <is>
          <t>EJ020523.TXT</t>
        </is>
      </c>
      <c r="B310" s="3" t="inlineStr">
        <is>
          <t>004845</t>
        </is>
      </c>
      <c r="C310" s="3" t="inlineStr">
        <is>
          <t>003870</t>
        </is>
      </c>
      <c r="D310" s="4" t="n">
        <v>45044</v>
      </c>
      <c r="E310" s="2" t="inlineStr">
        <is>
          <t>10:40</t>
        </is>
      </c>
      <c r="F310" s="5" t="n">
        <v>822.5</v>
      </c>
      <c r="G310" s="5" t="n"/>
      <c r="H310" s="5" t="n"/>
      <c r="I310" s="5" t="n"/>
      <c r="J310" s="5" t="n">
        <v>164.5</v>
      </c>
      <c r="K310" s="5" t="n"/>
      <c r="L310" s="5" t="n"/>
      <c r="M310" s="5" t="n"/>
      <c r="N310" s="5" t="n"/>
      <c r="O310" s="5" t="n">
        <v>987</v>
      </c>
      <c r="P310" s="5" t="n"/>
      <c r="Q310" s="5" t="n">
        <v>987</v>
      </c>
      <c r="R310" s="5" t="n"/>
      <c r="S310" s="5">
        <f>F310*20%</f>
        <v/>
      </c>
      <c r="T310" s="5">
        <f>J310-S310</f>
        <v/>
      </c>
      <c r="U310" s="5">
        <f>F310+J310</f>
        <v/>
      </c>
      <c r="V310" s="5">
        <f>O310-U310</f>
        <v/>
      </c>
      <c r="W310" s="5">
        <f>O310-(P310+R310)</f>
        <v/>
      </c>
      <c r="X310" s="5">
        <f>O310-(P310+Q310+R310)</f>
        <v/>
      </c>
    </row>
    <row r="311">
      <c r="A311" s="2" t="inlineStr">
        <is>
          <t>EJ020523.TXT</t>
        </is>
      </c>
      <c r="B311" s="3" t="inlineStr">
        <is>
          <t>004846</t>
        </is>
      </c>
      <c r="C311" s="3" t="inlineStr">
        <is>
          <t>003871</t>
        </is>
      </c>
      <c r="D311" s="4" t="n">
        <v>45044</v>
      </c>
      <c r="E311" s="2" t="inlineStr">
        <is>
          <t>10:40</t>
        </is>
      </c>
      <c r="F311" s="5" t="n">
        <v>822.5</v>
      </c>
      <c r="G311" s="5" t="n"/>
      <c r="H311" s="5" t="n"/>
      <c r="I311" s="5" t="n"/>
      <c r="J311" s="5" t="n">
        <v>164.5</v>
      </c>
      <c r="K311" s="5" t="n"/>
      <c r="L311" s="5" t="n"/>
      <c r="M311" s="5" t="n"/>
      <c r="N311" s="5" t="n"/>
      <c r="O311" s="5" t="n">
        <v>987</v>
      </c>
      <c r="P311" s="5" t="n"/>
      <c r="Q311" s="5" t="n">
        <v>987</v>
      </c>
      <c r="R311" s="5" t="n"/>
      <c r="S311" s="5">
        <f>F311*20%</f>
        <v/>
      </c>
      <c r="T311" s="5">
        <f>J311-S311</f>
        <v/>
      </c>
      <c r="U311" s="5">
        <f>F311+J311</f>
        <v/>
      </c>
      <c r="V311" s="5">
        <f>O311-U311</f>
        <v/>
      </c>
      <c r="W311" s="5">
        <f>O311-(P311+R311)</f>
        <v/>
      </c>
      <c r="X311" s="5">
        <f>O311-(P311+Q311+R311)</f>
        <v/>
      </c>
    </row>
    <row r="312">
      <c r="A312" s="2" t="inlineStr">
        <is>
          <t>EJ020523.TXT</t>
        </is>
      </c>
      <c r="B312" s="3" t="inlineStr">
        <is>
          <t>004847</t>
        </is>
      </c>
      <c r="C312" s="3" t="inlineStr">
        <is>
          <t>003872</t>
        </is>
      </c>
      <c r="D312" s="4" t="n">
        <v>45044</v>
      </c>
      <c r="E312" s="2" t="inlineStr">
        <is>
          <t>14:42</t>
        </is>
      </c>
      <c r="F312" s="5" t="n">
        <v>582.5</v>
      </c>
      <c r="G312" s="5" t="n"/>
      <c r="H312" s="5" t="n"/>
      <c r="I312" s="5" t="n"/>
      <c r="J312" s="5" t="n">
        <v>116.5</v>
      </c>
      <c r="K312" s="5" t="n"/>
      <c r="L312" s="5" t="n"/>
      <c r="M312" s="5" t="n"/>
      <c r="N312" s="5" t="n"/>
      <c r="O312" s="5" t="n">
        <v>699</v>
      </c>
      <c r="P312" s="5" t="n"/>
      <c r="Q312" s="5" t="n">
        <v>699</v>
      </c>
      <c r="R312" s="5" t="n"/>
      <c r="S312" s="5">
        <f>F312*20%</f>
        <v/>
      </c>
      <c r="T312" s="5">
        <f>J312-S312</f>
        <v/>
      </c>
      <c r="U312" s="5">
        <f>F312+J312</f>
        <v/>
      </c>
      <c r="V312" s="5">
        <f>O312-U312</f>
        <v/>
      </c>
      <c r="W312" s="5">
        <f>O312-(P312+R312)</f>
        <v/>
      </c>
      <c r="X312" s="5">
        <f>O312-(P312+Q312+R312)</f>
        <v/>
      </c>
    </row>
    <row r="313">
      <c r="A313" s="2" t="inlineStr">
        <is>
          <t>EJ020523.TXT</t>
        </is>
      </c>
      <c r="B313" s="3" t="inlineStr">
        <is>
          <t>004848</t>
        </is>
      </c>
      <c r="C313" s="3" t="inlineStr">
        <is>
          <t>003873</t>
        </is>
      </c>
      <c r="D313" s="4" t="n">
        <v>45044</v>
      </c>
      <c r="E313" s="2" t="inlineStr">
        <is>
          <t>14:42</t>
        </is>
      </c>
      <c r="F313" s="5" t="n">
        <v>582.5</v>
      </c>
      <c r="G313" s="5" t="n"/>
      <c r="H313" s="5" t="n"/>
      <c r="I313" s="5" t="n"/>
      <c r="J313" s="5" t="n">
        <v>116.5</v>
      </c>
      <c r="K313" s="5" t="n"/>
      <c r="L313" s="5" t="n"/>
      <c r="M313" s="5" t="n"/>
      <c r="N313" s="5" t="n"/>
      <c r="O313" s="5" t="n">
        <v>699</v>
      </c>
      <c r="P313" s="5" t="n"/>
      <c r="Q313" s="5" t="n">
        <v>699</v>
      </c>
      <c r="R313" s="5" t="n"/>
      <c r="S313" s="5">
        <f>F313*20%</f>
        <v/>
      </c>
      <c r="T313" s="5">
        <f>J313-S313</f>
        <v/>
      </c>
      <c r="U313" s="5">
        <f>F313+J313</f>
        <v/>
      </c>
      <c r="V313" s="5">
        <f>O313-U313</f>
        <v/>
      </c>
      <c r="W313" s="5">
        <f>O313-(P313+R313)</f>
        <v/>
      </c>
      <c r="X313" s="5">
        <f>O313-(P313+Q313+R313)</f>
        <v/>
      </c>
    </row>
    <row r="314">
      <c r="A314" s="2" t="inlineStr">
        <is>
          <t>EJ020523.TXT</t>
        </is>
      </c>
      <c r="B314" s="3" t="inlineStr">
        <is>
          <t>004849</t>
        </is>
      </c>
      <c r="C314" s="3" t="inlineStr">
        <is>
          <t>003874</t>
        </is>
      </c>
      <c r="D314" s="4" t="n">
        <v>45044</v>
      </c>
      <c r="E314" s="2" t="inlineStr">
        <is>
          <t>14:42</t>
        </is>
      </c>
      <c r="F314" s="5" t="n">
        <v>650</v>
      </c>
      <c r="G314" s="5" t="n"/>
      <c r="H314" s="5" t="n"/>
      <c r="I314" s="5" t="n"/>
      <c r="J314" s="5" t="n">
        <v>130</v>
      </c>
      <c r="K314" s="5" t="n"/>
      <c r="L314" s="5" t="n"/>
      <c r="M314" s="5" t="n"/>
      <c r="N314" s="5" t="n"/>
      <c r="O314" s="5" t="n">
        <v>780</v>
      </c>
      <c r="P314" s="5" t="n"/>
      <c r="Q314" s="5" t="n">
        <v>780</v>
      </c>
      <c r="R314" s="5" t="n"/>
      <c r="S314" s="5">
        <f>F314*20%</f>
        <v/>
      </c>
      <c r="T314" s="5">
        <f>J314-S314</f>
        <v/>
      </c>
      <c r="U314" s="5">
        <f>F314+J314</f>
        <v/>
      </c>
      <c r="V314" s="5">
        <f>O314-U314</f>
        <v/>
      </c>
      <c r="W314" s="5">
        <f>O314-(P314+R314)</f>
        <v/>
      </c>
      <c r="X314" s="5">
        <f>O314-(P314+Q314+R314)</f>
        <v/>
      </c>
    </row>
    <row r="315">
      <c r="A315" s="2" t="inlineStr">
        <is>
          <t>EJ020523.TXT</t>
        </is>
      </c>
      <c r="B315" s="3" t="inlineStr">
        <is>
          <t>004850</t>
        </is>
      </c>
      <c r="C315" s="3" t="inlineStr">
        <is>
          <t>003875</t>
        </is>
      </c>
      <c r="D315" s="4" t="n">
        <v>45045</v>
      </c>
      <c r="E315" s="2" t="inlineStr">
        <is>
          <t>11:03</t>
        </is>
      </c>
      <c r="F315" s="5" t="n">
        <v>715.83</v>
      </c>
      <c r="G315" s="5" t="n"/>
      <c r="H315" s="5" t="n"/>
      <c r="I315" s="5" t="n"/>
      <c r="J315" s="5" t="n">
        <v>143.17</v>
      </c>
      <c r="K315" s="5" t="n"/>
      <c r="L315" s="5" t="n"/>
      <c r="M315" s="5" t="n"/>
      <c r="N315" s="5" t="n"/>
      <c r="O315" s="5" t="n">
        <v>859</v>
      </c>
      <c r="P315" s="5" t="n"/>
      <c r="Q315" s="5" t="n">
        <v>859</v>
      </c>
      <c r="R315" s="5" t="n"/>
      <c r="S315" s="5">
        <f>F315*20%</f>
        <v/>
      </c>
      <c r="T315" s="5">
        <f>J315-S315</f>
        <v/>
      </c>
      <c r="U315" s="5">
        <f>F315+J315</f>
        <v/>
      </c>
      <c r="V315" s="5">
        <f>O315-U315</f>
        <v/>
      </c>
      <c r="W315" s="5">
        <f>O315-(P315+R315)</f>
        <v/>
      </c>
      <c r="X315" s="5">
        <f>O315-(P315+Q315+R315)</f>
        <v/>
      </c>
    </row>
    <row r="316">
      <c r="A316" s="2" t="inlineStr">
        <is>
          <t>EJ020523.TXT</t>
        </is>
      </c>
      <c r="B316" s="3" t="inlineStr">
        <is>
          <t>004851</t>
        </is>
      </c>
      <c r="C316" s="3" t="inlineStr">
        <is>
          <t>003876</t>
        </is>
      </c>
      <c r="D316" s="4" t="n">
        <v>45045</v>
      </c>
      <c r="E316" s="2" t="inlineStr">
        <is>
          <t>11:04</t>
        </is>
      </c>
      <c r="F316" s="5" t="n">
        <v>650</v>
      </c>
      <c r="G316" s="5" t="n"/>
      <c r="H316" s="5" t="n"/>
      <c r="I316" s="5" t="n"/>
      <c r="J316" s="5" t="n">
        <v>130</v>
      </c>
      <c r="K316" s="5" t="n"/>
      <c r="L316" s="5" t="n"/>
      <c r="M316" s="5" t="n"/>
      <c r="N316" s="5" t="n"/>
      <c r="O316" s="5" t="n">
        <v>780</v>
      </c>
      <c r="P316" s="5" t="n"/>
      <c r="Q316" s="5" t="n">
        <v>780</v>
      </c>
      <c r="R316" s="5" t="n"/>
      <c r="S316" s="5">
        <f>F316*20%</f>
        <v/>
      </c>
      <c r="T316" s="5">
        <f>J316-S316</f>
        <v/>
      </c>
      <c r="U316" s="5">
        <f>F316+J316</f>
        <v/>
      </c>
      <c r="V316" s="5">
        <f>O316-U316</f>
        <v/>
      </c>
      <c r="W316" s="5">
        <f>O316-(P316+R316)</f>
        <v/>
      </c>
      <c r="X316" s="5">
        <f>O316-(P316+Q316+R316)</f>
        <v/>
      </c>
    </row>
    <row r="317">
      <c r="A317" s="2" t="inlineStr">
        <is>
          <t>EJ020523.TXT</t>
        </is>
      </c>
      <c r="B317" s="3" t="inlineStr">
        <is>
          <t>004852</t>
        </is>
      </c>
      <c r="C317" s="3" t="inlineStr">
        <is>
          <t>003877</t>
        </is>
      </c>
      <c r="D317" s="4" t="n">
        <v>45045</v>
      </c>
      <c r="E317" s="2" t="inlineStr">
        <is>
          <t>11:05</t>
        </is>
      </c>
      <c r="F317" s="5" t="n">
        <v>715.83</v>
      </c>
      <c r="G317" s="5" t="n"/>
      <c r="H317" s="5" t="n"/>
      <c r="I317" s="5" t="n"/>
      <c r="J317" s="5" t="n">
        <v>143.17</v>
      </c>
      <c r="K317" s="5" t="n"/>
      <c r="L317" s="5" t="n"/>
      <c r="M317" s="5" t="n"/>
      <c r="N317" s="5" t="n"/>
      <c r="O317" s="5" t="n">
        <v>859</v>
      </c>
      <c r="P317" s="5" t="n"/>
      <c r="Q317" s="5" t="n">
        <v>859</v>
      </c>
      <c r="R317" s="5" t="n"/>
      <c r="S317" s="5">
        <f>F317*20%</f>
        <v/>
      </c>
      <c r="T317" s="5">
        <f>J317-S317</f>
        <v/>
      </c>
      <c r="U317" s="5">
        <f>F317+J317</f>
        <v/>
      </c>
      <c r="V317" s="5">
        <f>O317-U317</f>
        <v/>
      </c>
      <c r="W317" s="5">
        <f>O317-(P317+R317)</f>
        <v/>
      </c>
      <c r="X317" s="5">
        <f>O317-(P317+Q317+R317)</f>
        <v/>
      </c>
    </row>
    <row r="318">
      <c r="A318" s="2" t="inlineStr">
        <is>
          <t>EJ020523.TXT</t>
        </is>
      </c>
      <c r="B318" s="3" t="inlineStr">
        <is>
          <t>004853</t>
        </is>
      </c>
      <c r="C318" s="3" t="inlineStr">
        <is>
          <t>003878</t>
        </is>
      </c>
      <c r="D318" s="4" t="n">
        <v>45045</v>
      </c>
      <c r="E318" s="2" t="inlineStr">
        <is>
          <t>16:36</t>
        </is>
      </c>
      <c r="F318" s="5" t="n">
        <v>655.83</v>
      </c>
      <c r="G318" s="5" t="n"/>
      <c r="H318" s="5" t="n"/>
      <c r="I318" s="5" t="n"/>
      <c r="J318" s="5" t="n">
        <v>131.17</v>
      </c>
      <c r="K318" s="5" t="n"/>
      <c r="L318" s="5" t="n"/>
      <c r="M318" s="5" t="n"/>
      <c r="N318" s="5" t="n"/>
      <c r="O318" s="5" t="n">
        <v>787</v>
      </c>
      <c r="P318" s="5" t="n"/>
      <c r="Q318" s="5" t="n">
        <v>787</v>
      </c>
      <c r="R318" s="5" t="n"/>
      <c r="S318" s="5">
        <f>F318*20%</f>
        <v/>
      </c>
      <c r="T318" s="5">
        <f>J318-S318</f>
        <v/>
      </c>
      <c r="U318" s="5">
        <f>F318+J318</f>
        <v/>
      </c>
      <c r="V318" s="5">
        <f>O318-U318</f>
        <v/>
      </c>
      <c r="W318" s="5">
        <f>O318-(P318+R318)</f>
        <v/>
      </c>
      <c r="X318" s="5">
        <f>O318-(P318+Q318+R318)</f>
        <v/>
      </c>
    </row>
    <row r="319">
      <c r="A319" s="2" t="inlineStr">
        <is>
          <t>EJ020523.TXT</t>
        </is>
      </c>
      <c r="B319" s="3" t="inlineStr">
        <is>
          <t>004854</t>
        </is>
      </c>
      <c r="C319" s="3" t="inlineStr">
        <is>
          <t>003879</t>
        </is>
      </c>
      <c r="D319" s="4" t="n">
        <v>45045</v>
      </c>
      <c r="E319" s="2" t="inlineStr">
        <is>
          <t>16:37</t>
        </is>
      </c>
      <c r="F319" s="5" t="n">
        <v>739.17</v>
      </c>
      <c r="G319" s="5" t="n"/>
      <c r="H319" s="5" t="n"/>
      <c r="I319" s="5" t="n"/>
      <c r="J319" s="5" t="n">
        <v>147.83</v>
      </c>
      <c r="K319" s="5" t="n"/>
      <c r="L319" s="5" t="n"/>
      <c r="M319" s="5" t="n"/>
      <c r="N319" s="5" t="n"/>
      <c r="O319" s="5" t="n">
        <v>887</v>
      </c>
      <c r="P319" s="5" t="n"/>
      <c r="Q319" s="5" t="n">
        <v>887</v>
      </c>
      <c r="R319" s="5" t="n"/>
      <c r="S319" s="5">
        <f>F319*20%</f>
        <v/>
      </c>
      <c r="T319" s="5">
        <f>J319-S319</f>
        <v/>
      </c>
      <c r="U319" s="5">
        <f>F319+J319</f>
        <v/>
      </c>
      <c r="V319" s="5">
        <f>O319-U319</f>
        <v/>
      </c>
      <c r="W319" s="5">
        <f>O319-(P319+R319)</f>
        <v/>
      </c>
      <c r="X319" s="5">
        <f>O319-(P319+Q319+R319)</f>
        <v/>
      </c>
    </row>
    <row r="320">
      <c r="A320" s="2" t="inlineStr">
        <is>
          <t>EJ010623.TXT</t>
        </is>
      </c>
      <c r="B320" s="3" t="inlineStr">
        <is>
          <t>004862</t>
        </is>
      </c>
      <c r="C320" s="3" t="inlineStr">
        <is>
          <t>003880</t>
        </is>
      </c>
      <c r="D320" s="4" t="n">
        <v>45048</v>
      </c>
      <c r="E320" s="2" t="inlineStr">
        <is>
          <t>14:20</t>
        </is>
      </c>
      <c r="F320" s="5" t="n">
        <v>3190</v>
      </c>
      <c r="G320" s="5" t="n"/>
      <c r="H320" s="5" t="n"/>
      <c r="I320" s="5" t="n"/>
      <c r="J320" s="5" t="n">
        <v>638</v>
      </c>
      <c r="K320" s="5" t="n"/>
      <c r="L320" s="5" t="n"/>
      <c r="M320" s="5" t="n"/>
      <c r="N320" s="5" t="n"/>
      <c r="O320" s="5" t="n">
        <v>3828</v>
      </c>
      <c r="P320" s="5" t="n">
        <v>3828</v>
      </c>
      <c r="Q320" s="5" t="n"/>
      <c r="R320" s="5" t="n"/>
      <c r="S320" s="5">
        <f>F320*20%</f>
        <v/>
      </c>
      <c r="T320" s="5">
        <f>J320-S320</f>
        <v/>
      </c>
      <c r="U320" s="5">
        <f>F320+J320</f>
        <v/>
      </c>
      <c r="V320" s="5">
        <f>O320-U320</f>
        <v/>
      </c>
      <c r="W320" s="5">
        <f>O320-(P320+R320)</f>
        <v/>
      </c>
      <c r="X320" s="5">
        <f>O320-(P320+Q320+R320)</f>
        <v/>
      </c>
    </row>
    <row r="321">
      <c r="A321" s="2" t="inlineStr">
        <is>
          <t>EJ010623.TXT</t>
        </is>
      </c>
      <c r="B321" s="3" t="inlineStr">
        <is>
          <t>004863</t>
        </is>
      </c>
      <c r="C321" s="3" t="inlineStr">
        <is>
          <t>003881</t>
        </is>
      </c>
      <c r="D321" s="4" t="n">
        <v>45048</v>
      </c>
      <c r="E321" s="2" t="inlineStr">
        <is>
          <t>14:22</t>
        </is>
      </c>
      <c r="F321" s="5" t="n">
        <v>822.5</v>
      </c>
      <c r="G321" s="5" t="n"/>
      <c r="H321" s="5" t="n"/>
      <c r="I321" s="5" t="n"/>
      <c r="J321" s="5" t="n">
        <v>164.5</v>
      </c>
      <c r="K321" s="5" t="n"/>
      <c r="L321" s="5" t="n"/>
      <c r="M321" s="5" t="n"/>
      <c r="N321" s="5" t="n"/>
      <c r="O321" s="5" t="n">
        <v>987</v>
      </c>
      <c r="P321" s="5" t="n"/>
      <c r="Q321" s="5" t="n">
        <v>987</v>
      </c>
      <c r="R321" s="5" t="n"/>
      <c r="S321" s="5">
        <f>F321*20%</f>
        <v/>
      </c>
      <c r="T321" s="5">
        <f>J321-S321</f>
        <v/>
      </c>
      <c r="U321" s="5">
        <f>F321+J321</f>
        <v/>
      </c>
      <c r="V321" s="5">
        <f>O321-U321</f>
        <v/>
      </c>
      <c r="W321" s="5">
        <f>O321-(P321+R321)</f>
        <v/>
      </c>
      <c r="X321" s="5">
        <f>O321-(P321+Q321+R321)</f>
        <v/>
      </c>
    </row>
    <row r="322">
      <c r="A322" s="2" t="inlineStr">
        <is>
          <t>EJ010623.TXT</t>
        </is>
      </c>
      <c r="B322" s="3" t="inlineStr">
        <is>
          <t>004864</t>
        </is>
      </c>
      <c r="C322" s="3" t="inlineStr">
        <is>
          <t>003882</t>
        </is>
      </c>
      <c r="D322" s="4" t="n">
        <v>45048</v>
      </c>
      <c r="E322" s="2" t="inlineStr">
        <is>
          <t>14:23</t>
        </is>
      </c>
      <c r="F322" s="5" t="n">
        <v>822.5</v>
      </c>
      <c r="G322" s="5" t="n"/>
      <c r="H322" s="5" t="n"/>
      <c r="I322" s="5" t="n"/>
      <c r="J322" s="5" t="n">
        <v>164.5</v>
      </c>
      <c r="K322" s="5" t="n"/>
      <c r="L322" s="5" t="n"/>
      <c r="M322" s="5" t="n"/>
      <c r="N322" s="5" t="n"/>
      <c r="O322" s="5" t="n">
        <v>987</v>
      </c>
      <c r="P322" s="5" t="n"/>
      <c r="Q322" s="5" t="n">
        <v>987</v>
      </c>
      <c r="R322" s="5" t="n"/>
      <c r="S322" s="5">
        <f>F322*20%</f>
        <v/>
      </c>
      <c r="T322" s="5">
        <f>J322-S322</f>
        <v/>
      </c>
      <c r="U322" s="5">
        <f>F322+J322</f>
        <v/>
      </c>
      <c r="V322" s="5">
        <f>O322-U322</f>
        <v/>
      </c>
      <c r="W322" s="5">
        <f>O322-(P322+R322)</f>
        <v/>
      </c>
      <c r="X322" s="5">
        <f>O322-(P322+Q322+R322)</f>
        <v/>
      </c>
    </row>
    <row r="323">
      <c r="A323" s="2" t="inlineStr">
        <is>
          <t>EJ010623.TXT</t>
        </is>
      </c>
      <c r="B323" s="3" t="inlineStr">
        <is>
          <t>004865</t>
        </is>
      </c>
      <c r="C323" s="3" t="inlineStr">
        <is>
          <t>003883</t>
        </is>
      </c>
      <c r="D323" s="4" t="n">
        <v>45048</v>
      </c>
      <c r="E323" s="2" t="inlineStr">
        <is>
          <t>15:25</t>
        </is>
      </c>
      <c r="F323" s="5" t="n">
        <v>822.5</v>
      </c>
      <c r="G323" s="5" t="n"/>
      <c r="H323" s="5" t="n"/>
      <c r="I323" s="5" t="n"/>
      <c r="J323" s="5" t="n">
        <v>164.5</v>
      </c>
      <c r="K323" s="5" t="n"/>
      <c r="L323" s="5" t="n"/>
      <c r="M323" s="5" t="n"/>
      <c r="N323" s="5" t="n"/>
      <c r="O323" s="5" t="n">
        <v>987</v>
      </c>
      <c r="P323" s="5" t="n"/>
      <c r="Q323" s="5" t="n">
        <v>987</v>
      </c>
      <c r="R323" s="5" t="n"/>
      <c r="S323" s="5">
        <f>F323*20%</f>
        <v/>
      </c>
      <c r="T323" s="5">
        <f>J323-S323</f>
        <v/>
      </c>
      <c r="U323" s="5">
        <f>F323+J323</f>
        <v/>
      </c>
      <c r="V323" s="5">
        <f>O323-U323</f>
        <v/>
      </c>
      <c r="W323" s="5">
        <f>O323-(P323+R323)</f>
        <v/>
      </c>
      <c r="X323" s="5">
        <f>O323-(P323+Q323+R323)</f>
        <v/>
      </c>
    </row>
    <row r="324">
      <c r="A324" s="2" t="inlineStr">
        <is>
          <t>EJ010623.TXT</t>
        </is>
      </c>
      <c r="B324" s="3" t="inlineStr">
        <is>
          <t>004866</t>
        </is>
      </c>
      <c r="C324" s="3" t="inlineStr">
        <is>
          <t>003884</t>
        </is>
      </c>
      <c r="D324" s="4" t="n">
        <v>45048</v>
      </c>
      <c r="E324" s="2" t="inlineStr">
        <is>
          <t>15:27</t>
        </is>
      </c>
      <c r="F324" s="5" t="n">
        <v>822.5</v>
      </c>
      <c r="G324" s="5" t="n"/>
      <c r="H324" s="5" t="n"/>
      <c r="I324" s="5" t="n"/>
      <c r="J324" s="5" t="n">
        <v>164.5</v>
      </c>
      <c r="K324" s="5" t="n"/>
      <c r="L324" s="5" t="n"/>
      <c r="M324" s="5" t="n"/>
      <c r="N324" s="5" t="n"/>
      <c r="O324" s="5" t="n">
        <v>987</v>
      </c>
      <c r="P324" s="5" t="n"/>
      <c r="Q324" s="5" t="n">
        <v>987</v>
      </c>
      <c r="R324" s="5" t="n"/>
      <c r="S324" s="5">
        <f>F324*20%</f>
        <v/>
      </c>
      <c r="T324" s="5">
        <f>J324-S324</f>
        <v/>
      </c>
      <c r="U324" s="5">
        <f>F324+J324</f>
        <v/>
      </c>
      <c r="V324" s="5">
        <f>O324-U324</f>
        <v/>
      </c>
      <c r="W324" s="5">
        <f>O324-(P324+R324)</f>
        <v/>
      </c>
      <c r="X324" s="5">
        <f>O324-(P324+Q324+R324)</f>
        <v/>
      </c>
    </row>
    <row r="325">
      <c r="A325" s="2" t="inlineStr">
        <is>
          <t>EJ010623.TXT</t>
        </is>
      </c>
      <c r="B325" s="3" t="inlineStr">
        <is>
          <t>004867</t>
        </is>
      </c>
      <c r="C325" s="3" t="inlineStr">
        <is>
          <t>003885</t>
        </is>
      </c>
      <c r="D325" s="4" t="n">
        <v>45048</v>
      </c>
      <c r="E325" s="2" t="inlineStr">
        <is>
          <t>17:20</t>
        </is>
      </c>
      <c r="F325" s="5" t="n">
        <v>83.33</v>
      </c>
      <c r="G325" s="5" t="n"/>
      <c r="H325" s="5" t="n"/>
      <c r="I325" s="5" t="n"/>
      <c r="J325" s="5" t="n">
        <v>16.67</v>
      </c>
      <c r="K325" s="5" t="n"/>
      <c r="L325" s="5" t="n"/>
      <c r="M325" s="5" t="n"/>
      <c r="N325" s="5" t="n"/>
      <c r="O325" s="5" t="n">
        <v>100</v>
      </c>
      <c r="P325" s="5" t="n">
        <v>100</v>
      </c>
      <c r="Q325" s="5" t="n"/>
      <c r="R325" s="5" t="n"/>
      <c r="S325" s="5">
        <f>F325*20%</f>
        <v/>
      </c>
      <c r="T325" s="5">
        <f>J325-S325</f>
        <v/>
      </c>
      <c r="U325" s="5">
        <f>F325+J325</f>
        <v/>
      </c>
      <c r="V325" s="5">
        <f>O325-U325</f>
        <v/>
      </c>
      <c r="W325" s="5">
        <f>O325-(P325+R325)</f>
        <v/>
      </c>
      <c r="X325" s="5">
        <f>O325-(P325+Q325+R325)</f>
        <v/>
      </c>
    </row>
    <row r="326">
      <c r="A326" s="2" t="inlineStr">
        <is>
          <t>EJ010623.TXT</t>
        </is>
      </c>
      <c r="B326" s="3" t="inlineStr">
        <is>
          <t>004868</t>
        </is>
      </c>
      <c r="C326" s="3" t="inlineStr">
        <is>
          <t>003886</t>
        </is>
      </c>
      <c r="D326" s="4" t="n">
        <v>45051</v>
      </c>
      <c r="E326" s="2" t="inlineStr">
        <is>
          <t>10:55</t>
        </is>
      </c>
      <c r="F326" s="5" t="n">
        <v>822.5</v>
      </c>
      <c r="G326" s="5" t="n"/>
      <c r="H326" s="5" t="n"/>
      <c r="I326" s="5" t="n"/>
      <c r="J326" s="5" t="n">
        <v>164.5</v>
      </c>
      <c r="K326" s="5" t="n"/>
      <c r="L326" s="5" t="n"/>
      <c r="M326" s="5" t="n"/>
      <c r="N326" s="5" t="n"/>
      <c r="O326" s="5" t="n">
        <v>987</v>
      </c>
      <c r="P326" s="5" t="n">
        <v>987</v>
      </c>
      <c r="Q326" s="5" t="n"/>
      <c r="R326" s="5" t="n"/>
      <c r="S326" s="5">
        <f>F326*20%</f>
        <v/>
      </c>
      <c r="T326" s="5">
        <f>J326-S326</f>
        <v/>
      </c>
      <c r="U326" s="5">
        <f>F326+J326</f>
        <v/>
      </c>
      <c r="V326" s="5">
        <f>O326-U326</f>
        <v/>
      </c>
      <c r="W326" s="5">
        <f>O326-(P326+R326)</f>
        <v/>
      </c>
      <c r="X326" s="5">
        <f>O326-(P326+Q326+R326)</f>
        <v/>
      </c>
    </row>
    <row r="327">
      <c r="A327" s="2" t="inlineStr">
        <is>
          <t>EJ010623.TXT</t>
        </is>
      </c>
      <c r="B327" s="3" t="inlineStr">
        <is>
          <t>004869</t>
        </is>
      </c>
      <c r="C327" s="3" t="inlineStr">
        <is>
          <t>003887</t>
        </is>
      </c>
      <c r="D327" s="4" t="n">
        <v>45051</v>
      </c>
      <c r="E327" s="2" t="inlineStr">
        <is>
          <t>15:45</t>
        </is>
      </c>
      <c r="F327" s="5" t="n">
        <v>265.83</v>
      </c>
      <c r="G327" s="5" t="n"/>
      <c r="H327" s="5" t="n"/>
      <c r="I327" s="5" t="n"/>
      <c r="J327" s="5" t="n">
        <v>53.17</v>
      </c>
      <c r="K327" s="5" t="n"/>
      <c r="L327" s="5" t="n"/>
      <c r="M327" s="5" t="n"/>
      <c r="N327" s="5" t="n"/>
      <c r="O327" s="5" t="n">
        <v>319</v>
      </c>
      <c r="P327" s="5" t="n"/>
      <c r="Q327" s="5" t="n">
        <v>319</v>
      </c>
      <c r="R327" s="5" t="n"/>
      <c r="S327" s="5">
        <f>F327*20%</f>
        <v/>
      </c>
      <c r="T327" s="5">
        <f>J327-S327</f>
        <v/>
      </c>
      <c r="U327" s="5">
        <f>F327+J327</f>
        <v/>
      </c>
      <c r="V327" s="5">
        <f>O327-U327</f>
        <v/>
      </c>
      <c r="W327" s="5">
        <f>O327-(P327+R327)</f>
        <v/>
      </c>
      <c r="X327" s="5">
        <f>O327-(P327+Q327+R327)</f>
        <v/>
      </c>
    </row>
    <row r="328">
      <c r="A328" s="2" t="inlineStr">
        <is>
          <t>EJ010623.TXT</t>
        </is>
      </c>
      <c r="B328" s="3" t="inlineStr">
        <is>
          <t>004870</t>
        </is>
      </c>
      <c r="C328" s="3" t="inlineStr">
        <is>
          <t>003888</t>
        </is>
      </c>
      <c r="D328" s="4" t="n">
        <v>45052</v>
      </c>
      <c r="E328" s="2" t="inlineStr">
        <is>
          <t>16:48</t>
        </is>
      </c>
      <c r="F328" s="5" t="n">
        <v>274.17</v>
      </c>
      <c r="G328" s="5" t="n"/>
      <c r="H328" s="5" t="n"/>
      <c r="I328" s="5" t="n"/>
      <c r="J328" s="5" t="n">
        <v>54.83</v>
      </c>
      <c r="K328" s="5" t="n"/>
      <c r="L328" s="5" t="n"/>
      <c r="M328" s="5" t="n"/>
      <c r="N328" s="5" t="n"/>
      <c r="O328" s="5" t="n">
        <v>329</v>
      </c>
      <c r="P328" s="5" t="n"/>
      <c r="Q328" s="5" t="n">
        <v>329</v>
      </c>
      <c r="R328" s="5" t="n"/>
      <c r="S328" s="5">
        <f>F328*20%</f>
        <v/>
      </c>
      <c r="T328" s="5">
        <f>J328-S328</f>
        <v/>
      </c>
      <c r="U328" s="5">
        <f>F328+J328</f>
        <v/>
      </c>
      <c r="V328" s="5">
        <f>O328-U328</f>
        <v/>
      </c>
      <c r="W328" s="5">
        <f>O328-(P328+R328)</f>
        <v/>
      </c>
      <c r="X328" s="5">
        <f>O328-(P328+Q328+R328)</f>
        <v/>
      </c>
    </row>
    <row r="329">
      <c r="A329" s="2" t="inlineStr">
        <is>
          <t>EJ010623.TXT</t>
        </is>
      </c>
      <c r="B329" s="3" t="inlineStr">
        <is>
          <t>004871</t>
        </is>
      </c>
      <c r="C329" s="3" t="inlineStr">
        <is>
          <t>003889</t>
        </is>
      </c>
      <c r="D329" s="4" t="n">
        <v>45055</v>
      </c>
      <c r="E329" s="2" t="inlineStr">
        <is>
          <t>11:11</t>
        </is>
      </c>
      <c r="F329" s="5" t="n">
        <v>822.5</v>
      </c>
      <c r="G329" s="5" t="n"/>
      <c r="H329" s="5" t="n"/>
      <c r="I329" s="5" t="n"/>
      <c r="J329" s="5" t="n">
        <v>164.5</v>
      </c>
      <c r="K329" s="5" t="n"/>
      <c r="L329" s="5" t="n"/>
      <c r="M329" s="5" t="n"/>
      <c r="N329" s="5" t="n"/>
      <c r="O329" s="5" t="n">
        <v>987</v>
      </c>
      <c r="P329" s="5" t="n"/>
      <c r="Q329" s="5" t="n">
        <v>987</v>
      </c>
      <c r="R329" s="5" t="n"/>
      <c r="S329" s="5">
        <f>F329*20%</f>
        <v/>
      </c>
      <c r="T329" s="5">
        <f>J329-S329</f>
        <v/>
      </c>
      <c r="U329" s="5">
        <f>F329+J329</f>
        <v/>
      </c>
      <c r="V329" s="5">
        <f>O329-U329</f>
        <v/>
      </c>
      <c r="W329" s="5">
        <f>O329-(P329+R329)</f>
        <v/>
      </c>
      <c r="X329" s="5">
        <f>O329-(P329+Q329+R329)</f>
        <v/>
      </c>
    </row>
    <row r="330">
      <c r="A330" s="2" t="inlineStr">
        <is>
          <t>EJ010623.TXT</t>
        </is>
      </c>
      <c r="B330" s="3" t="inlineStr">
        <is>
          <t>004872</t>
        </is>
      </c>
      <c r="C330" s="3" t="inlineStr">
        <is>
          <t>003890</t>
        </is>
      </c>
      <c r="D330" s="4" t="n">
        <v>45055</v>
      </c>
      <c r="E330" s="2" t="inlineStr">
        <is>
          <t>16:33</t>
        </is>
      </c>
      <c r="F330" s="5" t="n">
        <v>175</v>
      </c>
      <c r="G330" s="5" t="n"/>
      <c r="H330" s="5" t="n"/>
      <c r="I330" s="5" t="n"/>
      <c r="J330" s="5" t="n">
        <v>35</v>
      </c>
      <c r="K330" s="5" t="n"/>
      <c r="L330" s="5" t="n"/>
      <c r="M330" s="5" t="n"/>
      <c r="N330" s="5" t="n"/>
      <c r="O330" s="5" t="n">
        <v>210</v>
      </c>
      <c r="P330" s="5" t="n"/>
      <c r="Q330" s="5" t="n">
        <v>210</v>
      </c>
      <c r="R330" s="5" t="n"/>
      <c r="S330" s="5">
        <f>F330*20%</f>
        <v/>
      </c>
      <c r="T330" s="5">
        <f>J330-S330</f>
        <v/>
      </c>
      <c r="U330" s="5">
        <f>F330+J330</f>
        <v/>
      </c>
      <c r="V330" s="5">
        <f>O330-U330</f>
        <v/>
      </c>
      <c r="W330" s="5">
        <f>O330-(P330+R330)</f>
        <v/>
      </c>
      <c r="X330" s="5">
        <f>O330-(P330+Q330+R330)</f>
        <v/>
      </c>
    </row>
    <row r="331">
      <c r="A331" s="2" t="inlineStr">
        <is>
          <t>EJ010623.TXT</t>
        </is>
      </c>
      <c r="B331" s="3" t="inlineStr">
        <is>
          <t>004873</t>
        </is>
      </c>
      <c r="C331" s="3" t="inlineStr">
        <is>
          <t>003891</t>
        </is>
      </c>
      <c r="D331" s="4" t="n">
        <v>45056</v>
      </c>
      <c r="E331" s="2" t="inlineStr">
        <is>
          <t>13:39</t>
        </is>
      </c>
      <c r="F331" s="5" t="n">
        <v>1845</v>
      </c>
      <c r="G331" s="5" t="n"/>
      <c r="H331" s="5" t="n"/>
      <c r="I331" s="5" t="n"/>
      <c r="J331" s="5" t="n">
        <v>369</v>
      </c>
      <c r="K331" s="5" t="n"/>
      <c r="L331" s="5" t="n"/>
      <c r="M331" s="5" t="n"/>
      <c r="N331" s="5" t="n"/>
      <c r="O331" s="5" t="n">
        <v>2214</v>
      </c>
      <c r="P331" s="5" t="n">
        <v>2214</v>
      </c>
      <c r="Q331" s="5" t="n"/>
      <c r="R331" s="5" t="n"/>
      <c r="S331" s="5">
        <f>F331*20%</f>
        <v/>
      </c>
      <c r="T331" s="5">
        <f>J331-S331</f>
        <v/>
      </c>
      <c r="U331" s="5">
        <f>F331+J331</f>
        <v/>
      </c>
      <c r="V331" s="5">
        <f>O331-U331</f>
        <v/>
      </c>
      <c r="W331" s="5">
        <f>O331-(P331+R331)</f>
        <v/>
      </c>
      <c r="X331" s="5">
        <f>O331-(P331+Q331+R331)</f>
        <v/>
      </c>
    </row>
    <row r="332">
      <c r="A332" s="2" t="inlineStr">
        <is>
          <t>EJ010623.TXT</t>
        </is>
      </c>
      <c r="B332" s="3" t="inlineStr">
        <is>
          <t>004874</t>
        </is>
      </c>
      <c r="C332" s="3" t="inlineStr">
        <is>
          <t>003892</t>
        </is>
      </c>
      <c r="D332" s="4" t="n">
        <v>45056</v>
      </c>
      <c r="E332" s="2" t="inlineStr">
        <is>
          <t>15:57</t>
        </is>
      </c>
      <c r="F332" s="5" t="n">
        <v>208.33</v>
      </c>
      <c r="G332" s="5" t="n"/>
      <c r="H332" s="5" t="n"/>
      <c r="I332" s="5" t="n"/>
      <c r="J332" s="5" t="n">
        <v>41.67</v>
      </c>
      <c r="K332" s="5" t="n"/>
      <c r="L332" s="5" t="n"/>
      <c r="M332" s="5" t="n"/>
      <c r="N332" s="5" t="n"/>
      <c r="O332" s="5" t="n">
        <v>250</v>
      </c>
      <c r="P332" s="5" t="n"/>
      <c r="Q332" s="5" t="n">
        <v>250</v>
      </c>
      <c r="R332" s="5" t="n"/>
      <c r="S332" s="5">
        <f>F332*20%</f>
        <v/>
      </c>
      <c r="T332" s="5">
        <f>J332-S332</f>
        <v/>
      </c>
      <c r="U332" s="5">
        <f>F332+J332</f>
        <v/>
      </c>
      <c r="V332" s="5">
        <f>O332-U332</f>
        <v/>
      </c>
      <c r="W332" s="5">
        <f>O332-(P332+R332)</f>
        <v/>
      </c>
      <c r="X332" s="5">
        <f>O332-(P332+Q332+R332)</f>
        <v/>
      </c>
    </row>
    <row r="333">
      <c r="A333" s="2" t="inlineStr">
        <is>
          <t>EJ010623.TXT</t>
        </is>
      </c>
      <c r="B333" s="3" t="inlineStr">
        <is>
          <t>004875</t>
        </is>
      </c>
      <c r="C333" s="3" t="inlineStr">
        <is>
          <t>003893</t>
        </is>
      </c>
      <c r="D333" s="4" t="n">
        <v>45057</v>
      </c>
      <c r="E333" s="2" t="inlineStr">
        <is>
          <t>14:08</t>
        </is>
      </c>
      <c r="F333" s="5" t="n">
        <v>797.5</v>
      </c>
      <c r="G333" s="5" t="n"/>
      <c r="H333" s="5" t="n"/>
      <c r="I333" s="5" t="n"/>
      <c r="J333" s="5" t="n">
        <v>159.5</v>
      </c>
      <c r="K333" s="5" t="n"/>
      <c r="L333" s="5" t="n"/>
      <c r="M333" s="5" t="n"/>
      <c r="N333" s="5" t="n"/>
      <c r="O333" s="5" t="n">
        <v>957</v>
      </c>
      <c r="P333" s="5" t="n"/>
      <c r="Q333" s="5" t="n">
        <v>957</v>
      </c>
      <c r="R333" s="5" t="n"/>
      <c r="S333" s="5">
        <f>F333*20%</f>
        <v/>
      </c>
      <c r="T333" s="5">
        <f>J333-S333</f>
        <v/>
      </c>
      <c r="U333" s="5">
        <f>F333+J333</f>
        <v/>
      </c>
      <c r="V333" s="5">
        <f>O333-U333</f>
        <v/>
      </c>
      <c r="W333" s="5">
        <f>O333-(P333+R333)</f>
        <v/>
      </c>
      <c r="X333" s="5">
        <f>O333-(P333+Q333+R333)</f>
        <v/>
      </c>
    </row>
    <row r="334">
      <c r="A334" s="2" t="inlineStr">
        <is>
          <t>EJ010623.TXT</t>
        </is>
      </c>
      <c r="B334" s="3" t="inlineStr">
        <is>
          <t>004876</t>
        </is>
      </c>
      <c r="C334" s="3" t="inlineStr">
        <is>
          <t>003894</t>
        </is>
      </c>
      <c r="D334" s="4" t="n">
        <v>45057</v>
      </c>
      <c r="E334" s="2" t="inlineStr">
        <is>
          <t>14:11</t>
        </is>
      </c>
      <c r="F334" s="5" t="n">
        <v>797.5</v>
      </c>
      <c r="G334" s="5" t="n"/>
      <c r="H334" s="5" t="n"/>
      <c r="I334" s="5" t="n"/>
      <c r="J334" s="5" t="n">
        <v>159.5</v>
      </c>
      <c r="K334" s="5" t="n"/>
      <c r="L334" s="5" t="n"/>
      <c r="M334" s="5" t="n"/>
      <c r="N334" s="5" t="n"/>
      <c r="O334" s="5" t="n">
        <v>957</v>
      </c>
      <c r="P334" s="5" t="n"/>
      <c r="Q334" s="5" t="n">
        <v>957</v>
      </c>
      <c r="R334" s="5" t="n"/>
      <c r="S334" s="5">
        <f>F334*20%</f>
        <v/>
      </c>
      <c r="T334" s="5">
        <f>J334-S334</f>
        <v/>
      </c>
      <c r="U334" s="5">
        <f>F334+J334</f>
        <v/>
      </c>
      <c r="V334" s="5">
        <f>O334-U334</f>
        <v/>
      </c>
      <c r="W334" s="5">
        <f>O334-(P334+R334)</f>
        <v/>
      </c>
      <c r="X334" s="5">
        <f>O334-(P334+Q334+R334)</f>
        <v/>
      </c>
    </row>
    <row r="335">
      <c r="A335" s="2" t="inlineStr">
        <is>
          <t>EJ010623.TXT</t>
        </is>
      </c>
      <c r="B335" s="3" t="inlineStr">
        <is>
          <t>004877</t>
        </is>
      </c>
      <c r="C335" s="3" t="inlineStr">
        <is>
          <t>003895</t>
        </is>
      </c>
      <c r="D335" s="4" t="n">
        <v>45057</v>
      </c>
      <c r="E335" s="2" t="inlineStr">
        <is>
          <t>14:53</t>
        </is>
      </c>
      <c r="F335" s="5" t="n">
        <v>199.17</v>
      </c>
      <c r="G335" s="5" t="n"/>
      <c r="H335" s="5" t="n"/>
      <c r="I335" s="5" t="n"/>
      <c r="J335" s="5" t="n">
        <v>39.83</v>
      </c>
      <c r="K335" s="5" t="n"/>
      <c r="L335" s="5" t="n"/>
      <c r="M335" s="5" t="n"/>
      <c r="N335" s="5" t="n"/>
      <c r="O335" s="5" t="n">
        <v>239</v>
      </c>
      <c r="P335" s="5" t="n">
        <v>239</v>
      </c>
      <c r="Q335" s="5" t="n"/>
      <c r="R335" s="5" t="n"/>
      <c r="S335" s="5">
        <f>F335*20%</f>
        <v/>
      </c>
      <c r="T335" s="5">
        <f>J335-S335</f>
        <v/>
      </c>
      <c r="U335" s="5">
        <f>F335+J335</f>
        <v/>
      </c>
      <c r="V335" s="5">
        <f>O335-U335</f>
        <v/>
      </c>
      <c r="W335" s="5">
        <f>O335-(P335+R335)</f>
        <v/>
      </c>
      <c r="X335" s="5">
        <f>O335-(P335+Q335+R335)</f>
        <v/>
      </c>
    </row>
    <row r="336">
      <c r="A336" s="2" t="inlineStr">
        <is>
          <t>EJ010623.TXT</t>
        </is>
      </c>
      <c r="B336" s="3" t="inlineStr">
        <is>
          <t>004878</t>
        </is>
      </c>
      <c r="C336" s="3" t="inlineStr">
        <is>
          <t>003896</t>
        </is>
      </c>
      <c r="D336" s="4" t="n">
        <v>45058</v>
      </c>
      <c r="E336" s="2" t="inlineStr">
        <is>
          <t>13:40</t>
        </is>
      </c>
      <c r="F336" s="5" t="n">
        <v>1645</v>
      </c>
      <c r="G336" s="5" t="n"/>
      <c r="H336" s="5" t="n"/>
      <c r="I336" s="5" t="n"/>
      <c r="J336" s="5" t="n">
        <v>329</v>
      </c>
      <c r="K336" s="5" t="n"/>
      <c r="L336" s="5" t="n"/>
      <c r="M336" s="5" t="n"/>
      <c r="N336" s="5" t="n"/>
      <c r="O336" s="5" t="n">
        <v>1974</v>
      </c>
      <c r="P336" s="5" t="n">
        <v>1974</v>
      </c>
      <c r="Q336" s="5" t="n"/>
      <c r="R336" s="5" t="n"/>
      <c r="S336" s="5">
        <f>F336*20%</f>
        <v/>
      </c>
      <c r="T336" s="5">
        <f>J336-S336</f>
        <v/>
      </c>
      <c r="U336" s="5">
        <f>F336+J336</f>
        <v/>
      </c>
      <c r="V336" s="5">
        <f>O336-U336</f>
        <v/>
      </c>
      <c r="W336" s="5">
        <f>O336-(P336+R336)</f>
        <v/>
      </c>
      <c r="X336" s="5">
        <f>O336-(P336+Q336+R336)</f>
        <v/>
      </c>
    </row>
    <row r="337">
      <c r="A337" s="2" t="inlineStr">
        <is>
          <t>EJ010623.TXT</t>
        </is>
      </c>
      <c r="B337" s="3" t="inlineStr">
        <is>
          <t>004879</t>
        </is>
      </c>
      <c r="C337" s="3" t="inlineStr">
        <is>
          <t>003897</t>
        </is>
      </c>
      <c r="D337" s="4" t="n">
        <v>45058</v>
      </c>
      <c r="E337" s="2" t="inlineStr">
        <is>
          <t>15:50</t>
        </is>
      </c>
      <c r="F337" s="5" t="n">
        <v>307.5</v>
      </c>
      <c r="G337" s="5" t="n"/>
      <c r="H337" s="5" t="n"/>
      <c r="I337" s="5" t="n"/>
      <c r="J337" s="5" t="n">
        <v>61.5</v>
      </c>
      <c r="K337" s="5" t="n"/>
      <c r="L337" s="5" t="n"/>
      <c r="M337" s="5" t="n"/>
      <c r="N337" s="5" t="n"/>
      <c r="O337" s="5" t="n">
        <v>369</v>
      </c>
      <c r="P337" s="5" t="n"/>
      <c r="Q337" s="5" t="n">
        <v>369</v>
      </c>
      <c r="R337" s="5" t="n"/>
      <c r="S337" s="5">
        <f>F337*20%</f>
        <v/>
      </c>
      <c r="T337" s="5">
        <f>J337-S337</f>
        <v/>
      </c>
      <c r="U337" s="5">
        <f>F337+J337</f>
        <v/>
      </c>
      <c r="V337" s="5">
        <f>O337-U337</f>
        <v/>
      </c>
      <c r="W337" s="5">
        <f>O337-(P337+R337)</f>
        <v/>
      </c>
      <c r="X337" s="5">
        <f>O337-(P337+Q337+R337)</f>
        <v/>
      </c>
    </row>
    <row r="338">
      <c r="A338" s="2" t="inlineStr">
        <is>
          <t>EJ010623.TXT</t>
        </is>
      </c>
      <c r="B338" s="3" t="inlineStr">
        <is>
          <t>004880</t>
        </is>
      </c>
      <c r="C338" s="3" t="inlineStr">
        <is>
          <t>003898</t>
        </is>
      </c>
      <c r="D338" s="4" t="n">
        <v>45059</v>
      </c>
      <c r="E338" s="2" t="inlineStr">
        <is>
          <t>14:10</t>
        </is>
      </c>
      <c r="F338" s="5" t="n">
        <v>274.17</v>
      </c>
      <c r="G338" s="5" t="n"/>
      <c r="H338" s="5" t="n"/>
      <c r="I338" s="5" t="n"/>
      <c r="J338" s="5" t="n">
        <v>54.83</v>
      </c>
      <c r="K338" s="5" t="n"/>
      <c r="L338" s="5" t="n"/>
      <c r="M338" s="5" t="n"/>
      <c r="N338" s="5" t="n"/>
      <c r="O338" s="5" t="n">
        <v>329</v>
      </c>
      <c r="P338" s="5" t="n"/>
      <c r="Q338" s="5" t="n">
        <v>329</v>
      </c>
      <c r="R338" s="5" t="n"/>
      <c r="S338" s="5">
        <f>F338*20%</f>
        <v/>
      </c>
      <c r="T338" s="5">
        <f>J338-S338</f>
        <v/>
      </c>
      <c r="U338" s="5">
        <f>F338+J338</f>
        <v/>
      </c>
      <c r="V338" s="5">
        <f>O338-U338</f>
        <v/>
      </c>
      <c r="W338" s="5">
        <f>O338-(P338+R338)</f>
        <v/>
      </c>
      <c r="X338" s="5">
        <f>O338-(P338+Q338+R338)</f>
        <v/>
      </c>
    </row>
    <row r="339">
      <c r="A339" s="2" t="inlineStr">
        <is>
          <t>EJ010623.TXT</t>
        </is>
      </c>
      <c r="B339" s="3" t="inlineStr">
        <is>
          <t>004881</t>
        </is>
      </c>
      <c r="C339" s="3" t="inlineStr">
        <is>
          <t>003899</t>
        </is>
      </c>
      <c r="D339" s="4" t="n">
        <v>45059</v>
      </c>
      <c r="E339" s="2" t="inlineStr">
        <is>
          <t>15:44</t>
        </is>
      </c>
      <c r="F339" s="5" t="n">
        <v>3240</v>
      </c>
      <c r="G339" s="5" t="n"/>
      <c r="H339" s="5" t="n"/>
      <c r="I339" s="5" t="n"/>
      <c r="J339" s="5" t="n">
        <v>648</v>
      </c>
      <c r="K339" s="5" t="n"/>
      <c r="L339" s="5" t="n"/>
      <c r="M339" s="5" t="n"/>
      <c r="N339" s="5" t="n"/>
      <c r="O339" s="5" t="n">
        <v>3888</v>
      </c>
      <c r="P339" s="5" t="n">
        <v>3888</v>
      </c>
      <c r="Q339" s="5" t="n"/>
      <c r="R339" s="5" t="n"/>
      <c r="S339" s="5">
        <f>F339*20%</f>
        <v/>
      </c>
      <c r="T339" s="5">
        <f>J339-S339</f>
        <v/>
      </c>
      <c r="U339" s="5">
        <f>F339+J339</f>
        <v/>
      </c>
      <c r="V339" s="5">
        <f>O339-U339</f>
        <v/>
      </c>
      <c r="W339" s="5">
        <f>O339-(P339+R339)</f>
        <v/>
      </c>
      <c r="X339" s="5">
        <f>O339-(P339+Q339+R339)</f>
        <v/>
      </c>
    </row>
    <row r="340">
      <c r="A340" s="2" t="inlineStr">
        <is>
          <t>EJ010623.TXT</t>
        </is>
      </c>
      <c r="B340" s="3" t="inlineStr">
        <is>
          <t>004882</t>
        </is>
      </c>
      <c r="C340" s="3" t="inlineStr">
        <is>
          <t>003900</t>
        </is>
      </c>
      <c r="D340" s="4" t="n">
        <v>45059</v>
      </c>
      <c r="E340" s="2" t="inlineStr">
        <is>
          <t>16:20</t>
        </is>
      </c>
      <c r="F340" s="5" t="n">
        <v>597.5</v>
      </c>
      <c r="G340" s="5" t="n"/>
      <c r="H340" s="5" t="n"/>
      <c r="I340" s="5" t="n"/>
      <c r="J340" s="5" t="n">
        <v>119.5</v>
      </c>
      <c r="K340" s="5" t="n"/>
      <c r="L340" s="5" t="n"/>
      <c r="M340" s="5" t="n"/>
      <c r="N340" s="5" t="n"/>
      <c r="O340" s="5" t="n">
        <v>717</v>
      </c>
      <c r="P340" s="5" t="n">
        <v>717</v>
      </c>
      <c r="Q340" s="5" t="n"/>
      <c r="R340" s="5" t="n"/>
      <c r="S340" s="5">
        <f>F340*20%</f>
        <v/>
      </c>
      <c r="T340" s="5">
        <f>J340-S340</f>
        <v/>
      </c>
      <c r="U340" s="5">
        <f>F340+J340</f>
        <v/>
      </c>
      <c r="V340" s="5">
        <f>O340-U340</f>
        <v/>
      </c>
      <c r="W340" s="5">
        <f>O340-(P340+R340)</f>
        <v/>
      </c>
      <c r="X340" s="5">
        <f>O340-(P340+Q340+R340)</f>
        <v/>
      </c>
    </row>
    <row r="341">
      <c r="A341" s="2" t="inlineStr">
        <is>
          <t>EJ010623.TXT</t>
        </is>
      </c>
      <c r="B341" s="3" t="inlineStr">
        <is>
          <t>004883</t>
        </is>
      </c>
      <c r="C341" s="3" t="inlineStr">
        <is>
          <t>003901</t>
        </is>
      </c>
      <c r="D341" s="4" t="n">
        <v>45061</v>
      </c>
      <c r="E341" s="2" t="inlineStr">
        <is>
          <t>09:23</t>
        </is>
      </c>
      <c r="F341" s="5" t="n">
        <v>548.33</v>
      </c>
      <c r="G341" s="5" t="n"/>
      <c r="H341" s="5" t="n"/>
      <c r="I341" s="5" t="n"/>
      <c r="J341" s="5" t="n">
        <v>109.67</v>
      </c>
      <c r="K341" s="5" t="n"/>
      <c r="L341" s="5" t="n"/>
      <c r="M341" s="5" t="n"/>
      <c r="N341" s="5" t="n"/>
      <c r="O341" s="5" t="n">
        <v>658</v>
      </c>
      <c r="P341" s="5" t="n">
        <v>658</v>
      </c>
      <c r="Q341" s="5" t="n"/>
      <c r="R341" s="5" t="n"/>
      <c r="S341" s="5">
        <f>F341*20%</f>
        <v/>
      </c>
      <c r="T341" s="5">
        <f>J341-S341</f>
        <v/>
      </c>
      <c r="U341" s="5">
        <f>F341+J341</f>
        <v/>
      </c>
      <c r="V341" s="5">
        <f>O341-U341</f>
        <v/>
      </c>
      <c r="W341" s="5">
        <f>O341-(P341+R341)</f>
        <v/>
      </c>
      <c r="X341" s="5">
        <f>O341-(P341+Q341+R341)</f>
        <v/>
      </c>
    </row>
    <row r="342">
      <c r="A342" s="2" t="inlineStr">
        <is>
          <t>EJ010623.TXT</t>
        </is>
      </c>
      <c r="B342" s="3" t="inlineStr">
        <is>
          <t>004884</t>
        </is>
      </c>
      <c r="C342" s="3" t="inlineStr">
        <is>
          <t>003902</t>
        </is>
      </c>
      <c r="D342" s="4" t="n">
        <v>45062</v>
      </c>
      <c r="E342" s="2" t="inlineStr">
        <is>
          <t>13:55</t>
        </is>
      </c>
      <c r="F342" s="5" t="n">
        <v>208.33</v>
      </c>
      <c r="G342" s="5" t="n"/>
      <c r="H342" s="5" t="n"/>
      <c r="I342" s="5" t="n"/>
      <c r="J342" s="5" t="n">
        <v>41.67</v>
      </c>
      <c r="K342" s="5" t="n"/>
      <c r="L342" s="5" t="n"/>
      <c r="M342" s="5" t="n"/>
      <c r="N342" s="5" t="n"/>
      <c r="O342" s="5" t="n">
        <v>250</v>
      </c>
      <c r="P342" s="5" t="n"/>
      <c r="Q342" s="5" t="n">
        <v>250</v>
      </c>
      <c r="R342" s="5" t="n"/>
      <c r="S342" s="5">
        <f>F342*20%</f>
        <v/>
      </c>
      <c r="T342" s="5">
        <f>J342-S342</f>
        <v/>
      </c>
      <c r="U342" s="5">
        <f>F342+J342</f>
        <v/>
      </c>
      <c r="V342" s="5">
        <f>O342-U342</f>
        <v/>
      </c>
      <c r="W342" s="5">
        <f>O342-(P342+R342)</f>
        <v/>
      </c>
      <c r="X342" s="5">
        <f>O342-(P342+Q342+R342)</f>
        <v/>
      </c>
    </row>
    <row r="343">
      <c r="A343" s="2" t="inlineStr">
        <is>
          <t>EJ010623.TXT</t>
        </is>
      </c>
      <c r="B343" s="3" t="inlineStr">
        <is>
          <t>004885</t>
        </is>
      </c>
      <c r="C343" s="3" t="inlineStr">
        <is>
          <t>003903</t>
        </is>
      </c>
      <c r="D343" s="4" t="n">
        <v>45065</v>
      </c>
      <c r="E343" s="2" t="inlineStr">
        <is>
          <t>11:05</t>
        </is>
      </c>
      <c r="F343" s="5" t="n">
        <v>24.17</v>
      </c>
      <c r="G343" s="5" t="n"/>
      <c r="H343" s="5" t="n"/>
      <c r="I343" s="5" t="n"/>
      <c r="J343" s="5" t="n">
        <v>4.83</v>
      </c>
      <c r="K343" s="5" t="n"/>
      <c r="L343" s="5" t="n"/>
      <c r="M343" s="5" t="n"/>
      <c r="N343" s="5" t="n"/>
      <c r="O343" s="5" t="n">
        <v>29</v>
      </c>
      <c r="P343" s="5" t="n">
        <v>29</v>
      </c>
      <c r="Q343" s="5" t="n"/>
      <c r="R343" s="5" t="n"/>
      <c r="S343" s="5">
        <f>F343*20%</f>
        <v/>
      </c>
      <c r="T343" s="5">
        <f>J343-S343</f>
        <v/>
      </c>
      <c r="U343" s="5">
        <f>F343+J343</f>
        <v/>
      </c>
      <c r="V343" s="5">
        <f>O343-U343</f>
        <v/>
      </c>
      <c r="W343" s="5">
        <f>O343-(P343+R343)</f>
        <v/>
      </c>
      <c r="X343" s="5">
        <f>O343-(P343+Q343+R343)</f>
        <v/>
      </c>
    </row>
    <row r="344">
      <c r="A344" s="2" t="inlineStr">
        <is>
          <t>EJ010623.TXT</t>
        </is>
      </c>
      <c r="B344" s="3" t="inlineStr">
        <is>
          <t>004886</t>
        </is>
      </c>
      <c r="C344" s="3" t="inlineStr">
        <is>
          <t>003904</t>
        </is>
      </c>
      <c r="D344" s="4" t="n">
        <v>45065</v>
      </c>
      <c r="E344" s="2" t="inlineStr">
        <is>
          <t>11:05</t>
        </is>
      </c>
      <c r="F344" s="5" t="n">
        <v>166.67</v>
      </c>
      <c r="G344" s="5" t="n"/>
      <c r="H344" s="5" t="n"/>
      <c r="I344" s="5" t="n"/>
      <c r="J344" s="5" t="n">
        <v>33.33</v>
      </c>
      <c r="K344" s="5" t="n"/>
      <c r="L344" s="5" t="n"/>
      <c r="M344" s="5" t="n"/>
      <c r="N344" s="5" t="n"/>
      <c r="O344" s="5" t="n">
        <v>200</v>
      </c>
      <c r="P344" s="5" t="n">
        <v>200</v>
      </c>
      <c r="Q344" s="5" t="n"/>
      <c r="R344" s="5" t="n"/>
      <c r="S344" s="5">
        <f>F344*20%</f>
        <v/>
      </c>
      <c r="T344" s="5">
        <f>J344-S344</f>
        <v/>
      </c>
      <c r="U344" s="5">
        <f>F344+J344</f>
        <v/>
      </c>
      <c r="V344" s="5">
        <f>O344-U344</f>
        <v/>
      </c>
      <c r="W344" s="5">
        <f>O344-(P344+R344)</f>
        <v/>
      </c>
      <c r="X344" s="5">
        <f>O344-(P344+Q344+R344)</f>
        <v/>
      </c>
    </row>
    <row r="345">
      <c r="A345" s="2" t="inlineStr">
        <is>
          <t>EJ010623.TXT</t>
        </is>
      </c>
      <c r="B345" s="3" t="inlineStr">
        <is>
          <t>004887</t>
        </is>
      </c>
      <c r="C345" s="3" t="inlineStr">
        <is>
          <t>003905</t>
        </is>
      </c>
      <c r="D345" s="4" t="n">
        <v>45065</v>
      </c>
      <c r="E345" s="2" t="inlineStr">
        <is>
          <t>16:50</t>
        </is>
      </c>
      <c r="F345" s="5" t="n">
        <v>165</v>
      </c>
      <c r="G345" s="5" t="n"/>
      <c r="H345" s="5" t="n"/>
      <c r="I345" s="5" t="n"/>
      <c r="J345" s="5" t="n">
        <v>33</v>
      </c>
      <c r="K345" s="5" t="n"/>
      <c r="L345" s="5" t="n"/>
      <c r="M345" s="5" t="n"/>
      <c r="N345" s="5" t="n"/>
      <c r="O345" s="5" t="n">
        <v>198</v>
      </c>
      <c r="P345" s="5" t="n"/>
      <c r="Q345" s="5" t="n">
        <v>198</v>
      </c>
      <c r="R345" s="5" t="n"/>
      <c r="S345" s="5">
        <f>F345*20%</f>
        <v/>
      </c>
      <c r="T345" s="5">
        <f>J345-S345</f>
        <v/>
      </c>
      <c r="U345" s="5">
        <f>F345+J345</f>
        <v/>
      </c>
      <c r="V345" s="5">
        <f>O345-U345</f>
        <v/>
      </c>
      <c r="W345" s="5">
        <f>O345-(P345+R345)</f>
        <v/>
      </c>
      <c r="X345" s="5">
        <f>O345-(P345+Q345+R345)</f>
        <v/>
      </c>
    </row>
    <row r="346">
      <c r="A346" s="2" t="inlineStr">
        <is>
          <t>EJ010623.TXT</t>
        </is>
      </c>
      <c r="B346" s="3" t="inlineStr">
        <is>
          <t>004888</t>
        </is>
      </c>
      <c r="C346" s="3" t="inlineStr">
        <is>
          <t>003906</t>
        </is>
      </c>
      <c r="D346" s="4" t="n">
        <v>45065</v>
      </c>
      <c r="E346" s="2" t="inlineStr">
        <is>
          <t>17:23</t>
        </is>
      </c>
      <c r="F346" s="5" t="n">
        <v>531.67</v>
      </c>
      <c r="G346" s="5" t="n"/>
      <c r="H346" s="5" t="n"/>
      <c r="I346" s="5" t="n"/>
      <c r="J346" s="5" t="n">
        <v>106.33</v>
      </c>
      <c r="K346" s="5" t="n"/>
      <c r="L346" s="5" t="n"/>
      <c r="M346" s="5" t="n"/>
      <c r="N346" s="5" t="n"/>
      <c r="O346" s="5" t="n">
        <v>638</v>
      </c>
      <c r="P346" s="5" t="n"/>
      <c r="Q346" s="5" t="n">
        <v>638</v>
      </c>
      <c r="R346" s="5" t="n"/>
      <c r="S346" s="5">
        <f>F346*20%</f>
        <v/>
      </c>
      <c r="T346" s="5">
        <f>J346-S346</f>
        <v/>
      </c>
      <c r="U346" s="5">
        <f>F346+J346</f>
        <v/>
      </c>
      <c r="V346" s="5">
        <f>O346-U346</f>
        <v/>
      </c>
      <c r="W346" s="5">
        <f>O346-(P346+R346)</f>
        <v/>
      </c>
      <c r="X346" s="5">
        <f>O346-(P346+Q346+R346)</f>
        <v/>
      </c>
    </row>
    <row r="347">
      <c r="A347" s="2" t="inlineStr">
        <is>
          <t>EJ010623.TXT</t>
        </is>
      </c>
      <c r="B347" s="3" t="inlineStr">
        <is>
          <t>004889</t>
        </is>
      </c>
      <c r="C347" s="3" t="inlineStr">
        <is>
          <t>003907</t>
        </is>
      </c>
      <c r="D347" s="4" t="n">
        <v>45066</v>
      </c>
      <c r="E347" s="2" t="inlineStr">
        <is>
          <t>14:27</t>
        </is>
      </c>
      <c r="F347" s="5" t="n">
        <v>797.5</v>
      </c>
      <c r="G347" s="5" t="n"/>
      <c r="H347" s="5" t="n"/>
      <c r="I347" s="5" t="n"/>
      <c r="J347" s="5" t="n">
        <v>159.5</v>
      </c>
      <c r="K347" s="5" t="n"/>
      <c r="L347" s="5" t="n"/>
      <c r="M347" s="5" t="n"/>
      <c r="N347" s="5" t="n"/>
      <c r="O347" s="5" t="n">
        <v>957</v>
      </c>
      <c r="P347" s="5" t="n"/>
      <c r="Q347" s="5" t="n">
        <v>957</v>
      </c>
      <c r="R347" s="5" t="n"/>
      <c r="S347" s="5">
        <f>F347*20%</f>
        <v/>
      </c>
      <c r="T347" s="5">
        <f>J347-S347</f>
        <v/>
      </c>
      <c r="U347" s="5">
        <f>F347+J347</f>
        <v/>
      </c>
      <c r="V347" s="5">
        <f>O347-U347</f>
        <v/>
      </c>
      <c r="W347" s="5">
        <f>O347-(P347+R347)</f>
        <v/>
      </c>
      <c r="X347" s="5">
        <f>O347-(P347+Q347+R347)</f>
        <v/>
      </c>
    </row>
    <row r="348">
      <c r="A348" s="2" t="inlineStr">
        <is>
          <t>EJ010623.TXT</t>
        </is>
      </c>
      <c r="B348" s="3" t="inlineStr">
        <is>
          <t>004890</t>
        </is>
      </c>
      <c r="C348" s="3" t="inlineStr">
        <is>
          <t>003908</t>
        </is>
      </c>
      <c r="D348" s="4" t="n">
        <v>45066</v>
      </c>
      <c r="E348" s="2" t="inlineStr">
        <is>
          <t>14:27</t>
        </is>
      </c>
      <c r="F348" s="5" t="n">
        <v>797.5</v>
      </c>
      <c r="G348" s="5" t="n"/>
      <c r="H348" s="5" t="n"/>
      <c r="I348" s="5" t="n"/>
      <c r="J348" s="5" t="n">
        <v>159.5</v>
      </c>
      <c r="K348" s="5" t="n"/>
      <c r="L348" s="5" t="n"/>
      <c r="M348" s="5" t="n"/>
      <c r="N348" s="5" t="n"/>
      <c r="O348" s="5" t="n">
        <v>957</v>
      </c>
      <c r="P348" s="5" t="n"/>
      <c r="Q348" s="5" t="n">
        <v>957</v>
      </c>
      <c r="R348" s="5" t="n"/>
      <c r="S348" s="5">
        <f>F348*20%</f>
        <v/>
      </c>
      <c r="T348" s="5">
        <f>J348-S348</f>
        <v/>
      </c>
      <c r="U348" s="5">
        <f>F348+J348</f>
        <v/>
      </c>
      <c r="V348" s="5">
        <f>O348-U348</f>
        <v/>
      </c>
      <c r="W348" s="5">
        <f>O348-(P348+R348)</f>
        <v/>
      </c>
      <c r="X348" s="5">
        <f>O348-(P348+Q348+R348)</f>
        <v/>
      </c>
    </row>
    <row r="349">
      <c r="A349" s="2" t="inlineStr">
        <is>
          <t>EJ010623.TXT</t>
        </is>
      </c>
      <c r="B349" s="3" t="inlineStr">
        <is>
          <t>004891</t>
        </is>
      </c>
      <c r="C349" s="3" t="inlineStr">
        <is>
          <t>003909</t>
        </is>
      </c>
      <c r="D349" s="4" t="n">
        <v>45066</v>
      </c>
      <c r="E349" s="2" t="inlineStr">
        <is>
          <t>14:28</t>
        </is>
      </c>
      <c r="F349" s="5" t="n">
        <v>531.67</v>
      </c>
      <c r="G349" s="5" t="n"/>
      <c r="H349" s="5" t="n"/>
      <c r="I349" s="5" t="n"/>
      <c r="J349" s="5" t="n">
        <v>106.33</v>
      </c>
      <c r="K349" s="5" t="n"/>
      <c r="L349" s="5" t="n"/>
      <c r="M349" s="5" t="n"/>
      <c r="N349" s="5" t="n"/>
      <c r="O349" s="5" t="n">
        <v>638</v>
      </c>
      <c r="P349" s="5" t="n">
        <v>638</v>
      </c>
      <c r="Q349" s="5" t="n"/>
      <c r="R349" s="5" t="n"/>
      <c r="S349" s="5">
        <f>F349*20%</f>
        <v/>
      </c>
      <c r="T349" s="5">
        <f>J349-S349</f>
        <v/>
      </c>
      <c r="U349" s="5">
        <f>F349+J349</f>
        <v/>
      </c>
      <c r="V349" s="5">
        <f>O349-U349</f>
        <v/>
      </c>
      <c r="W349" s="5">
        <f>O349-(P349+R349)</f>
        <v/>
      </c>
      <c r="X349" s="5">
        <f>O349-(P349+Q349+R349)</f>
        <v/>
      </c>
    </row>
    <row r="350">
      <c r="A350" s="2" t="inlineStr">
        <is>
          <t>EJ010623.TXT</t>
        </is>
      </c>
      <c r="B350" s="3" t="inlineStr">
        <is>
          <t>004892</t>
        </is>
      </c>
      <c r="C350" s="3" t="inlineStr">
        <is>
          <t>003910</t>
        </is>
      </c>
      <c r="D350" s="4" t="n">
        <v>45066</v>
      </c>
      <c r="E350" s="2" t="inlineStr">
        <is>
          <t>14:50</t>
        </is>
      </c>
      <c r="F350" s="5" t="n">
        <v>582.5</v>
      </c>
      <c r="G350" s="5" t="n"/>
      <c r="H350" s="5" t="n"/>
      <c r="I350" s="5" t="n"/>
      <c r="J350" s="5" t="n">
        <v>116.5</v>
      </c>
      <c r="K350" s="5" t="n"/>
      <c r="L350" s="5" t="n"/>
      <c r="M350" s="5" t="n"/>
      <c r="N350" s="5" t="n"/>
      <c r="O350" s="5" t="n">
        <v>699</v>
      </c>
      <c r="P350" s="5" t="n"/>
      <c r="Q350" s="5" t="n">
        <v>699</v>
      </c>
      <c r="R350" s="5" t="n"/>
      <c r="S350" s="5">
        <f>F350*20%</f>
        <v/>
      </c>
      <c r="T350" s="5">
        <f>J350-S350</f>
        <v/>
      </c>
      <c r="U350" s="5">
        <f>F350+J350</f>
        <v/>
      </c>
      <c r="V350" s="5">
        <f>O350-U350</f>
        <v/>
      </c>
      <c r="W350" s="5">
        <f>O350-(P350+R350)</f>
        <v/>
      </c>
      <c r="X350" s="5">
        <f>O350-(P350+Q350+R350)</f>
        <v/>
      </c>
    </row>
    <row r="351">
      <c r="A351" s="2" t="inlineStr">
        <is>
          <t>EJ010623.TXT</t>
        </is>
      </c>
      <c r="B351" s="3" t="inlineStr">
        <is>
          <t>004893</t>
        </is>
      </c>
      <c r="C351" s="3" t="inlineStr">
        <is>
          <t>003911</t>
        </is>
      </c>
      <c r="D351" s="4" t="n">
        <v>45066</v>
      </c>
      <c r="E351" s="2" t="inlineStr">
        <is>
          <t>14:51</t>
        </is>
      </c>
      <c r="F351" s="5" t="n">
        <v>3495</v>
      </c>
      <c r="G351" s="5" t="n"/>
      <c r="H351" s="5" t="n"/>
      <c r="I351" s="5" t="n"/>
      <c r="J351" s="5" t="n">
        <v>699</v>
      </c>
      <c r="K351" s="5" t="n"/>
      <c r="L351" s="5" t="n"/>
      <c r="M351" s="5" t="n"/>
      <c r="N351" s="5" t="n"/>
      <c r="O351" s="5" t="n">
        <v>4194</v>
      </c>
      <c r="P351" s="5" t="n">
        <v>4194</v>
      </c>
      <c r="Q351" s="5" t="n"/>
      <c r="R351" s="5" t="n"/>
      <c r="S351" s="5">
        <f>F351*20%</f>
        <v/>
      </c>
      <c r="T351" s="5">
        <f>J351-S351</f>
        <v/>
      </c>
      <c r="U351" s="5">
        <f>F351+J351</f>
        <v/>
      </c>
      <c r="V351" s="5">
        <f>O351-U351</f>
        <v/>
      </c>
      <c r="W351" s="5">
        <f>O351-(P351+R351)</f>
        <v/>
      </c>
      <c r="X351" s="5">
        <f>O351-(P351+Q351+R351)</f>
        <v/>
      </c>
    </row>
    <row r="352">
      <c r="A352" s="2" t="inlineStr">
        <is>
          <t>EJ010623.TXT</t>
        </is>
      </c>
      <c r="B352" s="3" t="inlineStr">
        <is>
          <t>004894</t>
        </is>
      </c>
      <c r="C352" s="3" t="inlineStr">
        <is>
          <t>003912</t>
        </is>
      </c>
      <c r="D352" s="4" t="n">
        <v>45066</v>
      </c>
      <c r="E352" s="2" t="inlineStr">
        <is>
          <t>14:52</t>
        </is>
      </c>
      <c r="F352" s="5" t="n">
        <v>582.5</v>
      </c>
      <c r="G352" s="5" t="n"/>
      <c r="H352" s="5" t="n"/>
      <c r="I352" s="5" t="n"/>
      <c r="J352" s="5" t="n">
        <v>116.5</v>
      </c>
      <c r="K352" s="5" t="n"/>
      <c r="L352" s="5" t="n"/>
      <c r="M352" s="5" t="n"/>
      <c r="N352" s="5" t="n"/>
      <c r="O352" s="5" t="n">
        <v>699</v>
      </c>
      <c r="P352" s="5" t="n"/>
      <c r="Q352" s="5" t="n">
        <v>699</v>
      </c>
      <c r="R352" s="5" t="n"/>
      <c r="S352" s="5">
        <f>F352*20%</f>
        <v/>
      </c>
      <c r="T352" s="5">
        <f>J352-S352</f>
        <v/>
      </c>
      <c r="U352" s="5">
        <f>F352+J352</f>
        <v/>
      </c>
      <c r="V352" s="5">
        <f>O352-U352</f>
        <v/>
      </c>
      <c r="W352" s="5">
        <f>O352-(P352+R352)</f>
        <v/>
      </c>
      <c r="X352" s="5">
        <f>O352-(P352+Q352+R352)</f>
        <v/>
      </c>
    </row>
    <row r="353">
      <c r="A353" s="2" t="inlineStr">
        <is>
          <t>EJ010623.TXT</t>
        </is>
      </c>
      <c r="B353" s="3" t="inlineStr">
        <is>
          <t>004895</t>
        </is>
      </c>
      <c r="C353" s="3" t="inlineStr">
        <is>
          <t>003913</t>
        </is>
      </c>
      <c r="D353" s="4" t="n">
        <v>45066</v>
      </c>
      <c r="E353" s="2" t="inlineStr">
        <is>
          <t>14:59</t>
        </is>
      </c>
      <c r="F353" s="5" t="n">
        <v>548.33</v>
      </c>
      <c r="G353" s="5" t="n"/>
      <c r="H353" s="5" t="n"/>
      <c r="I353" s="5" t="n"/>
      <c r="J353" s="5" t="n">
        <v>109.67</v>
      </c>
      <c r="K353" s="5" t="n"/>
      <c r="L353" s="5" t="n"/>
      <c r="M353" s="5" t="n"/>
      <c r="N353" s="5" t="n"/>
      <c r="O353" s="5" t="n">
        <v>658</v>
      </c>
      <c r="P353" s="5" t="n">
        <v>658</v>
      </c>
      <c r="Q353" s="5" t="n"/>
      <c r="R353" s="5" t="n"/>
      <c r="S353" s="5">
        <f>F353*20%</f>
        <v/>
      </c>
      <c r="T353" s="5">
        <f>J353-S353</f>
        <v/>
      </c>
      <c r="U353" s="5">
        <f>F353+J353</f>
        <v/>
      </c>
      <c r="V353" s="5">
        <f>O353-U353</f>
        <v/>
      </c>
      <c r="W353" s="5">
        <f>O353-(P353+R353)</f>
        <v/>
      </c>
      <c r="X353" s="5">
        <f>O353-(P353+Q353+R353)</f>
        <v/>
      </c>
    </row>
    <row r="354">
      <c r="A354" s="2" t="inlineStr">
        <is>
          <t>EJ010623.TXT</t>
        </is>
      </c>
      <c r="B354" s="3" t="inlineStr">
        <is>
          <t>004896</t>
        </is>
      </c>
      <c r="C354" s="3" t="inlineStr">
        <is>
          <t>003914</t>
        </is>
      </c>
      <c r="D354" s="4" t="n">
        <v>45069</v>
      </c>
      <c r="E354" s="2" t="inlineStr">
        <is>
          <t>15:25</t>
        </is>
      </c>
      <c r="F354" s="5" t="n">
        <v>548.33</v>
      </c>
      <c r="G354" s="5" t="n"/>
      <c r="H354" s="5" t="n"/>
      <c r="I354" s="5" t="n"/>
      <c r="J354" s="5" t="n">
        <v>109.67</v>
      </c>
      <c r="K354" s="5" t="n"/>
      <c r="L354" s="5" t="n"/>
      <c r="M354" s="5" t="n"/>
      <c r="N354" s="5" t="n"/>
      <c r="O354" s="5" t="n">
        <v>658</v>
      </c>
      <c r="P354" s="5" t="n"/>
      <c r="Q354" s="5" t="n">
        <v>658</v>
      </c>
      <c r="R354" s="5" t="n"/>
      <c r="S354" s="5">
        <f>F354*20%</f>
        <v/>
      </c>
      <c r="T354" s="5">
        <f>J354-S354</f>
        <v/>
      </c>
      <c r="U354" s="5">
        <f>F354+J354</f>
        <v/>
      </c>
      <c r="V354" s="5">
        <f>O354-U354</f>
        <v/>
      </c>
      <c r="W354" s="5">
        <f>O354-(P354+R354)</f>
        <v/>
      </c>
      <c r="X354" s="5">
        <f>O354-(P354+Q354+R354)</f>
        <v/>
      </c>
    </row>
    <row r="355">
      <c r="A355" s="2" t="inlineStr">
        <is>
          <t>EJ010623.TXT</t>
        </is>
      </c>
      <c r="B355" s="3" t="inlineStr">
        <is>
          <t>004897</t>
        </is>
      </c>
      <c r="C355" s="3" t="inlineStr">
        <is>
          <t>003915</t>
        </is>
      </c>
      <c r="D355" s="4" t="n">
        <v>45070</v>
      </c>
      <c r="E355" s="2" t="inlineStr">
        <is>
          <t>10:19</t>
        </is>
      </c>
      <c r="F355" s="5" t="n">
        <v>822.5</v>
      </c>
      <c r="G355" s="5" t="n"/>
      <c r="H355" s="5" t="n"/>
      <c r="I355" s="5" t="n"/>
      <c r="J355" s="5" t="n">
        <v>164.5</v>
      </c>
      <c r="K355" s="5" t="n"/>
      <c r="L355" s="5" t="n"/>
      <c r="M355" s="5" t="n"/>
      <c r="N355" s="5" t="n"/>
      <c r="O355" s="5" t="n">
        <v>987</v>
      </c>
      <c r="P355" s="5" t="n"/>
      <c r="Q355" s="5" t="n">
        <v>987</v>
      </c>
      <c r="R355" s="5" t="n"/>
      <c r="S355" s="5">
        <f>F355*20%</f>
        <v/>
      </c>
      <c r="T355" s="5">
        <f>J355-S355</f>
        <v/>
      </c>
      <c r="U355" s="5">
        <f>F355+J355</f>
        <v/>
      </c>
      <c r="V355" s="5">
        <f>O355-U355</f>
        <v/>
      </c>
      <c r="W355" s="5">
        <f>O355-(P355+R355)</f>
        <v/>
      </c>
      <c r="X355" s="5">
        <f>O355-(P355+Q355+R355)</f>
        <v/>
      </c>
    </row>
    <row r="356">
      <c r="A356" s="2" t="inlineStr">
        <is>
          <t>EJ010623.TXT</t>
        </is>
      </c>
      <c r="B356" s="3" t="inlineStr">
        <is>
          <t>004898</t>
        </is>
      </c>
      <c r="C356" s="3" t="inlineStr">
        <is>
          <t>003916</t>
        </is>
      </c>
      <c r="D356" s="4" t="n">
        <v>45070</v>
      </c>
      <c r="E356" s="2" t="inlineStr">
        <is>
          <t>10:40</t>
        </is>
      </c>
      <c r="F356" s="5" t="n">
        <v>190.83</v>
      </c>
      <c r="G356" s="5" t="n"/>
      <c r="H356" s="5" t="n"/>
      <c r="I356" s="5" t="n"/>
      <c r="J356" s="5" t="n">
        <v>38.17</v>
      </c>
      <c r="K356" s="5" t="n"/>
      <c r="L356" s="5" t="n"/>
      <c r="M356" s="5" t="n"/>
      <c r="N356" s="5" t="n"/>
      <c r="O356" s="5" t="n">
        <v>229</v>
      </c>
      <c r="P356" s="5" t="n"/>
      <c r="Q356" s="5" t="n">
        <v>229</v>
      </c>
      <c r="R356" s="5" t="n"/>
      <c r="S356" s="5">
        <f>F356*20%</f>
        <v/>
      </c>
      <c r="T356" s="5">
        <f>J356-S356</f>
        <v/>
      </c>
      <c r="U356" s="5">
        <f>F356+J356</f>
        <v/>
      </c>
      <c r="V356" s="5">
        <f>O356-U356</f>
        <v/>
      </c>
      <c r="W356" s="5">
        <f>O356-(P356+R356)</f>
        <v/>
      </c>
      <c r="X356" s="5">
        <f>O356-(P356+Q356+R356)</f>
        <v/>
      </c>
    </row>
    <row r="357">
      <c r="A357" s="2" t="inlineStr">
        <is>
          <t>EJ010623.TXT</t>
        </is>
      </c>
      <c r="B357" s="3" t="inlineStr">
        <is>
          <t>004899</t>
        </is>
      </c>
      <c r="C357" s="3" t="inlineStr">
        <is>
          <t>003917</t>
        </is>
      </c>
      <c r="D357" s="4" t="n">
        <v>45070</v>
      </c>
      <c r="E357" s="2" t="inlineStr">
        <is>
          <t>11:38</t>
        </is>
      </c>
      <c r="F357" s="5" t="n">
        <v>73.33</v>
      </c>
      <c r="G357" s="5" t="n"/>
      <c r="H357" s="5" t="n"/>
      <c r="I357" s="5" t="n"/>
      <c r="J357" s="5" t="n">
        <v>14.67</v>
      </c>
      <c r="K357" s="5" t="n"/>
      <c r="L357" s="5" t="n"/>
      <c r="M357" s="5" t="n"/>
      <c r="N357" s="5" t="n"/>
      <c r="O357" s="5" t="n">
        <v>88</v>
      </c>
      <c r="P357" s="5" t="n">
        <v>88</v>
      </c>
      <c r="Q357" s="5" t="n"/>
      <c r="R357" s="5" t="n"/>
      <c r="S357" s="5">
        <f>F357*20%</f>
        <v/>
      </c>
      <c r="T357" s="5">
        <f>J357-S357</f>
        <v/>
      </c>
      <c r="U357" s="5">
        <f>F357+J357</f>
        <v/>
      </c>
      <c r="V357" s="5">
        <f>O357-U357</f>
        <v/>
      </c>
      <c r="W357" s="5">
        <f>O357-(P357+R357)</f>
        <v/>
      </c>
      <c r="X357" s="5">
        <f>O357-(P357+Q357+R357)</f>
        <v/>
      </c>
    </row>
    <row r="358">
      <c r="A358" s="2" t="inlineStr">
        <is>
          <t>EJ010623.TXT</t>
        </is>
      </c>
      <c r="B358" s="3" t="inlineStr">
        <is>
          <t>004900</t>
        </is>
      </c>
      <c r="C358" s="3" t="inlineStr">
        <is>
          <t>003918</t>
        </is>
      </c>
      <c r="D358" s="4" t="n">
        <v>45071</v>
      </c>
      <c r="E358" s="2" t="inlineStr">
        <is>
          <t>09:11</t>
        </is>
      </c>
      <c r="F358" s="5" t="n">
        <v>274.17</v>
      </c>
      <c r="G358" s="5" t="n"/>
      <c r="H358" s="5" t="n"/>
      <c r="I358" s="5" t="n"/>
      <c r="J358" s="5" t="n">
        <v>54.83</v>
      </c>
      <c r="K358" s="5" t="n"/>
      <c r="L358" s="5" t="n"/>
      <c r="M358" s="5" t="n"/>
      <c r="N358" s="5" t="n"/>
      <c r="O358" s="5" t="n">
        <v>329</v>
      </c>
      <c r="P358" s="5" t="n">
        <v>329</v>
      </c>
      <c r="Q358" s="5" t="n"/>
      <c r="R358" s="5" t="n"/>
      <c r="S358" s="5">
        <f>F358*20%</f>
        <v/>
      </c>
      <c r="T358" s="5">
        <f>J358-S358</f>
        <v/>
      </c>
      <c r="U358" s="5">
        <f>F358+J358</f>
        <v/>
      </c>
      <c r="V358" s="5">
        <f>O358-U358</f>
        <v/>
      </c>
      <c r="W358" s="5">
        <f>O358-(P358+R358)</f>
        <v/>
      </c>
      <c r="X358" s="5">
        <f>O358-(P358+Q358+R358)</f>
        <v/>
      </c>
    </row>
    <row r="359">
      <c r="A359" s="2" t="inlineStr">
        <is>
          <t>EJ010623.TXT</t>
        </is>
      </c>
      <c r="B359" s="3" t="inlineStr">
        <is>
          <t>004901</t>
        </is>
      </c>
      <c r="C359" s="3" t="inlineStr">
        <is>
          <t>003919</t>
        </is>
      </c>
      <c r="D359" s="4" t="n">
        <v>45071</v>
      </c>
      <c r="E359" s="2" t="inlineStr">
        <is>
          <t>15:56</t>
        </is>
      </c>
      <c r="F359" s="5" t="n">
        <v>548.33</v>
      </c>
      <c r="G359" s="5" t="n"/>
      <c r="H359" s="5" t="n"/>
      <c r="I359" s="5" t="n"/>
      <c r="J359" s="5" t="n">
        <v>109.67</v>
      </c>
      <c r="K359" s="5" t="n"/>
      <c r="L359" s="5" t="n"/>
      <c r="M359" s="5" t="n"/>
      <c r="N359" s="5" t="n"/>
      <c r="O359" s="5" t="n">
        <v>658</v>
      </c>
      <c r="P359" s="5" t="n"/>
      <c r="Q359" s="5" t="n">
        <v>658</v>
      </c>
      <c r="R359" s="5" t="n"/>
      <c r="S359" s="5">
        <f>F359*20%</f>
        <v/>
      </c>
      <c r="T359" s="5">
        <f>J359-S359</f>
        <v/>
      </c>
      <c r="U359" s="5">
        <f>F359+J359</f>
        <v/>
      </c>
      <c r="V359" s="5">
        <f>O359-U359</f>
        <v/>
      </c>
      <c r="W359" s="5">
        <f>O359-(P359+R359)</f>
        <v/>
      </c>
      <c r="X359" s="5">
        <f>O359-(P359+Q359+R359)</f>
        <v/>
      </c>
    </row>
    <row r="360">
      <c r="A360" s="2" t="inlineStr">
        <is>
          <t>EJ010623.TXT</t>
        </is>
      </c>
      <c r="B360" s="3" t="inlineStr">
        <is>
          <t>004902</t>
        </is>
      </c>
      <c r="C360" s="3" t="inlineStr">
        <is>
          <t>003920</t>
        </is>
      </c>
      <c r="D360" s="4" t="n">
        <v>45072</v>
      </c>
      <c r="E360" s="2" t="inlineStr">
        <is>
          <t>09:13</t>
        </is>
      </c>
      <c r="F360" s="5" t="n">
        <v>548.33</v>
      </c>
      <c r="G360" s="5" t="n"/>
      <c r="H360" s="5" t="n"/>
      <c r="I360" s="5" t="n"/>
      <c r="J360" s="5" t="n">
        <v>109.67</v>
      </c>
      <c r="K360" s="5" t="n"/>
      <c r="L360" s="5" t="n"/>
      <c r="M360" s="5" t="n"/>
      <c r="N360" s="5" t="n"/>
      <c r="O360" s="5" t="n">
        <v>658</v>
      </c>
      <c r="P360" s="5" t="n">
        <v>658</v>
      </c>
      <c r="Q360" s="5" t="n"/>
      <c r="R360" s="5" t="n"/>
      <c r="S360" s="5">
        <f>F360*20%</f>
        <v/>
      </c>
      <c r="T360" s="5">
        <f>J360-S360</f>
        <v/>
      </c>
      <c r="U360" s="5">
        <f>F360+J360</f>
        <v/>
      </c>
      <c r="V360" s="5">
        <f>O360-U360</f>
        <v/>
      </c>
      <c r="W360" s="5">
        <f>O360-(P360+R360)</f>
        <v/>
      </c>
      <c r="X360" s="5">
        <f>O360-(P360+Q360+R360)</f>
        <v/>
      </c>
    </row>
    <row r="361">
      <c r="A361" s="2" t="inlineStr">
        <is>
          <t>EJ010623.TXT</t>
        </is>
      </c>
      <c r="B361" s="3" t="inlineStr">
        <is>
          <t>004903</t>
        </is>
      </c>
      <c r="C361" s="3" t="inlineStr">
        <is>
          <t>003921</t>
        </is>
      </c>
      <c r="D361" s="4" t="n">
        <v>45072</v>
      </c>
      <c r="E361" s="2" t="inlineStr">
        <is>
          <t>10:11</t>
        </is>
      </c>
      <c r="F361" s="5" t="n">
        <v>350</v>
      </c>
      <c r="G361" s="5" t="n"/>
      <c r="H361" s="5" t="n"/>
      <c r="I361" s="5" t="n"/>
      <c r="J361" s="5" t="n">
        <v>70</v>
      </c>
      <c r="K361" s="5" t="n"/>
      <c r="L361" s="5" t="n"/>
      <c r="M361" s="5" t="n"/>
      <c r="N361" s="5" t="n"/>
      <c r="O361" s="5" t="n">
        <v>420</v>
      </c>
      <c r="P361" s="5" t="n"/>
      <c r="Q361" s="5" t="n">
        <v>420</v>
      </c>
      <c r="R361" s="5" t="n"/>
      <c r="S361" s="5">
        <f>F361*20%</f>
        <v/>
      </c>
      <c r="T361" s="5">
        <f>J361-S361</f>
        <v/>
      </c>
      <c r="U361" s="5">
        <f>F361+J361</f>
        <v/>
      </c>
      <c r="V361" s="5">
        <f>O361-U361</f>
        <v/>
      </c>
      <c r="W361" s="5">
        <f>O361-(P361+R361)</f>
        <v/>
      </c>
      <c r="X361" s="5">
        <f>O361-(P361+Q361+R361)</f>
        <v/>
      </c>
    </row>
    <row r="362">
      <c r="A362" s="2" t="inlineStr">
        <is>
          <t>EJ010623.TXT</t>
        </is>
      </c>
      <c r="B362" s="3" t="inlineStr">
        <is>
          <t>004904</t>
        </is>
      </c>
      <c r="C362" s="3" t="inlineStr">
        <is>
          <t>003922</t>
        </is>
      </c>
      <c r="D362" s="4" t="n">
        <v>45073</v>
      </c>
      <c r="E362" s="2" t="inlineStr">
        <is>
          <t>14:23</t>
        </is>
      </c>
      <c r="F362" s="5" t="n">
        <v>98.33</v>
      </c>
      <c r="G362" s="5" t="n"/>
      <c r="H362" s="5" t="n"/>
      <c r="I362" s="5" t="n"/>
      <c r="J362" s="5" t="n">
        <v>19.67</v>
      </c>
      <c r="K362" s="5" t="n"/>
      <c r="L362" s="5" t="n"/>
      <c r="M362" s="5" t="n"/>
      <c r="N362" s="5" t="n"/>
      <c r="O362" s="5" t="n">
        <v>118</v>
      </c>
      <c r="P362" s="5" t="n"/>
      <c r="Q362" s="5" t="n">
        <v>118</v>
      </c>
      <c r="R362" s="5" t="n"/>
      <c r="S362" s="5">
        <f>F362*20%</f>
        <v/>
      </c>
      <c r="T362" s="5">
        <f>J362-S362</f>
        <v/>
      </c>
      <c r="U362" s="5">
        <f>F362+J362</f>
        <v/>
      </c>
      <c r="V362" s="5">
        <f>O362-U362</f>
        <v/>
      </c>
      <c r="W362" s="5">
        <f>O362-(P362+R362)</f>
        <v/>
      </c>
      <c r="X362" s="5">
        <f>O362-(P362+Q362+R362)</f>
        <v/>
      </c>
    </row>
    <row r="363">
      <c r="A363" s="2" t="inlineStr">
        <is>
          <t>EJ010623.TXT</t>
        </is>
      </c>
      <c r="B363" s="3" t="inlineStr">
        <is>
          <t>004905</t>
        </is>
      </c>
      <c r="C363" s="3" t="inlineStr">
        <is>
          <t>003923</t>
        </is>
      </c>
      <c r="D363" s="4" t="n">
        <v>45073</v>
      </c>
      <c r="E363" s="2" t="inlineStr">
        <is>
          <t>17:42</t>
        </is>
      </c>
      <c r="F363" s="5" t="n">
        <v>274.17</v>
      </c>
      <c r="G363" s="5" t="n"/>
      <c r="H363" s="5" t="n"/>
      <c r="I363" s="5" t="n"/>
      <c r="J363" s="5" t="n">
        <v>54.83</v>
      </c>
      <c r="K363" s="5" t="n"/>
      <c r="L363" s="5" t="n"/>
      <c r="M363" s="5" t="n"/>
      <c r="N363" s="5" t="n"/>
      <c r="O363" s="5" t="n">
        <v>329</v>
      </c>
      <c r="P363" s="5" t="n"/>
      <c r="Q363" s="5" t="n">
        <v>329</v>
      </c>
      <c r="R363" s="5" t="n"/>
      <c r="S363" s="5">
        <f>F363*20%</f>
        <v/>
      </c>
      <c r="T363" s="5">
        <f>J363-S363</f>
        <v/>
      </c>
      <c r="U363" s="5">
        <f>F363+J363</f>
        <v/>
      </c>
      <c r="V363" s="5">
        <f>O363-U363</f>
        <v/>
      </c>
      <c r="W363" s="5">
        <f>O363-(P363+R363)</f>
        <v/>
      </c>
      <c r="X363" s="5">
        <f>O363-(P363+Q363+R363)</f>
        <v/>
      </c>
    </row>
    <row r="364">
      <c r="A364" s="2" t="inlineStr">
        <is>
          <t>EJ010623.TXT</t>
        </is>
      </c>
      <c r="B364" s="3" t="inlineStr">
        <is>
          <t>004906</t>
        </is>
      </c>
      <c r="C364" s="3" t="inlineStr">
        <is>
          <t>003924</t>
        </is>
      </c>
      <c r="D364" s="4" t="n">
        <v>45075</v>
      </c>
      <c r="E364" s="2" t="inlineStr">
        <is>
          <t>15:18</t>
        </is>
      </c>
      <c r="F364" s="5" t="n">
        <v>381.67</v>
      </c>
      <c r="G364" s="5" t="n"/>
      <c r="H364" s="5" t="n"/>
      <c r="I364" s="5" t="n"/>
      <c r="J364" s="5" t="n">
        <v>76.33</v>
      </c>
      <c r="K364" s="5" t="n"/>
      <c r="L364" s="5" t="n"/>
      <c r="M364" s="5" t="n"/>
      <c r="N364" s="5" t="n"/>
      <c r="O364" s="5" t="n">
        <v>458</v>
      </c>
      <c r="P364" s="5" t="n"/>
      <c r="Q364" s="5" t="n">
        <v>458</v>
      </c>
      <c r="R364" s="5" t="n"/>
      <c r="S364" s="5">
        <f>F364*20%</f>
        <v/>
      </c>
      <c r="T364" s="5">
        <f>J364-S364</f>
        <v/>
      </c>
      <c r="U364" s="5">
        <f>F364+J364</f>
        <v/>
      </c>
      <c r="V364" s="5">
        <f>O364-U364</f>
        <v/>
      </c>
      <c r="W364" s="5">
        <f>O364-(P364+R364)</f>
        <v/>
      </c>
      <c r="X364" s="5">
        <f>O364-(P364+Q364+R364)</f>
        <v/>
      </c>
    </row>
    <row r="365">
      <c r="A365" s="2" t="inlineStr">
        <is>
          <t>EJ010623.TXT</t>
        </is>
      </c>
      <c r="B365" s="3" t="inlineStr">
        <is>
          <t>004907</t>
        </is>
      </c>
      <c r="C365" s="3" t="inlineStr">
        <is>
          <t>003925</t>
        </is>
      </c>
      <c r="D365" s="4" t="n">
        <v>45075</v>
      </c>
      <c r="E365" s="2" t="inlineStr">
        <is>
          <t>16:05</t>
        </is>
      </c>
      <c r="F365" s="5" t="n">
        <v>65.83</v>
      </c>
      <c r="G365" s="5" t="n"/>
      <c r="H365" s="5" t="n"/>
      <c r="I365" s="5" t="n"/>
      <c r="J365" s="5" t="n">
        <v>13.17</v>
      </c>
      <c r="K365" s="5" t="n"/>
      <c r="L365" s="5" t="n"/>
      <c r="M365" s="5" t="n"/>
      <c r="N365" s="5" t="n"/>
      <c r="O365" s="5" t="n">
        <v>79</v>
      </c>
      <c r="P365" s="5" t="n">
        <v>79</v>
      </c>
      <c r="Q365" s="5" t="n"/>
      <c r="R365" s="5" t="n"/>
      <c r="S365" s="5">
        <f>F365*20%</f>
        <v/>
      </c>
      <c r="T365" s="5">
        <f>J365-S365</f>
        <v/>
      </c>
      <c r="U365" s="5">
        <f>F365+J365</f>
        <v/>
      </c>
      <c r="V365" s="5">
        <f>O365-U365</f>
        <v/>
      </c>
      <c r="W365" s="5">
        <f>O365-(P365+R365)</f>
        <v/>
      </c>
      <c r="X365" s="5">
        <f>O365-(P365+Q365+R365)</f>
        <v/>
      </c>
    </row>
    <row r="366">
      <c r="A366" s="2" t="inlineStr">
        <is>
          <t>EJ010623.TXT</t>
        </is>
      </c>
      <c r="B366" s="3" t="inlineStr">
        <is>
          <t>004908</t>
        </is>
      </c>
      <c r="C366" s="3" t="inlineStr">
        <is>
          <t>003926</t>
        </is>
      </c>
      <c r="D366" s="4" t="n">
        <v>45077</v>
      </c>
      <c r="E366" s="2" t="inlineStr">
        <is>
          <t>11:07</t>
        </is>
      </c>
      <c r="F366" s="5" t="n">
        <v>1645</v>
      </c>
      <c r="G366" s="5" t="n"/>
      <c r="H366" s="5" t="n"/>
      <c r="I366" s="5" t="n"/>
      <c r="J366" s="5" t="n">
        <v>329</v>
      </c>
      <c r="K366" s="5" t="n"/>
      <c r="L366" s="5" t="n"/>
      <c r="M366" s="5" t="n"/>
      <c r="N366" s="5" t="n"/>
      <c r="O366" s="5" t="n">
        <v>1974</v>
      </c>
      <c r="P366" s="5" t="n">
        <v>1974</v>
      </c>
      <c r="Q366" s="5" t="n"/>
      <c r="R366" s="5" t="n"/>
      <c r="S366" s="5">
        <f>F366*20%</f>
        <v/>
      </c>
      <c r="T366" s="5">
        <f>J366-S366</f>
        <v/>
      </c>
      <c r="U366" s="5">
        <f>F366+J366</f>
        <v/>
      </c>
      <c r="V366" s="5">
        <f>O366-U366</f>
        <v/>
      </c>
      <c r="W366" s="5">
        <f>O366-(P366+R366)</f>
        <v/>
      </c>
      <c r="X366" s="5">
        <f>O366-(P366+Q366+R366)</f>
        <v/>
      </c>
    </row>
    <row r="367">
      <c r="A367" s="2" t="inlineStr">
        <is>
          <t>EJ010723.TXT</t>
        </is>
      </c>
      <c r="B367" s="3" t="inlineStr">
        <is>
          <t>004916</t>
        </is>
      </c>
      <c r="C367" s="3" t="inlineStr">
        <is>
          <t>003927</t>
        </is>
      </c>
      <c r="D367" s="4" t="n">
        <v>45078</v>
      </c>
      <c r="E367" s="2" t="inlineStr">
        <is>
          <t>10:44</t>
        </is>
      </c>
      <c r="F367" s="5" t="n">
        <v>822.5</v>
      </c>
      <c r="G367" s="5" t="n"/>
      <c r="H367" s="5" t="n"/>
      <c r="I367" s="5" t="n"/>
      <c r="J367" s="5" t="n">
        <v>164.5</v>
      </c>
      <c r="K367" s="5" t="n"/>
      <c r="L367" s="5" t="n"/>
      <c r="M367" s="5" t="n"/>
      <c r="N367" s="5" t="n"/>
      <c r="O367" s="5" t="n">
        <v>987</v>
      </c>
      <c r="P367" s="5" t="n"/>
      <c r="Q367" s="5" t="n">
        <v>987</v>
      </c>
      <c r="R367" s="5" t="n"/>
      <c r="S367" s="5">
        <f>F367*20%</f>
        <v/>
      </c>
      <c r="T367" s="5">
        <f>J367-S367</f>
        <v/>
      </c>
      <c r="U367" s="5">
        <f>F367+J367</f>
        <v/>
      </c>
      <c r="V367" s="5">
        <f>O367-U367</f>
        <v/>
      </c>
      <c r="W367" s="5">
        <f>O367-(P367+R367)</f>
        <v/>
      </c>
      <c r="X367" s="5">
        <f>O367-(P367+Q367+R367)</f>
        <v/>
      </c>
    </row>
    <row r="368">
      <c r="A368" s="2" t="inlineStr">
        <is>
          <t>EJ010723.TXT</t>
        </is>
      </c>
      <c r="B368" s="3" t="inlineStr">
        <is>
          <t>004917</t>
        </is>
      </c>
      <c r="C368" s="3" t="inlineStr">
        <is>
          <t>003928</t>
        </is>
      </c>
      <c r="D368" s="4" t="n">
        <v>45078</v>
      </c>
      <c r="E368" s="2" t="inlineStr">
        <is>
          <t>10:44</t>
        </is>
      </c>
      <c r="F368" s="5" t="n">
        <v>548.33</v>
      </c>
      <c r="G368" s="5" t="n"/>
      <c r="H368" s="5" t="n"/>
      <c r="I368" s="5" t="n"/>
      <c r="J368" s="5" t="n">
        <v>109.67</v>
      </c>
      <c r="K368" s="5" t="n"/>
      <c r="L368" s="5" t="n"/>
      <c r="M368" s="5" t="n"/>
      <c r="N368" s="5" t="n"/>
      <c r="O368" s="5" t="n">
        <v>658</v>
      </c>
      <c r="P368" s="5" t="n"/>
      <c r="Q368" s="5" t="n">
        <v>658</v>
      </c>
      <c r="R368" s="5" t="n"/>
      <c r="S368" s="5">
        <f>F368*20%</f>
        <v/>
      </c>
      <c r="T368" s="5">
        <f>J368-S368</f>
        <v/>
      </c>
      <c r="U368" s="5">
        <f>F368+J368</f>
        <v/>
      </c>
      <c r="V368" s="5">
        <f>O368-U368</f>
        <v/>
      </c>
      <c r="W368" s="5">
        <f>O368-(P368+R368)</f>
        <v/>
      </c>
      <c r="X368" s="5">
        <f>O368-(P368+Q368+R368)</f>
        <v/>
      </c>
    </row>
    <row r="369">
      <c r="A369" s="2" t="inlineStr">
        <is>
          <t>EJ010723.TXT</t>
        </is>
      </c>
      <c r="B369" s="3" t="inlineStr">
        <is>
          <t>004918</t>
        </is>
      </c>
      <c r="C369" s="3" t="inlineStr">
        <is>
          <t>003929</t>
        </is>
      </c>
      <c r="D369" s="4" t="n">
        <v>45078</v>
      </c>
      <c r="E369" s="2" t="inlineStr">
        <is>
          <t>10:48</t>
        </is>
      </c>
      <c r="F369" s="5" t="n">
        <v>131.67</v>
      </c>
      <c r="G369" s="5" t="n"/>
      <c r="H369" s="5" t="n"/>
      <c r="I369" s="5" t="n"/>
      <c r="J369" s="5" t="n">
        <v>26.33</v>
      </c>
      <c r="K369" s="5" t="n"/>
      <c r="L369" s="5" t="n"/>
      <c r="M369" s="5" t="n"/>
      <c r="N369" s="5" t="n"/>
      <c r="O369" s="5" t="n">
        <v>158</v>
      </c>
      <c r="P369" s="5" t="n"/>
      <c r="Q369" s="5" t="n">
        <v>158</v>
      </c>
      <c r="R369" s="5" t="n"/>
      <c r="S369" s="5">
        <f>F369*20%</f>
        <v/>
      </c>
      <c r="T369" s="5">
        <f>J369-S369</f>
        <v/>
      </c>
      <c r="U369" s="5">
        <f>F369+J369</f>
        <v/>
      </c>
      <c r="V369" s="5">
        <f>O369-U369</f>
        <v/>
      </c>
      <c r="W369" s="5">
        <f>O369-(P369+R369)</f>
        <v/>
      </c>
      <c r="X369" s="5">
        <f>O369-(P369+Q369+R369)</f>
        <v/>
      </c>
    </row>
    <row r="370">
      <c r="A370" s="2" t="inlineStr">
        <is>
          <t>EJ010723.TXT</t>
        </is>
      </c>
      <c r="B370" s="3" t="inlineStr">
        <is>
          <t>004919</t>
        </is>
      </c>
      <c r="C370" s="3" t="inlineStr">
        <is>
          <t>003930</t>
        </is>
      </c>
      <c r="D370" s="4" t="n">
        <v>45078</v>
      </c>
      <c r="E370" s="2" t="inlineStr">
        <is>
          <t>15:15</t>
        </is>
      </c>
      <c r="F370" s="5" t="n">
        <v>208.33</v>
      </c>
      <c r="G370" s="5" t="n"/>
      <c r="H370" s="5" t="n"/>
      <c r="I370" s="5" t="n"/>
      <c r="J370" s="5" t="n">
        <v>41.67</v>
      </c>
      <c r="K370" s="5" t="n"/>
      <c r="L370" s="5" t="n"/>
      <c r="M370" s="5" t="n"/>
      <c r="N370" s="5" t="n"/>
      <c r="O370" s="5" t="n">
        <v>250</v>
      </c>
      <c r="P370" s="5" t="n"/>
      <c r="Q370" s="5" t="n">
        <v>250</v>
      </c>
      <c r="R370" s="5" t="n"/>
      <c r="S370" s="5">
        <f>F370*20%</f>
        <v/>
      </c>
      <c r="T370" s="5">
        <f>J370-S370</f>
        <v/>
      </c>
      <c r="U370" s="5">
        <f>F370+J370</f>
        <v/>
      </c>
      <c r="V370" s="5">
        <f>O370-U370</f>
        <v/>
      </c>
      <c r="W370" s="5">
        <f>O370-(P370+R370)</f>
        <v/>
      </c>
      <c r="X370" s="5">
        <f>O370-(P370+Q370+R370)</f>
        <v/>
      </c>
    </row>
    <row r="371">
      <c r="A371" s="2" t="inlineStr">
        <is>
          <t>EJ010723.TXT</t>
        </is>
      </c>
      <c r="B371" s="3" t="inlineStr">
        <is>
          <t>004920</t>
        </is>
      </c>
      <c r="C371" s="3" t="inlineStr">
        <is>
          <t>003931</t>
        </is>
      </c>
      <c r="D371" s="4" t="n">
        <v>45080</v>
      </c>
      <c r="E371" s="2" t="inlineStr">
        <is>
          <t>14:59</t>
        </is>
      </c>
      <c r="F371" s="5" t="n">
        <v>274.17</v>
      </c>
      <c r="G371" s="5" t="n"/>
      <c r="H371" s="5" t="n"/>
      <c r="I371" s="5" t="n"/>
      <c r="J371" s="5" t="n">
        <v>54.83</v>
      </c>
      <c r="K371" s="5" t="n"/>
      <c r="L371" s="5" t="n"/>
      <c r="M371" s="5" t="n"/>
      <c r="N371" s="5" t="n"/>
      <c r="O371" s="5" t="n">
        <v>329</v>
      </c>
      <c r="P371" s="5" t="n"/>
      <c r="Q371" s="5" t="n">
        <v>329</v>
      </c>
      <c r="R371" s="5" t="n"/>
      <c r="S371" s="5">
        <f>F371*20%</f>
        <v/>
      </c>
      <c r="T371" s="5">
        <f>J371-S371</f>
        <v/>
      </c>
      <c r="U371" s="5">
        <f>F371+J371</f>
        <v/>
      </c>
      <c r="V371" s="5">
        <f>O371-U371</f>
        <v/>
      </c>
      <c r="W371" s="5">
        <f>O371-(P371+R371)</f>
        <v/>
      </c>
      <c r="X371" s="5">
        <f>O371-(P371+Q371+R371)</f>
        <v/>
      </c>
    </row>
    <row r="372">
      <c r="A372" s="2" t="inlineStr">
        <is>
          <t>EJ010723.TXT</t>
        </is>
      </c>
      <c r="B372" s="3" t="inlineStr">
        <is>
          <t>004921</t>
        </is>
      </c>
      <c r="C372" s="3" t="inlineStr">
        <is>
          <t>003932</t>
        </is>
      </c>
      <c r="D372" s="4" t="n">
        <v>45080</v>
      </c>
      <c r="E372" s="2" t="inlineStr">
        <is>
          <t>15:54</t>
        </is>
      </c>
      <c r="F372" s="5" t="n">
        <v>190.83</v>
      </c>
      <c r="G372" s="5" t="n"/>
      <c r="H372" s="5" t="n"/>
      <c r="I372" s="5" t="n"/>
      <c r="J372" s="5" t="n">
        <v>38.17</v>
      </c>
      <c r="K372" s="5" t="n"/>
      <c r="L372" s="5" t="n"/>
      <c r="M372" s="5" t="n"/>
      <c r="N372" s="5" t="n"/>
      <c r="O372" s="5" t="n">
        <v>229</v>
      </c>
      <c r="P372" s="5" t="n">
        <v>229</v>
      </c>
      <c r="Q372" s="5" t="n"/>
      <c r="R372" s="5" t="n"/>
      <c r="S372" s="5">
        <f>F372*20%</f>
        <v/>
      </c>
      <c r="T372" s="5">
        <f>J372-S372</f>
        <v/>
      </c>
      <c r="U372" s="5">
        <f>F372+J372</f>
        <v/>
      </c>
      <c r="V372" s="5">
        <f>O372-U372</f>
        <v/>
      </c>
      <c r="W372" s="5">
        <f>O372-(P372+R372)</f>
        <v/>
      </c>
      <c r="X372" s="5">
        <f>O372-(P372+Q372+R372)</f>
        <v/>
      </c>
    </row>
    <row r="373">
      <c r="A373" s="2" t="inlineStr">
        <is>
          <t>EJ010723.TXT</t>
        </is>
      </c>
      <c r="B373" s="3" t="inlineStr">
        <is>
          <t>004922</t>
        </is>
      </c>
      <c r="C373" s="3" t="inlineStr">
        <is>
          <t>003933</t>
        </is>
      </c>
      <c r="D373" s="4" t="n">
        <v>45080</v>
      </c>
      <c r="E373" s="2" t="inlineStr">
        <is>
          <t>16:42</t>
        </is>
      </c>
      <c r="F373" s="5" t="n">
        <v>822.5</v>
      </c>
      <c r="G373" s="5" t="n"/>
      <c r="H373" s="5" t="n"/>
      <c r="I373" s="5" t="n"/>
      <c r="J373" s="5" t="n">
        <v>164.5</v>
      </c>
      <c r="K373" s="5" t="n"/>
      <c r="L373" s="5" t="n"/>
      <c r="M373" s="5" t="n"/>
      <c r="N373" s="5" t="n"/>
      <c r="O373" s="5" t="n">
        <v>987</v>
      </c>
      <c r="P373" s="5" t="n"/>
      <c r="Q373" s="5" t="n">
        <v>987</v>
      </c>
      <c r="R373" s="5" t="n"/>
      <c r="S373" s="5">
        <f>F373*20%</f>
        <v/>
      </c>
      <c r="T373" s="5">
        <f>J373-S373</f>
        <v/>
      </c>
      <c r="U373" s="5">
        <f>F373+J373</f>
        <v/>
      </c>
      <c r="V373" s="5">
        <f>O373-U373</f>
        <v/>
      </c>
      <c r="W373" s="5">
        <f>O373-(P373+R373)</f>
        <v/>
      </c>
      <c r="X373" s="5">
        <f>O373-(P373+Q373+R373)</f>
        <v/>
      </c>
    </row>
    <row r="374">
      <c r="A374" s="2" t="inlineStr">
        <is>
          <t>EJ010723.TXT</t>
        </is>
      </c>
      <c r="B374" s="3" t="inlineStr">
        <is>
          <t>004923</t>
        </is>
      </c>
      <c r="C374" s="3" t="inlineStr">
        <is>
          <t>003934</t>
        </is>
      </c>
      <c r="D374" s="4" t="n">
        <v>45080</v>
      </c>
      <c r="E374" s="2" t="inlineStr">
        <is>
          <t>16:42</t>
        </is>
      </c>
      <c r="F374" s="5" t="n">
        <v>667.5</v>
      </c>
      <c r="G374" s="5" t="n"/>
      <c r="H374" s="5" t="n"/>
      <c r="I374" s="5" t="n"/>
      <c r="J374" s="5" t="n">
        <v>133.5</v>
      </c>
      <c r="K374" s="5" t="n"/>
      <c r="L374" s="5" t="n"/>
      <c r="M374" s="5" t="n"/>
      <c r="N374" s="5" t="n"/>
      <c r="O374" s="5" t="n">
        <v>801</v>
      </c>
      <c r="P374" s="5" t="n"/>
      <c r="Q374" s="5" t="n">
        <v>801</v>
      </c>
      <c r="R374" s="5" t="n"/>
      <c r="S374" s="5">
        <f>F374*20%</f>
        <v/>
      </c>
      <c r="T374" s="5">
        <f>J374-S374</f>
        <v/>
      </c>
      <c r="U374" s="5">
        <f>F374+J374</f>
        <v/>
      </c>
      <c r="V374" s="5">
        <f>O374-U374</f>
        <v/>
      </c>
      <c r="W374" s="5">
        <f>O374-(P374+R374)</f>
        <v/>
      </c>
      <c r="X374" s="5">
        <f>O374-(P374+Q374+R374)</f>
        <v/>
      </c>
    </row>
    <row r="375">
      <c r="A375" s="2" t="inlineStr">
        <is>
          <t>EJ010723.TXT</t>
        </is>
      </c>
      <c r="B375" s="3" t="inlineStr">
        <is>
          <t>004924</t>
        </is>
      </c>
      <c r="C375" s="3" t="inlineStr">
        <is>
          <t>003935</t>
        </is>
      </c>
      <c r="D375" s="4" t="n">
        <v>45080</v>
      </c>
      <c r="E375" s="2" t="inlineStr">
        <is>
          <t>16:52</t>
        </is>
      </c>
      <c r="F375" s="5" t="n">
        <v>274.17</v>
      </c>
      <c r="G375" s="5" t="n"/>
      <c r="H375" s="5" t="n"/>
      <c r="I375" s="5" t="n"/>
      <c r="J375" s="5" t="n">
        <v>54.83</v>
      </c>
      <c r="K375" s="5" t="n"/>
      <c r="L375" s="5" t="n"/>
      <c r="M375" s="5" t="n"/>
      <c r="N375" s="5" t="n"/>
      <c r="O375" s="5" t="n">
        <v>329</v>
      </c>
      <c r="P375" s="5" t="n"/>
      <c r="Q375" s="5" t="n">
        <v>329</v>
      </c>
      <c r="R375" s="5" t="n"/>
      <c r="S375" s="5">
        <f>F375*20%</f>
        <v/>
      </c>
      <c r="T375" s="5">
        <f>J375-S375</f>
        <v/>
      </c>
      <c r="U375" s="5">
        <f>F375+J375</f>
        <v/>
      </c>
      <c r="V375" s="5">
        <f>O375-U375</f>
        <v/>
      </c>
      <c r="W375" s="5">
        <f>O375-(P375+R375)</f>
        <v/>
      </c>
      <c r="X375" s="5">
        <f>O375-(P375+Q375+R375)</f>
        <v/>
      </c>
    </row>
    <row r="376">
      <c r="A376" s="2" t="inlineStr">
        <is>
          <t>EJ010723.TXT</t>
        </is>
      </c>
      <c r="B376" s="3" t="inlineStr">
        <is>
          <t>004925</t>
        </is>
      </c>
      <c r="C376" s="3" t="inlineStr">
        <is>
          <t>003936</t>
        </is>
      </c>
      <c r="D376" s="4" t="n">
        <v>45080</v>
      </c>
      <c r="E376" s="2" t="inlineStr">
        <is>
          <t>18:06</t>
        </is>
      </c>
      <c r="F376" s="5" t="n">
        <v>465</v>
      </c>
      <c r="G376" s="5" t="n"/>
      <c r="H376" s="5" t="n"/>
      <c r="I376" s="5" t="n"/>
      <c r="J376" s="5" t="n">
        <v>93</v>
      </c>
      <c r="K376" s="5" t="n"/>
      <c r="L376" s="5" t="n"/>
      <c r="M376" s="5" t="n"/>
      <c r="N376" s="5" t="n"/>
      <c r="O376" s="5" t="n">
        <v>558</v>
      </c>
      <c r="P376" s="5" t="n">
        <v>558</v>
      </c>
      <c r="Q376" s="5" t="n"/>
      <c r="R376" s="5" t="n"/>
      <c r="S376" s="5">
        <f>F376*20%</f>
        <v/>
      </c>
      <c r="T376" s="5">
        <f>J376-S376</f>
        <v/>
      </c>
      <c r="U376" s="5">
        <f>F376+J376</f>
        <v/>
      </c>
      <c r="V376" s="5">
        <f>O376-U376</f>
        <v/>
      </c>
      <c r="W376" s="5">
        <f>O376-(P376+R376)</f>
        <v/>
      </c>
      <c r="X376" s="5">
        <f>O376-(P376+Q376+R376)</f>
        <v/>
      </c>
    </row>
    <row r="377">
      <c r="A377" s="2" t="inlineStr">
        <is>
          <t>EJ010723.TXT</t>
        </is>
      </c>
      <c r="B377" s="3" t="inlineStr">
        <is>
          <t>004926</t>
        </is>
      </c>
      <c r="C377" s="3" t="inlineStr">
        <is>
          <t>003937</t>
        </is>
      </c>
      <c r="D377" s="4" t="n">
        <v>45082</v>
      </c>
      <c r="E377" s="2" t="inlineStr">
        <is>
          <t>15:27</t>
        </is>
      </c>
      <c r="F377" s="5" t="n">
        <v>822.5</v>
      </c>
      <c r="G377" s="5" t="n"/>
      <c r="H377" s="5" t="n"/>
      <c r="I377" s="5" t="n"/>
      <c r="J377" s="5" t="n">
        <v>164.5</v>
      </c>
      <c r="K377" s="5" t="n"/>
      <c r="L377" s="5" t="n"/>
      <c r="M377" s="5" t="n"/>
      <c r="N377" s="5" t="n"/>
      <c r="O377" s="5" t="n">
        <v>987</v>
      </c>
      <c r="P377" s="5" t="n"/>
      <c r="Q377" s="5" t="n">
        <v>987</v>
      </c>
      <c r="R377" s="5" t="n"/>
      <c r="S377" s="5">
        <f>F377*20%</f>
        <v/>
      </c>
      <c r="T377" s="5">
        <f>J377-S377</f>
        <v/>
      </c>
      <c r="U377" s="5">
        <f>F377+J377</f>
        <v/>
      </c>
      <c r="V377" s="5">
        <f>O377-U377</f>
        <v/>
      </c>
      <c r="W377" s="5">
        <f>O377-(P377+R377)</f>
        <v/>
      </c>
      <c r="X377" s="5">
        <f>O377-(P377+Q377+R377)</f>
        <v/>
      </c>
    </row>
    <row r="378">
      <c r="A378" s="2" t="inlineStr">
        <is>
          <t>EJ010723.TXT</t>
        </is>
      </c>
      <c r="B378" s="3" t="inlineStr">
        <is>
          <t>004927</t>
        </is>
      </c>
      <c r="C378" s="3" t="inlineStr">
        <is>
          <t>003938</t>
        </is>
      </c>
      <c r="D378" s="4" t="n">
        <v>45082</v>
      </c>
      <c r="E378" s="2" t="inlineStr">
        <is>
          <t>15:31</t>
        </is>
      </c>
      <c r="F378" s="5" t="n">
        <v>175</v>
      </c>
      <c r="G378" s="5" t="n"/>
      <c r="H378" s="5" t="n"/>
      <c r="I378" s="5" t="n"/>
      <c r="J378" s="5" t="n">
        <v>35</v>
      </c>
      <c r="K378" s="5" t="n"/>
      <c r="L378" s="5" t="n"/>
      <c r="M378" s="5" t="n"/>
      <c r="N378" s="5" t="n"/>
      <c r="O378" s="5" t="n">
        <v>210</v>
      </c>
      <c r="P378" s="5" t="n"/>
      <c r="Q378" s="5" t="n">
        <v>210</v>
      </c>
      <c r="R378" s="5" t="n"/>
      <c r="S378" s="5">
        <f>F378*20%</f>
        <v/>
      </c>
      <c r="T378" s="5">
        <f>J378-S378</f>
        <v/>
      </c>
      <c r="U378" s="5">
        <f>F378+J378</f>
        <v/>
      </c>
      <c r="V378" s="5">
        <f>O378-U378</f>
        <v/>
      </c>
      <c r="W378" s="5">
        <f>O378-(P378+R378)</f>
        <v/>
      </c>
      <c r="X378" s="5">
        <f>O378-(P378+Q378+R378)</f>
        <v/>
      </c>
    </row>
    <row r="379">
      <c r="A379" s="2" t="inlineStr">
        <is>
          <t>EJ010723.TXT</t>
        </is>
      </c>
      <c r="B379" s="3" t="inlineStr">
        <is>
          <t>004928</t>
        </is>
      </c>
      <c r="C379" s="3" t="inlineStr">
        <is>
          <t>003939</t>
        </is>
      </c>
      <c r="D379" s="4" t="n">
        <v>45083</v>
      </c>
      <c r="E379" s="2" t="inlineStr">
        <is>
          <t>10:02</t>
        </is>
      </c>
      <c r="F379" s="5" t="n">
        <v>274.17</v>
      </c>
      <c r="G379" s="5" t="n"/>
      <c r="H379" s="5" t="n"/>
      <c r="I379" s="5" t="n"/>
      <c r="J379" s="5" t="n">
        <v>54.83</v>
      </c>
      <c r="K379" s="5" t="n"/>
      <c r="L379" s="5" t="n"/>
      <c r="M379" s="5" t="n"/>
      <c r="N379" s="5" t="n"/>
      <c r="O379" s="5" t="n">
        <v>329</v>
      </c>
      <c r="P379" s="5" t="n">
        <v>329</v>
      </c>
      <c r="Q379" s="5" t="n"/>
      <c r="R379" s="5" t="n"/>
      <c r="S379" s="5">
        <f>F379*20%</f>
        <v/>
      </c>
      <c r="T379" s="5">
        <f>J379-S379</f>
        <v/>
      </c>
      <c r="U379" s="5">
        <f>F379+J379</f>
        <v/>
      </c>
      <c r="V379" s="5">
        <f>O379-U379</f>
        <v/>
      </c>
      <c r="W379" s="5">
        <f>O379-(P379+R379)</f>
        <v/>
      </c>
      <c r="X379" s="5">
        <f>O379-(P379+Q379+R379)</f>
        <v/>
      </c>
    </row>
    <row r="380">
      <c r="A380" s="2" t="inlineStr">
        <is>
          <t>EJ010723.TXT</t>
        </is>
      </c>
      <c r="B380" s="3" t="inlineStr">
        <is>
          <t>004929</t>
        </is>
      </c>
      <c r="C380" s="3" t="inlineStr">
        <is>
          <t>003940</t>
        </is>
      </c>
      <c r="D380" s="4" t="n">
        <v>45083</v>
      </c>
      <c r="E380" s="2" t="inlineStr">
        <is>
          <t>17:43</t>
        </is>
      </c>
      <c r="F380" s="5" t="n">
        <v>548.33</v>
      </c>
      <c r="G380" s="5" t="n"/>
      <c r="H380" s="5" t="n"/>
      <c r="I380" s="5" t="n"/>
      <c r="J380" s="5" t="n">
        <v>109.67</v>
      </c>
      <c r="K380" s="5" t="n"/>
      <c r="L380" s="5" t="n"/>
      <c r="M380" s="5" t="n"/>
      <c r="N380" s="5" t="n"/>
      <c r="O380" s="5" t="n">
        <v>658</v>
      </c>
      <c r="P380" s="5" t="n">
        <v>658</v>
      </c>
      <c r="Q380" s="5" t="n"/>
      <c r="R380" s="5" t="n"/>
      <c r="S380" s="5">
        <f>F380*20%</f>
        <v/>
      </c>
      <c r="T380" s="5">
        <f>J380-S380</f>
        <v/>
      </c>
      <c r="U380" s="5">
        <f>F380+J380</f>
        <v/>
      </c>
      <c r="V380" s="5">
        <f>O380-U380</f>
        <v/>
      </c>
      <c r="W380" s="5">
        <f>O380-(P380+R380)</f>
        <v/>
      </c>
      <c r="X380" s="5">
        <f>O380-(P380+Q380+R380)</f>
        <v/>
      </c>
    </row>
    <row r="381">
      <c r="A381" s="2" t="inlineStr">
        <is>
          <t>EJ010723.TXT</t>
        </is>
      </c>
      <c r="B381" s="3" t="inlineStr">
        <is>
          <t>004930</t>
        </is>
      </c>
      <c r="C381" s="3" t="inlineStr">
        <is>
          <t>003941</t>
        </is>
      </c>
      <c r="D381" s="4" t="n">
        <v>45084</v>
      </c>
      <c r="E381" s="2" t="inlineStr">
        <is>
          <t>10:00</t>
        </is>
      </c>
      <c r="F381" s="5" t="n">
        <v>797.5</v>
      </c>
      <c r="G381" s="5" t="n"/>
      <c r="H381" s="5" t="n"/>
      <c r="I381" s="5" t="n"/>
      <c r="J381" s="5" t="n">
        <v>159.5</v>
      </c>
      <c r="K381" s="5" t="n"/>
      <c r="L381" s="5" t="n"/>
      <c r="M381" s="5" t="n"/>
      <c r="N381" s="5" t="n"/>
      <c r="O381" s="5" t="n">
        <v>957</v>
      </c>
      <c r="P381" s="5" t="n"/>
      <c r="Q381" s="5" t="n">
        <v>957</v>
      </c>
      <c r="R381" s="5" t="n"/>
      <c r="S381" s="5">
        <f>F381*20%</f>
        <v/>
      </c>
      <c r="T381" s="5">
        <f>J381-S381</f>
        <v/>
      </c>
      <c r="U381" s="5">
        <f>F381+J381</f>
        <v/>
      </c>
      <c r="V381" s="5">
        <f>O381-U381</f>
        <v/>
      </c>
      <c r="W381" s="5">
        <f>O381-(P381+R381)</f>
        <v/>
      </c>
      <c r="X381" s="5">
        <f>O381-(P381+Q381+R381)</f>
        <v/>
      </c>
    </row>
    <row r="382">
      <c r="A382" s="2" t="inlineStr">
        <is>
          <t>EJ010723.TXT</t>
        </is>
      </c>
      <c r="B382" s="3" t="inlineStr">
        <is>
          <t>004931</t>
        </is>
      </c>
      <c r="C382" s="3" t="inlineStr">
        <is>
          <t>003942</t>
        </is>
      </c>
      <c r="D382" s="4" t="n">
        <v>45084</v>
      </c>
      <c r="E382" s="2" t="inlineStr">
        <is>
          <t>10:00</t>
        </is>
      </c>
      <c r="F382" s="5" t="n">
        <v>797.5</v>
      </c>
      <c r="G382" s="5" t="n"/>
      <c r="H382" s="5" t="n"/>
      <c r="I382" s="5" t="n"/>
      <c r="J382" s="5" t="n">
        <v>159.5</v>
      </c>
      <c r="K382" s="5" t="n"/>
      <c r="L382" s="5" t="n"/>
      <c r="M382" s="5" t="n"/>
      <c r="N382" s="5" t="n"/>
      <c r="O382" s="5" t="n">
        <v>957</v>
      </c>
      <c r="P382" s="5" t="n"/>
      <c r="Q382" s="5" t="n">
        <v>957</v>
      </c>
      <c r="R382" s="5" t="n"/>
      <c r="S382" s="5">
        <f>F382*20%</f>
        <v/>
      </c>
      <c r="T382" s="5">
        <f>J382-S382</f>
        <v/>
      </c>
      <c r="U382" s="5">
        <f>F382+J382</f>
        <v/>
      </c>
      <c r="V382" s="5">
        <f>O382-U382</f>
        <v/>
      </c>
      <c r="W382" s="5">
        <f>O382-(P382+R382)</f>
        <v/>
      </c>
      <c r="X382" s="5">
        <f>O382-(P382+Q382+R382)</f>
        <v/>
      </c>
    </row>
    <row r="383">
      <c r="A383" s="2" t="inlineStr">
        <is>
          <t>EJ010723.TXT</t>
        </is>
      </c>
      <c r="B383" s="3" t="inlineStr">
        <is>
          <t>004932</t>
        </is>
      </c>
      <c r="C383" s="3" t="inlineStr">
        <is>
          <t>003943</t>
        </is>
      </c>
      <c r="D383" s="4" t="n">
        <v>45090</v>
      </c>
      <c r="E383" s="2" t="inlineStr">
        <is>
          <t>14:33</t>
        </is>
      </c>
      <c r="F383" s="5" t="n">
        <v>548.33</v>
      </c>
      <c r="G383" s="5" t="n"/>
      <c r="H383" s="5" t="n"/>
      <c r="I383" s="5" t="n"/>
      <c r="J383" s="5" t="n">
        <v>109.67</v>
      </c>
      <c r="K383" s="5" t="n"/>
      <c r="L383" s="5" t="n"/>
      <c r="M383" s="5" t="n"/>
      <c r="N383" s="5" t="n"/>
      <c r="O383" s="5" t="n">
        <v>658</v>
      </c>
      <c r="P383" s="5" t="n"/>
      <c r="Q383" s="5" t="n">
        <v>658</v>
      </c>
      <c r="R383" s="5" t="n"/>
      <c r="S383" s="5">
        <f>F383*20%</f>
        <v/>
      </c>
      <c r="T383" s="5">
        <f>J383-S383</f>
        <v/>
      </c>
      <c r="U383" s="5">
        <f>F383+J383</f>
        <v/>
      </c>
      <c r="V383" s="5">
        <f>O383-U383</f>
        <v/>
      </c>
      <c r="W383" s="5">
        <f>O383-(P383+R383)</f>
        <v/>
      </c>
      <c r="X383" s="5">
        <f>O383-(P383+Q383+R383)</f>
        <v/>
      </c>
    </row>
    <row r="384">
      <c r="A384" s="2" t="inlineStr">
        <is>
          <t>EJ010723.TXT</t>
        </is>
      </c>
      <c r="B384" s="3" t="inlineStr">
        <is>
          <t>004933</t>
        </is>
      </c>
      <c r="C384" s="3" t="inlineStr">
        <is>
          <t>003944</t>
        </is>
      </c>
      <c r="D384" s="4" t="n">
        <v>45091</v>
      </c>
      <c r="E384" s="2" t="inlineStr">
        <is>
          <t>15:01</t>
        </is>
      </c>
      <c r="F384" s="5" t="n">
        <v>548.33</v>
      </c>
      <c r="G384" s="5" t="n"/>
      <c r="H384" s="5" t="n"/>
      <c r="I384" s="5" t="n"/>
      <c r="J384" s="5" t="n">
        <v>109.67</v>
      </c>
      <c r="K384" s="5" t="n"/>
      <c r="L384" s="5" t="n"/>
      <c r="M384" s="5" t="n"/>
      <c r="N384" s="5" t="n"/>
      <c r="O384" s="5" t="n">
        <v>658</v>
      </c>
      <c r="P384" s="5" t="n">
        <v>658</v>
      </c>
      <c r="Q384" s="5" t="n"/>
      <c r="R384" s="5" t="n"/>
      <c r="S384" s="5">
        <f>F384*20%</f>
        <v/>
      </c>
      <c r="T384" s="5">
        <f>J384-S384</f>
        <v/>
      </c>
      <c r="U384" s="5">
        <f>F384+J384</f>
        <v/>
      </c>
      <c r="V384" s="5">
        <f>O384-U384</f>
        <v/>
      </c>
      <c r="W384" s="5">
        <f>O384-(P384+R384)</f>
        <v/>
      </c>
      <c r="X384" s="5">
        <f>O384-(P384+Q384+R384)</f>
        <v/>
      </c>
    </row>
    <row r="385">
      <c r="A385" s="2" t="inlineStr">
        <is>
          <t>EJ010723.TXT</t>
        </is>
      </c>
      <c r="B385" s="3" t="inlineStr">
        <is>
          <t>004934</t>
        </is>
      </c>
      <c r="C385" s="3" t="inlineStr">
        <is>
          <t>003945</t>
        </is>
      </c>
      <c r="D385" s="4" t="n">
        <v>45094</v>
      </c>
      <c r="E385" s="2" t="inlineStr">
        <is>
          <t>16:58</t>
        </is>
      </c>
      <c r="F385" s="5" t="n">
        <v>548.33</v>
      </c>
      <c r="G385" s="5" t="n"/>
      <c r="H385" s="5" t="n"/>
      <c r="I385" s="5" t="n"/>
      <c r="J385" s="5" t="n">
        <v>109.67</v>
      </c>
      <c r="K385" s="5" t="n"/>
      <c r="L385" s="5" t="n"/>
      <c r="M385" s="5" t="n"/>
      <c r="N385" s="5" t="n"/>
      <c r="O385" s="5" t="n">
        <v>658</v>
      </c>
      <c r="P385" s="5" t="n">
        <v>658</v>
      </c>
      <c r="Q385" s="5" t="n"/>
      <c r="R385" s="5" t="n"/>
      <c r="S385" s="5">
        <f>F385*20%</f>
        <v/>
      </c>
      <c r="T385" s="5">
        <f>J385-S385</f>
        <v/>
      </c>
      <c r="U385" s="5">
        <f>F385+J385</f>
        <v/>
      </c>
      <c r="V385" s="5">
        <f>O385-U385</f>
        <v/>
      </c>
      <c r="W385" s="5">
        <f>O385-(P385+R385)</f>
        <v/>
      </c>
      <c r="X385" s="5">
        <f>O385-(P385+Q385+R385)</f>
        <v/>
      </c>
    </row>
    <row r="386">
      <c r="A386" s="2" t="inlineStr">
        <is>
          <t>EJ010723.TXT</t>
        </is>
      </c>
      <c r="B386" s="3" t="inlineStr">
        <is>
          <t>004935</t>
        </is>
      </c>
      <c r="C386" s="3" t="inlineStr">
        <is>
          <t>003946</t>
        </is>
      </c>
      <c r="D386" s="4" t="n">
        <v>45096</v>
      </c>
      <c r="E386" s="2" t="inlineStr">
        <is>
          <t>12:41</t>
        </is>
      </c>
      <c r="F386" s="5" t="n">
        <v>822.5</v>
      </c>
      <c r="G386" s="5" t="n"/>
      <c r="H386" s="5" t="n"/>
      <c r="I386" s="5" t="n"/>
      <c r="J386" s="5" t="n">
        <v>164.5</v>
      </c>
      <c r="K386" s="5" t="n"/>
      <c r="L386" s="5" t="n"/>
      <c r="M386" s="5" t="n"/>
      <c r="N386" s="5" t="n"/>
      <c r="O386" s="5" t="n">
        <v>987</v>
      </c>
      <c r="P386" s="5" t="n"/>
      <c r="Q386" s="5" t="n">
        <v>987</v>
      </c>
      <c r="R386" s="5" t="n"/>
      <c r="S386" s="5">
        <f>F386*20%</f>
        <v/>
      </c>
      <c r="T386" s="5">
        <f>J386-S386</f>
        <v/>
      </c>
      <c r="U386" s="5">
        <f>F386+J386</f>
        <v/>
      </c>
      <c r="V386" s="5">
        <f>O386-U386</f>
        <v/>
      </c>
      <c r="W386" s="5">
        <f>O386-(P386+R386)</f>
        <v/>
      </c>
      <c r="X386" s="5">
        <f>O386-(P386+Q386+R386)</f>
        <v/>
      </c>
    </row>
    <row r="387">
      <c r="A387" s="2" t="inlineStr">
        <is>
          <t>EJ010723.TXT</t>
        </is>
      </c>
      <c r="B387" s="3" t="inlineStr">
        <is>
          <t>004936</t>
        </is>
      </c>
      <c r="C387" s="3" t="inlineStr">
        <is>
          <t>003947</t>
        </is>
      </c>
      <c r="D387" s="4" t="n">
        <v>45096</v>
      </c>
      <c r="E387" s="2" t="inlineStr">
        <is>
          <t>12:41</t>
        </is>
      </c>
      <c r="F387" s="5" t="n">
        <v>548.33</v>
      </c>
      <c r="G387" s="5" t="n"/>
      <c r="H387" s="5" t="n"/>
      <c r="I387" s="5" t="n"/>
      <c r="J387" s="5" t="n">
        <v>109.67</v>
      </c>
      <c r="K387" s="5" t="n"/>
      <c r="L387" s="5" t="n"/>
      <c r="M387" s="5" t="n"/>
      <c r="N387" s="5" t="n"/>
      <c r="O387" s="5" t="n">
        <v>658</v>
      </c>
      <c r="P387" s="5" t="n"/>
      <c r="Q387" s="5" t="n">
        <v>658</v>
      </c>
      <c r="R387" s="5" t="n"/>
      <c r="S387" s="5">
        <f>F387*20%</f>
        <v/>
      </c>
      <c r="T387" s="5">
        <f>J387-S387</f>
        <v/>
      </c>
      <c r="U387" s="5">
        <f>F387+J387</f>
        <v/>
      </c>
      <c r="V387" s="5">
        <f>O387-U387</f>
        <v/>
      </c>
      <c r="W387" s="5">
        <f>O387-(P387+R387)</f>
        <v/>
      </c>
      <c r="X387" s="5">
        <f>O387-(P387+Q387+R387)</f>
        <v/>
      </c>
    </row>
    <row r="388">
      <c r="A388" s="2" t="inlineStr">
        <is>
          <t>EJ010723.TXT</t>
        </is>
      </c>
      <c r="B388" s="3" t="inlineStr">
        <is>
          <t>004937</t>
        </is>
      </c>
      <c r="C388" s="3" t="inlineStr">
        <is>
          <t>003948</t>
        </is>
      </c>
      <c r="D388" s="4" t="n">
        <v>45096</v>
      </c>
      <c r="E388" s="2" t="inlineStr">
        <is>
          <t>12:42</t>
        </is>
      </c>
      <c r="F388" s="5" t="n">
        <v>274.17</v>
      </c>
      <c r="G388" s="5" t="n"/>
      <c r="H388" s="5" t="n"/>
      <c r="I388" s="5" t="n"/>
      <c r="J388" s="5" t="n">
        <v>54.83</v>
      </c>
      <c r="K388" s="5" t="n"/>
      <c r="L388" s="5" t="n"/>
      <c r="M388" s="5" t="n"/>
      <c r="N388" s="5" t="n"/>
      <c r="O388" s="5" t="n">
        <v>329</v>
      </c>
      <c r="P388" s="5" t="n"/>
      <c r="Q388" s="5" t="n">
        <v>329</v>
      </c>
      <c r="R388" s="5" t="n"/>
      <c r="S388" s="5">
        <f>F388*20%</f>
        <v/>
      </c>
      <c r="T388" s="5">
        <f>J388-S388</f>
        <v/>
      </c>
      <c r="U388" s="5">
        <f>F388+J388</f>
        <v/>
      </c>
      <c r="V388" s="5">
        <f>O388-U388</f>
        <v/>
      </c>
      <c r="W388" s="5">
        <f>O388-(P388+R388)</f>
        <v/>
      </c>
      <c r="X388" s="5">
        <f>O388-(P388+Q388+R388)</f>
        <v/>
      </c>
    </row>
    <row r="389">
      <c r="A389" s="2" t="inlineStr">
        <is>
          <t>EJ010723.TXT</t>
        </is>
      </c>
      <c r="B389" s="3" t="inlineStr">
        <is>
          <t>004938</t>
        </is>
      </c>
      <c r="C389" s="3" t="inlineStr">
        <is>
          <t>003949</t>
        </is>
      </c>
      <c r="D389" s="4" t="n">
        <v>45096</v>
      </c>
      <c r="E389" s="2" t="inlineStr">
        <is>
          <t>12:42</t>
        </is>
      </c>
      <c r="F389" s="5" t="n">
        <v>548.33</v>
      </c>
      <c r="G389" s="5" t="n"/>
      <c r="H389" s="5" t="n"/>
      <c r="I389" s="5" t="n"/>
      <c r="J389" s="5" t="n">
        <v>109.67</v>
      </c>
      <c r="K389" s="5" t="n"/>
      <c r="L389" s="5" t="n"/>
      <c r="M389" s="5" t="n"/>
      <c r="N389" s="5" t="n"/>
      <c r="O389" s="5" t="n">
        <v>658</v>
      </c>
      <c r="P389" s="5" t="n"/>
      <c r="Q389" s="5" t="n">
        <v>658</v>
      </c>
      <c r="R389" s="5" t="n"/>
      <c r="S389" s="5">
        <f>F389*20%</f>
        <v/>
      </c>
      <c r="T389" s="5">
        <f>J389-S389</f>
        <v/>
      </c>
      <c r="U389" s="5">
        <f>F389+J389</f>
        <v/>
      </c>
      <c r="V389" s="5">
        <f>O389-U389</f>
        <v/>
      </c>
      <c r="W389" s="5">
        <f>O389-(P389+R389)</f>
        <v/>
      </c>
      <c r="X389" s="5">
        <f>O389-(P389+Q389+R389)</f>
        <v/>
      </c>
    </row>
    <row r="390">
      <c r="A390" s="2" t="inlineStr">
        <is>
          <t>EJ010723.TXT</t>
        </is>
      </c>
      <c r="B390" s="3" t="inlineStr">
        <is>
          <t>004939</t>
        </is>
      </c>
      <c r="C390" s="3" t="inlineStr">
        <is>
          <t>003950</t>
        </is>
      </c>
      <c r="D390" s="4" t="n">
        <v>45096</v>
      </c>
      <c r="E390" s="2" t="inlineStr">
        <is>
          <t>12:42</t>
        </is>
      </c>
      <c r="F390" s="5" t="n">
        <v>274.17</v>
      </c>
      <c r="G390" s="5" t="n"/>
      <c r="H390" s="5" t="n"/>
      <c r="I390" s="5" t="n"/>
      <c r="J390" s="5" t="n">
        <v>54.83</v>
      </c>
      <c r="K390" s="5" t="n"/>
      <c r="L390" s="5" t="n"/>
      <c r="M390" s="5" t="n"/>
      <c r="N390" s="5" t="n"/>
      <c r="O390" s="5" t="n">
        <v>329</v>
      </c>
      <c r="P390" s="5" t="n"/>
      <c r="Q390" s="5" t="n">
        <v>329</v>
      </c>
      <c r="R390" s="5" t="n"/>
      <c r="S390" s="5">
        <f>F390*20%</f>
        <v/>
      </c>
      <c r="T390" s="5">
        <f>J390-S390</f>
        <v/>
      </c>
      <c r="U390" s="5">
        <f>F390+J390</f>
        <v/>
      </c>
      <c r="V390" s="5">
        <f>O390-U390</f>
        <v/>
      </c>
      <c r="W390" s="5">
        <f>O390-(P390+R390)</f>
        <v/>
      </c>
      <c r="X390" s="5">
        <f>O390-(P390+Q390+R390)</f>
        <v/>
      </c>
    </row>
    <row r="391">
      <c r="A391" s="2" t="inlineStr">
        <is>
          <t>EJ010723.TXT</t>
        </is>
      </c>
      <c r="B391" s="3" t="inlineStr">
        <is>
          <t>004940</t>
        </is>
      </c>
      <c r="C391" s="3" t="inlineStr">
        <is>
          <t>003951</t>
        </is>
      </c>
      <c r="D391" s="4" t="n">
        <v>45096</v>
      </c>
      <c r="E391" s="2" t="inlineStr">
        <is>
          <t>12:42</t>
        </is>
      </c>
      <c r="F391" s="5" t="n">
        <v>822.5</v>
      </c>
      <c r="G391" s="5" t="n"/>
      <c r="H391" s="5" t="n"/>
      <c r="I391" s="5" t="n"/>
      <c r="J391" s="5" t="n">
        <v>164.5</v>
      </c>
      <c r="K391" s="5" t="n"/>
      <c r="L391" s="5" t="n"/>
      <c r="M391" s="5" t="n"/>
      <c r="N391" s="5" t="n"/>
      <c r="O391" s="5" t="n">
        <v>987</v>
      </c>
      <c r="P391" s="5" t="n"/>
      <c r="Q391" s="5" t="n">
        <v>987</v>
      </c>
      <c r="R391" s="5" t="n"/>
      <c r="S391" s="5">
        <f>F391*20%</f>
        <v/>
      </c>
      <c r="T391" s="5">
        <f>J391-S391</f>
        <v/>
      </c>
      <c r="U391" s="5">
        <f>F391+J391</f>
        <v/>
      </c>
      <c r="V391" s="5">
        <f>O391-U391</f>
        <v/>
      </c>
      <c r="W391" s="5">
        <f>O391-(P391+R391)</f>
        <v/>
      </c>
      <c r="X391" s="5">
        <f>O391-(P391+Q391+R391)</f>
        <v/>
      </c>
    </row>
    <row r="392">
      <c r="A392" s="2" t="inlineStr">
        <is>
          <t>EJ010723.TXT</t>
        </is>
      </c>
      <c r="B392" s="3" t="inlineStr">
        <is>
          <t>004941</t>
        </is>
      </c>
      <c r="C392" s="3" t="inlineStr">
        <is>
          <t>003952</t>
        </is>
      </c>
      <c r="D392" s="4" t="n">
        <v>45096</v>
      </c>
      <c r="E392" s="2" t="inlineStr">
        <is>
          <t>16:23</t>
        </is>
      </c>
      <c r="F392" s="5" t="n">
        <v>190.83</v>
      </c>
      <c r="G392" s="5" t="n"/>
      <c r="H392" s="5" t="n"/>
      <c r="I392" s="5" t="n"/>
      <c r="J392" s="5" t="n">
        <v>38.17</v>
      </c>
      <c r="K392" s="5" t="n"/>
      <c r="L392" s="5" t="n"/>
      <c r="M392" s="5" t="n"/>
      <c r="N392" s="5" t="n"/>
      <c r="O392" s="5" t="n">
        <v>229</v>
      </c>
      <c r="P392" s="5" t="n">
        <v>229</v>
      </c>
      <c r="Q392" s="5" t="n"/>
      <c r="R392" s="5" t="n"/>
      <c r="S392" s="5">
        <f>F392*20%</f>
        <v/>
      </c>
      <c r="T392" s="5">
        <f>J392-S392</f>
        <v/>
      </c>
      <c r="U392" s="5">
        <f>F392+J392</f>
        <v/>
      </c>
      <c r="V392" s="5">
        <f>O392-U392</f>
        <v/>
      </c>
      <c r="W392" s="5">
        <f>O392-(P392+R392)</f>
        <v/>
      </c>
      <c r="X392" s="5">
        <f>O392-(P392+Q392+R392)</f>
        <v/>
      </c>
    </row>
    <row r="393">
      <c r="A393" s="2" t="inlineStr">
        <is>
          <t>EJ010723.TXT</t>
        </is>
      </c>
      <c r="B393" s="3" t="inlineStr">
        <is>
          <t>004942</t>
        </is>
      </c>
      <c r="C393" s="3" t="inlineStr">
        <is>
          <t>003953</t>
        </is>
      </c>
      <c r="D393" s="4" t="n">
        <v>45096</v>
      </c>
      <c r="E393" s="2" t="inlineStr">
        <is>
          <t>16:25</t>
        </is>
      </c>
      <c r="F393" s="5" t="n">
        <v>307.5</v>
      </c>
      <c r="G393" s="5" t="n"/>
      <c r="H393" s="5" t="n"/>
      <c r="I393" s="5" t="n"/>
      <c r="J393" s="5" t="n">
        <v>61.5</v>
      </c>
      <c r="K393" s="5" t="n"/>
      <c r="L393" s="5" t="n"/>
      <c r="M393" s="5" t="n"/>
      <c r="N393" s="5" t="n"/>
      <c r="O393" s="5" t="n">
        <v>369</v>
      </c>
      <c r="P393" s="5" t="n">
        <v>369</v>
      </c>
      <c r="Q393" s="5" t="n"/>
      <c r="R393" s="5" t="n"/>
      <c r="S393" s="5">
        <f>F393*20%</f>
        <v/>
      </c>
      <c r="T393" s="5">
        <f>J393-S393</f>
        <v/>
      </c>
      <c r="U393" s="5">
        <f>F393+J393</f>
        <v/>
      </c>
      <c r="V393" s="5">
        <f>O393-U393</f>
        <v/>
      </c>
      <c r="W393" s="5">
        <f>O393-(P393+R393)</f>
        <v/>
      </c>
      <c r="X393" s="5">
        <f>O393-(P393+Q393+R393)</f>
        <v/>
      </c>
    </row>
    <row r="394">
      <c r="A394" s="2" t="inlineStr">
        <is>
          <t>EJ010723.TXT</t>
        </is>
      </c>
      <c r="B394" s="3" t="inlineStr">
        <is>
          <t>004943</t>
        </is>
      </c>
      <c r="C394" s="3" t="inlineStr">
        <is>
          <t>003954</t>
        </is>
      </c>
      <c r="D394" s="4" t="n">
        <v>45097</v>
      </c>
      <c r="E394" s="2" t="inlineStr">
        <is>
          <t>09:50</t>
        </is>
      </c>
      <c r="F394" s="5" t="n">
        <v>797.5</v>
      </c>
      <c r="G394" s="5" t="n"/>
      <c r="H394" s="5" t="n"/>
      <c r="I394" s="5" t="n"/>
      <c r="J394" s="5" t="n">
        <v>159.5</v>
      </c>
      <c r="K394" s="5" t="n"/>
      <c r="L394" s="5" t="n"/>
      <c r="M394" s="5" t="n"/>
      <c r="N394" s="5" t="n"/>
      <c r="O394" s="5" t="n">
        <v>957</v>
      </c>
      <c r="P394" s="5" t="n"/>
      <c r="Q394" s="5" t="n">
        <v>957</v>
      </c>
      <c r="R394" s="5" t="n"/>
      <c r="S394" s="5">
        <f>F394*20%</f>
        <v/>
      </c>
      <c r="T394" s="5">
        <f>J394-S394</f>
        <v/>
      </c>
      <c r="U394" s="5">
        <f>F394+J394</f>
        <v/>
      </c>
      <c r="V394" s="5">
        <f>O394-U394</f>
        <v/>
      </c>
      <c r="W394" s="5">
        <f>O394-(P394+R394)</f>
        <v/>
      </c>
      <c r="X394" s="5">
        <f>O394-(P394+Q394+R394)</f>
        <v/>
      </c>
    </row>
    <row r="395">
      <c r="A395" s="2" t="inlineStr">
        <is>
          <t>EJ010723.TXT</t>
        </is>
      </c>
      <c r="B395" s="3" t="inlineStr">
        <is>
          <t>004944</t>
        </is>
      </c>
      <c r="C395" s="3" t="inlineStr">
        <is>
          <t>003955</t>
        </is>
      </c>
      <c r="D395" s="4" t="n">
        <v>45097</v>
      </c>
      <c r="E395" s="2" t="inlineStr">
        <is>
          <t>14:24</t>
        </is>
      </c>
      <c r="F395" s="5" t="n">
        <v>274.17</v>
      </c>
      <c r="G395" s="5" t="n"/>
      <c r="H395" s="5" t="n"/>
      <c r="I395" s="5" t="n"/>
      <c r="J395" s="5" t="n">
        <v>54.83</v>
      </c>
      <c r="K395" s="5" t="n"/>
      <c r="L395" s="5" t="n"/>
      <c r="M395" s="5" t="n"/>
      <c r="N395" s="5" t="n"/>
      <c r="O395" s="5" t="n">
        <v>329</v>
      </c>
      <c r="P395" s="5" t="n">
        <v>329</v>
      </c>
      <c r="Q395" s="5" t="n"/>
      <c r="R395" s="5" t="n"/>
      <c r="S395" s="5">
        <f>F395*20%</f>
        <v/>
      </c>
      <c r="T395" s="5">
        <f>J395-S395</f>
        <v/>
      </c>
      <c r="U395" s="5">
        <f>F395+J395</f>
        <v/>
      </c>
      <c r="V395" s="5">
        <f>O395-U395</f>
        <v/>
      </c>
      <c r="W395" s="5">
        <f>O395-(P395+R395)</f>
        <v/>
      </c>
      <c r="X395" s="5">
        <f>O395-(P395+Q395+R395)</f>
        <v/>
      </c>
    </row>
    <row r="396">
      <c r="A396" s="2" t="inlineStr">
        <is>
          <t>EJ010723.TXT</t>
        </is>
      </c>
      <c r="B396" s="3" t="inlineStr">
        <is>
          <t>004945</t>
        </is>
      </c>
      <c r="C396" s="3" t="inlineStr">
        <is>
          <t>003956</t>
        </is>
      </c>
      <c r="D396" s="4" t="n">
        <v>45097</v>
      </c>
      <c r="E396" s="2" t="inlineStr">
        <is>
          <t>15:04</t>
        </is>
      </c>
      <c r="F396" s="5" t="n">
        <v>65.83</v>
      </c>
      <c r="G396" s="5" t="n"/>
      <c r="H396" s="5" t="n"/>
      <c r="I396" s="5" t="n"/>
      <c r="J396" s="5" t="n">
        <v>13.17</v>
      </c>
      <c r="K396" s="5" t="n"/>
      <c r="L396" s="5" t="n"/>
      <c r="M396" s="5" t="n"/>
      <c r="N396" s="5" t="n"/>
      <c r="O396" s="5" t="n">
        <v>79</v>
      </c>
      <c r="P396" s="5" t="n">
        <v>79</v>
      </c>
      <c r="Q396" s="5" t="n"/>
      <c r="R396" s="5" t="n"/>
      <c r="S396" s="5">
        <f>F396*20%</f>
        <v/>
      </c>
      <c r="T396" s="5">
        <f>J396-S396</f>
        <v/>
      </c>
      <c r="U396" s="5">
        <f>F396+J396</f>
        <v/>
      </c>
      <c r="V396" s="5">
        <f>O396-U396</f>
        <v/>
      </c>
      <c r="W396" s="5">
        <f>O396-(P396+R396)</f>
        <v/>
      </c>
      <c r="X396" s="5">
        <f>O396-(P396+Q396+R396)</f>
        <v/>
      </c>
    </row>
    <row r="397">
      <c r="A397" s="2" t="inlineStr">
        <is>
          <t>EJ010723.TXT</t>
        </is>
      </c>
      <c r="B397" s="3" t="inlineStr">
        <is>
          <t>004946</t>
        </is>
      </c>
      <c r="C397" s="3" t="inlineStr">
        <is>
          <t>003957</t>
        </is>
      </c>
      <c r="D397" s="4" t="n">
        <v>45098</v>
      </c>
      <c r="E397" s="2" t="inlineStr">
        <is>
          <t>09:24</t>
        </is>
      </c>
      <c r="F397" s="5" t="n">
        <v>208.33</v>
      </c>
      <c r="G397" s="5" t="n"/>
      <c r="H397" s="5" t="n"/>
      <c r="I397" s="5" t="n"/>
      <c r="J397" s="5" t="n">
        <v>41.67</v>
      </c>
      <c r="K397" s="5" t="n"/>
      <c r="L397" s="5" t="n"/>
      <c r="M397" s="5" t="n"/>
      <c r="N397" s="5" t="n"/>
      <c r="O397" s="5" t="n">
        <v>250</v>
      </c>
      <c r="P397" s="5" t="n"/>
      <c r="Q397" s="5" t="n">
        <v>250</v>
      </c>
      <c r="R397" s="5" t="n"/>
      <c r="S397" s="5">
        <f>F397*20%</f>
        <v/>
      </c>
      <c r="T397" s="5">
        <f>J397-S397</f>
        <v/>
      </c>
      <c r="U397" s="5">
        <f>F397+J397</f>
        <v/>
      </c>
      <c r="V397" s="5">
        <f>O397-U397</f>
        <v/>
      </c>
      <c r="W397" s="5">
        <f>O397-(P397+R397)</f>
        <v/>
      </c>
      <c r="X397" s="5">
        <f>O397-(P397+Q397+R397)</f>
        <v/>
      </c>
    </row>
    <row r="398">
      <c r="A398" s="2" t="inlineStr">
        <is>
          <t>EJ010723.TXT</t>
        </is>
      </c>
      <c r="B398" s="3" t="inlineStr">
        <is>
          <t>004947</t>
        </is>
      </c>
      <c r="C398" s="3" t="inlineStr">
        <is>
          <t>003958</t>
        </is>
      </c>
      <c r="D398" s="4" t="n">
        <v>45098</v>
      </c>
      <c r="E398" s="2" t="inlineStr">
        <is>
          <t>10:16</t>
        </is>
      </c>
      <c r="F398" s="5" t="n">
        <v>125</v>
      </c>
      <c r="G398" s="5" t="n"/>
      <c r="H398" s="5" t="n"/>
      <c r="I398" s="5" t="n"/>
      <c r="J398" s="5" t="n">
        <v>25</v>
      </c>
      <c r="K398" s="5" t="n"/>
      <c r="L398" s="5" t="n"/>
      <c r="M398" s="5" t="n"/>
      <c r="N398" s="5" t="n"/>
      <c r="O398" s="5" t="n">
        <v>150</v>
      </c>
      <c r="P398" s="5" t="n"/>
      <c r="Q398" s="5" t="n">
        <v>150</v>
      </c>
      <c r="R398" s="5" t="n"/>
      <c r="S398" s="5">
        <f>F398*20%</f>
        <v/>
      </c>
      <c r="T398" s="5">
        <f>J398-S398</f>
        <v/>
      </c>
      <c r="U398" s="5">
        <f>F398+J398</f>
        <v/>
      </c>
      <c r="V398" s="5">
        <f>O398-U398</f>
        <v/>
      </c>
      <c r="W398" s="5">
        <f>O398-(P398+R398)</f>
        <v/>
      </c>
      <c r="X398" s="5">
        <f>O398-(P398+Q398+R398)</f>
        <v/>
      </c>
    </row>
    <row r="399">
      <c r="A399" s="2" t="inlineStr">
        <is>
          <t>EJ010723.TXT</t>
        </is>
      </c>
      <c r="B399" s="3" t="inlineStr">
        <is>
          <t>004948</t>
        </is>
      </c>
      <c r="C399" s="3" t="inlineStr">
        <is>
          <t>003959</t>
        </is>
      </c>
      <c r="D399" s="4" t="n">
        <v>45098</v>
      </c>
      <c r="E399" s="2" t="inlineStr">
        <is>
          <t>10:17</t>
        </is>
      </c>
      <c r="F399" s="5" t="n">
        <v>65.83</v>
      </c>
      <c r="G399" s="5" t="n"/>
      <c r="H399" s="5" t="n"/>
      <c r="I399" s="5" t="n"/>
      <c r="J399" s="5" t="n">
        <v>13.17</v>
      </c>
      <c r="K399" s="5" t="n"/>
      <c r="L399" s="5" t="n"/>
      <c r="M399" s="5" t="n"/>
      <c r="N399" s="5" t="n"/>
      <c r="O399" s="5" t="n">
        <v>79</v>
      </c>
      <c r="P399" s="5" t="n">
        <v>79</v>
      </c>
      <c r="Q399" s="5" t="n"/>
      <c r="R399" s="5" t="n"/>
      <c r="S399" s="5">
        <f>F399*20%</f>
        <v/>
      </c>
      <c r="T399" s="5">
        <f>J399-S399</f>
        <v/>
      </c>
      <c r="U399" s="5">
        <f>F399+J399</f>
        <v/>
      </c>
      <c r="V399" s="5">
        <f>O399-U399</f>
        <v/>
      </c>
      <c r="W399" s="5">
        <f>O399-(P399+R399)</f>
        <v/>
      </c>
      <c r="X399" s="5">
        <f>O399-(P399+Q399+R399)</f>
        <v/>
      </c>
    </row>
    <row r="400">
      <c r="A400" s="2" t="inlineStr">
        <is>
          <t>EJ010723.TXT</t>
        </is>
      </c>
      <c r="B400" s="3" t="inlineStr">
        <is>
          <t>004949</t>
        </is>
      </c>
      <c r="C400" s="3" t="inlineStr">
        <is>
          <t>003960</t>
        </is>
      </c>
      <c r="D400" s="4" t="n">
        <v>45098</v>
      </c>
      <c r="E400" s="2" t="inlineStr">
        <is>
          <t>12:06</t>
        </is>
      </c>
      <c r="F400" s="5" t="n">
        <v>500</v>
      </c>
      <c r="G400" s="5" t="n"/>
      <c r="H400" s="5" t="n"/>
      <c r="I400" s="5" t="n"/>
      <c r="J400" s="5" t="n">
        <v>100</v>
      </c>
      <c r="K400" s="5" t="n"/>
      <c r="L400" s="5" t="n"/>
      <c r="M400" s="5" t="n"/>
      <c r="N400" s="5" t="n"/>
      <c r="O400" s="5" t="n">
        <v>600</v>
      </c>
      <c r="P400" s="5" t="n">
        <v>600</v>
      </c>
      <c r="Q400" s="5" t="n"/>
      <c r="R400" s="5" t="n"/>
      <c r="S400" s="5">
        <f>F400*20%</f>
        <v/>
      </c>
      <c r="T400" s="5">
        <f>J400-S400</f>
        <v/>
      </c>
      <c r="U400" s="5">
        <f>F400+J400</f>
        <v/>
      </c>
      <c r="V400" s="5">
        <f>O400-U400</f>
        <v/>
      </c>
      <c r="W400" s="5">
        <f>O400-(P400+R400)</f>
        <v/>
      </c>
      <c r="X400" s="5">
        <f>O400-(P400+Q400+R400)</f>
        <v/>
      </c>
    </row>
    <row r="401">
      <c r="A401" s="2" t="inlineStr">
        <is>
          <t>EJ010723.TXT</t>
        </is>
      </c>
      <c r="B401" s="3" t="inlineStr">
        <is>
          <t>004950</t>
        </is>
      </c>
      <c r="C401" s="3" t="inlineStr">
        <is>
          <t>003961</t>
        </is>
      </c>
      <c r="D401" s="4" t="n">
        <v>45099</v>
      </c>
      <c r="E401" s="2" t="inlineStr">
        <is>
          <t>09:51</t>
        </is>
      </c>
      <c r="F401" s="5" t="n">
        <v>65.83</v>
      </c>
      <c r="G401" s="5" t="n"/>
      <c r="H401" s="5" t="n"/>
      <c r="I401" s="5" t="n"/>
      <c r="J401" s="5" t="n">
        <v>13.17</v>
      </c>
      <c r="K401" s="5" t="n"/>
      <c r="L401" s="5" t="n"/>
      <c r="M401" s="5" t="n"/>
      <c r="N401" s="5" t="n"/>
      <c r="O401" s="5" t="n">
        <v>79</v>
      </c>
      <c r="P401" s="5" t="n">
        <v>79</v>
      </c>
      <c r="Q401" s="5" t="n"/>
      <c r="R401" s="5" t="n"/>
      <c r="S401" s="5">
        <f>F401*20%</f>
        <v/>
      </c>
      <c r="T401" s="5">
        <f>J401-S401</f>
        <v/>
      </c>
      <c r="U401" s="5">
        <f>F401+J401</f>
        <v/>
      </c>
      <c r="V401" s="5">
        <f>O401-U401</f>
        <v/>
      </c>
      <c r="W401" s="5">
        <f>O401-(P401+R401)</f>
        <v/>
      </c>
      <c r="X401" s="5">
        <f>O401-(P401+Q401+R401)</f>
        <v/>
      </c>
    </row>
    <row r="402">
      <c r="A402" s="2" t="inlineStr">
        <is>
          <t>EJ010723.TXT</t>
        </is>
      </c>
      <c r="B402" s="3" t="inlineStr">
        <is>
          <t>004951</t>
        </is>
      </c>
      <c r="C402" s="3" t="inlineStr">
        <is>
          <t>003962</t>
        </is>
      </c>
      <c r="D402" s="4" t="n">
        <v>45103</v>
      </c>
      <c r="E402" s="2" t="inlineStr">
        <is>
          <t>11:49</t>
        </is>
      </c>
      <c r="F402" s="5" t="n">
        <v>548.33</v>
      </c>
      <c r="G402" s="5" t="n"/>
      <c r="H402" s="5" t="n"/>
      <c r="I402" s="5" t="n"/>
      <c r="J402" s="5" t="n">
        <v>109.67</v>
      </c>
      <c r="K402" s="5" t="n"/>
      <c r="L402" s="5" t="n"/>
      <c r="M402" s="5" t="n"/>
      <c r="N402" s="5" t="n"/>
      <c r="O402" s="5" t="n">
        <v>658</v>
      </c>
      <c r="P402" s="5" t="n">
        <v>658</v>
      </c>
      <c r="Q402" s="5" t="n"/>
      <c r="R402" s="5" t="n"/>
      <c r="S402" s="5">
        <f>F402*20%</f>
        <v/>
      </c>
      <c r="T402" s="5">
        <f>J402-S402</f>
        <v/>
      </c>
      <c r="U402" s="5">
        <f>F402+J402</f>
        <v/>
      </c>
      <c r="V402" s="5">
        <f>O402-U402</f>
        <v/>
      </c>
      <c r="W402" s="5">
        <f>O402-(P402+R402)</f>
        <v/>
      </c>
      <c r="X402" s="5">
        <f>O402-(P402+Q402+R402)</f>
        <v/>
      </c>
    </row>
    <row r="403">
      <c r="A403" s="2" t="inlineStr">
        <is>
          <t>EJ010723.TXT</t>
        </is>
      </c>
      <c r="B403" s="3" t="inlineStr">
        <is>
          <t>004952</t>
        </is>
      </c>
      <c r="C403" s="3" t="inlineStr">
        <is>
          <t>003963</t>
        </is>
      </c>
      <c r="D403" s="4" t="n">
        <v>45104</v>
      </c>
      <c r="E403" s="2" t="inlineStr">
        <is>
          <t>10:14</t>
        </is>
      </c>
      <c r="F403" s="5" t="n">
        <v>548.33</v>
      </c>
      <c r="G403" s="5" t="n"/>
      <c r="H403" s="5" t="n"/>
      <c r="I403" s="5" t="n"/>
      <c r="J403" s="5" t="n">
        <v>109.67</v>
      </c>
      <c r="K403" s="5" t="n"/>
      <c r="L403" s="5" t="n"/>
      <c r="M403" s="5" t="n"/>
      <c r="N403" s="5" t="n"/>
      <c r="O403" s="5" t="n">
        <v>658</v>
      </c>
      <c r="P403" s="5" t="n"/>
      <c r="Q403" s="5" t="n">
        <v>658</v>
      </c>
      <c r="R403" s="5" t="n"/>
      <c r="S403" s="5">
        <f>F403*20%</f>
        <v/>
      </c>
      <c r="T403" s="5">
        <f>J403-S403</f>
        <v/>
      </c>
      <c r="U403" s="5">
        <f>F403+J403</f>
        <v/>
      </c>
      <c r="V403" s="5">
        <f>O403-U403</f>
        <v/>
      </c>
      <c r="W403" s="5">
        <f>O403-(P403+R403)</f>
        <v/>
      </c>
      <c r="X403" s="5">
        <f>O403-(P403+Q403+R403)</f>
        <v/>
      </c>
    </row>
    <row r="404">
      <c r="A404" s="2" t="inlineStr">
        <is>
          <t>EJ010723.TXT</t>
        </is>
      </c>
      <c r="B404" s="3" t="inlineStr">
        <is>
          <t>004953</t>
        </is>
      </c>
      <c r="C404" s="3" t="inlineStr">
        <is>
          <t>003964</t>
        </is>
      </c>
      <c r="D404" s="4" t="n">
        <v>45104</v>
      </c>
      <c r="E404" s="2" t="inlineStr">
        <is>
          <t>10:15</t>
        </is>
      </c>
      <c r="F404" s="5" t="n">
        <v>548.33</v>
      </c>
      <c r="G404" s="5" t="n"/>
      <c r="H404" s="5" t="n"/>
      <c r="I404" s="5" t="n"/>
      <c r="J404" s="5" t="n">
        <v>109.67</v>
      </c>
      <c r="K404" s="5" t="n"/>
      <c r="L404" s="5" t="n"/>
      <c r="M404" s="5" t="n"/>
      <c r="N404" s="5" t="n"/>
      <c r="O404" s="5" t="n">
        <v>658</v>
      </c>
      <c r="P404" s="5" t="n"/>
      <c r="Q404" s="5" t="n">
        <v>658</v>
      </c>
      <c r="R404" s="5" t="n"/>
      <c r="S404" s="5">
        <f>F404*20%</f>
        <v/>
      </c>
      <c r="T404" s="5">
        <f>J404-S404</f>
        <v/>
      </c>
      <c r="U404" s="5">
        <f>F404+J404</f>
        <v/>
      </c>
      <c r="V404" s="5">
        <f>O404-U404</f>
        <v/>
      </c>
      <c r="W404" s="5">
        <f>O404-(P404+R404)</f>
        <v/>
      </c>
      <c r="X404" s="5">
        <f>O404-(P404+Q404+R404)</f>
        <v/>
      </c>
    </row>
    <row r="405">
      <c r="A405" s="2" t="inlineStr">
        <is>
          <t>EJ010723.TXT</t>
        </is>
      </c>
      <c r="B405" s="3" t="inlineStr">
        <is>
          <t>004954</t>
        </is>
      </c>
      <c r="C405" s="3" t="inlineStr">
        <is>
          <t>003965</t>
        </is>
      </c>
      <c r="D405" s="4" t="n">
        <v>45104</v>
      </c>
      <c r="E405" s="2" t="inlineStr">
        <is>
          <t>10:56</t>
        </is>
      </c>
      <c r="F405" s="5" t="n">
        <v>822.5</v>
      </c>
      <c r="G405" s="5" t="n"/>
      <c r="H405" s="5" t="n"/>
      <c r="I405" s="5" t="n"/>
      <c r="J405" s="5" t="n">
        <v>164.5</v>
      </c>
      <c r="K405" s="5" t="n"/>
      <c r="L405" s="5" t="n"/>
      <c r="M405" s="5" t="n"/>
      <c r="N405" s="5" t="n"/>
      <c r="O405" s="5" t="n">
        <v>987</v>
      </c>
      <c r="P405" s="5" t="n"/>
      <c r="Q405" s="5" t="n">
        <v>987</v>
      </c>
      <c r="R405" s="5" t="n"/>
      <c r="S405" s="5">
        <f>F405*20%</f>
        <v/>
      </c>
      <c r="T405" s="5">
        <f>J405-S405</f>
        <v/>
      </c>
      <c r="U405" s="5">
        <f>F405+J405</f>
        <v/>
      </c>
      <c r="V405" s="5">
        <f>O405-U405</f>
        <v/>
      </c>
      <c r="W405" s="5">
        <f>O405-(P405+R405)</f>
        <v/>
      </c>
      <c r="X405" s="5">
        <f>O405-(P405+Q405+R405)</f>
        <v/>
      </c>
    </row>
    <row r="406">
      <c r="A406" s="2" t="inlineStr">
        <is>
          <t>EJ010723.TXT</t>
        </is>
      </c>
      <c r="B406" s="3" t="inlineStr">
        <is>
          <t>004955</t>
        </is>
      </c>
      <c r="C406" s="3" t="inlineStr">
        <is>
          <t>003966</t>
        </is>
      </c>
      <c r="D406" s="4" t="n">
        <v>45104</v>
      </c>
      <c r="E406" s="2" t="inlineStr">
        <is>
          <t>11:04</t>
        </is>
      </c>
      <c r="F406" s="5" t="n">
        <v>822.5</v>
      </c>
      <c r="G406" s="5" t="n"/>
      <c r="H406" s="5" t="n"/>
      <c r="I406" s="5" t="n"/>
      <c r="J406" s="5" t="n">
        <v>164.5</v>
      </c>
      <c r="K406" s="5" t="n"/>
      <c r="L406" s="5" t="n"/>
      <c r="M406" s="5" t="n"/>
      <c r="N406" s="5" t="n"/>
      <c r="O406" s="5" t="n">
        <v>987</v>
      </c>
      <c r="P406" s="5" t="n"/>
      <c r="Q406" s="5" t="n">
        <v>987</v>
      </c>
      <c r="R406" s="5" t="n"/>
      <c r="S406" s="5">
        <f>F406*20%</f>
        <v/>
      </c>
      <c r="T406" s="5">
        <f>J406-S406</f>
        <v/>
      </c>
      <c r="U406" s="5">
        <f>F406+J406</f>
        <v/>
      </c>
      <c r="V406" s="5">
        <f>O406-U406</f>
        <v/>
      </c>
      <c r="W406" s="5">
        <f>O406-(P406+R406)</f>
        <v/>
      </c>
      <c r="X406" s="5">
        <f>O406-(P406+Q406+R406)</f>
        <v/>
      </c>
    </row>
    <row r="407">
      <c r="A407" s="2" t="inlineStr">
        <is>
          <t>EJ010723.TXT</t>
        </is>
      </c>
      <c r="B407" s="3" t="inlineStr">
        <is>
          <t>004956</t>
        </is>
      </c>
      <c r="C407" s="3" t="inlineStr">
        <is>
          <t>003967</t>
        </is>
      </c>
      <c r="D407" s="4" t="n">
        <v>45104</v>
      </c>
      <c r="E407" s="2" t="inlineStr">
        <is>
          <t>11:04</t>
        </is>
      </c>
      <c r="F407" s="5" t="n">
        <v>822.5</v>
      </c>
      <c r="G407" s="5" t="n"/>
      <c r="H407" s="5" t="n"/>
      <c r="I407" s="5" t="n"/>
      <c r="J407" s="5" t="n">
        <v>164.5</v>
      </c>
      <c r="K407" s="5" t="n"/>
      <c r="L407" s="5" t="n"/>
      <c r="M407" s="5" t="n"/>
      <c r="N407" s="5" t="n"/>
      <c r="O407" s="5" t="n">
        <v>987</v>
      </c>
      <c r="P407" s="5" t="n"/>
      <c r="Q407" s="5" t="n">
        <v>987</v>
      </c>
      <c r="R407" s="5" t="n"/>
      <c r="S407" s="5">
        <f>F407*20%</f>
        <v/>
      </c>
      <c r="T407" s="5">
        <f>J407-S407</f>
        <v/>
      </c>
      <c r="U407" s="5">
        <f>F407+J407</f>
        <v/>
      </c>
      <c r="V407" s="5">
        <f>O407-U407</f>
        <v/>
      </c>
      <c r="W407" s="5">
        <f>O407-(P407+R407)</f>
        <v/>
      </c>
      <c r="X407" s="5">
        <f>O407-(P407+Q407+R407)</f>
        <v/>
      </c>
    </row>
    <row r="408">
      <c r="A408" s="2" t="inlineStr">
        <is>
          <t>EJ010723.TXT</t>
        </is>
      </c>
      <c r="B408" s="3" t="inlineStr">
        <is>
          <t>004957</t>
        </is>
      </c>
      <c r="C408" s="3" t="inlineStr">
        <is>
          <t>003968</t>
        </is>
      </c>
      <c r="D408" s="4" t="n">
        <v>45104</v>
      </c>
      <c r="E408" s="2" t="inlineStr">
        <is>
          <t>11:05</t>
        </is>
      </c>
      <c r="F408" s="5" t="n">
        <v>822.5</v>
      </c>
      <c r="G408" s="5" t="n"/>
      <c r="H408" s="5" t="n"/>
      <c r="I408" s="5" t="n"/>
      <c r="J408" s="5" t="n">
        <v>164.5</v>
      </c>
      <c r="K408" s="5" t="n"/>
      <c r="L408" s="5" t="n"/>
      <c r="M408" s="5" t="n"/>
      <c r="N408" s="5" t="n"/>
      <c r="O408" s="5" t="n">
        <v>987</v>
      </c>
      <c r="P408" s="5" t="n"/>
      <c r="Q408" s="5" t="n">
        <v>987</v>
      </c>
      <c r="R408" s="5" t="n"/>
      <c r="S408" s="5">
        <f>F408*20%</f>
        <v/>
      </c>
      <c r="T408" s="5">
        <f>J408-S408</f>
        <v/>
      </c>
      <c r="U408" s="5">
        <f>F408+J408</f>
        <v/>
      </c>
      <c r="V408" s="5">
        <f>O408-U408</f>
        <v/>
      </c>
      <c r="W408" s="5">
        <f>O408-(P408+R408)</f>
        <v/>
      </c>
      <c r="X408" s="5">
        <f>O408-(P408+Q408+R408)</f>
        <v/>
      </c>
    </row>
    <row r="409">
      <c r="A409" s="2" t="inlineStr">
        <is>
          <t>EJ010723.TXT</t>
        </is>
      </c>
      <c r="B409" s="3" t="inlineStr">
        <is>
          <t>004958</t>
        </is>
      </c>
      <c r="C409" s="3" t="inlineStr">
        <is>
          <t>003969</t>
        </is>
      </c>
      <c r="D409" s="4" t="n">
        <v>45104</v>
      </c>
      <c r="E409" s="2" t="inlineStr">
        <is>
          <t>11:05</t>
        </is>
      </c>
      <c r="F409" s="5" t="n">
        <v>822.5</v>
      </c>
      <c r="G409" s="5" t="n"/>
      <c r="H409" s="5" t="n"/>
      <c r="I409" s="5" t="n"/>
      <c r="J409" s="5" t="n">
        <v>164.5</v>
      </c>
      <c r="K409" s="5" t="n"/>
      <c r="L409" s="5" t="n"/>
      <c r="M409" s="5" t="n"/>
      <c r="N409" s="5" t="n"/>
      <c r="O409" s="5" t="n">
        <v>987</v>
      </c>
      <c r="P409" s="5" t="n"/>
      <c r="Q409" s="5" t="n">
        <v>987</v>
      </c>
      <c r="R409" s="5" t="n"/>
      <c r="S409" s="5">
        <f>F409*20%</f>
        <v/>
      </c>
      <c r="T409" s="5">
        <f>J409-S409</f>
        <v/>
      </c>
      <c r="U409" s="5">
        <f>F409+J409</f>
        <v/>
      </c>
      <c r="V409" s="5">
        <f>O409-U409</f>
        <v/>
      </c>
      <c r="W409" s="5">
        <f>O409-(P409+R409)</f>
        <v/>
      </c>
      <c r="X409" s="5">
        <f>O409-(P409+Q409+R409)</f>
        <v/>
      </c>
    </row>
    <row r="410">
      <c r="A410" s="2" t="inlineStr">
        <is>
          <t>EJ010723.TXT</t>
        </is>
      </c>
      <c r="B410" s="3" t="inlineStr">
        <is>
          <t>004959</t>
        </is>
      </c>
      <c r="C410" s="3" t="inlineStr">
        <is>
          <t>003970</t>
        </is>
      </c>
      <c r="D410" s="4" t="n">
        <v>45104</v>
      </c>
      <c r="E410" s="2" t="inlineStr">
        <is>
          <t>11:12</t>
        </is>
      </c>
      <c r="F410" s="5" t="n">
        <v>208.33</v>
      </c>
      <c r="G410" s="5" t="n"/>
      <c r="H410" s="5" t="n"/>
      <c r="I410" s="5" t="n"/>
      <c r="J410" s="5" t="n">
        <v>41.67</v>
      </c>
      <c r="K410" s="5" t="n"/>
      <c r="L410" s="5" t="n"/>
      <c r="M410" s="5" t="n"/>
      <c r="N410" s="5" t="n"/>
      <c r="O410" s="5" t="n">
        <v>250</v>
      </c>
      <c r="P410" s="5" t="n"/>
      <c r="Q410" s="5" t="n">
        <v>250</v>
      </c>
      <c r="R410" s="5" t="n"/>
      <c r="S410" s="5">
        <f>F410*20%</f>
        <v/>
      </c>
      <c r="T410" s="5">
        <f>J410-S410</f>
        <v/>
      </c>
      <c r="U410" s="5">
        <f>F410+J410</f>
        <v/>
      </c>
      <c r="V410" s="5">
        <f>O410-U410</f>
        <v/>
      </c>
      <c r="W410" s="5">
        <f>O410-(P410+R410)</f>
        <v/>
      </c>
      <c r="X410" s="5">
        <f>O410-(P410+Q410+R410)</f>
        <v/>
      </c>
    </row>
    <row r="411">
      <c r="A411" s="2" t="inlineStr">
        <is>
          <t>EJ010723.TXT</t>
        </is>
      </c>
      <c r="B411" s="3" t="inlineStr">
        <is>
          <t>004960</t>
        </is>
      </c>
      <c r="C411" s="3" t="inlineStr">
        <is>
          <t>003971</t>
        </is>
      </c>
      <c r="D411" s="4" t="n">
        <v>45107</v>
      </c>
      <c r="E411" s="2" t="inlineStr">
        <is>
          <t>13:37</t>
        </is>
      </c>
      <c r="F411" s="5" t="n">
        <v>49.17</v>
      </c>
      <c r="G411" s="5" t="n"/>
      <c r="H411" s="5" t="n"/>
      <c r="I411" s="5" t="n"/>
      <c r="J411" s="5" t="n">
        <v>9.83</v>
      </c>
      <c r="K411" s="5" t="n"/>
      <c r="L411" s="5" t="n"/>
      <c r="M411" s="5" t="n"/>
      <c r="N411" s="5" t="n"/>
      <c r="O411" s="5" t="n">
        <v>59</v>
      </c>
      <c r="P411" s="5" t="n"/>
      <c r="Q411" s="5" t="n">
        <v>59</v>
      </c>
      <c r="R411" s="5" t="n"/>
      <c r="S411" s="5">
        <f>F411*20%</f>
        <v/>
      </c>
      <c r="T411" s="5">
        <f>J411-S411</f>
        <v/>
      </c>
      <c r="U411" s="5">
        <f>F411+J411</f>
        <v/>
      </c>
      <c r="V411" s="5">
        <f>O411-U411</f>
        <v/>
      </c>
      <c r="W411" s="5">
        <f>O411-(P411+R411)</f>
        <v/>
      </c>
      <c r="X411" s="5">
        <f>O411-(P411+Q411+R411)</f>
        <v/>
      </c>
    </row>
    <row r="412">
      <c r="A412" s="2" t="inlineStr">
        <is>
          <t>EJ010723.TXT</t>
        </is>
      </c>
      <c r="B412" s="3" t="inlineStr">
        <is>
          <t>004961</t>
        </is>
      </c>
      <c r="C412" s="3" t="inlineStr">
        <is>
          <t>003972</t>
        </is>
      </c>
      <c r="D412" s="4" t="n">
        <v>45107</v>
      </c>
      <c r="E412" s="2" t="inlineStr">
        <is>
          <t>13:38</t>
        </is>
      </c>
      <c r="F412" s="5" t="n">
        <v>49.17</v>
      </c>
      <c r="G412" s="5" t="n"/>
      <c r="H412" s="5" t="n"/>
      <c r="I412" s="5" t="n"/>
      <c r="J412" s="5" t="n">
        <v>9.83</v>
      </c>
      <c r="K412" s="5" t="n"/>
      <c r="L412" s="5" t="n"/>
      <c r="M412" s="5" t="n"/>
      <c r="N412" s="5" t="n"/>
      <c r="O412" s="5" t="n">
        <v>59</v>
      </c>
      <c r="P412" s="5" t="n"/>
      <c r="Q412" s="5" t="n">
        <v>59</v>
      </c>
      <c r="R412" s="5" t="n"/>
      <c r="S412" s="5">
        <f>F412*20%</f>
        <v/>
      </c>
      <c r="T412" s="5">
        <f>J412-S412</f>
        <v/>
      </c>
      <c r="U412" s="5">
        <f>F412+J412</f>
        <v/>
      </c>
      <c r="V412" s="5">
        <f>O412-U412</f>
        <v/>
      </c>
      <c r="W412" s="5">
        <f>O412-(P412+R412)</f>
        <v/>
      </c>
      <c r="X412" s="5">
        <f>O412-(P412+Q412+R412)</f>
        <v/>
      </c>
    </row>
    <row r="413">
      <c r="A413" s="2" t="inlineStr">
        <is>
          <t>EJ010723.TXT</t>
        </is>
      </c>
      <c r="B413" s="3" t="inlineStr">
        <is>
          <t>004962</t>
        </is>
      </c>
      <c r="C413" s="3" t="inlineStr">
        <is>
          <t>003973</t>
        </is>
      </c>
      <c r="D413" s="4" t="n">
        <v>45108</v>
      </c>
      <c r="E413" s="2" t="inlineStr">
        <is>
          <t>14:46</t>
        </is>
      </c>
      <c r="F413" s="5" t="n">
        <v>822.5</v>
      </c>
      <c r="G413" s="5" t="n"/>
      <c r="H413" s="5" t="n"/>
      <c r="I413" s="5" t="n"/>
      <c r="J413" s="5" t="n">
        <v>164.5</v>
      </c>
      <c r="K413" s="5" t="n"/>
      <c r="L413" s="5" t="n"/>
      <c r="M413" s="5" t="n"/>
      <c r="N413" s="5" t="n"/>
      <c r="O413" s="5" t="n">
        <v>987</v>
      </c>
      <c r="P413" s="5" t="n">
        <v>987</v>
      </c>
      <c r="Q413" s="5" t="n"/>
      <c r="R413" s="5" t="n"/>
      <c r="S413" s="5">
        <f>F413*20%</f>
        <v/>
      </c>
      <c r="T413" s="5">
        <f>J413-S413</f>
        <v/>
      </c>
      <c r="U413" s="5">
        <f>F413+J413</f>
        <v/>
      </c>
      <c r="V413" s="5">
        <f>O413-U413</f>
        <v/>
      </c>
      <c r="W413" s="5">
        <f>O413-(P413+R413)</f>
        <v/>
      </c>
      <c r="X413" s="5">
        <f>O413-(P413+Q413+R413)</f>
        <v/>
      </c>
    </row>
    <row r="414">
      <c r="A414" s="2" t="inlineStr">
        <is>
          <t>EJ010823.TXT</t>
        </is>
      </c>
      <c r="B414" s="3" t="inlineStr">
        <is>
          <t>004970</t>
        </is>
      </c>
      <c r="C414" s="3" t="inlineStr">
        <is>
          <t>003974</t>
        </is>
      </c>
      <c r="D414" s="4" t="n">
        <v>45108</v>
      </c>
      <c r="E414" s="2" t="inlineStr">
        <is>
          <t>16:34</t>
        </is>
      </c>
      <c r="F414" s="5" t="n">
        <v>822.5</v>
      </c>
      <c r="G414" s="5" t="n"/>
      <c r="H414" s="5" t="n"/>
      <c r="I414" s="5" t="n"/>
      <c r="J414" s="5" t="n">
        <v>164.5</v>
      </c>
      <c r="K414" s="5" t="n"/>
      <c r="L414" s="5" t="n"/>
      <c r="M414" s="5" t="n"/>
      <c r="N414" s="5" t="n"/>
      <c r="O414" s="5" t="n">
        <v>987</v>
      </c>
      <c r="P414" s="5" t="n">
        <v>987</v>
      </c>
      <c r="Q414" s="5" t="n"/>
      <c r="R414" s="5" t="n"/>
      <c r="S414" s="5">
        <f>F414*20%</f>
        <v/>
      </c>
      <c r="T414" s="5">
        <f>J414-S414</f>
        <v/>
      </c>
      <c r="U414" s="5">
        <f>F414+J414</f>
        <v/>
      </c>
      <c r="V414" s="5">
        <f>O414-U414</f>
        <v/>
      </c>
      <c r="W414" s="5">
        <f>O414-(P414+R414)</f>
        <v/>
      </c>
      <c r="X414" s="5">
        <f>O414-(P414+Q414+R414)</f>
        <v/>
      </c>
    </row>
    <row r="415">
      <c r="A415" s="2" t="inlineStr">
        <is>
          <t>EJ010823.TXT</t>
        </is>
      </c>
      <c r="B415" s="3" t="inlineStr">
        <is>
          <t>004971</t>
        </is>
      </c>
      <c r="C415" s="3" t="inlineStr">
        <is>
          <t>003975</t>
        </is>
      </c>
      <c r="D415" s="4" t="n">
        <v>45110</v>
      </c>
      <c r="E415" s="2" t="inlineStr">
        <is>
          <t>15:51</t>
        </is>
      </c>
      <c r="F415" s="5" t="n">
        <v>274.17</v>
      </c>
      <c r="G415" s="5" t="n"/>
      <c r="H415" s="5" t="n"/>
      <c r="I415" s="5" t="n"/>
      <c r="J415" s="5" t="n">
        <v>54.83</v>
      </c>
      <c r="K415" s="5" t="n"/>
      <c r="L415" s="5" t="n"/>
      <c r="M415" s="5" t="n"/>
      <c r="N415" s="5" t="n"/>
      <c r="O415" s="5" t="n">
        <v>329</v>
      </c>
      <c r="P415" s="5" t="n"/>
      <c r="Q415" s="5" t="n">
        <v>329</v>
      </c>
      <c r="R415" s="5" t="n"/>
      <c r="S415" s="5">
        <f>F415*20%</f>
        <v/>
      </c>
      <c r="T415" s="5">
        <f>J415-S415</f>
        <v/>
      </c>
      <c r="U415" s="5">
        <f>F415+J415</f>
        <v/>
      </c>
      <c r="V415" s="5">
        <f>O415-U415</f>
        <v/>
      </c>
      <c r="W415" s="5">
        <f>O415-(P415+R415)</f>
        <v/>
      </c>
      <c r="X415" s="5">
        <f>O415-(P415+Q415+R415)</f>
        <v/>
      </c>
    </row>
    <row r="416">
      <c r="A416" s="2" t="inlineStr">
        <is>
          <t>EJ010823.TXT</t>
        </is>
      </c>
      <c r="B416" s="3" t="inlineStr">
        <is>
          <t>004972</t>
        </is>
      </c>
      <c r="C416" s="3" t="inlineStr">
        <is>
          <t>003976</t>
        </is>
      </c>
      <c r="D416" s="4" t="n">
        <v>45111</v>
      </c>
      <c r="E416" s="2" t="inlineStr">
        <is>
          <t>15:19</t>
        </is>
      </c>
      <c r="F416" s="5" t="n">
        <v>822.5</v>
      </c>
      <c r="G416" s="5" t="n"/>
      <c r="H416" s="5" t="n"/>
      <c r="I416" s="5" t="n"/>
      <c r="J416" s="5" t="n">
        <v>164.5</v>
      </c>
      <c r="K416" s="5" t="n"/>
      <c r="L416" s="5" t="n"/>
      <c r="M416" s="5" t="n"/>
      <c r="N416" s="5" t="n"/>
      <c r="O416" s="5" t="n">
        <v>987</v>
      </c>
      <c r="P416" s="5" t="n"/>
      <c r="Q416" s="5" t="n">
        <v>987</v>
      </c>
      <c r="R416" s="5" t="n"/>
      <c r="S416" s="5">
        <f>F416*20%</f>
        <v/>
      </c>
      <c r="T416" s="5">
        <f>J416-S416</f>
        <v/>
      </c>
      <c r="U416" s="5">
        <f>F416+J416</f>
        <v/>
      </c>
      <c r="V416" s="5">
        <f>O416-U416</f>
        <v/>
      </c>
      <c r="W416" s="5">
        <f>O416-(P416+R416)</f>
        <v/>
      </c>
      <c r="X416" s="5">
        <f>O416-(P416+Q416+R416)</f>
        <v/>
      </c>
    </row>
    <row r="417">
      <c r="A417" s="2" t="inlineStr">
        <is>
          <t>EJ010823.TXT</t>
        </is>
      </c>
      <c r="B417" s="3" t="inlineStr">
        <is>
          <t>004973</t>
        </is>
      </c>
      <c r="C417" s="3" t="inlineStr">
        <is>
          <t>003977</t>
        </is>
      </c>
      <c r="D417" s="4" t="n">
        <v>45113</v>
      </c>
      <c r="E417" s="2" t="inlineStr">
        <is>
          <t>10:21</t>
        </is>
      </c>
      <c r="F417" s="5" t="n">
        <v>739.17</v>
      </c>
      <c r="G417" s="5" t="n"/>
      <c r="H417" s="5" t="n"/>
      <c r="I417" s="5" t="n"/>
      <c r="J417" s="5" t="n">
        <v>147.83</v>
      </c>
      <c r="K417" s="5" t="n"/>
      <c r="L417" s="5" t="n"/>
      <c r="M417" s="5" t="n"/>
      <c r="N417" s="5" t="n"/>
      <c r="O417" s="5" t="n">
        <v>887</v>
      </c>
      <c r="P417" s="5" t="n">
        <v>887</v>
      </c>
      <c r="Q417" s="5" t="n"/>
      <c r="R417" s="5" t="n"/>
      <c r="S417" s="5">
        <f>F417*20%</f>
        <v/>
      </c>
      <c r="T417" s="5">
        <f>J417-S417</f>
        <v/>
      </c>
      <c r="U417" s="5">
        <f>F417+J417</f>
        <v/>
      </c>
      <c r="V417" s="5">
        <f>O417-U417</f>
        <v/>
      </c>
      <c r="W417" s="5">
        <f>O417-(P417+R417)</f>
        <v/>
      </c>
      <c r="X417" s="5">
        <f>O417-(P417+Q417+R417)</f>
        <v/>
      </c>
    </row>
    <row r="418">
      <c r="A418" s="2" t="inlineStr">
        <is>
          <t>EJ010823.TXT</t>
        </is>
      </c>
      <c r="B418" s="3" t="inlineStr">
        <is>
          <t>004974</t>
        </is>
      </c>
      <c r="C418" s="3" t="inlineStr">
        <is>
          <t>003978</t>
        </is>
      </c>
      <c r="D418" s="4" t="n">
        <v>45113</v>
      </c>
      <c r="E418" s="2" t="inlineStr">
        <is>
          <t>12:21</t>
        </is>
      </c>
      <c r="F418" s="5" t="n">
        <v>274.17</v>
      </c>
      <c r="G418" s="5" t="n"/>
      <c r="H418" s="5" t="n"/>
      <c r="I418" s="5" t="n"/>
      <c r="J418" s="5" t="n">
        <v>54.83</v>
      </c>
      <c r="K418" s="5" t="n"/>
      <c r="L418" s="5" t="n"/>
      <c r="M418" s="5" t="n"/>
      <c r="N418" s="5" t="n"/>
      <c r="O418" s="5" t="n">
        <v>329</v>
      </c>
      <c r="P418" s="5" t="n"/>
      <c r="Q418" s="5" t="n">
        <v>329</v>
      </c>
      <c r="R418" s="5" t="n"/>
      <c r="S418" s="5">
        <f>F418*20%</f>
        <v/>
      </c>
      <c r="T418" s="5">
        <f>J418-S418</f>
        <v/>
      </c>
      <c r="U418" s="5">
        <f>F418+J418</f>
        <v/>
      </c>
      <c r="V418" s="5">
        <f>O418-U418</f>
        <v/>
      </c>
      <c r="W418" s="5">
        <f>O418-(P418+R418)</f>
        <v/>
      </c>
      <c r="X418" s="5">
        <f>O418-(P418+Q418+R418)</f>
        <v/>
      </c>
    </row>
    <row r="419">
      <c r="A419" s="2" t="inlineStr">
        <is>
          <t>EJ010823.TXT</t>
        </is>
      </c>
      <c r="B419" s="3" t="inlineStr">
        <is>
          <t>004975</t>
        </is>
      </c>
      <c r="C419" s="3" t="inlineStr">
        <is>
          <t>003979</t>
        </is>
      </c>
      <c r="D419" s="4" t="n">
        <v>45113</v>
      </c>
      <c r="E419" s="2" t="inlineStr">
        <is>
          <t>16:59</t>
        </is>
      </c>
      <c r="F419" s="5" t="n">
        <v>208.33</v>
      </c>
      <c r="G419" s="5" t="n"/>
      <c r="H419" s="5" t="n"/>
      <c r="I419" s="5" t="n"/>
      <c r="J419" s="5" t="n">
        <v>41.67</v>
      </c>
      <c r="K419" s="5" t="n"/>
      <c r="L419" s="5" t="n"/>
      <c r="M419" s="5" t="n"/>
      <c r="N419" s="5" t="n"/>
      <c r="O419" s="5" t="n">
        <v>250</v>
      </c>
      <c r="P419" s="5" t="n"/>
      <c r="Q419" s="5" t="n">
        <v>250</v>
      </c>
      <c r="R419" s="5" t="n"/>
      <c r="S419" s="5">
        <f>F419*20%</f>
        <v/>
      </c>
      <c r="T419" s="5">
        <f>J419-S419</f>
        <v/>
      </c>
      <c r="U419" s="5">
        <f>F419+J419</f>
        <v/>
      </c>
      <c r="V419" s="5">
        <f>O419-U419</f>
        <v/>
      </c>
      <c r="W419" s="5">
        <f>O419-(P419+R419)</f>
        <v/>
      </c>
      <c r="X419" s="5">
        <f>O419-(P419+Q419+R419)</f>
        <v/>
      </c>
    </row>
    <row r="420">
      <c r="A420" s="2" t="inlineStr">
        <is>
          <t>EJ010823.TXT</t>
        </is>
      </c>
      <c r="B420" s="3" t="inlineStr">
        <is>
          <t>004976</t>
        </is>
      </c>
      <c r="C420" s="3" t="inlineStr">
        <is>
          <t>003980</t>
        </is>
      </c>
      <c r="D420" s="4" t="n">
        <v>45114</v>
      </c>
      <c r="E420" s="2" t="inlineStr">
        <is>
          <t>13:41</t>
        </is>
      </c>
      <c r="F420" s="5" t="n">
        <v>822.5</v>
      </c>
      <c r="G420" s="5" t="n"/>
      <c r="H420" s="5" t="n"/>
      <c r="I420" s="5" t="n"/>
      <c r="J420" s="5" t="n">
        <v>164.5</v>
      </c>
      <c r="K420" s="5" t="n"/>
      <c r="L420" s="5" t="n"/>
      <c r="M420" s="5" t="n"/>
      <c r="N420" s="5" t="n"/>
      <c r="O420" s="5" t="n">
        <v>987</v>
      </c>
      <c r="P420" s="5" t="n">
        <v>987</v>
      </c>
      <c r="Q420" s="5" t="n"/>
      <c r="R420" s="5" t="n"/>
      <c r="S420" s="5">
        <f>F420*20%</f>
        <v/>
      </c>
      <c r="T420" s="5">
        <f>J420-S420</f>
        <v/>
      </c>
      <c r="U420" s="5">
        <f>F420+J420</f>
        <v/>
      </c>
      <c r="V420" s="5">
        <f>O420-U420</f>
        <v/>
      </c>
      <c r="W420" s="5">
        <f>O420-(P420+R420)</f>
        <v/>
      </c>
      <c r="X420" s="5">
        <f>O420-(P420+Q420+R420)</f>
        <v/>
      </c>
    </row>
    <row r="421">
      <c r="A421" s="2" t="inlineStr">
        <is>
          <t>EJ010823.TXT</t>
        </is>
      </c>
      <c r="B421" s="3" t="inlineStr">
        <is>
          <t>004977</t>
        </is>
      </c>
      <c r="C421" s="3" t="inlineStr">
        <is>
          <t>003981</t>
        </is>
      </c>
      <c r="D421" s="4" t="n">
        <v>45115</v>
      </c>
      <c r="E421" s="2" t="inlineStr">
        <is>
          <t>15:51</t>
        </is>
      </c>
      <c r="F421" s="5" t="n">
        <v>1063.33</v>
      </c>
      <c r="G421" s="5" t="n"/>
      <c r="H421" s="5" t="n"/>
      <c r="I421" s="5" t="n"/>
      <c r="J421" s="5" t="n">
        <v>212.67</v>
      </c>
      <c r="K421" s="5" t="n"/>
      <c r="L421" s="5" t="n"/>
      <c r="M421" s="5" t="n"/>
      <c r="N421" s="5" t="n"/>
      <c r="O421" s="5" t="n">
        <v>1276</v>
      </c>
      <c r="P421" s="5" t="n">
        <v>1276</v>
      </c>
      <c r="Q421" s="5" t="n"/>
      <c r="R421" s="5" t="n"/>
      <c r="S421" s="5">
        <f>F421*20%</f>
        <v/>
      </c>
      <c r="T421" s="5">
        <f>J421-S421</f>
        <v/>
      </c>
      <c r="U421" s="5">
        <f>F421+J421</f>
        <v/>
      </c>
      <c r="V421" s="5">
        <f>O421-U421</f>
        <v/>
      </c>
      <c r="W421" s="5">
        <f>O421-(P421+R421)</f>
        <v/>
      </c>
      <c r="X421" s="5">
        <f>O421-(P421+Q421+R421)</f>
        <v/>
      </c>
    </row>
    <row r="422">
      <c r="A422" s="2" t="inlineStr">
        <is>
          <t>EJ010823.TXT</t>
        </is>
      </c>
      <c r="B422" s="3" t="inlineStr">
        <is>
          <t>004978</t>
        </is>
      </c>
      <c r="C422" s="3" t="inlineStr">
        <is>
          <t>003982</t>
        </is>
      </c>
      <c r="D422" s="4" t="n">
        <v>45117</v>
      </c>
      <c r="E422" s="2" t="inlineStr">
        <is>
          <t>09:45</t>
        </is>
      </c>
      <c r="F422" s="5" t="n">
        <v>548.33</v>
      </c>
      <c r="G422" s="5" t="n"/>
      <c r="H422" s="5" t="n"/>
      <c r="I422" s="5" t="n"/>
      <c r="J422" s="5" t="n">
        <v>109.67</v>
      </c>
      <c r="K422" s="5" t="n"/>
      <c r="L422" s="5" t="n"/>
      <c r="M422" s="5" t="n"/>
      <c r="N422" s="5" t="n"/>
      <c r="O422" s="5" t="n">
        <v>658</v>
      </c>
      <c r="P422" s="5" t="n"/>
      <c r="Q422" s="5" t="n">
        <v>658</v>
      </c>
      <c r="R422" s="5" t="n"/>
      <c r="S422" s="5">
        <f>F422*20%</f>
        <v/>
      </c>
      <c r="T422" s="5">
        <f>J422-S422</f>
        <v/>
      </c>
      <c r="U422" s="5">
        <f>F422+J422</f>
        <v/>
      </c>
      <c r="V422" s="5">
        <f>O422-U422</f>
        <v/>
      </c>
      <c r="W422" s="5">
        <f>O422-(P422+R422)</f>
        <v/>
      </c>
      <c r="X422" s="5">
        <f>O422-(P422+Q422+R422)</f>
        <v/>
      </c>
    </row>
    <row r="423">
      <c r="A423" s="2" t="inlineStr">
        <is>
          <t>EJ010823.TXT</t>
        </is>
      </c>
      <c r="B423" s="3" t="inlineStr">
        <is>
          <t>004979</t>
        </is>
      </c>
      <c r="C423" s="3" t="inlineStr">
        <is>
          <t>003983</t>
        </is>
      </c>
      <c r="D423" s="4" t="n">
        <v>45117</v>
      </c>
      <c r="E423" s="2" t="inlineStr">
        <is>
          <t>11:59</t>
        </is>
      </c>
      <c r="F423" s="5" t="n">
        <v>548.33</v>
      </c>
      <c r="G423" s="5" t="n"/>
      <c r="H423" s="5" t="n"/>
      <c r="I423" s="5" t="n"/>
      <c r="J423" s="5" t="n">
        <v>109.67</v>
      </c>
      <c r="K423" s="5" t="n"/>
      <c r="L423" s="5" t="n"/>
      <c r="M423" s="5" t="n"/>
      <c r="N423" s="5" t="n"/>
      <c r="O423" s="5" t="n">
        <v>658</v>
      </c>
      <c r="P423" s="5" t="n">
        <v>658</v>
      </c>
      <c r="Q423" s="5" t="n"/>
      <c r="R423" s="5" t="n"/>
      <c r="S423" s="5">
        <f>F423*20%</f>
        <v/>
      </c>
      <c r="T423" s="5">
        <f>J423-S423</f>
        <v/>
      </c>
      <c r="U423" s="5">
        <f>F423+J423</f>
        <v/>
      </c>
      <c r="V423" s="5">
        <f>O423-U423</f>
        <v/>
      </c>
      <c r="W423" s="5">
        <f>O423-(P423+R423)</f>
        <v/>
      </c>
      <c r="X423" s="5">
        <f>O423-(P423+Q423+R423)</f>
        <v/>
      </c>
    </row>
    <row r="424">
      <c r="A424" s="2" t="inlineStr">
        <is>
          <t>EJ010823.TXT</t>
        </is>
      </c>
      <c r="B424" s="3" t="inlineStr">
        <is>
          <t>004980</t>
        </is>
      </c>
      <c r="C424" s="3" t="inlineStr">
        <is>
          <t>003984</t>
        </is>
      </c>
      <c r="D424" s="4" t="n">
        <v>45117</v>
      </c>
      <c r="E424" s="2" t="inlineStr">
        <is>
          <t>14:42</t>
        </is>
      </c>
      <c r="F424" s="5" t="n">
        <v>274.17</v>
      </c>
      <c r="G424" s="5" t="n"/>
      <c r="H424" s="5" t="n"/>
      <c r="I424" s="5" t="n"/>
      <c r="J424" s="5" t="n">
        <v>54.83</v>
      </c>
      <c r="K424" s="5" t="n"/>
      <c r="L424" s="5" t="n"/>
      <c r="M424" s="5" t="n"/>
      <c r="N424" s="5" t="n"/>
      <c r="O424" s="5" t="n">
        <v>329</v>
      </c>
      <c r="P424" s="5" t="n">
        <v>329</v>
      </c>
      <c r="Q424" s="5" t="n"/>
      <c r="R424" s="5" t="n"/>
      <c r="S424" s="5">
        <f>F424*20%</f>
        <v/>
      </c>
      <c r="T424" s="5">
        <f>J424-S424</f>
        <v/>
      </c>
      <c r="U424" s="5">
        <f>F424+J424</f>
        <v/>
      </c>
      <c r="V424" s="5">
        <f>O424-U424</f>
        <v/>
      </c>
      <c r="W424" s="5">
        <f>O424-(P424+R424)</f>
        <v/>
      </c>
      <c r="X424" s="5">
        <f>O424-(P424+Q424+R424)</f>
        <v/>
      </c>
    </row>
    <row r="425">
      <c r="A425" s="2" t="inlineStr">
        <is>
          <t>EJ010823.TXT</t>
        </is>
      </c>
      <c r="B425" s="3" t="inlineStr">
        <is>
          <t>004981</t>
        </is>
      </c>
      <c r="C425" s="3" t="inlineStr">
        <is>
          <t>003985</t>
        </is>
      </c>
      <c r="D425" s="4" t="n">
        <v>45117</v>
      </c>
      <c r="E425" s="2" t="inlineStr">
        <is>
          <t>15:00</t>
        </is>
      </c>
      <c r="F425" s="5" t="n">
        <v>723.33</v>
      </c>
      <c r="G425" s="5" t="n"/>
      <c r="H425" s="5" t="n"/>
      <c r="I425" s="5" t="n"/>
      <c r="J425" s="5" t="n">
        <v>144.67</v>
      </c>
      <c r="K425" s="5" t="n"/>
      <c r="L425" s="5" t="n"/>
      <c r="M425" s="5" t="n"/>
      <c r="N425" s="5" t="n"/>
      <c r="O425" s="5" t="n">
        <v>868</v>
      </c>
      <c r="P425" s="5" t="n"/>
      <c r="Q425" s="5" t="n">
        <v>868</v>
      </c>
      <c r="R425" s="5" t="n"/>
      <c r="S425" s="5">
        <f>F425*20%</f>
        <v/>
      </c>
      <c r="T425" s="5">
        <f>J425-S425</f>
        <v/>
      </c>
      <c r="U425" s="5">
        <f>F425+J425</f>
        <v/>
      </c>
      <c r="V425" s="5">
        <f>O425-U425</f>
        <v/>
      </c>
      <c r="W425" s="5">
        <f>O425-(P425+R425)</f>
        <v/>
      </c>
      <c r="X425" s="5">
        <f>O425-(P425+Q425+R425)</f>
        <v/>
      </c>
    </row>
    <row r="426">
      <c r="A426" s="2" t="inlineStr">
        <is>
          <t>EJ010823.TXT</t>
        </is>
      </c>
      <c r="B426" s="3" t="inlineStr">
        <is>
          <t>004982</t>
        </is>
      </c>
      <c r="C426" s="3" t="inlineStr">
        <is>
          <t>003986</t>
        </is>
      </c>
      <c r="D426" s="4" t="n">
        <v>45124</v>
      </c>
      <c r="E426" s="2" t="inlineStr">
        <is>
          <t>15:20</t>
        </is>
      </c>
      <c r="F426" s="5" t="n">
        <v>822.5</v>
      </c>
      <c r="G426" s="5" t="n"/>
      <c r="H426" s="5" t="n"/>
      <c r="I426" s="5" t="n"/>
      <c r="J426" s="5" t="n">
        <v>164.5</v>
      </c>
      <c r="K426" s="5" t="n"/>
      <c r="L426" s="5" t="n"/>
      <c r="M426" s="5" t="n"/>
      <c r="N426" s="5" t="n"/>
      <c r="O426" s="5" t="n">
        <v>987</v>
      </c>
      <c r="P426" s="5" t="n"/>
      <c r="Q426" s="5" t="n">
        <v>987</v>
      </c>
      <c r="R426" s="5" t="n"/>
      <c r="S426" s="5">
        <f>F426*20%</f>
        <v/>
      </c>
      <c r="T426" s="5">
        <f>J426-S426</f>
        <v/>
      </c>
      <c r="U426" s="5">
        <f>F426+J426</f>
        <v/>
      </c>
      <c r="V426" s="5">
        <f>O426-U426</f>
        <v/>
      </c>
      <c r="W426" s="5">
        <f>O426-(P426+R426)</f>
        <v/>
      </c>
      <c r="X426" s="5">
        <f>O426-(P426+Q426+R426)</f>
        <v/>
      </c>
    </row>
    <row r="427">
      <c r="A427" s="2" t="inlineStr">
        <is>
          <t>EJ010823.TXT</t>
        </is>
      </c>
      <c r="B427" s="3" t="inlineStr">
        <is>
          <t>004983</t>
        </is>
      </c>
      <c r="C427" s="3" t="inlineStr">
        <is>
          <t>003987</t>
        </is>
      </c>
      <c r="D427" s="4" t="n">
        <v>45125</v>
      </c>
      <c r="E427" s="2" t="inlineStr">
        <is>
          <t>16:07</t>
        </is>
      </c>
      <c r="F427" s="5" t="n">
        <v>822.5</v>
      </c>
      <c r="G427" s="5" t="n"/>
      <c r="H427" s="5" t="n"/>
      <c r="I427" s="5" t="n"/>
      <c r="J427" s="5" t="n">
        <v>164.5</v>
      </c>
      <c r="K427" s="5" t="n"/>
      <c r="L427" s="5" t="n"/>
      <c r="M427" s="5" t="n"/>
      <c r="N427" s="5" t="n"/>
      <c r="O427" s="5" t="n">
        <v>987</v>
      </c>
      <c r="P427" s="5" t="n"/>
      <c r="Q427" s="5" t="n">
        <v>987</v>
      </c>
      <c r="R427" s="5" t="n"/>
      <c r="S427" s="5">
        <f>F427*20%</f>
        <v/>
      </c>
      <c r="T427" s="5">
        <f>J427-S427</f>
        <v/>
      </c>
      <c r="U427" s="5">
        <f>F427+J427</f>
        <v/>
      </c>
      <c r="V427" s="5">
        <f>O427-U427</f>
        <v/>
      </c>
      <c r="W427" s="5">
        <f>O427-(P427+R427)</f>
        <v/>
      </c>
      <c r="X427" s="5">
        <f>O427-(P427+Q427+R427)</f>
        <v/>
      </c>
    </row>
    <row r="428">
      <c r="A428" s="2" t="inlineStr">
        <is>
          <t>EJ010823.TXT</t>
        </is>
      </c>
      <c r="B428" s="3" t="inlineStr">
        <is>
          <t>004984</t>
        </is>
      </c>
      <c r="C428" s="3" t="inlineStr">
        <is>
          <t>003988</t>
        </is>
      </c>
      <c r="D428" s="4" t="n">
        <v>45125</v>
      </c>
      <c r="E428" s="2" t="inlineStr">
        <is>
          <t>16:07</t>
        </is>
      </c>
      <c r="F428" s="5" t="n">
        <v>822.5</v>
      </c>
      <c r="G428" s="5" t="n"/>
      <c r="H428" s="5" t="n"/>
      <c r="I428" s="5" t="n"/>
      <c r="J428" s="5" t="n">
        <v>164.5</v>
      </c>
      <c r="K428" s="5" t="n"/>
      <c r="L428" s="5" t="n"/>
      <c r="M428" s="5" t="n"/>
      <c r="N428" s="5" t="n"/>
      <c r="O428" s="5" t="n">
        <v>987</v>
      </c>
      <c r="P428" s="5" t="n"/>
      <c r="Q428" s="5" t="n">
        <v>987</v>
      </c>
      <c r="R428" s="5" t="n"/>
      <c r="S428" s="5">
        <f>F428*20%</f>
        <v/>
      </c>
      <c r="T428" s="5">
        <f>J428-S428</f>
        <v/>
      </c>
      <c r="U428" s="5">
        <f>F428+J428</f>
        <v/>
      </c>
      <c r="V428" s="5">
        <f>O428-U428</f>
        <v/>
      </c>
      <c r="W428" s="5">
        <f>O428-(P428+R428)</f>
        <v/>
      </c>
      <c r="X428" s="5">
        <f>O428-(P428+Q428+R428)</f>
        <v/>
      </c>
    </row>
    <row r="429">
      <c r="A429" s="2" t="inlineStr">
        <is>
          <t>EJ010823.TXT</t>
        </is>
      </c>
      <c r="B429" s="3" t="inlineStr">
        <is>
          <t>004985</t>
        </is>
      </c>
      <c r="C429" s="3" t="inlineStr">
        <is>
          <t>003989</t>
        </is>
      </c>
      <c r="D429" s="4" t="n">
        <v>45126</v>
      </c>
      <c r="E429" s="2" t="inlineStr">
        <is>
          <t>10:33</t>
        </is>
      </c>
      <c r="F429" s="5" t="n">
        <v>548.33</v>
      </c>
      <c r="G429" s="5" t="n"/>
      <c r="H429" s="5" t="n"/>
      <c r="I429" s="5" t="n"/>
      <c r="J429" s="5" t="n">
        <v>109.67</v>
      </c>
      <c r="K429" s="5" t="n"/>
      <c r="L429" s="5" t="n"/>
      <c r="M429" s="5" t="n"/>
      <c r="N429" s="5" t="n"/>
      <c r="O429" s="5" t="n">
        <v>658</v>
      </c>
      <c r="P429" s="5" t="n"/>
      <c r="Q429" s="5" t="n">
        <v>658</v>
      </c>
      <c r="R429" s="5" t="n"/>
      <c r="S429" s="5">
        <f>F429*20%</f>
        <v/>
      </c>
      <c r="T429" s="5">
        <f>J429-S429</f>
        <v/>
      </c>
      <c r="U429" s="5">
        <f>F429+J429</f>
        <v/>
      </c>
      <c r="V429" s="5">
        <f>O429-U429</f>
        <v/>
      </c>
      <c r="W429" s="5">
        <f>O429-(P429+R429)</f>
        <v/>
      </c>
      <c r="X429" s="5">
        <f>O429-(P429+Q429+R429)</f>
        <v/>
      </c>
    </row>
    <row r="430">
      <c r="A430" s="2" t="inlineStr">
        <is>
          <t>EJ010823.TXT</t>
        </is>
      </c>
      <c r="B430" s="3" t="inlineStr">
        <is>
          <t>004986</t>
        </is>
      </c>
      <c r="C430" s="3" t="inlineStr">
        <is>
          <t>003990</t>
        </is>
      </c>
      <c r="D430" s="4" t="n">
        <v>45126</v>
      </c>
      <c r="E430" s="2" t="inlineStr">
        <is>
          <t>11:23</t>
        </is>
      </c>
      <c r="F430" s="5" t="n">
        <v>822.5</v>
      </c>
      <c r="G430" s="5" t="n"/>
      <c r="H430" s="5" t="n"/>
      <c r="I430" s="5" t="n"/>
      <c r="J430" s="5" t="n">
        <v>164.5</v>
      </c>
      <c r="K430" s="5" t="n"/>
      <c r="L430" s="5" t="n"/>
      <c r="M430" s="5" t="n"/>
      <c r="N430" s="5" t="n"/>
      <c r="O430" s="5" t="n">
        <v>987</v>
      </c>
      <c r="P430" s="5" t="n"/>
      <c r="Q430" s="5" t="n">
        <v>987</v>
      </c>
      <c r="R430" s="5" t="n"/>
      <c r="S430" s="5">
        <f>F430*20%</f>
        <v/>
      </c>
      <c r="T430" s="5">
        <f>J430-S430</f>
        <v/>
      </c>
      <c r="U430" s="5">
        <f>F430+J430</f>
        <v/>
      </c>
      <c r="V430" s="5">
        <f>O430-U430</f>
        <v/>
      </c>
      <c r="W430" s="5">
        <f>O430-(P430+R430)</f>
        <v/>
      </c>
      <c r="X430" s="5">
        <f>O430-(P430+Q430+R430)</f>
        <v/>
      </c>
    </row>
    <row r="431">
      <c r="A431" s="2" t="inlineStr">
        <is>
          <t>EJ010823.TXT</t>
        </is>
      </c>
      <c r="B431" s="3" t="inlineStr">
        <is>
          <t>004987</t>
        </is>
      </c>
      <c r="C431" s="3" t="inlineStr">
        <is>
          <t>003991</t>
        </is>
      </c>
      <c r="D431" s="4" t="n">
        <v>45126</v>
      </c>
      <c r="E431" s="2" t="inlineStr">
        <is>
          <t>11:23</t>
        </is>
      </c>
      <c r="F431" s="5" t="n">
        <v>822.5</v>
      </c>
      <c r="G431" s="5" t="n"/>
      <c r="H431" s="5" t="n"/>
      <c r="I431" s="5" t="n"/>
      <c r="J431" s="5" t="n">
        <v>164.5</v>
      </c>
      <c r="K431" s="5" t="n"/>
      <c r="L431" s="5" t="n"/>
      <c r="M431" s="5" t="n"/>
      <c r="N431" s="5" t="n"/>
      <c r="O431" s="5" t="n">
        <v>987</v>
      </c>
      <c r="P431" s="5" t="n"/>
      <c r="Q431" s="5" t="n">
        <v>987</v>
      </c>
      <c r="R431" s="5" t="n"/>
      <c r="S431" s="5">
        <f>F431*20%</f>
        <v/>
      </c>
      <c r="T431" s="5">
        <f>J431-S431</f>
        <v/>
      </c>
      <c r="U431" s="5">
        <f>F431+J431</f>
        <v/>
      </c>
      <c r="V431" s="5">
        <f>O431-U431</f>
        <v/>
      </c>
      <c r="W431" s="5">
        <f>O431-(P431+R431)</f>
        <v/>
      </c>
      <c r="X431" s="5">
        <f>O431-(P431+Q431+R431)</f>
        <v/>
      </c>
    </row>
    <row r="432">
      <c r="A432" s="2" t="inlineStr">
        <is>
          <t>EJ010823.TXT</t>
        </is>
      </c>
      <c r="B432" s="3" t="inlineStr">
        <is>
          <t>004988</t>
        </is>
      </c>
      <c r="C432" s="3" t="inlineStr">
        <is>
          <t>003992</t>
        </is>
      </c>
      <c r="D432" s="4" t="n">
        <v>45126</v>
      </c>
      <c r="E432" s="2" t="inlineStr">
        <is>
          <t>13:53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  <c r="S432" s="5">
        <f>F432*20%</f>
        <v/>
      </c>
      <c r="T432" s="5">
        <f>J432-S432</f>
        <v/>
      </c>
      <c r="U432" s="5">
        <f>F432+J432</f>
        <v/>
      </c>
      <c r="V432" s="5">
        <f>O432-U432</f>
        <v/>
      </c>
      <c r="W432" s="5">
        <f>O432-(P432+R432)</f>
        <v/>
      </c>
      <c r="X432" s="5">
        <f>O432-(P432+Q432+R432)</f>
        <v/>
      </c>
    </row>
    <row r="433">
      <c r="A433" s="2" t="inlineStr">
        <is>
          <t>EJ010823.TXT</t>
        </is>
      </c>
      <c r="B433" s="3" t="inlineStr">
        <is>
          <t>004989</t>
        </is>
      </c>
      <c r="C433" s="3" t="inlineStr">
        <is>
          <t>003993</t>
        </is>
      </c>
      <c r="D433" s="4" t="n">
        <v>45128</v>
      </c>
      <c r="E433" s="2" t="inlineStr">
        <is>
          <t>15:09</t>
        </is>
      </c>
      <c r="F433" s="5" t="n">
        <v>825</v>
      </c>
      <c r="G433" s="5" t="n"/>
      <c r="H433" s="5" t="n"/>
      <c r="I433" s="5" t="n"/>
      <c r="J433" s="5" t="n">
        <v>165</v>
      </c>
      <c r="K433" s="5" t="n"/>
      <c r="L433" s="5" t="n"/>
      <c r="M433" s="5" t="n"/>
      <c r="N433" s="5" t="n"/>
      <c r="O433" s="5" t="n">
        <v>990</v>
      </c>
      <c r="P433" s="5" t="n"/>
      <c r="Q433" s="5" t="n">
        <v>990</v>
      </c>
      <c r="R433" s="5" t="n"/>
      <c r="S433" s="5">
        <f>F433*20%</f>
        <v/>
      </c>
      <c r="T433" s="5">
        <f>J433-S433</f>
        <v/>
      </c>
      <c r="U433" s="5">
        <f>F433+J433</f>
        <v/>
      </c>
      <c r="V433" s="5">
        <f>O433-U433</f>
        <v/>
      </c>
      <c r="W433" s="5">
        <f>O433-(P433+R433)</f>
        <v/>
      </c>
      <c r="X433" s="5">
        <f>O433-(P433+Q433+R433)</f>
        <v/>
      </c>
    </row>
    <row r="434">
      <c r="A434" s="2" t="inlineStr">
        <is>
          <t>EJ010823.TXT</t>
        </is>
      </c>
      <c r="B434" s="3" t="inlineStr">
        <is>
          <t>004990</t>
        </is>
      </c>
      <c r="C434" s="3" t="inlineStr">
        <is>
          <t>003994</t>
        </is>
      </c>
      <c r="D434" s="4" t="n">
        <v>45128</v>
      </c>
      <c r="E434" s="2" t="inlineStr">
        <is>
          <t>15:15</t>
        </is>
      </c>
      <c r="F434" s="5" t="n">
        <v>548.33</v>
      </c>
      <c r="G434" s="5" t="n"/>
      <c r="H434" s="5" t="n"/>
      <c r="I434" s="5" t="n"/>
      <c r="J434" s="5" t="n">
        <v>109.67</v>
      </c>
      <c r="K434" s="5" t="n"/>
      <c r="L434" s="5" t="n"/>
      <c r="M434" s="5" t="n"/>
      <c r="N434" s="5" t="n"/>
      <c r="O434" s="5" t="n">
        <v>658</v>
      </c>
      <c r="P434" s="5" t="n"/>
      <c r="Q434" s="5" t="n">
        <v>658</v>
      </c>
      <c r="R434" s="5" t="n"/>
      <c r="S434" s="5">
        <f>F434*20%</f>
        <v/>
      </c>
      <c r="T434" s="5">
        <f>J434-S434</f>
        <v/>
      </c>
      <c r="U434" s="5">
        <f>F434+J434</f>
        <v/>
      </c>
      <c r="V434" s="5">
        <f>O434-U434</f>
        <v/>
      </c>
      <c r="W434" s="5">
        <f>O434-(P434+R434)</f>
        <v/>
      </c>
      <c r="X434" s="5">
        <f>O434-(P434+Q434+R434)</f>
        <v/>
      </c>
    </row>
    <row r="435">
      <c r="A435" s="2" t="inlineStr">
        <is>
          <t>EJ010823.TXT</t>
        </is>
      </c>
      <c r="B435" s="3" t="inlineStr">
        <is>
          <t>004991</t>
        </is>
      </c>
      <c r="C435" s="3" t="inlineStr">
        <is>
          <t>003995</t>
        </is>
      </c>
      <c r="D435" s="4" t="n">
        <v>45131</v>
      </c>
      <c r="E435" s="2" t="inlineStr">
        <is>
          <t>09:30</t>
        </is>
      </c>
      <c r="F435" s="5" t="n">
        <v>548.33</v>
      </c>
      <c r="G435" s="5" t="n"/>
      <c r="H435" s="5" t="n"/>
      <c r="I435" s="5" t="n"/>
      <c r="J435" s="5" t="n">
        <v>109.67</v>
      </c>
      <c r="K435" s="5" t="n"/>
      <c r="L435" s="5" t="n"/>
      <c r="M435" s="5" t="n"/>
      <c r="N435" s="5" t="n"/>
      <c r="O435" s="5" t="n">
        <v>658</v>
      </c>
      <c r="P435" s="5" t="n"/>
      <c r="Q435" s="5" t="n">
        <v>658</v>
      </c>
      <c r="R435" s="5" t="n"/>
      <c r="S435" s="5">
        <f>F435*20%</f>
        <v/>
      </c>
      <c r="T435" s="5">
        <f>J435-S435</f>
        <v/>
      </c>
      <c r="U435" s="5">
        <f>F435+J435</f>
        <v/>
      </c>
      <c r="V435" s="5">
        <f>O435-U435</f>
        <v/>
      </c>
      <c r="W435" s="5">
        <f>O435-(P435+R435)</f>
        <v/>
      </c>
      <c r="X435" s="5">
        <f>O435-(P435+Q435+R435)</f>
        <v/>
      </c>
    </row>
    <row r="436">
      <c r="A436" s="2" t="inlineStr">
        <is>
          <t>EJ010823.TXT</t>
        </is>
      </c>
      <c r="B436" s="3" t="inlineStr">
        <is>
          <t>004992</t>
        </is>
      </c>
      <c r="C436" s="3" t="inlineStr">
        <is>
          <t>003996</t>
        </is>
      </c>
      <c r="D436" s="4" t="n">
        <v>45131</v>
      </c>
      <c r="E436" s="2" t="inlineStr">
        <is>
          <t>17:10</t>
        </is>
      </c>
      <c r="F436" s="5" t="n">
        <v>2261.67</v>
      </c>
      <c r="G436" s="5" t="n"/>
      <c r="H436" s="5" t="n"/>
      <c r="I436" s="5" t="n"/>
      <c r="J436" s="5" t="n">
        <v>452.33</v>
      </c>
      <c r="K436" s="5" t="n"/>
      <c r="L436" s="5" t="n"/>
      <c r="M436" s="5" t="n"/>
      <c r="N436" s="5" t="n"/>
      <c r="O436" s="5" t="n">
        <v>2714</v>
      </c>
      <c r="P436" s="5" t="n">
        <v>2714</v>
      </c>
      <c r="Q436" s="5" t="n"/>
      <c r="R436" s="5" t="n"/>
      <c r="S436" s="5">
        <f>F436*20%</f>
        <v/>
      </c>
      <c r="T436" s="5">
        <f>J436-S436</f>
        <v/>
      </c>
      <c r="U436" s="5">
        <f>F436+J436</f>
        <v/>
      </c>
      <c r="V436" s="5">
        <f>O436-U436</f>
        <v/>
      </c>
      <c r="W436" s="5">
        <f>O436-(P436+R436)</f>
        <v/>
      </c>
      <c r="X436" s="5">
        <f>O436-(P436+Q436+R436)</f>
        <v/>
      </c>
    </row>
    <row r="437">
      <c r="A437" s="2" t="inlineStr">
        <is>
          <t>EJ010823.TXT</t>
        </is>
      </c>
      <c r="B437" s="3" t="inlineStr">
        <is>
          <t>004993</t>
        </is>
      </c>
      <c r="C437" s="3" t="inlineStr">
        <is>
          <t>003997</t>
        </is>
      </c>
      <c r="D437" s="4" t="n">
        <v>45132</v>
      </c>
      <c r="E437" s="2" t="inlineStr">
        <is>
          <t>11:14</t>
        </is>
      </c>
      <c r="F437" s="5" t="n">
        <v>208.33</v>
      </c>
      <c r="G437" s="5" t="n"/>
      <c r="H437" s="5" t="n"/>
      <c r="I437" s="5" t="n"/>
      <c r="J437" s="5" t="n">
        <v>41.67</v>
      </c>
      <c r="K437" s="5" t="n"/>
      <c r="L437" s="5" t="n"/>
      <c r="M437" s="5" t="n"/>
      <c r="N437" s="5" t="n"/>
      <c r="O437" s="5" t="n">
        <v>250</v>
      </c>
      <c r="P437" s="5" t="n"/>
      <c r="Q437" s="5" t="n">
        <v>250</v>
      </c>
      <c r="R437" s="5" t="n"/>
      <c r="S437" s="5">
        <f>F437*20%</f>
        <v/>
      </c>
      <c r="T437" s="5">
        <f>J437-S437</f>
        <v/>
      </c>
      <c r="U437" s="5">
        <f>F437+J437</f>
        <v/>
      </c>
      <c r="V437" s="5">
        <f>O437-U437</f>
        <v/>
      </c>
      <c r="W437" s="5">
        <f>O437-(P437+R437)</f>
        <v/>
      </c>
      <c r="X437" s="5">
        <f>O437-(P437+Q437+R437)</f>
        <v/>
      </c>
    </row>
    <row r="438">
      <c r="A438" s="2" t="inlineStr">
        <is>
          <t>EJ010823.TXT</t>
        </is>
      </c>
      <c r="B438" s="3" t="inlineStr">
        <is>
          <t>004994</t>
        </is>
      </c>
      <c r="C438" s="3" t="inlineStr">
        <is>
          <t>003998</t>
        </is>
      </c>
      <c r="D438" s="4" t="n">
        <v>45132</v>
      </c>
      <c r="E438" s="2" t="inlineStr">
        <is>
          <t>15:16</t>
        </is>
      </c>
      <c r="F438" s="5" t="n">
        <v>208.33</v>
      </c>
      <c r="G438" s="5" t="n"/>
      <c r="H438" s="5" t="n"/>
      <c r="I438" s="5" t="n"/>
      <c r="J438" s="5" t="n">
        <v>41.67</v>
      </c>
      <c r="K438" s="5" t="n"/>
      <c r="L438" s="5" t="n"/>
      <c r="M438" s="5" t="n"/>
      <c r="N438" s="5" t="n"/>
      <c r="O438" s="5" t="n">
        <v>250</v>
      </c>
      <c r="P438" s="5" t="n"/>
      <c r="Q438" s="5" t="n">
        <v>250</v>
      </c>
      <c r="R438" s="5" t="n"/>
      <c r="S438" s="5">
        <f>F438*20%</f>
        <v/>
      </c>
      <c r="T438" s="5">
        <f>J438-S438</f>
        <v/>
      </c>
      <c r="U438" s="5">
        <f>F438+J438</f>
        <v/>
      </c>
      <c r="V438" s="5">
        <f>O438-U438</f>
        <v/>
      </c>
      <c r="W438" s="5">
        <f>O438-(P438+R438)</f>
        <v/>
      </c>
      <c r="X438" s="5">
        <f>O438-(P438+Q438+R438)</f>
        <v/>
      </c>
    </row>
    <row r="439">
      <c r="A439" s="2" t="inlineStr">
        <is>
          <t>EJ010823.TXT</t>
        </is>
      </c>
      <c r="B439" s="3" t="inlineStr">
        <is>
          <t>004995</t>
        </is>
      </c>
      <c r="C439" s="3" t="inlineStr">
        <is>
          <t>003999</t>
        </is>
      </c>
      <c r="D439" s="4" t="n">
        <v>45134</v>
      </c>
      <c r="E439" s="2" t="inlineStr">
        <is>
          <t>14:18</t>
        </is>
      </c>
      <c r="F439" s="5" t="n">
        <v>822.5</v>
      </c>
      <c r="G439" s="5" t="n"/>
      <c r="H439" s="5" t="n"/>
      <c r="I439" s="5" t="n"/>
      <c r="J439" s="5" t="n">
        <v>164.5</v>
      </c>
      <c r="K439" s="5" t="n"/>
      <c r="L439" s="5" t="n"/>
      <c r="M439" s="5" t="n"/>
      <c r="N439" s="5" t="n"/>
      <c r="O439" s="5" t="n">
        <v>987</v>
      </c>
      <c r="P439" s="5" t="n"/>
      <c r="Q439" s="5" t="n">
        <v>987</v>
      </c>
      <c r="R439" s="5" t="n"/>
      <c r="S439" s="5">
        <f>F439*20%</f>
        <v/>
      </c>
      <c r="T439" s="5">
        <f>J439-S439</f>
        <v/>
      </c>
      <c r="U439" s="5">
        <f>F439+J439</f>
        <v/>
      </c>
      <c r="V439" s="5">
        <f>O439-U439</f>
        <v/>
      </c>
      <c r="W439" s="5">
        <f>O439-(P439+R439)</f>
        <v/>
      </c>
      <c r="X439" s="5">
        <f>O439-(P439+Q439+R439)</f>
        <v/>
      </c>
    </row>
    <row r="440">
      <c r="A440" s="2" t="inlineStr">
        <is>
          <t>EJ010823.TXT</t>
        </is>
      </c>
      <c r="B440" s="3" t="inlineStr">
        <is>
          <t>004996</t>
        </is>
      </c>
      <c r="C440" s="3" t="inlineStr">
        <is>
          <t>004000</t>
        </is>
      </c>
      <c r="D440" s="4" t="n">
        <v>45134</v>
      </c>
      <c r="E440" s="2" t="inlineStr">
        <is>
          <t>14:20</t>
        </is>
      </c>
      <c r="F440" s="5" t="n">
        <v>797.5</v>
      </c>
      <c r="G440" s="5" t="n"/>
      <c r="H440" s="5" t="n"/>
      <c r="I440" s="5" t="n"/>
      <c r="J440" s="5" t="n">
        <v>159.5</v>
      </c>
      <c r="K440" s="5" t="n"/>
      <c r="L440" s="5" t="n"/>
      <c r="M440" s="5" t="n"/>
      <c r="N440" s="5" t="n"/>
      <c r="O440" s="5" t="n">
        <v>957</v>
      </c>
      <c r="P440" s="5" t="n"/>
      <c r="Q440" s="5" t="n">
        <v>957</v>
      </c>
      <c r="R440" s="5" t="n"/>
      <c r="S440" s="5">
        <f>F440*20%</f>
        <v/>
      </c>
      <c r="T440" s="5">
        <f>J440-S440</f>
        <v/>
      </c>
      <c r="U440" s="5">
        <f>F440+J440</f>
        <v/>
      </c>
      <c r="V440" s="5">
        <f>O440-U440</f>
        <v/>
      </c>
      <c r="W440" s="5">
        <f>O440-(P440+R440)</f>
        <v/>
      </c>
      <c r="X440" s="5">
        <f>O440-(P440+Q440+R440)</f>
        <v/>
      </c>
    </row>
    <row r="441">
      <c r="A441" s="2" t="inlineStr">
        <is>
          <t>EJ010823.TXT</t>
        </is>
      </c>
      <c r="B441" s="3" t="inlineStr">
        <is>
          <t>004997</t>
        </is>
      </c>
      <c r="C441" s="3" t="inlineStr">
        <is>
          <t>004001</t>
        </is>
      </c>
      <c r="D441" s="4" t="n">
        <v>45134</v>
      </c>
      <c r="E441" s="2" t="inlineStr">
        <is>
          <t>14:21</t>
        </is>
      </c>
      <c r="F441" s="5" t="n">
        <v>797.5</v>
      </c>
      <c r="G441" s="5" t="n"/>
      <c r="H441" s="5" t="n"/>
      <c r="I441" s="5" t="n"/>
      <c r="J441" s="5" t="n">
        <v>159.5</v>
      </c>
      <c r="K441" s="5" t="n"/>
      <c r="L441" s="5" t="n"/>
      <c r="M441" s="5" t="n"/>
      <c r="N441" s="5" t="n"/>
      <c r="O441" s="5" t="n">
        <v>957</v>
      </c>
      <c r="P441" s="5" t="n"/>
      <c r="Q441" s="5" t="n">
        <v>957</v>
      </c>
      <c r="R441" s="5" t="n"/>
      <c r="S441" s="5">
        <f>F441*20%</f>
        <v/>
      </c>
      <c r="T441" s="5">
        <f>J441-S441</f>
        <v/>
      </c>
      <c r="U441" s="5">
        <f>F441+J441</f>
        <v/>
      </c>
      <c r="V441" s="5">
        <f>O441-U441</f>
        <v/>
      </c>
      <c r="W441" s="5">
        <f>O441-(P441+R441)</f>
        <v/>
      </c>
      <c r="X441" s="5">
        <f>O441-(P441+Q441+R441)</f>
        <v/>
      </c>
    </row>
    <row r="442">
      <c r="A442" s="2" t="inlineStr">
        <is>
          <t>EJ010823.TXT</t>
        </is>
      </c>
      <c r="B442" s="3" t="inlineStr">
        <is>
          <t>004998</t>
        </is>
      </c>
      <c r="C442" s="3" t="inlineStr">
        <is>
          <t>004002</t>
        </is>
      </c>
      <c r="D442" s="4" t="n">
        <v>45134</v>
      </c>
      <c r="E442" s="2" t="inlineStr">
        <is>
          <t>15:42</t>
        </is>
      </c>
      <c r="F442" s="5" t="n">
        <v>1096.67</v>
      </c>
      <c r="G442" s="5" t="n"/>
      <c r="H442" s="5" t="n"/>
      <c r="I442" s="5" t="n"/>
      <c r="J442" s="5" t="n">
        <v>219.33</v>
      </c>
      <c r="K442" s="5" t="n"/>
      <c r="L442" s="5" t="n"/>
      <c r="M442" s="5" t="n"/>
      <c r="N442" s="5" t="n"/>
      <c r="O442" s="5" t="n">
        <v>1316</v>
      </c>
      <c r="P442" s="5" t="n">
        <v>1316</v>
      </c>
      <c r="Q442" s="5" t="n"/>
      <c r="R442" s="5" t="n"/>
      <c r="S442" s="5">
        <f>F442*20%</f>
        <v/>
      </c>
      <c r="T442" s="5">
        <f>J442-S442</f>
        <v/>
      </c>
      <c r="U442" s="5">
        <f>F442+J442</f>
        <v/>
      </c>
      <c r="V442" s="5">
        <f>O442-U442</f>
        <v/>
      </c>
      <c r="W442" s="5">
        <f>O442-(P442+R442)</f>
        <v/>
      </c>
      <c r="X442" s="5">
        <f>O442-(P442+Q442+R442)</f>
        <v/>
      </c>
    </row>
    <row r="443">
      <c r="A443" s="2" t="inlineStr">
        <is>
          <t>EJ010823.TXT</t>
        </is>
      </c>
      <c r="B443" s="3" t="inlineStr">
        <is>
          <t>004999</t>
        </is>
      </c>
      <c r="C443" s="3" t="inlineStr">
        <is>
          <t>004003</t>
        </is>
      </c>
      <c r="D443" s="4" t="n">
        <v>45136</v>
      </c>
      <c r="E443" s="2" t="inlineStr">
        <is>
          <t>11:01</t>
        </is>
      </c>
      <c r="F443" s="5" t="n">
        <v>649.17</v>
      </c>
      <c r="G443" s="5" t="n"/>
      <c r="H443" s="5" t="n"/>
      <c r="I443" s="5" t="n"/>
      <c r="J443" s="5" t="n">
        <v>129.83</v>
      </c>
      <c r="K443" s="5" t="n"/>
      <c r="L443" s="5" t="n"/>
      <c r="M443" s="5" t="n"/>
      <c r="N443" s="5" t="n"/>
      <c r="O443" s="5" t="n">
        <v>779</v>
      </c>
      <c r="P443" s="5" t="n"/>
      <c r="Q443" s="5" t="n">
        <v>779</v>
      </c>
      <c r="R443" s="5" t="n"/>
      <c r="S443" s="5">
        <f>F443*20%</f>
        <v/>
      </c>
      <c r="T443" s="5">
        <f>J443-S443</f>
        <v/>
      </c>
      <c r="U443" s="5">
        <f>F443+J443</f>
        <v/>
      </c>
      <c r="V443" s="5">
        <f>O443-U443</f>
        <v/>
      </c>
      <c r="W443" s="5">
        <f>O443-(P443+R443)</f>
        <v/>
      </c>
      <c r="X443" s="5">
        <f>O443-(P443+Q443+R443)</f>
        <v/>
      </c>
    </row>
    <row r="444">
      <c r="A444" s="2" t="inlineStr">
        <is>
          <t>EJ010823.TXT</t>
        </is>
      </c>
      <c r="B444" s="3" t="inlineStr">
        <is>
          <t>005000</t>
        </is>
      </c>
      <c r="C444" s="3" t="inlineStr">
        <is>
          <t>004004</t>
        </is>
      </c>
      <c r="D444" s="4" t="n">
        <v>45136</v>
      </c>
      <c r="E444" s="2" t="inlineStr">
        <is>
          <t>11:04</t>
        </is>
      </c>
      <c r="F444" s="5" t="n">
        <v>797.5</v>
      </c>
      <c r="G444" s="5" t="n"/>
      <c r="H444" s="5" t="n"/>
      <c r="I444" s="5" t="n"/>
      <c r="J444" s="5" t="n">
        <v>159.5</v>
      </c>
      <c r="K444" s="5" t="n"/>
      <c r="L444" s="5" t="n"/>
      <c r="M444" s="5" t="n"/>
      <c r="N444" s="5" t="n"/>
      <c r="O444" s="5" t="n">
        <v>957</v>
      </c>
      <c r="P444" s="5" t="n"/>
      <c r="Q444" s="5" t="n">
        <v>957</v>
      </c>
      <c r="R444" s="5" t="n"/>
      <c r="S444" s="5">
        <f>F444*20%</f>
        <v/>
      </c>
      <c r="T444" s="5">
        <f>J444-S444</f>
        <v/>
      </c>
      <c r="U444" s="5">
        <f>F444+J444</f>
        <v/>
      </c>
      <c r="V444" s="5">
        <f>O444-U444</f>
        <v/>
      </c>
      <c r="W444" s="5">
        <f>O444-(P444+R444)</f>
        <v/>
      </c>
      <c r="X444" s="5">
        <f>O444-(P444+Q444+R444)</f>
        <v/>
      </c>
    </row>
    <row r="445">
      <c r="A445" s="2" t="inlineStr">
        <is>
          <t>EJ010823.TXT</t>
        </is>
      </c>
      <c r="B445" s="3" t="inlineStr">
        <is>
          <t>005001</t>
        </is>
      </c>
      <c r="C445" s="3" t="inlineStr">
        <is>
          <t>004005</t>
        </is>
      </c>
      <c r="D445" s="4" t="n">
        <v>45136</v>
      </c>
      <c r="E445" s="2" t="inlineStr">
        <is>
          <t>11:05</t>
        </is>
      </c>
      <c r="F445" s="5" t="n">
        <v>797.5</v>
      </c>
      <c r="G445" s="5" t="n"/>
      <c r="H445" s="5" t="n"/>
      <c r="I445" s="5" t="n"/>
      <c r="J445" s="5" t="n">
        <v>159.5</v>
      </c>
      <c r="K445" s="5" t="n"/>
      <c r="L445" s="5" t="n"/>
      <c r="M445" s="5" t="n"/>
      <c r="N445" s="5" t="n"/>
      <c r="O445" s="5" t="n">
        <v>957</v>
      </c>
      <c r="P445" s="5" t="n"/>
      <c r="Q445" s="5" t="n">
        <v>957</v>
      </c>
      <c r="R445" s="5" t="n"/>
      <c r="S445" s="5">
        <f>F445*20%</f>
        <v/>
      </c>
      <c r="T445" s="5">
        <f>J445-S445</f>
        <v/>
      </c>
      <c r="U445" s="5">
        <f>F445+J445</f>
        <v/>
      </c>
      <c r="V445" s="5">
        <f>O445-U445</f>
        <v/>
      </c>
      <c r="W445" s="5">
        <f>O445-(P445+R445)</f>
        <v/>
      </c>
      <c r="X445" s="5">
        <f>O445-(P445+Q445+R445)</f>
        <v/>
      </c>
    </row>
    <row r="446">
      <c r="A446" s="2" t="inlineStr">
        <is>
          <t>EJ010823.TXT</t>
        </is>
      </c>
      <c r="B446" s="3" t="inlineStr">
        <is>
          <t>005002</t>
        </is>
      </c>
      <c r="C446" s="3" t="inlineStr">
        <is>
          <t>004006</t>
        </is>
      </c>
      <c r="D446" s="4" t="n">
        <v>45136</v>
      </c>
      <c r="E446" s="2" t="inlineStr">
        <is>
          <t>11:23</t>
        </is>
      </c>
      <c r="F446" s="5" t="n">
        <v>1096.67</v>
      </c>
      <c r="G446" s="5" t="n"/>
      <c r="H446" s="5" t="n"/>
      <c r="I446" s="5" t="n"/>
      <c r="J446" s="5" t="n">
        <v>219.33</v>
      </c>
      <c r="K446" s="5" t="n"/>
      <c r="L446" s="5" t="n"/>
      <c r="M446" s="5" t="n"/>
      <c r="N446" s="5" t="n"/>
      <c r="O446" s="5" t="n">
        <v>1316</v>
      </c>
      <c r="P446" s="5" t="n">
        <v>1316</v>
      </c>
      <c r="Q446" s="5" t="n"/>
      <c r="R446" s="5" t="n"/>
      <c r="S446" s="5">
        <f>F446*20%</f>
        <v/>
      </c>
      <c r="T446" s="5">
        <f>J446-S446</f>
        <v/>
      </c>
      <c r="U446" s="5">
        <f>F446+J446</f>
        <v/>
      </c>
      <c r="V446" s="5">
        <f>O446-U446</f>
        <v/>
      </c>
      <c r="W446" s="5">
        <f>O446-(P446+R446)</f>
        <v/>
      </c>
      <c r="X446" s="5">
        <f>O446-(P446+Q446+R446)</f>
        <v/>
      </c>
    </row>
    <row r="447">
      <c r="A447" s="2" t="inlineStr">
        <is>
          <t>EJ010823.TXT</t>
        </is>
      </c>
      <c r="B447" s="3" t="inlineStr">
        <is>
          <t>005003</t>
        </is>
      </c>
      <c r="C447" s="3" t="inlineStr">
        <is>
          <t>004007</t>
        </is>
      </c>
      <c r="D447" s="4" t="n">
        <v>45136</v>
      </c>
      <c r="E447" s="2" t="inlineStr">
        <is>
          <t>11:24</t>
        </is>
      </c>
      <c r="F447" s="5" t="n">
        <v>1096.67</v>
      </c>
      <c r="G447" s="5" t="n"/>
      <c r="H447" s="5" t="n"/>
      <c r="I447" s="5" t="n"/>
      <c r="J447" s="5" t="n">
        <v>219.33</v>
      </c>
      <c r="K447" s="5" t="n"/>
      <c r="L447" s="5" t="n"/>
      <c r="M447" s="5" t="n"/>
      <c r="N447" s="5" t="n"/>
      <c r="O447" s="5" t="n">
        <v>1316</v>
      </c>
      <c r="P447" s="5" t="n">
        <v>1316</v>
      </c>
      <c r="Q447" s="5" t="n"/>
      <c r="R447" s="5" t="n"/>
      <c r="S447" s="5">
        <f>F447*20%</f>
        <v/>
      </c>
      <c r="T447" s="5">
        <f>J447-S447</f>
        <v/>
      </c>
      <c r="U447" s="5">
        <f>F447+J447</f>
        <v/>
      </c>
      <c r="V447" s="5">
        <f>O447-U447</f>
        <v/>
      </c>
      <c r="W447" s="5">
        <f>O447-(P447+R447)</f>
        <v/>
      </c>
      <c r="X447" s="5">
        <f>O447-(P447+Q447+R447)</f>
        <v/>
      </c>
    </row>
    <row r="448">
      <c r="A448" s="2" t="inlineStr">
        <is>
          <t>EJ010823.TXT</t>
        </is>
      </c>
      <c r="B448" s="3" t="inlineStr">
        <is>
          <t>005004</t>
        </is>
      </c>
      <c r="C448" s="3" t="inlineStr">
        <is>
          <t>004008</t>
        </is>
      </c>
      <c r="D448" s="4" t="n">
        <v>45136</v>
      </c>
      <c r="E448" s="2" t="inlineStr">
        <is>
          <t>16:15</t>
        </is>
      </c>
      <c r="F448" s="5" t="n">
        <v>274.17</v>
      </c>
      <c r="G448" s="5" t="n"/>
      <c r="H448" s="5" t="n"/>
      <c r="I448" s="5" t="n"/>
      <c r="J448" s="5" t="n">
        <v>54.83</v>
      </c>
      <c r="K448" s="5" t="n"/>
      <c r="L448" s="5" t="n"/>
      <c r="M448" s="5" t="n"/>
      <c r="N448" s="5" t="n"/>
      <c r="O448" s="5" t="n">
        <v>329</v>
      </c>
      <c r="P448" s="5" t="n">
        <v>329</v>
      </c>
      <c r="Q448" s="5" t="n"/>
      <c r="R448" s="5" t="n"/>
      <c r="S448" s="5">
        <f>F448*20%</f>
        <v/>
      </c>
      <c r="T448" s="5">
        <f>J448-S448</f>
        <v/>
      </c>
      <c r="U448" s="5">
        <f>F448+J448</f>
        <v/>
      </c>
      <c r="V448" s="5">
        <f>O448-U448</f>
        <v/>
      </c>
      <c r="W448" s="5">
        <f>O448-(P448+R448)</f>
        <v/>
      </c>
      <c r="X448" s="5">
        <f>O448-(P448+Q448+R448)</f>
        <v/>
      </c>
    </row>
    <row r="449">
      <c r="A449" s="2" t="inlineStr">
        <is>
          <t>EJ010823.TXT</t>
        </is>
      </c>
      <c r="B449" s="3" t="inlineStr">
        <is>
          <t>005005</t>
        </is>
      </c>
      <c r="C449" s="3" t="inlineStr">
        <is>
          <t>004009</t>
        </is>
      </c>
      <c r="D449" s="4" t="n">
        <v>45136</v>
      </c>
      <c r="E449" s="2" t="inlineStr">
        <is>
          <t>17:17</t>
        </is>
      </c>
      <c r="F449" s="5" t="n">
        <v>274.17</v>
      </c>
      <c r="G449" s="5" t="n"/>
      <c r="H449" s="5" t="n"/>
      <c r="I449" s="5" t="n"/>
      <c r="J449" s="5" t="n">
        <v>54.83</v>
      </c>
      <c r="K449" s="5" t="n"/>
      <c r="L449" s="5" t="n"/>
      <c r="M449" s="5" t="n"/>
      <c r="N449" s="5" t="n"/>
      <c r="O449" s="5" t="n">
        <v>329</v>
      </c>
      <c r="P449" s="5" t="n"/>
      <c r="Q449" s="5" t="n">
        <v>329</v>
      </c>
      <c r="R449" s="5" t="n"/>
      <c r="S449" s="5">
        <f>F449*20%</f>
        <v/>
      </c>
      <c r="T449" s="5">
        <f>J449-S449</f>
        <v/>
      </c>
      <c r="U449" s="5">
        <f>F449+J449</f>
        <v/>
      </c>
      <c r="V449" s="5">
        <f>O449-U449</f>
        <v/>
      </c>
      <c r="W449" s="5">
        <f>O449-(P449+R449)</f>
        <v/>
      </c>
      <c r="X449" s="5">
        <f>O449-(P449+Q449+R449)</f>
        <v/>
      </c>
    </row>
    <row r="450">
      <c r="A450" s="2" t="inlineStr">
        <is>
          <t>EJ010823.TXT</t>
        </is>
      </c>
      <c r="B450" s="3" t="inlineStr">
        <is>
          <t>005006</t>
        </is>
      </c>
      <c r="C450" s="3" t="inlineStr">
        <is>
          <t>004010</t>
        </is>
      </c>
      <c r="D450" s="4" t="n">
        <v>45138</v>
      </c>
      <c r="E450" s="2" t="inlineStr">
        <is>
          <t>15:27</t>
        </is>
      </c>
      <c r="F450" s="5" t="n">
        <v>381.67</v>
      </c>
      <c r="G450" s="5" t="n"/>
      <c r="H450" s="5" t="n"/>
      <c r="I450" s="5" t="n"/>
      <c r="J450" s="5" t="n">
        <v>76.33</v>
      </c>
      <c r="K450" s="5" t="n"/>
      <c r="L450" s="5" t="n"/>
      <c r="M450" s="5" t="n"/>
      <c r="N450" s="5" t="n"/>
      <c r="O450" s="5" t="n">
        <v>458</v>
      </c>
      <c r="P450" s="5" t="n"/>
      <c r="Q450" s="5" t="n">
        <v>458</v>
      </c>
      <c r="R450" s="5" t="n"/>
      <c r="S450" s="5">
        <f>F450*20%</f>
        <v/>
      </c>
      <c r="T450" s="5">
        <f>J450-S450</f>
        <v/>
      </c>
      <c r="U450" s="5">
        <f>F450+J450</f>
        <v/>
      </c>
      <c r="V450" s="5">
        <f>O450-U450</f>
        <v/>
      </c>
      <c r="W450" s="5">
        <f>O450-(P450+R450)</f>
        <v/>
      </c>
      <c r="X450" s="5">
        <f>O450-(P450+Q450+R450)</f>
        <v/>
      </c>
    </row>
    <row r="451">
      <c r="A451" s="2" t="inlineStr">
        <is>
          <t>EJ010823.TXT</t>
        </is>
      </c>
      <c r="B451" s="3" t="inlineStr">
        <is>
          <t>005007</t>
        </is>
      </c>
      <c r="C451" s="3" t="inlineStr">
        <is>
          <t>004011</t>
        </is>
      </c>
      <c r="D451" s="4" t="n">
        <v>45138</v>
      </c>
      <c r="E451" s="2" t="inlineStr">
        <is>
          <t>15:28</t>
        </is>
      </c>
      <c r="F451" s="5" t="n">
        <v>381.67</v>
      </c>
      <c r="G451" s="5" t="n"/>
      <c r="H451" s="5" t="n"/>
      <c r="I451" s="5" t="n"/>
      <c r="J451" s="5" t="n">
        <v>76.33</v>
      </c>
      <c r="K451" s="5" t="n"/>
      <c r="L451" s="5" t="n"/>
      <c r="M451" s="5" t="n"/>
      <c r="N451" s="5" t="n"/>
      <c r="O451" s="5" t="n">
        <v>458</v>
      </c>
      <c r="P451" s="5" t="n"/>
      <c r="Q451" s="5" t="n">
        <v>458</v>
      </c>
      <c r="R451" s="5" t="n"/>
      <c r="S451" s="5">
        <f>F451*20%</f>
        <v/>
      </c>
      <c r="T451" s="5">
        <f>J451-S451</f>
        <v/>
      </c>
      <c r="U451" s="5">
        <f>F451+J451</f>
        <v/>
      </c>
      <c r="V451" s="5">
        <f>O451-U451</f>
        <v/>
      </c>
      <c r="W451" s="5">
        <f>O451-(P451+R451)</f>
        <v/>
      </c>
      <c r="X451" s="5">
        <f>O451-(P451+Q451+R451)</f>
        <v/>
      </c>
    </row>
    <row r="452">
      <c r="A452" s="2" t="inlineStr">
        <is>
          <t>EJ010923.TXT</t>
        </is>
      </c>
      <c r="B452" s="3" t="inlineStr">
        <is>
          <t>005015</t>
        </is>
      </c>
      <c r="C452" s="3" t="inlineStr">
        <is>
          <t>004012</t>
        </is>
      </c>
      <c r="D452" s="4" t="n">
        <v>45140</v>
      </c>
      <c r="E452" s="2" t="inlineStr">
        <is>
          <t>13:41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/>
      <c r="Q452" s="5" t="n">
        <v>658</v>
      </c>
      <c r="R452" s="5" t="n"/>
      <c r="S452" s="5">
        <f>F452*20%</f>
        <v/>
      </c>
      <c r="T452" s="5">
        <f>J452-S452</f>
        <v/>
      </c>
      <c r="U452" s="5">
        <f>F452+J452</f>
        <v/>
      </c>
      <c r="V452" s="5">
        <f>O452-U452</f>
        <v/>
      </c>
      <c r="W452" s="5">
        <f>O452-(P452+R452)</f>
        <v/>
      </c>
      <c r="X452" s="5">
        <f>O452-(P452+Q452+R452)</f>
        <v/>
      </c>
    </row>
    <row r="453">
      <c r="A453" s="2" t="inlineStr">
        <is>
          <t>EJ010923.TXT</t>
        </is>
      </c>
      <c r="B453" s="3" t="inlineStr">
        <is>
          <t>005016</t>
        </is>
      </c>
      <c r="C453" s="3" t="inlineStr">
        <is>
          <t>004013</t>
        </is>
      </c>
      <c r="D453" s="4" t="n">
        <v>45142</v>
      </c>
      <c r="E453" s="2" t="inlineStr">
        <is>
          <t>16:38</t>
        </is>
      </c>
      <c r="F453" s="5" t="n">
        <v>740</v>
      </c>
      <c r="G453" s="5" t="n"/>
      <c r="H453" s="5" t="n"/>
      <c r="I453" s="5" t="n"/>
      <c r="J453" s="5" t="n">
        <v>148</v>
      </c>
      <c r="K453" s="5" t="n"/>
      <c r="L453" s="5" t="n"/>
      <c r="M453" s="5" t="n"/>
      <c r="N453" s="5" t="n"/>
      <c r="O453" s="5" t="n">
        <v>888</v>
      </c>
      <c r="P453" s="5" t="n"/>
      <c r="Q453" s="5" t="n">
        <v>888</v>
      </c>
      <c r="R453" s="5" t="n"/>
      <c r="S453" s="5">
        <f>F453*20%</f>
        <v/>
      </c>
      <c r="T453" s="5">
        <f>J453-S453</f>
        <v/>
      </c>
      <c r="U453" s="5">
        <f>F453+J453</f>
        <v/>
      </c>
      <c r="V453" s="5">
        <f>O453-U453</f>
        <v/>
      </c>
      <c r="W453" s="5">
        <f>O453-(P453+R453)</f>
        <v/>
      </c>
      <c r="X453" s="5">
        <f>O453-(P453+Q453+R453)</f>
        <v/>
      </c>
    </row>
    <row r="454">
      <c r="A454" s="2" t="inlineStr">
        <is>
          <t>EJ010923.TXT</t>
        </is>
      </c>
      <c r="B454" s="3" t="inlineStr">
        <is>
          <t>005017</t>
        </is>
      </c>
      <c r="C454" s="3" t="inlineStr">
        <is>
          <t>004014</t>
        </is>
      </c>
      <c r="D454" s="4" t="n">
        <v>45142</v>
      </c>
      <c r="E454" s="2" t="inlineStr">
        <is>
          <t>16:38</t>
        </is>
      </c>
      <c r="F454" s="5" t="n">
        <v>816.67</v>
      </c>
      <c r="G454" s="5" t="n"/>
      <c r="H454" s="5" t="n"/>
      <c r="I454" s="5" t="n"/>
      <c r="J454" s="5" t="n">
        <v>163.33</v>
      </c>
      <c r="K454" s="5" t="n"/>
      <c r="L454" s="5" t="n"/>
      <c r="M454" s="5" t="n"/>
      <c r="N454" s="5" t="n"/>
      <c r="O454" s="5" t="n">
        <v>980</v>
      </c>
      <c r="P454" s="5" t="n"/>
      <c r="Q454" s="5" t="n">
        <v>980</v>
      </c>
      <c r="R454" s="5" t="n"/>
      <c r="S454" s="5">
        <f>F454*20%</f>
        <v/>
      </c>
      <c r="T454" s="5">
        <f>J454-S454</f>
        <v/>
      </c>
      <c r="U454" s="5">
        <f>F454+J454</f>
        <v/>
      </c>
      <c r="V454" s="5">
        <f>O454-U454</f>
        <v/>
      </c>
      <c r="W454" s="5">
        <f>O454-(P454+R454)</f>
        <v/>
      </c>
      <c r="X454" s="5">
        <f>O454-(P454+Q454+R454)</f>
        <v/>
      </c>
    </row>
    <row r="455">
      <c r="A455" s="2" t="inlineStr">
        <is>
          <t>EJ010923.TXT</t>
        </is>
      </c>
      <c r="B455" s="3" t="inlineStr">
        <is>
          <t>005018</t>
        </is>
      </c>
      <c r="C455" s="3" t="inlineStr">
        <is>
          <t>004015</t>
        </is>
      </c>
      <c r="D455" s="4" t="n">
        <v>45142</v>
      </c>
      <c r="E455" s="2" t="inlineStr">
        <is>
          <t>16:38</t>
        </is>
      </c>
      <c r="F455" s="5" t="n">
        <v>574.17</v>
      </c>
      <c r="G455" s="5" t="n"/>
      <c r="H455" s="5" t="n"/>
      <c r="I455" s="5" t="n"/>
      <c r="J455" s="5" t="n">
        <v>114.83</v>
      </c>
      <c r="K455" s="5" t="n"/>
      <c r="L455" s="5" t="n"/>
      <c r="M455" s="5" t="n"/>
      <c r="N455" s="5" t="n"/>
      <c r="O455" s="5" t="n">
        <v>689</v>
      </c>
      <c r="P455" s="5" t="n"/>
      <c r="Q455" s="5" t="n">
        <v>689</v>
      </c>
      <c r="R455" s="5" t="n"/>
      <c r="S455" s="5">
        <f>F455*20%</f>
        <v/>
      </c>
      <c r="T455" s="5">
        <f>J455-S455</f>
        <v/>
      </c>
      <c r="U455" s="5">
        <f>F455+J455</f>
        <v/>
      </c>
      <c r="V455" s="5">
        <f>O455-U455</f>
        <v/>
      </c>
      <c r="W455" s="5">
        <f>O455-(P455+R455)</f>
        <v/>
      </c>
      <c r="X455" s="5">
        <f>O455-(P455+Q455+R455)</f>
        <v/>
      </c>
    </row>
    <row r="456">
      <c r="A456" s="2" t="inlineStr">
        <is>
          <t>EJ010923.TXT</t>
        </is>
      </c>
      <c r="B456" s="3" t="inlineStr">
        <is>
          <t>005019</t>
        </is>
      </c>
      <c r="C456" s="3" t="inlineStr">
        <is>
          <t>004016</t>
        </is>
      </c>
      <c r="D456" s="4" t="n">
        <v>45143</v>
      </c>
      <c r="E456" s="2" t="inlineStr">
        <is>
          <t>15:09</t>
        </is>
      </c>
      <c r="F456" s="5" t="n">
        <v>208.33</v>
      </c>
      <c r="G456" s="5" t="n"/>
      <c r="H456" s="5" t="n"/>
      <c r="I456" s="5" t="n"/>
      <c r="J456" s="5" t="n">
        <v>41.67</v>
      </c>
      <c r="K456" s="5" t="n"/>
      <c r="L456" s="5" t="n"/>
      <c r="M456" s="5" t="n"/>
      <c r="N456" s="5" t="n"/>
      <c r="O456" s="5" t="n">
        <v>250</v>
      </c>
      <c r="P456" s="5" t="n"/>
      <c r="Q456" s="5" t="n">
        <v>250</v>
      </c>
      <c r="R456" s="5" t="n"/>
      <c r="S456" s="5">
        <f>F456*20%</f>
        <v/>
      </c>
      <c r="T456" s="5">
        <f>J456-S456</f>
        <v/>
      </c>
      <c r="U456" s="5">
        <f>F456+J456</f>
        <v/>
      </c>
      <c r="V456" s="5">
        <f>O456-U456</f>
        <v/>
      </c>
      <c r="W456" s="5">
        <f>O456-(P456+R456)</f>
        <v/>
      </c>
      <c r="X456" s="5">
        <f>O456-(P456+Q456+R456)</f>
        <v/>
      </c>
    </row>
    <row r="457">
      <c r="A457" s="2" t="inlineStr">
        <is>
          <t>EJ010923.TXT</t>
        </is>
      </c>
      <c r="B457" s="3" t="inlineStr">
        <is>
          <t>005020</t>
        </is>
      </c>
      <c r="C457" s="3" t="inlineStr">
        <is>
          <t>004017</t>
        </is>
      </c>
      <c r="D457" s="4" t="n">
        <v>45143</v>
      </c>
      <c r="E457" s="2" t="inlineStr">
        <is>
          <t>16:10</t>
        </is>
      </c>
      <c r="F457" s="5" t="n">
        <v>548.33</v>
      </c>
      <c r="G457" s="5" t="n"/>
      <c r="H457" s="5" t="n"/>
      <c r="I457" s="5" t="n"/>
      <c r="J457" s="5" t="n">
        <v>109.67</v>
      </c>
      <c r="K457" s="5" t="n"/>
      <c r="L457" s="5" t="n"/>
      <c r="M457" s="5" t="n"/>
      <c r="N457" s="5" t="n"/>
      <c r="O457" s="5" t="n">
        <v>658</v>
      </c>
      <c r="P457" s="5" t="n"/>
      <c r="Q457" s="5" t="n">
        <v>658</v>
      </c>
      <c r="R457" s="5" t="n"/>
      <c r="S457" s="5">
        <f>F457*20%</f>
        <v/>
      </c>
      <c r="T457" s="5">
        <f>J457-S457</f>
        <v/>
      </c>
      <c r="U457" s="5">
        <f>F457+J457</f>
        <v/>
      </c>
      <c r="V457" s="5">
        <f>O457-U457</f>
        <v/>
      </c>
      <c r="W457" s="5">
        <f>O457-(P457+R457)</f>
        <v/>
      </c>
      <c r="X457" s="5">
        <f>O457-(P457+Q457+R457)</f>
        <v/>
      </c>
    </row>
    <row r="458">
      <c r="A458" s="2" t="inlineStr">
        <is>
          <t>EJ010923.TXT</t>
        </is>
      </c>
      <c r="B458" s="3" t="inlineStr">
        <is>
          <t>005021</t>
        </is>
      </c>
      <c r="C458" s="3" t="inlineStr">
        <is>
          <t>004018</t>
        </is>
      </c>
      <c r="D458" s="4" t="n">
        <v>45146</v>
      </c>
      <c r="E458" s="2" t="inlineStr">
        <is>
          <t>13:43</t>
        </is>
      </c>
      <c r="F458" s="5" t="n">
        <v>548.33</v>
      </c>
      <c r="G458" s="5" t="n"/>
      <c r="H458" s="5" t="n"/>
      <c r="I458" s="5" t="n"/>
      <c r="J458" s="5" t="n">
        <v>109.67</v>
      </c>
      <c r="K458" s="5" t="n"/>
      <c r="L458" s="5" t="n"/>
      <c r="M458" s="5" t="n"/>
      <c r="N458" s="5" t="n"/>
      <c r="O458" s="5" t="n">
        <v>658</v>
      </c>
      <c r="P458" s="5" t="n"/>
      <c r="Q458" s="5" t="n">
        <v>658</v>
      </c>
      <c r="R458" s="5" t="n"/>
      <c r="S458" s="5">
        <f>F458*20%</f>
        <v/>
      </c>
      <c r="T458" s="5">
        <f>J458-S458</f>
        <v/>
      </c>
      <c r="U458" s="5">
        <f>F458+J458</f>
        <v/>
      </c>
      <c r="V458" s="5">
        <f>O458-U458</f>
        <v/>
      </c>
      <c r="W458" s="5">
        <f>O458-(P458+R458)</f>
        <v/>
      </c>
      <c r="X458" s="5">
        <f>O458-(P458+Q458+R458)</f>
        <v/>
      </c>
    </row>
    <row r="459">
      <c r="A459" s="2" t="inlineStr">
        <is>
          <t>EJ010923.TXT</t>
        </is>
      </c>
      <c r="B459" s="3" t="inlineStr">
        <is>
          <t>005022</t>
        </is>
      </c>
      <c r="C459" s="3" t="inlineStr">
        <is>
          <t>004019</t>
        </is>
      </c>
      <c r="D459" s="4" t="n">
        <v>45147</v>
      </c>
      <c r="E459" s="2" t="inlineStr">
        <is>
          <t>10:47</t>
        </is>
      </c>
      <c r="F459" s="5" t="n">
        <v>208.33</v>
      </c>
      <c r="G459" s="5" t="n"/>
      <c r="H459" s="5" t="n"/>
      <c r="I459" s="5" t="n"/>
      <c r="J459" s="5" t="n">
        <v>41.67</v>
      </c>
      <c r="K459" s="5" t="n"/>
      <c r="L459" s="5" t="n"/>
      <c r="M459" s="5" t="n"/>
      <c r="N459" s="5" t="n"/>
      <c r="O459" s="5" t="n">
        <v>250</v>
      </c>
      <c r="P459" s="5" t="n"/>
      <c r="Q459" s="5" t="n">
        <v>250</v>
      </c>
      <c r="R459" s="5" t="n"/>
      <c r="S459" s="5">
        <f>F459*20%</f>
        <v/>
      </c>
      <c r="T459" s="5">
        <f>J459-S459</f>
        <v/>
      </c>
      <c r="U459" s="5">
        <f>F459+J459</f>
        <v/>
      </c>
      <c r="V459" s="5">
        <f>O459-U459</f>
        <v/>
      </c>
      <c r="W459" s="5">
        <f>O459-(P459+R459)</f>
        <v/>
      </c>
      <c r="X459" s="5">
        <f>O459-(P459+Q459+R459)</f>
        <v/>
      </c>
    </row>
    <row r="460">
      <c r="A460" s="2" t="inlineStr">
        <is>
          <t>EJ010923.TXT</t>
        </is>
      </c>
      <c r="B460" s="3" t="inlineStr">
        <is>
          <t>005023</t>
        </is>
      </c>
      <c r="C460" s="3" t="inlineStr">
        <is>
          <t>004020</t>
        </is>
      </c>
      <c r="D460" s="4" t="n">
        <v>45148</v>
      </c>
      <c r="E460" s="2" t="inlineStr">
        <is>
          <t>12:05</t>
        </is>
      </c>
      <c r="F460" s="5" t="n">
        <v>822.5</v>
      </c>
      <c r="G460" s="5" t="n"/>
      <c r="H460" s="5" t="n"/>
      <c r="I460" s="5" t="n"/>
      <c r="J460" s="5" t="n">
        <v>164.5</v>
      </c>
      <c r="K460" s="5" t="n"/>
      <c r="L460" s="5" t="n"/>
      <c r="M460" s="5" t="n"/>
      <c r="N460" s="5" t="n"/>
      <c r="O460" s="5" t="n">
        <v>987</v>
      </c>
      <c r="P460" s="5" t="n"/>
      <c r="Q460" s="5" t="n">
        <v>987</v>
      </c>
      <c r="R460" s="5" t="n"/>
      <c r="S460" s="5">
        <f>F460*20%</f>
        <v/>
      </c>
      <c r="T460" s="5">
        <f>J460-S460</f>
        <v/>
      </c>
      <c r="U460" s="5">
        <f>F460+J460</f>
        <v/>
      </c>
      <c r="V460" s="5">
        <f>O460-U460</f>
        <v/>
      </c>
      <c r="W460" s="5">
        <f>O460-(P460+R460)</f>
        <v/>
      </c>
      <c r="X460" s="5">
        <f>O460-(P460+Q460+R460)</f>
        <v/>
      </c>
    </row>
    <row r="461">
      <c r="A461" s="2" t="inlineStr">
        <is>
          <t>EJ010923.TXT</t>
        </is>
      </c>
      <c r="B461" s="3" t="inlineStr">
        <is>
          <t>005024</t>
        </is>
      </c>
      <c r="C461" s="3" t="inlineStr">
        <is>
          <t>004021</t>
        </is>
      </c>
      <c r="D461" s="4" t="n">
        <v>45148</v>
      </c>
      <c r="E461" s="2" t="inlineStr">
        <is>
          <t>12:05</t>
        </is>
      </c>
      <c r="F461" s="5" t="n">
        <v>822.5</v>
      </c>
      <c r="G461" s="5" t="n"/>
      <c r="H461" s="5" t="n"/>
      <c r="I461" s="5" t="n"/>
      <c r="J461" s="5" t="n">
        <v>164.5</v>
      </c>
      <c r="K461" s="5" t="n"/>
      <c r="L461" s="5" t="n"/>
      <c r="M461" s="5" t="n"/>
      <c r="N461" s="5" t="n"/>
      <c r="O461" s="5" t="n">
        <v>987</v>
      </c>
      <c r="P461" s="5" t="n"/>
      <c r="Q461" s="5" t="n">
        <v>987</v>
      </c>
      <c r="R461" s="5" t="n"/>
      <c r="S461" s="5">
        <f>F461*20%</f>
        <v/>
      </c>
      <c r="T461" s="5">
        <f>J461-S461</f>
        <v/>
      </c>
      <c r="U461" s="5">
        <f>F461+J461</f>
        <v/>
      </c>
      <c r="V461" s="5">
        <f>O461-U461</f>
        <v/>
      </c>
      <c r="W461" s="5">
        <f>O461-(P461+R461)</f>
        <v/>
      </c>
      <c r="X461" s="5">
        <f>O461-(P461+Q461+R461)</f>
        <v/>
      </c>
    </row>
    <row r="462">
      <c r="A462" s="2" t="inlineStr">
        <is>
          <t>EJ010923.TXT</t>
        </is>
      </c>
      <c r="B462" s="3" t="inlineStr">
        <is>
          <t>005025</t>
        </is>
      </c>
      <c r="C462" s="3" t="inlineStr">
        <is>
          <t>004022</t>
        </is>
      </c>
      <c r="D462" s="4" t="n">
        <v>45150</v>
      </c>
      <c r="E462" s="2" t="inlineStr">
        <is>
          <t>16:34</t>
        </is>
      </c>
      <c r="F462" s="5" t="n">
        <v>548.33</v>
      </c>
      <c r="G462" s="5" t="n"/>
      <c r="H462" s="5" t="n"/>
      <c r="I462" s="5" t="n"/>
      <c r="J462" s="5" t="n">
        <v>109.67</v>
      </c>
      <c r="K462" s="5" t="n"/>
      <c r="L462" s="5" t="n"/>
      <c r="M462" s="5" t="n"/>
      <c r="N462" s="5" t="n"/>
      <c r="O462" s="5" t="n">
        <v>658</v>
      </c>
      <c r="P462" s="5" t="n">
        <v>658</v>
      </c>
      <c r="Q462" s="5" t="n"/>
      <c r="R462" s="5" t="n"/>
      <c r="S462" s="5">
        <f>F462*20%</f>
        <v/>
      </c>
      <c r="T462" s="5">
        <f>J462-S462</f>
        <v/>
      </c>
      <c r="U462" s="5">
        <f>F462+J462</f>
        <v/>
      </c>
      <c r="V462" s="5">
        <f>O462-U462</f>
        <v/>
      </c>
      <c r="W462" s="5">
        <f>O462-(P462+R462)</f>
        <v/>
      </c>
      <c r="X462" s="5">
        <f>O462-(P462+Q462+R462)</f>
        <v/>
      </c>
    </row>
    <row r="463">
      <c r="A463" s="2" t="inlineStr">
        <is>
          <t>EJ010923.TXT</t>
        </is>
      </c>
      <c r="B463" s="3" t="inlineStr">
        <is>
          <t>005026</t>
        </is>
      </c>
      <c r="C463" s="3" t="inlineStr">
        <is>
          <t>004023</t>
        </is>
      </c>
      <c r="D463" s="4" t="n">
        <v>45152</v>
      </c>
      <c r="E463" s="2" t="inlineStr">
        <is>
          <t>15:37</t>
        </is>
      </c>
      <c r="F463" s="5" t="n">
        <v>274.17</v>
      </c>
      <c r="G463" s="5" t="n"/>
      <c r="H463" s="5" t="n"/>
      <c r="I463" s="5" t="n"/>
      <c r="J463" s="5" t="n">
        <v>54.83</v>
      </c>
      <c r="K463" s="5" t="n"/>
      <c r="L463" s="5" t="n"/>
      <c r="M463" s="5" t="n"/>
      <c r="N463" s="5" t="n"/>
      <c r="O463" s="5" t="n">
        <v>329</v>
      </c>
      <c r="P463" s="5" t="n"/>
      <c r="Q463" s="5" t="n">
        <v>329</v>
      </c>
      <c r="R463" s="5" t="n"/>
      <c r="S463" s="5">
        <f>F463*20%</f>
        <v/>
      </c>
      <c r="T463" s="5">
        <f>J463-S463</f>
        <v/>
      </c>
      <c r="U463" s="5">
        <f>F463+J463</f>
        <v/>
      </c>
      <c r="V463" s="5">
        <f>O463-U463</f>
        <v/>
      </c>
      <c r="W463" s="5">
        <f>O463-(P463+R463)</f>
        <v/>
      </c>
      <c r="X463" s="5">
        <f>O463-(P463+Q463+R463)</f>
        <v/>
      </c>
    </row>
    <row r="464">
      <c r="A464" s="2" t="inlineStr">
        <is>
          <t>EJ010923.TXT</t>
        </is>
      </c>
      <c r="B464" s="3" t="inlineStr">
        <is>
          <t>005027</t>
        </is>
      </c>
      <c r="C464" s="3" t="inlineStr">
        <is>
          <t>004024</t>
        </is>
      </c>
      <c r="D464" s="4" t="n">
        <v>45154</v>
      </c>
      <c r="E464" s="2" t="inlineStr">
        <is>
          <t>11:32</t>
        </is>
      </c>
      <c r="F464" s="5" t="n">
        <v>148.33</v>
      </c>
      <c r="G464" s="5" t="n"/>
      <c r="H464" s="5" t="n"/>
      <c r="I464" s="5" t="n"/>
      <c r="J464" s="5" t="n">
        <v>29.67</v>
      </c>
      <c r="K464" s="5" t="n"/>
      <c r="L464" s="5" t="n"/>
      <c r="M464" s="5" t="n"/>
      <c r="N464" s="5" t="n"/>
      <c r="O464" s="5" t="n">
        <v>178</v>
      </c>
      <c r="P464" s="5" t="n">
        <v>178</v>
      </c>
      <c r="Q464" s="5" t="n"/>
      <c r="R464" s="5" t="n"/>
      <c r="S464" s="5">
        <f>F464*20%</f>
        <v/>
      </c>
      <c r="T464" s="5">
        <f>J464-S464</f>
        <v/>
      </c>
      <c r="U464" s="5">
        <f>F464+J464</f>
        <v/>
      </c>
      <c r="V464" s="5">
        <f>O464-U464</f>
        <v/>
      </c>
      <c r="W464" s="5">
        <f>O464-(P464+R464)</f>
        <v/>
      </c>
      <c r="X464" s="5">
        <f>O464-(P464+Q464+R464)</f>
        <v/>
      </c>
    </row>
    <row r="465">
      <c r="A465" s="2" t="inlineStr">
        <is>
          <t>EJ010923.TXT</t>
        </is>
      </c>
      <c r="B465" s="3" t="inlineStr">
        <is>
          <t>005028</t>
        </is>
      </c>
      <c r="C465" s="3" t="inlineStr">
        <is>
          <t>004025</t>
        </is>
      </c>
      <c r="D465" s="4" t="n">
        <v>45154</v>
      </c>
      <c r="E465" s="2" t="inlineStr">
        <is>
          <t>17:21</t>
        </is>
      </c>
      <c r="F465" s="5" t="n">
        <v>156.67</v>
      </c>
      <c r="G465" s="5" t="n"/>
      <c r="H465" s="5" t="n"/>
      <c r="I465" s="5" t="n"/>
      <c r="J465" s="5" t="n">
        <v>31.33</v>
      </c>
      <c r="K465" s="5" t="n"/>
      <c r="L465" s="5" t="n"/>
      <c r="M465" s="5" t="n"/>
      <c r="N465" s="5" t="n"/>
      <c r="O465" s="5" t="n">
        <v>188</v>
      </c>
      <c r="P465" s="5" t="n"/>
      <c r="Q465" s="5" t="n">
        <v>188</v>
      </c>
      <c r="R465" s="5" t="n"/>
      <c r="S465" s="5">
        <f>F465*20%</f>
        <v/>
      </c>
      <c r="T465" s="5">
        <f>J465-S465</f>
        <v/>
      </c>
      <c r="U465" s="5">
        <f>F465+J465</f>
        <v/>
      </c>
      <c r="V465" s="5">
        <f>O465-U465</f>
        <v/>
      </c>
      <c r="W465" s="5">
        <f>O465-(P465+R465)</f>
        <v/>
      </c>
      <c r="X465" s="5">
        <f>O465-(P465+Q465+R465)</f>
        <v/>
      </c>
    </row>
    <row r="466">
      <c r="A466" s="2" t="inlineStr">
        <is>
          <t>EJ010923.TXT</t>
        </is>
      </c>
      <c r="B466" s="3" t="inlineStr">
        <is>
          <t>005029</t>
        </is>
      </c>
      <c r="C466" s="3" t="inlineStr">
        <is>
          <t>004026</t>
        </is>
      </c>
      <c r="D466" s="4" t="n">
        <v>45156</v>
      </c>
      <c r="E466" s="2" t="inlineStr">
        <is>
          <t>14:19</t>
        </is>
      </c>
      <c r="F466" s="5" t="n">
        <v>274.17</v>
      </c>
      <c r="G466" s="5" t="n"/>
      <c r="H466" s="5" t="n"/>
      <c r="I466" s="5" t="n"/>
      <c r="J466" s="5" t="n">
        <v>54.83</v>
      </c>
      <c r="K466" s="5" t="n"/>
      <c r="L466" s="5" t="n"/>
      <c r="M466" s="5" t="n"/>
      <c r="N466" s="5" t="n"/>
      <c r="O466" s="5" t="n">
        <v>329</v>
      </c>
      <c r="P466" s="5" t="n">
        <v>329</v>
      </c>
      <c r="Q466" s="5" t="n"/>
      <c r="R466" s="5" t="n"/>
      <c r="S466" s="5">
        <f>F466*20%</f>
        <v/>
      </c>
      <c r="T466" s="5">
        <f>J466-S466</f>
        <v/>
      </c>
      <c r="U466" s="5">
        <f>F466+J466</f>
        <v/>
      </c>
      <c r="V466" s="5">
        <f>O466-U466</f>
        <v/>
      </c>
      <c r="W466" s="5">
        <f>O466-(P466+R466)</f>
        <v/>
      </c>
      <c r="X466" s="5">
        <f>O466-(P466+Q466+R466)</f>
        <v/>
      </c>
    </row>
    <row r="467">
      <c r="A467" s="2" t="inlineStr">
        <is>
          <t>EJ010923.TXT</t>
        </is>
      </c>
      <c r="B467" s="3" t="inlineStr">
        <is>
          <t>005030</t>
        </is>
      </c>
      <c r="C467" s="3" t="inlineStr">
        <is>
          <t>004027</t>
        </is>
      </c>
      <c r="D467" s="4" t="n">
        <v>45159</v>
      </c>
      <c r="E467" s="2" t="inlineStr">
        <is>
          <t>10:03</t>
        </is>
      </c>
      <c r="F467" s="5" t="n">
        <v>1645</v>
      </c>
      <c r="G467" s="5" t="n"/>
      <c r="H467" s="5" t="n"/>
      <c r="I467" s="5" t="n"/>
      <c r="J467" s="5" t="n">
        <v>329</v>
      </c>
      <c r="K467" s="5" t="n"/>
      <c r="L467" s="5" t="n"/>
      <c r="M467" s="5" t="n"/>
      <c r="N467" s="5" t="n"/>
      <c r="O467" s="5" t="n">
        <v>1974</v>
      </c>
      <c r="P467" s="5" t="n">
        <v>1974</v>
      </c>
      <c r="Q467" s="5" t="n"/>
      <c r="R467" s="5" t="n"/>
      <c r="S467" s="5">
        <f>F467*20%</f>
        <v/>
      </c>
      <c r="T467" s="5">
        <f>J467-S467</f>
        <v/>
      </c>
      <c r="U467" s="5">
        <f>F467+J467</f>
        <v/>
      </c>
      <c r="V467" s="5">
        <f>O467-U467</f>
        <v/>
      </c>
      <c r="W467" s="5">
        <f>O467-(P467+R467)</f>
        <v/>
      </c>
      <c r="X467" s="5">
        <f>O467-(P467+Q467+R467)</f>
        <v/>
      </c>
    </row>
    <row r="468">
      <c r="A468" s="2" t="inlineStr">
        <is>
          <t>EJ010923.TXT</t>
        </is>
      </c>
      <c r="B468" s="3" t="inlineStr">
        <is>
          <t>005031</t>
        </is>
      </c>
      <c r="C468" s="3" t="inlineStr">
        <is>
          <t>004028</t>
        </is>
      </c>
      <c r="D468" s="4" t="n">
        <v>45160</v>
      </c>
      <c r="E468" s="2" t="inlineStr">
        <is>
          <t>16:54</t>
        </is>
      </c>
      <c r="F468" s="5" t="n">
        <v>733.33</v>
      </c>
      <c r="G468" s="5" t="n"/>
      <c r="H468" s="5" t="n"/>
      <c r="I468" s="5" t="n"/>
      <c r="J468" s="5" t="n">
        <v>146.67</v>
      </c>
      <c r="K468" s="5" t="n"/>
      <c r="L468" s="5" t="n"/>
      <c r="M468" s="5" t="n"/>
      <c r="N468" s="5" t="n"/>
      <c r="O468" s="5" t="n">
        <v>880</v>
      </c>
      <c r="P468" s="5" t="n"/>
      <c r="Q468" s="5" t="n">
        <v>880</v>
      </c>
      <c r="R468" s="5" t="n"/>
      <c r="S468" s="5">
        <f>F468*20%</f>
        <v/>
      </c>
      <c r="T468" s="5">
        <f>J468-S468</f>
        <v/>
      </c>
      <c r="U468" s="5">
        <f>F468+J468</f>
        <v/>
      </c>
      <c r="V468" s="5">
        <f>O468-U468</f>
        <v/>
      </c>
      <c r="W468" s="5">
        <f>O468-(P468+R468)</f>
        <v/>
      </c>
      <c r="X468" s="5">
        <f>O468-(P468+Q468+R468)</f>
        <v/>
      </c>
    </row>
    <row r="469">
      <c r="A469" s="2" t="inlineStr">
        <is>
          <t>EJ010923.TXT</t>
        </is>
      </c>
      <c r="B469" s="3" t="inlineStr">
        <is>
          <t>005032</t>
        </is>
      </c>
      <c r="C469" s="3" t="inlineStr">
        <is>
          <t>004029</t>
        </is>
      </c>
      <c r="D469" s="4" t="n">
        <v>45160</v>
      </c>
      <c r="E469" s="2" t="inlineStr">
        <is>
          <t>16:55</t>
        </is>
      </c>
      <c r="F469" s="5" t="n">
        <v>832.5</v>
      </c>
      <c r="G469" s="5" t="n"/>
      <c r="H469" s="5" t="n"/>
      <c r="I469" s="5" t="n"/>
      <c r="J469" s="5" t="n">
        <v>166.5</v>
      </c>
      <c r="K469" s="5" t="n"/>
      <c r="L469" s="5" t="n"/>
      <c r="M469" s="5" t="n"/>
      <c r="N469" s="5" t="n"/>
      <c r="O469" s="5" t="n">
        <v>999</v>
      </c>
      <c r="P469" s="5" t="n"/>
      <c r="Q469" s="5" t="n">
        <v>999</v>
      </c>
      <c r="R469" s="5" t="n"/>
      <c r="S469" s="5">
        <f>F469*20%</f>
        <v/>
      </c>
      <c r="T469" s="5">
        <f>J469-S469</f>
        <v/>
      </c>
      <c r="U469" s="5">
        <f>F469+J469</f>
        <v/>
      </c>
      <c r="V469" s="5">
        <f>O469-U469</f>
        <v/>
      </c>
      <c r="W469" s="5">
        <f>O469-(P469+R469)</f>
        <v/>
      </c>
      <c r="X469" s="5">
        <f>O469-(P469+Q469+R469)</f>
        <v/>
      </c>
    </row>
    <row r="470">
      <c r="A470" s="2" t="inlineStr">
        <is>
          <t>EJ010923.TXT</t>
        </is>
      </c>
      <c r="B470" s="3" t="inlineStr">
        <is>
          <t>005033</t>
        </is>
      </c>
      <c r="C470" s="3" t="inlineStr">
        <is>
          <t>004030</t>
        </is>
      </c>
      <c r="D470" s="4" t="n">
        <v>45161</v>
      </c>
      <c r="E470" s="2" t="inlineStr">
        <is>
          <t>10:16</t>
        </is>
      </c>
      <c r="F470" s="5" t="n">
        <v>648.33</v>
      </c>
      <c r="G470" s="5" t="n"/>
      <c r="H470" s="5" t="n"/>
      <c r="I470" s="5" t="n"/>
      <c r="J470" s="5" t="n">
        <v>129.67</v>
      </c>
      <c r="K470" s="5" t="n"/>
      <c r="L470" s="5" t="n"/>
      <c r="M470" s="5" t="n"/>
      <c r="N470" s="5" t="n"/>
      <c r="O470" s="5" t="n">
        <v>778</v>
      </c>
      <c r="P470" s="5" t="n"/>
      <c r="Q470" s="5" t="n">
        <v>778</v>
      </c>
      <c r="R470" s="5" t="n"/>
      <c r="S470" s="5">
        <f>F470*20%</f>
        <v/>
      </c>
      <c r="T470" s="5">
        <f>J470-S470</f>
        <v/>
      </c>
      <c r="U470" s="5">
        <f>F470+J470</f>
        <v/>
      </c>
      <c r="V470" s="5">
        <f>O470-U470</f>
        <v/>
      </c>
      <c r="W470" s="5">
        <f>O470-(P470+R470)</f>
        <v/>
      </c>
      <c r="X470" s="5">
        <f>O470-(P470+Q470+R470)</f>
        <v/>
      </c>
    </row>
    <row r="471">
      <c r="A471" s="2" t="inlineStr">
        <is>
          <t>EJ010923.TXT</t>
        </is>
      </c>
      <c r="B471" s="3" t="inlineStr">
        <is>
          <t>005034</t>
        </is>
      </c>
      <c r="C471" s="3" t="inlineStr">
        <is>
          <t>004031</t>
        </is>
      </c>
      <c r="D471" s="4" t="n">
        <v>45161</v>
      </c>
      <c r="E471" s="2" t="inlineStr">
        <is>
          <t>16:41</t>
        </is>
      </c>
      <c r="F471" s="5" t="n">
        <v>274.17</v>
      </c>
      <c r="G471" s="5" t="n"/>
      <c r="H471" s="5" t="n"/>
      <c r="I471" s="5" t="n"/>
      <c r="J471" s="5" t="n">
        <v>54.83</v>
      </c>
      <c r="K471" s="5" t="n"/>
      <c r="L471" s="5" t="n"/>
      <c r="M471" s="5" t="n"/>
      <c r="N471" s="5" t="n"/>
      <c r="O471" s="5" t="n">
        <v>329</v>
      </c>
      <c r="P471" s="5" t="n"/>
      <c r="Q471" s="5" t="n">
        <v>329</v>
      </c>
      <c r="R471" s="5" t="n"/>
      <c r="S471" s="5">
        <f>F471*20%</f>
        <v/>
      </c>
      <c r="T471" s="5">
        <f>J471-S471</f>
        <v/>
      </c>
      <c r="U471" s="5">
        <f>F471+J471</f>
        <v/>
      </c>
      <c r="V471" s="5">
        <f>O471-U471</f>
        <v/>
      </c>
      <c r="W471" s="5">
        <f>O471-(P471+R471)</f>
        <v/>
      </c>
      <c r="X471" s="5">
        <f>O471-(P471+Q471+R471)</f>
        <v/>
      </c>
    </row>
    <row r="472">
      <c r="A472" s="2" t="inlineStr">
        <is>
          <t>EJ010923.TXT</t>
        </is>
      </c>
      <c r="B472" s="3" t="inlineStr">
        <is>
          <t>005035</t>
        </is>
      </c>
      <c r="C472" s="3" t="inlineStr">
        <is>
          <t>004032</t>
        </is>
      </c>
      <c r="D472" s="4" t="n">
        <v>45163</v>
      </c>
      <c r="E472" s="2" t="inlineStr">
        <is>
          <t>14:40</t>
        </is>
      </c>
      <c r="F472" s="5" t="n">
        <v>208.33</v>
      </c>
      <c r="G472" s="5" t="n"/>
      <c r="H472" s="5" t="n"/>
      <c r="I472" s="5" t="n"/>
      <c r="J472" s="5" t="n">
        <v>41.67</v>
      </c>
      <c r="K472" s="5" t="n"/>
      <c r="L472" s="5" t="n"/>
      <c r="M472" s="5" t="n"/>
      <c r="N472" s="5" t="n"/>
      <c r="O472" s="5" t="n">
        <v>250</v>
      </c>
      <c r="P472" s="5" t="n"/>
      <c r="Q472" s="5" t="n">
        <v>250</v>
      </c>
      <c r="R472" s="5" t="n"/>
      <c r="S472" s="5">
        <f>F472*20%</f>
        <v/>
      </c>
      <c r="T472" s="5">
        <f>J472-S472</f>
        <v/>
      </c>
      <c r="U472" s="5">
        <f>F472+J472</f>
        <v/>
      </c>
      <c r="V472" s="5">
        <f>O472-U472</f>
        <v/>
      </c>
      <c r="W472" s="5">
        <f>O472-(P472+R472)</f>
        <v/>
      </c>
      <c r="X472" s="5">
        <f>O472-(P472+Q472+R472)</f>
        <v/>
      </c>
    </row>
    <row r="473">
      <c r="A473" s="2" t="inlineStr">
        <is>
          <t>EJ010923.TXT</t>
        </is>
      </c>
      <c r="B473" s="3" t="inlineStr">
        <is>
          <t>005036</t>
        </is>
      </c>
      <c r="C473" s="3" t="inlineStr">
        <is>
          <t>004033</t>
        </is>
      </c>
      <c r="D473" s="4" t="n">
        <v>45163</v>
      </c>
      <c r="E473" s="2" t="inlineStr">
        <is>
          <t>16:32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>
        <v>658</v>
      </c>
      <c r="Q473" s="5" t="n"/>
      <c r="R473" s="5" t="n"/>
      <c r="S473" s="5">
        <f>F473*20%</f>
        <v/>
      </c>
      <c r="T473" s="5">
        <f>J473-S473</f>
        <v/>
      </c>
      <c r="U473" s="5">
        <f>F473+J473</f>
        <v/>
      </c>
      <c r="V473" s="5">
        <f>O473-U473</f>
        <v/>
      </c>
      <c r="W473" s="5">
        <f>O473-(P473+R473)</f>
        <v/>
      </c>
      <c r="X473" s="5">
        <f>O473-(P473+Q473+R473)</f>
        <v/>
      </c>
    </row>
    <row r="474">
      <c r="A474" s="2" t="inlineStr">
        <is>
          <t>EJ010923.TXT</t>
        </is>
      </c>
      <c r="B474" s="3" t="inlineStr">
        <is>
          <t>005037</t>
        </is>
      </c>
      <c r="C474" s="3" t="inlineStr">
        <is>
          <t>004034</t>
        </is>
      </c>
      <c r="D474" s="4" t="n">
        <v>45166</v>
      </c>
      <c r="E474" s="2" t="inlineStr">
        <is>
          <t>11:45</t>
        </is>
      </c>
      <c r="F474" s="5" t="n">
        <v>398.33</v>
      </c>
      <c r="G474" s="5" t="n"/>
      <c r="H474" s="5" t="n"/>
      <c r="I474" s="5" t="n"/>
      <c r="J474" s="5" t="n">
        <v>79.67</v>
      </c>
      <c r="K474" s="5" t="n"/>
      <c r="L474" s="5" t="n"/>
      <c r="M474" s="5" t="n"/>
      <c r="N474" s="5" t="n"/>
      <c r="O474" s="5" t="n">
        <v>478</v>
      </c>
      <c r="P474" s="5" t="n">
        <v>478</v>
      </c>
      <c r="Q474" s="5" t="n"/>
      <c r="R474" s="5" t="n"/>
      <c r="S474" s="5">
        <f>F474*20%</f>
        <v/>
      </c>
      <c r="T474" s="5">
        <f>J474-S474</f>
        <v/>
      </c>
      <c r="U474" s="5">
        <f>F474+J474</f>
        <v/>
      </c>
      <c r="V474" s="5">
        <f>O474-U474</f>
        <v/>
      </c>
      <c r="W474" s="5">
        <f>O474-(P474+R474)</f>
        <v/>
      </c>
      <c r="X474" s="5">
        <f>O474-(P474+Q474+R474)</f>
        <v/>
      </c>
    </row>
    <row r="475">
      <c r="A475" s="2" t="inlineStr">
        <is>
          <t>EJ010923.TXT</t>
        </is>
      </c>
      <c r="B475" s="3" t="inlineStr">
        <is>
          <t>005038</t>
        </is>
      </c>
      <c r="C475" s="3" t="inlineStr">
        <is>
          <t>004035</t>
        </is>
      </c>
      <c r="D475" s="4" t="n">
        <v>45167</v>
      </c>
      <c r="E475" s="2" t="inlineStr">
        <is>
          <t>14:18</t>
        </is>
      </c>
      <c r="F475" s="5" t="n">
        <v>208.33</v>
      </c>
      <c r="G475" s="5" t="n"/>
      <c r="H475" s="5" t="n"/>
      <c r="I475" s="5" t="n"/>
      <c r="J475" s="5" t="n">
        <v>41.67</v>
      </c>
      <c r="K475" s="5" t="n"/>
      <c r="L475" s="5" t="n"/>
      <c r="M475" s="5" t="n"/>
      <c r="N475" s="5" t="n"/>
      <c r="O475" s="5" t="n">
        <v>250</v>
      </c>
      <c r="P475" s="5" t="n"/>
      <c r="Q475" s="5" t="n">
        <v>250</v>
      </c>
      <c r="R475" s="5" t="n"/>
      <c r="S475" s="5">
        <f>F475*20%</f>
        <v/>
      </c>
      <c r="T475" s="5">
        <f>J475-S475</f>
        <v/>
      </c>
      <c r="U475" s="5">
        <f>F475+J475</f>
        <v/>
      </c>
      <c r="V475" s="5">
        <f>O475-U475</f>
        <v/>
      </c>
      <c r="W475" s="5">
        <f>O475-(P475+R475)</f>
        <v/>
      </c>
      <c r="X475" s="5">
        <f>O475-(P475+Q475+R475)</f>
        <v/>
      </c>
    </row>
    <row r="476">
      <c r="A476" s="2" t="inlineStr">
        <is>
          <t>EJ010923.TXT</t>
        </is>
      </c>
      <c r="B476" s="3" t="inlineStr">
        <is>
          <t>005039</t>
        </is>
      </c>
      <c r="C476" s="3" t="inlineStr">
        <is>
          <t>004036</t>
        </is>
      </c>
      <c r="D476" s="4" t="n">
        <v>45167</v>
      </c>
      <c r="E476" s="2" t="inlineStr">
        <is>
          <t>14:45</t>
        </is>
      </c>
      <c r="F476" s="5" t="n">
        <v>581.67</v>
      </c>
      <c r="G476" s="5" t="n"/>
      <c r="H476" s="5" t="n"/>
      <c r="I476" s="5" t="n"/>
      <c r="J476" s="5" t="n">
        <v>116.33</v>
      </c>
      <c r="K476" s="5" t="n"/>
      <c r="L476" s="5" t="n"/>
      <c r="M476" s="5" t="n"/>
      <c r="N476" s="5" t="n"/>
      <c r="O476" s="5" t="n">
        <v>698</v>
      </c>
      <c r="P476" s="5" t="n"/>
      <c r="Q476" s="5" t="n">
        <v>698</v>
      </c>
      <c r="R476" s="5" t="n"/>
      <c r="S476" s="5">
        <f>F476*20%</f>
        <v/>
      </c>
      <c r="T476" s="5">
        <f>J476-S476</f>
        <v/>
      </c>
      <c r="U476" s="5">
        <f>F476+J476</f>
        <v/>
      </c>
      <c r="V476" s="5">
        <f>O476-U476</f>
        <v/>
      </c>
      <c r="W476" s="5">
        <f>O476-(P476+R476)</f>
        <v/>
      </c>
      <c r="X476" s="5">
        <f>O476-(P476+Q476+R476)</f>
        <v/>
      </c>
    </row>
    <row r="477">
      <c r="A477" s="2" t="inlineStr">
        <is>
          <t>EJ010923.TXT</t>
        </is>
      </c>
      <c r="B477" s="3" t="inlineStr">
        <is>
          <t>005040</t>
        </is>
      </c>
      <c r="C477" s="3" t="inlineStr">
        <is>
          <t>004037</t>
        </is>
      </c>
      <c r="D477" s="4" t="n">
        <v>45167</v>
      </c>
      <c r="E477" s="2" t="inlineStr">
        <is>
          <t>14:46</t>
        </is>
      </c>
      <c r="F477" s="5" t="n">
        <v>581.67</v>
      </c>
      <c r="G477" s="5" t="n"/>
      <c r="H477" s="5" t="n"/>
      <c r="I477" s="5" t="n"/>
      <c r="J477" s="5" t="n">
        <v>116.33</v>
      </c>
      <c r="K477" s="5" t="n"/>
      <c r="L477" s="5" t="n"/>
      <c r="M477" s="5" t="n"/>
      <c r="N477" s="5" t="n"/>
      <c r="O477" s="5" t="n">
        <v>698</v>
      </c>
      <c r="P477" s="5" t="n"/>
      <c r="Q477" s="5" t="n">
        <v>698</v>
      </c>
      <c r="R477" s="5" t="n"/>
      <c r="S477" s="5">
        <f>F477*20%</f>
        <v/>
      </c>
      <c r="T477" s="5">
        <f>J477-S477</f>
        <v/>
      </c>
      <c r="U477" s="5">
        <f>F477+J477</f>
        <v/>
      </c>
      <c r="V477" s="5">
        <f>O477-U477</f>
        <v/>
      </c>
      <c r="W477" s="5">
        <f>O477-(P477+R477)</f>
        <v/>
      </c>
      <c r="X477" s="5">
        <f>O477-(P477+Q477+R477)</f>
        <v/>
      </c>
    </row>
    <row r="478">
      <c r="A478" s="2" t="inlineStr">
        <is>
          <t>EJ010923.TXT</t>
        </is>
      </c>
      <c r="B478" s="3" t="inlineStr">
        <is>
          <t>005041</t>
        </is>
      </c>
      <c r="C478" s="3" t="inlineStr">
        <is>
          <t>004038</t>
        </is>
      </c>
      <c r="D478" s="4" t="n">
        <v>45167</v>
      </c>
      <c r="E478" s="2" t="inlineStr">
        <is>
          <t>14:47</t>
        </is>
      </c>
      <c r="F478" s="5" t="n">
        <v>581.67</v>
      </c>
      <c r="G478" s="5" t="n"/>
      <c r="H478" s="5" t="n"/>
      <c r="I478" s="5" t="n"/>
      <c r="J478" s="5" t="n">
        <v>116.33</v>
      </c>
      <c r="K478" s="5" t="n"/>
      <c r="L478" s="5" t="n"/>
      <c r="M478" s="5" t="n"/>
      <c r="N478" s="5" t="n"/>
      <c r="O478" s="5" t="n">
        <v>698</v>
      </c>
      <c r="P478" s="5" t="n"/>
      <c r="Q478" s="5" t="n">
        <v>698</v>
      </c>
      <c r="R478" s="5" t="n"/>
      <c r="S478" s="5">
        <f>F478*20%</f>
        <v/>
      </c>
      <c r="T478" s="5">
        <f>J478-S478</f>
        <v/>
      </c>
      <c r="U478" s="5">
        <f>F478+J478</f>
        <v/>
      </c>
      <c r="V478" s="5">
        <f>O478-U478</f>
        <v/>
      </c>
      <c r="W478" s="5">
        <f>O478-(P478+R478)</f>
        <v/>
      </c>
      <c r="X478" s="5">
        <f>O478-(P478+Q478+R478)</f>
        <v/>
      </c>
    </row>
    <row r="479">
      <c r="A479" s="2" t="inlineStr">
        <is>
          <t>EJ010923.TXT</t>
        </is>
      </c>
      <c r="B479" s="3" t="inlineStr">
        <is>
          <t>005042</t>
        </is>
      </c>
      <c r="C479" s="3" t="inlineStr">
        <is>
          <t>004039</t>
        </is>
      </c>
      <c r="D479" s="4" t="n">
        <v>45167</v>
      </c>
      <c r="E479" s="2" t="inlineStr">
        <is>
          <t>15:32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/>
      <c r="Q479" s="5" t="n">
        <v>658</v>
      </c>
      <c r="R479" s="5" t="n"/>
      <c r="S479" s="5">
        <f>F479*20%</f>
        <v/>
      </c>
      <c r="T479" s="5">
        <f>J479-S479</f>
        <v/>
      </c>
      <c r="U479" s="5">
        <f>F479+J479</f>
        <v/>
      </c>
      <c r="V479" s="5">
        <f>O479-U479</f>
        <v/>
      </c>
      <c r="W479" s="5">
        <f>O479-(P479+R479)</f>
        <v/>
      </c>
      <c r="X479" s="5">
        <f>O479-(P479+Q479+R479)</f>
        <v/>
      </c>
    </row>
    <row r="480">
      <c r="A480" s="2" t="inlineStr">
        <is>
          <t>EJ010923.TXT</t>
        </is>
      </c>
      <c r="B480" s="3" t="inlineStr">
        <is>
          <t>005043</t>
        </is>
      </c>
      <c r="C480" s="3" t="inlineStr">
        <is>
          <t>004040</t>
        </is>
      </c>
      <c r="D480" s="4" t="n">
        <v>45167</v>
      </c>
      <c r="E480" s="2" t="inlineStr">
        <is>
          <t>15:58</t>
        </is>
      </c>
      <c r="F480" s="5" t="n">
        <v>822.5</v>
      </c>
      <c r="G480" s="5" t="n"/>
      <c r="H480" s="5" t="n"/>
      <c r="I480" s="5" t="n"/>
      <c r="J480" s="5" t="n">
        <v>164.5</v>
      </c>
      <c r="K480" s="5" t="n"/>
      <c r="L480" s="5" t="n"/>
      <c r="M480" s="5" t="n"/>
      <c r="N480" s="5" t="n"/>
      <c r="O480" s="5" t="n">
        <v>987</v>
      </c>
      <c r="P480" s="5" t="n"/>
      <c r="Q480" s="5" t="n">
        <v>987</v>
      </c>
      <c r="R480" s="5" t="n"/>
      <c r="S480" s="5">
        <f>F480*20%</f>
        <v/>
      </c>
      <c r="T480" s="5">
        <f>J480-S480</f>
        <v/>
      </c>
      <c r="U480" s="5">
        <f>F480+J480</f>
        <v/>
      </c>
      <c r="V480" s="5">
        <f>O480-U480</f>
        <v/>
      </c>
      <c r="W480" s="5">
        <f>O480-(P480+R480)</f>
        <v/>
      </c>
      <c r="X480" s="5">
        <f>O480-(P480+Q480+R480)</f>
        <v/>
      </c>
    </row>
    <row r="481">
      <c r="A481" s="2" t="inlineStr">
        <is>
          <t>EJ010923.TXT</t>
        </is>
      </c>
      <c r="B481" s="3" t="inlineStr">
        <is>
          <t>005044</t>
        </is>
      </c>
      <c r="C481" s="3" t="inlineStr">
        <is>
          <t>004041</t>
        </is>
      </c>
      <c r="D481" s="4" t="n">
        <v>45167</v>
      </c>
      <c r="E481" s="2" t="inlineStr">
        <is>
          <t>15:58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  <c r="S481" s="5">
        <f>F481*20%</f>
        <v/>
      </c>
      <c r="T481" s="5">
        <f>J481-S481</f>
        <v/>
      </c>
      <c r="U481" s="5">
        <f>F481+J481</f>
        <v/>
      </c>
      <c r="V481" s="5">
        <f>O481-U481</f>
        <v/>
      </c>
      <c r="W481" s="5">
        <f>O481-(P481+R481)</f>
        <v/>
      </c>
      <c r="X481" s="5">
        <f>O481-(P481+Q481+R481)</f>
        <v/>
      </c>
    </row>
    <row r="482">
      <c r="A482" s="2" t="inlineStr">
        <is>
          <t>EJ010923.TXT</t>
        </is>
      </c>
      <c r="B482" s="3" t="inlineStr">
        <is>
          <t>005045</t>
        </is>
      </c>
      <c r="C482" s="3" t="inlineStr">
        <is>
          <t>004042</t>
        </is>
      </c>
      <c r="D482" s="4" t="n">
        <v>45167</v>
      </c>
      <c r="E482" s="2" t="inlineStr">
        <is>
          <t>16:11</t>
        </is>
      </c>
      <c r="F482" s="5" t="n">
        <v>648.33</v>
      </c>
      <c r="G482" s="5" t="n"/>
      <c r="H482" s="5" t="n"/>
      <c r="I482" s="5" t="n"/>
      <c r="J482" s="5" t="n">
        <v>129.67</v>
      </c>
      <c r="K482" s="5" t="n"/>
      <c r="L482" s="5" t="n"/>
      <c r="M482" s="5" t="n"/>
      <c r="N482" s="5" t="n"/>
      <c r="O482" s="5" t="n">
        <v>778</v>
      </c>
      <c r="P482" s="5" t="n"/>
      <c r="Q482" s="5" t="n">
        <v>778</v>
      </c>
      <c r="R482" s="5" t="n"/>
      <c r="S482" s="5">
        <f>F482*20%</f>
        <v/>
      </c>
      <c r="T482" s="5">
        <f>J482-S482</f>
        <v/>
      </c>
      <c r="U482" s="5">
        <f>F482+J482</f>
        <v/>
      </c>
      <c r="V482" s="5">
        <f>O482-U482</f>
        <v/>
      </c>
      <c r="W482" s="5">
        <f>O482-(P482+R482)</f>
        <v/>
      </c>
      <c r="X482" s="5">
        <f>O482-(P482+Q482+R482)</f>
        <v/>
      </c>
    </row>
    <row r="483">
      <c r="A483" s="2" t="inlineStr">
        <is>
          <t>EJ010923.TXT</t>
        </is>
      </c>
      <c r="B483" s="3" t="inlineStr">
        <is>
          <t>005046</t>
        </is>
      </c>
      <c r="C483" s="3" t="inlineStr">
        <is>
          <t>004043</t>
        </is>
      </c>
      <c r="D483" s="4" t="n">
        <v>45167</v>
      </c>
      <c r="E483" s="2" t="inlineStr">
        <is>
          <t>16:11</t>
        </is>
      </c>
      <c r="F483" s="5" t="n">
        <v>648.33</v>
      </c>
      <c r="G483" s="5" t="n"/>
      <c r="H483" s="5" t="n"/>
      <c r="I483" s="5" t="n"/>
      <c r="J483" s="5" t="n">
        <v>129.67</v>
      </c>
      <c r="K483" s="5" t="n"/>
      <c r="L483" s="5" t="n"/>
      <c r="M483" s="5" t="n"/>
      <c r="N483" s="5" t="n"/>
      <c r="O483" s="5" t="n">
        <v>778</v>
      </c>
      <c r="P483" s="5" t="n"/>
      <c r="Q483" s="5" t="n">
        <v>778</v>
      </c>
      <c r="R483" s="5" t="n"/>
      <c r="S483" s="5">
        <f>F483*20%</f>
        <v/>
      </c>
      <c r="T483" s="5">
        <f>J483-S483</f>
        <v/>
      </c>
      <c r="U483" s="5">
        <f>F483+J483</f>
        <v/>
      </c>
      <c r="V483" s="5">
        <f>O483-U483</f>
        <v/>
      </c>
      <c r="W483" s="5">
        <f>O483-(P483+R483)</f>
        <v/>
      </c>
      <c r="X483" s="5">
        <f>O483-(P483+Q483+R483)</f>
        <v/>
      </c>
    </row>
    <row r="484">
      <c r="A484" s="2" t="inlineStr">
        <is>
          <t>EJ010923.TXT</t>
        </is>
      </c>
      <c r="B484" s="3" t="inlineStr">
        <is>
          <t>005047</t>
        </is>
      </c>
      <c r="C484" s="3" t="inlineStr">
        <is>
          <t>004044</t>
        </is>
      </c>
      <c r="D484" s="4" t="n">
        <v>45168</v>
      </c>
      <c r="E484" s="2" t="inlineStr">
        <is>
          <t>15:04</t>
        </is>
      </c>
      <c r="F484" s="5" t="n">
        <v>548.33</v>
      </c>
      <c r="G484" s="5" t="n"/>
      <c r="H484" s="5" t="n"/>
      <c r="I484" s="5" t="n"/>
      <c r="J484" s="5" t="n">
        <v>109.67</v>
      </c>
      <c r="K484" s="5" t="n"/>
      <c r="L484" s="5" t="n"/>
      <c r="M484" s="5" t="n"/>
      <c r="N484" s="5" t="n"/>
      <c r="O484" s="5" t="n">
        <v>658</v>
      </c>
      <c r="P484" s="5" t="n"/>
      <c r="Q484" s="5" t="n">
        <v>658</v>
      </c>
      <c r="R484" s="5" t="n"/>
      <c r="S484" s="5">
        <f>F484*20%</f>
        <v/>
      </c>
      <c r="T484" s="5">
        <f>J484-S484</f>
        <v/>
      </c>
      <c r="U484" s="5">
        <f>F484+J484</f>
        <v/>
      </c>
      <c r="V484" s="5">
        <f>O484-U484</f>
        <v/>
      </c>
      <c r="W484" s="5">
        <f>O484-(P484+R484)</f>
        <v/>
      </c>
      <c r="X484" s="5">
        <f>O484-(P484+Q484+R484)</f>
        <v/>
      </c>
    </row>
    <row r="485">
      <c r="A485" s="2" t="inlineStr">
        <is>
          <t>EJ010923.TXT</t>
        </is>
      </c>
      <c r="B485" s="3" t="inlineStr">
        <is>
          <t>005048</t>
        </is>
      </c>
      <c r="C485" s="3" t="inlineStr">
        <is>
          <t>004045</t>
        </is>
      </c>
      <c r="D485" s="4" t="n">
        <v>45169</v>
      </c>
      <c r="E485" s="2" t="inlineStr">
        <is>
          <t>15:52</t>
        </is>
      </c>
      <c r="F485" s="5" t="n">
        <v>866.67</v>
      </c>
      <c r="G485" s="5" t="n"/>
      <c r="H485" s="5" t="n"/>
      <c r="I485" s="5" t="n"/>
      <c r="J485" s="5" t="n">
        <v>173.33</v>
      </c>
      <c r="K485" s="5" t="n"/>
      <c r="L485" s="5" t="n"/>
      <c r="M485" s="5" t="n"/>
      <c r="N485" s="5" t="n"/>
      <c r="O485" s="5" t="n">
        <v>1040</v>
      </c>
      <c r="P485" s="5" t="n">
        <v>1040</v>
      </c>
      <c r="Q485" s="5" t="n"/>
      <c r="R485" s="5" t="n"/>
      <c r="S485" s="5">
        <f>F485*20%</f>
        <v/>
      </c>
      <c r="T485" s="5">
        <f>J485-S485</f>
        <v/>
      </c>
      <c r="U485" s="5">
        <f>F485+J485</f>
        <v/>
      </c>
      <c r="V485" s="5">
        <f>O485-U485</f>
        <v/>
      </c>
      <c r="W485" s="5">
        <f>O485-(P485+R485)</f>
        <v/>
      </c>
      <c r="X485" s="5">
        <f>O485-(P485+Q485+R485)</f>
        <v/>
      </c>
    </row>
    <row r="486">
      <c r="A486" s="2" t="inlineStr">
        <is>
          <t>EJ010923.TXT</t>
        </is>
      </c>
      <c r="B486" s="3" t="inlineStr">
        <is>
          <t>005049</t>
        </is>
      </c>
      <c r="C486" s="3" t="inlineStr">
        <is>
          <t>004046</t>
        </is>
      </c>
      <c r="D486" s="4" t="n">
        <v>45169</v>
      </c>
      <c r="E486" s="2" t="inlineStr">
        <is>
          <t>16:18</t>
        </is>
      </c>
      <c r="F486" s="5" t="n">
        <v>822.5</v>
      </c>
      <c r="G486" s="5" t="n"/>
      <c r="H486" s="5" t="n"/>
      <c r="I486" s="5" t="n"/>
      <c r="J486" s="5" t="n">
        <v>164.5</v>
      </c>
      <c r="K486" s="5" t="n"/>
      <c r="L486" s="5" t="n"/>
      <c r="M486" s="5" t="n"/>
      <c r="N486" s="5" t="n"/>
      <c r="O486" s="5" t="n">
        <v>987</v>
      </c>
      <c r="P486" s="5" t="n"/>
      <c r="Q486" s="5" t="n">
        <v>987</v>
      </c>
      <c r="R486" s="5" t="n"/>
      <c r="S486" s="5">
        <f>F486*20%</f>
        <v/>
      </c>
      <c r="T486" s="5">
        <f>J486-S486</f>
        <v/>
      </c>
      <c r="U486" s="5">
        <f>F486+J486</f>
        <v/>
      </c>
      <c r="V486" s="5">
        <f>O486-U486</f>
        <v/>
      </c>
      <c r="W486" s="5">
        <f>O486-(P486+R486)</f>
        <v/>
      </c>
      <c r="X486" s="5">
        <f>O486-(P486+Q486+R486)</f>
        <v/>
      </c>
    </row>
    <row r="487">
      <c r="A487" s="2" t="inlineStr">
        <is>
          <t>EJ010923.TXT</t>
        </is>
      </c>
      <c r="B487" s="3" t="inlineStr">
        <is>
          <t>005050</t>
        </is>
      </c>
      <c r="C487" s="3" t="inlineStr">
        <is>
          <t>004047</t>
        </is>
      </c>
      <c r="D487" s="4" t="n">
        <v>45169</v>
      </c>
      <c r="E487" s="2" t="inlineStr">
        <is>
          <t>16:19</t>
        </is>
      </c>
      <c r="F487" s="5" t="n">
        <v>822.5</v>
      </c>
      <c r="G487" s="5" t="n"/>
      <c r="H487" s="5" t="n"/>
      <c r="I487" s="5" t="n"/>
      <c r="J487" s="5" t="n">
        <v>164.5</v>
      </c>
      <c r="K487" s="5" t="n"/>
      <c r="L487" s="5" t="n"/>
      <c r="M487" s="5" t="n"/>
      <c r="N487" s="5" t="n"/>
      <c r="O487" s="5" t="n">
        <v>987</v>
      </c>
      <c r="P487" s="5" t="n"/>
      <c r="Q487" s="5" t="n">
        <v>987</v>
      </c>
      <c r="R487" s="5" t="n"/>
      <c r="S487" s="5">
        <f>F487*20%</f>
        <v/>
      </c>
      <c r="T487" s="5">
        <f>J487-S487</f>
        <v/>
      </c>
      <c r="U487" s="5">
        <f>F487+J487</f>
        <v/>
      </c>
      <c r="V487" s="5">
        <f>O487-U487</f>
        <v/>
      </c>
      <c r="W487" s="5">
        <f>O487-(P487+R487)</f>
        <v/>
      </c>
      <c r="X487" s="5">
        <f>O487-(P487+Q487+R487)</f>
        <v/>
      </c>
    </row>
    <row r="488">
      <c r="A488" s="2" t="inlineStr">
        <is>
          <t>EJ010923.TXT</t>
        </is>
      </c>
      <c r="B488" s="3" t="inlineStr">
        <is>
          <t>005051</t>
        </is>
      </c>
      <c r="C488" s="3" t="inlineStr">
        <is>
          <t>004048</t>
        </is>
      </c>
      <c r="D488" s="4" t="n">
        <v>45169</v>
      </c>
      <c r="E488" s="2" t="inlineStr">
        <is>
          <t>17:12</t>
        </is>
      </c>
      <c r="F488" s="5" t="n">
        <v>822.5</v>
      </c>
      <c r="G488" s="5" t="n"/>
      <c r="H488" s="5" t="n"/>
      <c r="I488" s="5" t="n"/>
      <c r="J488" s="5" t="n">
        <v>164.5</v>
      </c>
      <c r="K488" s="5" t="n"/>
      <c r="L488" s="5" t="n"/>
      <c r="M488" s="5" t="n"/>
      <c r="N488" s="5" t="n"/>
      <c r="O488" s="5" t="n">
        <v>987</v>
      </c>
      <c r="P488" s="5" t="n"/>
      <c r="Q488" s="5" t="n">
        <v>987</v>
      </c>
      <c r="R488" s="5" t="n"/>
      <c r="S488" s="5">
        <f>F488*20%</f>
        <v/>
      </c>
      <c r="T488" s="5">
        <f>J488-S488</f>
        <v/>
      </c>
      <c r="U488" s="5">
        <f>F488+J488</f>
        <v/>
      </c>
      <c r="V488" s="5">
        <f>O488-U488</f>
        <v/>
      </c>
      <c r="W488" s="5">
        <f>O488-(P488+R488)</f>
        <v/>
      </c>
      <c r="X488" s="5">
        <f>O488-(P488+Q488+R488)</f>
        <v/>
      </c>
    </row>
    <row r="489">
      <c r="A489" s="2" t="inlineStr">
        <is>
          <t>EJ010923.TXT</t>
        </is>
      </c>
      <c r="B489" s="3" t="inlineStr">
        <is>
          <t>005052</t>
        </is>
      </c>
      <c r="C489" s="3" t="inlineStr">
        <is>
          <t>004049</t>
        </is>
      </c>
      <c r="D489" s="4" t="n">
        <v>45169</v>
      </c>
      <c r="E489" s="2" t="inlineStr">
        <is>
          <t>17:13</t>
        </is>
      </c>
      <c r="F489" s="5" t="n">
        <v>274.17</v>
      </c>
      <c r="G489" s="5" t="n"/>
      <c r="H489" s="5" t="n"/>
      <c r="I489" s="5" t="n"/>
      <c r="J489" s="5" t="n">
        <v>54.83</v>
      </c>
      <c r="K489" s="5" t="n"/>
      <c r="L489" s="5" t="n"/>
      <c r="M489" s="5" t="n"/>
      <c r="N489" s="5" t="n"/>
      <c r="O489" s="5" t="n">
        <v>329</v>
      </c>
      <c r="P489" s="5" t="n"/>
      <c r="Q489" s="5" t="n">
        <v>329</v>
      </c>
      <c r="R489" s="5" t="n"/>
      <c r="S489" s="5">
        <f>F489*20%</f>
        <v/>
      </c>
      <c r="T489" s="5">
        <f>J489-S489</f>
        <v/>
      </c>
      <c r="U489" s="5">
        <f>F489+J489</f>
        <v/>
      </c>
      <c r="V489" s="5">
        <f>O489-U489</f>
        <v/>
      </c>
      <c r="W489" s="5">
        <f>O489-(P489+R489)</f>
        <v/>
      </c>
      <c r="X489" s="5">
        <f>O489-(P489+Q489+R489)</f>
        <v/>
      </c>
    </row>
    <row r="490">
      <c r="A490" s="2" t="inlineStr">
        <is>
          <t>EJ010923.TXT</t>
        </is>
      </c>
      <c r="B490" s="3" t="inlineStr">
        <is>
          <t>005053</t>
        </is>
      </c>
      <c r="C490" s="3" t="inlineStr">
        <is>
          <t>004050</t>
        </is>
      </c>
      <c r="D490" s="4" t="n">
        <v>45170</v>
      </c>
      <c r="E490" s="2" t="inlineStr">
        <is>
          <t>17:41</t>
        </is>
      </c>
      <c r="F490" s="5" t="n">
        <v>274.17</v>
      </c>
      <c r="G490" s="5" t="n"/>
      <c r="H490" s="5" t="n"/>
      <c r="I490" s="5" t="n"/>
      <c r="J490" s="5" t="n">
        <v>54.83</v>
      </c>
      <c r="K490" s="5" t="n"/>
      <c r="L490" s="5" t="n"/>
      <c r="M490" s="5" t="n"/>
      <c r="N490" s="5" t="n"/>
      <c r="O490" s="5" t="n">
        <v>329</v>
      </c>
      <c r="P490" s="5" t="n"/>
      <c r="Q490" s="5" t="n">
        <v>329</v>
      </c>
      <c r="R490" s="5" t="n"/>
      <c r="S490" s="5">
        <f>F490*20%</f>
        <v/>
      </c>
      <c r="T490" s="5">
        <f>J490-S490</f>
        <v/>
      </c>
      <c r="U490" s="5">
        <f>F490+J490</f>
        <v/>
      </c>
      <c r="V490" s="5">
        <f>O490-U490</f>
        <v/>
      </c>
      <c r="W490" s="5">
        <f>O490-(P490+R490)</f>
        <v/>
      </c>
      <c r="X490" s="5">
        <f>O490-(P490+Q490+R490)</f>
        <v/>
      </c>
    </row>
    <row r="491">
      <c r="A491" s="2" t="inlineStr">
        <is>
          <t>EJ011023.TXT</t>
        </is>
      </c>
      <c r="B491" s="3" t="inlineStr">
        <is>
          <t>005061</t>
        </is>
      </c>
      <c r="C491" s="3" t="inlineStr">
        <is>
          <t>004051</t>
        </is>
      </c>
      <c r="D491" s="4" t="n">
        <v>45170</v>
      </c>
      <c r="E491" s="2" t="inlineStr">
        <is>
          <t>19:18</t>
        </is>
      </c>
      <c r="F491" s="5" t="n">
        <v>0.83</v>
      </c>
      <c r="G491" s="5" t="n"/>
      <c r="H491" s="5" t="n"/>
      <c r="I491" s="5" t="n"/>
      <c r="J491" s="5" t="n">
        <v>0.17</v>
      </c>
      <c r="K491" s="5" t="n"/>
      <c r="L491" s="5" t="n"/>
      <c r="M491" s="5" t="n"/>
      <c r="N491" s="5" t="n"/>
      <c r="O491" s="5" t="n">
        <v>1</v>
      </c>
      <c r="P491" s="5" t="n"/>
      <c r="Q491" s="5" t="n">
        <v>1</v>
      </c>
      <c r="R491" s="5" t="n"/>
      <c r="S491" s="5">
        <f>F491*20%</f>
        <v/>
      </c>
      <c r="T491" s="5">
        <f>J491-S491</f>
        <v/>
      </c>
      <c r="U491" s="5">
        <f>F491+J491</f>
        <v/>
      </c>
      <c r="V491" s="5">
        <f>O491-U491</f>
        <v/>
      </c>
      <c r="W491" s="5">
        <f>O491-(P491+R491)</f>
        <v/>
      </c>
      <c r="X491" s="5">
        <f>O491-(P491+Q491+R491)</f>
        <v/>
      </c>
    </row>
    <row r="492">
      <c r="A492" s="2" t="inlineStr">
        <is>
          <t>EJ011023.TXT</t>
        </is>
      </c>
      <c r="B492" s="3" t="inlineStr">
        <is>
          <t>005062</t>
        </is>
      </c>
      <c r="C492" s="3" t="inlineStr">
        <is>
          <t>004052</t>
        </is>
      </c>
      <c r="D492" s="4" t="n">
        <v>45171</v>
      </c>
      <c r="E492" s="2" t="inlineStr">
        <is>
          <t>14:54</t>
        </is>
      </c>
      <c r="F492" s="5" t="n">
        <v>274.17</v>
      </c>
      <c r="G492" s="5" t="n"/>
      <c r="H492" s="5" t="n"/>
      <c r="I492" s="5" t="n"/>
      <c r="J492" s="5" t="n">
        <v>54.83</v>
      </c>
      <c r="K492" s="5" t="n"/>
      <c r="L492" s="5" t="n"/>
      <c r="M492" s="5" t="n"/>
      <c r="N492" s="5" t="n"/>
      <c r="O492" s="5" t="n">
        <v>329</v>
      </c>
      <c r="P492" s="5" t="n">
        <v>329</v>
      </c>
      <c r="Q492" s="5" t="n"/>
      <c r="R492" s="5" t="n"/>
      <c r="S492" s="5">
        <f>F492*20%</f>
        <v/>
      </c>
      <c r="T492" s="5">
        <f>J492-S492</f>
        <v/>
      </c>
      <c r="U492" s="5">
        <f>F492+J492</f>
        <v/>
      </c>
      <c r="V492" s="5">
        <f>O492-U492</f>
        <v/>
      </c>
      <c r="W492" s="5">
        <f>O492-(P492+R492)</f>
        <v/>
      </c>
      <c r="X492" s="5">
        <f>O492-(P492+Q492+R492)</f>
        <v/>
      </c>
    </row>
    <row r="493">
      <c r="A493" s="2" t="inlineStr">
        <is>
          <t>EJ011023.TXT</t>
        </is>
      </c>
      <c r="B493" s="3" t="inlineStr">
        <is>
          <t>005063</t>
        </is>
      </c>
      <c r="C493" s="3" t="inlineStr">
        <is>
          <t>004053</t>
        </is>
      </c>
      <c r="D493" s="4" t="n">
        <v>45171</v>
      </c>
      <c r="E493" s="2" t="inlineStr">
        <is>
          <t>15:37</t>
        </is>
      </c>
      <c r="F493" s="5" t="n">
        <v>274.17</v>
      </c>
      <c r="G493" s="5" t="n"/>
      <c r="H493" s="5" t="n"/>
      <c r="I493" s="5" t="n"/>
      <c r="J493" s="5" t="n">
        <v>54.83</v>
      </c>
      <c r="K493" s="5" t="n"/>
      <c r="L493" s="5" t="n"/>
      <c r="M493" s="5" t="n"/>
      <c r="N493" s="5" t="n"/>
      <c r="O493" s="5" t="n">
        <v>329</v>
      </c>
      <c r="P493" s="5" t="n"/>
      <c r="Q493" s="5" t="n">
        <v>329</v>
      </c>
      <c r="R493" s="5" t="n"/>
      <c r="S493" s="5">
        <f>F493*20%</f>
        <v/>
      </c>
      <c r="T493" s="5">
        <f>J493-S493</f>
        <v/>
      </c>
      <c r="U493" s="5">
        <f>F493+J493</f>
        <v/>
      </c>
      <c r="V493" s="5">
        <f>O493-U493</f>
        <v/>
      </c>
      <c r="W493" s="5">
        <f>O493-(P493+R493)</f>
        <v/>
      </c>
      <c r="X493" s="5">
        <f>O493-(P493+Q493+R493)</f>
        <v/>
      </c>
    </row>
    <row r="494">
      <c r="A494" s="2" t="inlineStr">
        <is>
          <t>EJ011023.TXT</t>
        </is>
      </c>
      <c r="B494" s="3" t="inlineStr">
        <is>
          <t>005064</t>
        </is>
      </c>
      <c r="C494" s="3" t="inlineStr">
        <is>
          <t>004054</t>
        </is>
      </c>
      <c r="D494" s="4" t="n">
        <v>45171</v>
      </c>
      <c r="E494" s="2" t="inlineStr">
        <is>
          <t>17:12</t>
        </is>
      </c>
      <c r="F494" s="5" t="n">
        <v>548.33</v>
      </c>
      <c r="G494" s="5" t="n"/>
      <c r="H494" s="5" t="n"/>
      <c r="I494" s="5" t="n"/>
      <c r="J494" s="5" t="n">
        <v>109.67</v>
      </c>
      <c r="K494" s="5" t="n"/>
      <c r="L494" s="5" t="n"/>
      <c r="M494" s="5" t="n"/>
      <c r="N494" s="5" t="n"/>
      <c r="O494" s="5" t="n">
        <v>658</v>
      </c>
      <c r="P494" s="5" t="n">
        <v>658</v>
      </c>
      <c r="Q494" s="5" t="n"/>
      <c r="R494" s="5" t="n"/>
      <c r="S494" s="5">
        <f>F494*20%</f>
        <v/>
      </c>
      <c r="T494" s="5">
        <f>J494-S494</f>
        <v/>
      </c>
      <c r="U494" s="5">
        <f>F494+J494</f>
        <v/>
      </c>
      <c r="V494" s="5">
        <f>O494-U494</f>
        <v/>
      </c>
      <c r="W494" s="5">
        <f>O494-(P494+R494)</f>
        <v/>
      </c>
      <c r="X494" s="5">
        <f>O494-(P494+Q494+R494)</f>
        <v/>
      </c>
    </row>
    <row r="495">
      <c r="A495" s="2" t="inlineStr">
        <is>
          <t>EJ011023.TXT</t>
        </is>
      </c>
      <c r="B495" s="3" t="inlineStr">
        <is>
          <t>005065</t>
        </is>
      </c>
      <c r="C495" s="3" t="inlineStr">
        <is>
          <t>004055</t>
        </is>
      </c>
      <c r="D495" s="4" t="n">
        <v>45173</v>
      </c>
      <c r="E495" s="2" t="inlineStr">
        <is>
          <t>14:00</t>
        </is>
      </c>
      <c r="F495" s="5" t="n">
        <v>124.17</v>
      </c>
      <c r="G495" s="5" t="n"/>
      <c r="H495" s="5" t="n"/>
      <c r="I495" s="5" t="n"/>
      <c r="J495" s="5" t="n">
        <v>24.83</v>
      </c>
      <c r="K495" s="5" t="n"/>
      <c r="L495" s="5" t="n"/>
      <c r="M495" s="5" t="n"/>
      <c r="N495" s="5" t="n"/>
      <c r="O495" s="5" t="n">
        <v>149</v>
      </c>
      <c r="P495" s="5" t="n"/>
      <c r="Q495" s="5" t="n">
        <v>149</v>
      </c>
      <c r="R495" s="5" t="n"/>
      <c r="S495" s="5">
        <f>F495*20%</f>
        <v/>
      </c>
      <c r="T495" s="5">
        <f>J495-S495</f>
        <v/>
      </c>
      <c r="U495" s="5">
        <f>F495+J495</f>
        <v/>
      </c>
      <c r="V495" s="5">
        <f>O495-U495</f>
        <v/>
      </c>
      <c r="W495" s="5">
        <f>O495-(P495+R495)</f>
        <v/>
      </c>
      <c r="X495" s="5">
        <f>O495-(P495+Q495+R495)</f>
        <v/>
      </c>
    </row>
    <row r="496">
      <c r="A496" s="2" t="inlineStr">
        <is>
          <t>EJ011023.TXT</t>
        </is>
      </c>
      <c r="B496" s="3" t="inlineStr">
        <is>
          <t>005066</t>
        </is>
      </c>
      <c r="C496" s="3" t="inlineStr">
        <is>
          <t>004056</t>
        </is>
      </c>
      <c r="D496" s="4" t="n">
        <v>45174</v>
      </c>
      <c r="E496" s="2" t="inlineStr">
        <is>
          <t>17:27</t>
        </is>
      </c>
      <c r="F496" s="5" t="n">
        <v>646.67</v>
      </c>
      <c r="G496" s="5" t="n"/>
      <c r="H496" s="5" t="n"/>
      <c r="I496" s="5" t="n"/>
      <c r="J496" s="5" t="n">
        <v>129.33</v>
      </c>
      <c r="K496" s="5" t="n"/>
      <c r="L496" s="5" t="n"/>
      <c r="M496" s="5" t="n"/>
      <c r="N496" s="5" t="n"/>
      <c r="O496" s="5" t="n">
        <v>776</v>
      </c>
      <c r="P496" s="5" t="n">
        <v>776</v>
      </c>
      <c r="Q496" s="5" t="n"/>
      <c r="R496" s="5" t="n"/>
      <c r="S496" s="5">
        <f>F496*20%</f>
        <v/>
      </c>
      <c r="T496" s="5">
        <f>J496-S496</f>
        <v/>
      </c>
      <c r="U496" s="5">
        <f>F496+J496</f>
        <v/>
      </c>
      <c r="V496" s="5">
        <f>O496-U496</f>
        <v/>
      </c>
      <c r="W496" s="5">
        <f>O496-(P496+R496)</f>
        <v/>
      </c>
      <c r="X496" s="5">
        <f>O496-(P496+Q496+R496)</f>
        <v/>
      </c>
    </row>
    <row r="497">
      <c r="A497" s="2" t="inlineStr">
        <is>
          <t>EJ011023.TXT</t>
        </is>
      </c>
      <c r="B497" s="3" t="inlineStr">
        <is>
          <t>005067</t>
        </is>
      </c>
      <c r="C497" s="3" t="inlineStr">
        <is>
          <t>004057</t>
        </is>
      </c>
      <c r="D497" s="4" t="n">
        <v>45175</v>
      </c>
      <c r="E497" s="2" t="inlineStr">
        <is>
          <t>14:21</t>
        </is>
      </c>
      <c r="F497" s="5" t="n">
        <v>1595</v>
      </c>
      <c r="G497" s="5" t="n"/>
      <c r="H497" s="5" t="n"/>
      <c r="I497" s="5" t="n"/>
      <c r="J497" s="5" t="n">
        <v>319</v>
      </c>
      <c r="K497" s="5" t="n"/>
      <c r="L497" s="5" t="n"/>
      <c r="M497" s="5" t="n"/>
      <c r="N497" s="5" t="n"/>
      <c r="O497" s="5" t="n">
        <v>1914</v>
      </c>
      <c r="P497" s="5" t="n">
        <v>1914</v>
      </c>
      <c r="Q497" s="5" t="n"/>
      <c r="R497" s="5" t="n"/>
      <c r="S497" s="5">
        <f>F497*20%</f>
        <v/>
      </c>
      <c r="T497" s="5">
        <f>J497-S497</f>
        <v/>
      </c>
      <c r="U497" s="5">
        <f>F497+J497</f>
        <v/>
      </c>
      <c r="V497" s="5">
        <f>O497-U497</f>
        <v/>
      </c>
      <c r="W497" s="5">
        <f>O497-(P497+R497)</f>
        <v/>
      </c>
      <c r="X497" s="5">
        <f>O497-(P497+Q497+R497)</f>
        <v/>
      </c>
    </row>
    <row r="498">
      <c r="A498" s="2" t="inlineStr">
        <is>
          <t>EJ011023.TXT</t>
        </is>
      </c>
      <c r="B498" s="3" t="inlineStr">
        <is>
          <t>005068</t>
        </is>
      </c>
      <c r="C498" s="3" t="inlineStr">
        <is>
          <t>004058</t>
        </is>
      </c>
      <c r="D498" s="4" t="n">
        <v>45175</v>
      </c>
      <c r="E498" s="2" t="inlineStr">
        <is>
          <t>14:23</t>
        </is>
      </c>
      <c r="F498" s="5" t="n">
        <v>822.5</v>
      </c>
      <c r="G498" s="5" t="n"/>
      <c r="H498" s="5" t="n"/>
      <c r="I498" s="5" t="n"/>
      <c r="J498" s="5" t="n">
        <v>164.5</v>
      </c>
      <c r="K498" s="5" t="n"/>
      <c r="L498" s="5" t="n"/>
      <c r="M498" s="5" t="n"/>
      <c r="N498" s="5" t="n"/>
      <c r="O498" s="5" t="n">
        <v>987</v>
      </c>
      <c r="P498" s="5" t="n"/>
      <c r="Q498" s="5" t="n">
        <v>987</v>
      </c>
      <c r="R498" s="5" t="n"/>
      <c r="S498" s="5">
        <f>F498*20%</f>
        <v/>
      </c>
      <c r="T498" s="5">
        <f>J498-S498</f>
        <v/>
      </c>
      <c r="U498" s="5">
        <f>F498+J498</f>
        <v/>
      </c>
      <c r="V498" s="5">
        <f>O498-U498</f>
        <v/>
      </c>
      <c r="W498" s="5">
        <f>O498-(P498+R498)</f>
        <v/>
      </c>
      <c r="X498" s="5">
        <f>O498-(P498+Q498+R498)</f>
        <v/>
      </c>
    </row>
    <row r="499">
      <c r="A499" s="2" t="inlineStr">
        <is>
          <t>EJ011023.TXT</t>
        </is>
      </c>
      <c r="B499" s="3" t="inlineStr">
        <is>
          <t>005069</t>
        </is>
      </c>
      <c r="C499" s="3" t="inlineStr">
        <is>
          <t>004059</t>
        </is>
      </c>
      <c r="D499" s="4" t="n">
        <v>45175</v>
      </c>
      <c r="E499" s="2" t="inlineStr">
        <is>
          <t>14:23</t>
        </is>
      </c>
      <c r="F499" s="5" t="n">
        <v>274.17</v>
      </c>
      <c r="G499" s="5" t="n"/>
      <c r="H499" s="5" t="n"/>
      <c r="I499" s="5" t="n"/>
      <c r="J499" s="5" t="n">
        <v>54.83</v>
      </c>
      <c r="K499" s="5" t="n"/>
      <c r="L499" s="5" t="n"/>
      <c r="M499" s="5" t="n"/>
      <c r="N499" s="5" t="n"/>
      <c r="O499" s="5" t="n">
        <v>329</v>
      </c>
      <c r="P499" s="5" t="n"/>
      <c r="Q499" s="5" t="n">
        <v>329</v>
      </c>
      <c r="R499" s="5" t="n"/>
      <c r="S499" s="5">
        <f>F499*20%</f>
        <v/>
      </c>
      <c r="T499" s="5">
        <f>J499-S499</f>
        <v/>
      </c>
      <c r="U499" s="5">
        <f>F499+J499</f>
        <v/>
      </c>
      <c r="V499" s="5">
        <f>O499-U499</f>
        <v/>
      </c>
      <c r="W499" s="5">
        <f>O499-(P499+R499)</f>
        <v/>
      </c>
      <c r="X499" s="5">
        <f>O499-(P499+Q499+R499)</f>
        <v/>
      </c>
    </row>
    <row r="500">
      <c r="A500" s="2" t="inlineStr">
        <is>
          <t>EJ011023.TXT</t>
        </is>
      </c>
      <c r="B500" s="3" t="inlineStr">
        <is>
          <t>005070</t>
        </is>
      </c>
      <c r="C500" s="3" t="inlineStr">
        <is>
          <t>004060</t>
        </is>
      </c>
      <c r="D500" s="4" t="n">
        <v>45176</v>
      </c>
      <c r="E500" s="2" t="inlineStr">
        <is>
          <t>10:21</t>
        </is>
      </c>
      <c r="F500" s="5" t="n">
        <v>531.67</v>
      </c>
      <c r="G500" s="5" t="n"/>
      <c r="H500" s="5" t="n"/>
      <c r="I500" s="5" t="n"/>
      <c r="J500" s="5" t="n">
        <v>106.33</v>
      </c>
      <c r="K500" s="5" t="n"/>
      <c r="L500" s="5" t="n"/>
      <c r="M500" s="5" t="n"/>
      <c r="N500" s="5" t="n"/>
      <c r="O500" s="5" t="n">
        <v>638</v>
      </c>
      <c r="P500" s="5" t="n"/>
      <c r="Q500" s="5" t="n">
        <v>638</v>
      </c>
      <c r="R500" s="5" t="n"/>
      <c r="S500" s="5">
        <f>F500*20%</f>
        <v/>
      </c>
      <c r="T500" s="5">
        <f>J500-S500</f>
        <v/>
      </c>
      <c r="U500" s="5">
        <f>F500+J500</f>
        <v/>
      </c>
      <c r="V500" s="5">
        <f>O500-U500</f>
        <v/>
      </c>
      <c r="W500" s="5">
        <f>O500-(P500+R500)</f>
        <v/>
      </c>
      <c r="X500" s="5">
        <f>O500-(P500+Q500+R500)</f>
        <v/>
      </c>
    </row>
    <row r="501">
      <c r="A501" s="2" t="inlineStr">
        <is>
          <t>EJ011023.TXT</t>
        </is>
      </c>
      <c r="B501" s="3" t="inlineStr">
        <is>
          <t>005071</t>
        </is>
      </c>
      <c r="C501" s="3" t="inlineStr">
        <is>
          <t>004061</t>
        </is>
      </c>
      <c r="D501" s="4" t="n">
        <v>45177</v>
      </c>
      <c r="E501" s="2" t="inlineStr">
        <is>
          <t>09:54</t>
        </is>
      </c>
      <c r="F501" s="5" t="n">
        <v>414.17</v>
      </c>
      <c r="G501" s="5" t="n"/>
      <c r="H501" s="5" t="n"/>
      <c r="I501" s="5" t="n"/>
      <c r="J501" s="5" t="n">
        <v>82.83</v>
      </c>
      <c r="K501" s="5" t="n"/>
      <c r="L501" s="5" t="n"/>
      <c r="M501" s="5" t="n"/>
      <c r="N501" s="5" t="n"/>
      <c r="O501" s="5" t="n">
        <v>497</v>
      </c>
      <c r="P501" s="5" t="n">
        <v>497</v>
      </c>
      <c r="Q501" s="5" t="n"/>
      <c r="R501" s="5" t="n"/>
      <c r="S501" s="5">
        <f>F501*20%</f>
        <v/>
      </c>
      <c r="T501" s="5">
        <f>J501-S501</f>
        <v/>
      </c>
      <c r="U501" s="5">
        <f>F501+J501</f>
        <v/>
      </c>
      <c r="V501" s="5">
        <f>O501-U501</f>
        <v/>
      </c>
      <c r="W501" s="5">
        <f>O501-(P501+R501)</f>
        <v/>
      </c>
      <c r="X501" s="5">
        <f>O501-(P501+Q501+R501)</f>
        <v/>
      </c>
    </row>
    <row r="502">
      <c r="A502" s="2" t="inlineStr">
        <is>
          <t>EJ011023.TXT</t>
        </is>
      </c>
      <c r="B502" s="3" t="inlineStr">
        <is>
          <t>005072</t>
        </is>
      </c>
      <c r="C502" s="3" t="inlineStr">
        <is>
          <t>004062</t>
        </is>
      </c>
      <c r="D502" s="4" t="n">
        <v>45178</v>
      </c>
      <c r="E502" s="2" t="inlineStr">
        <is>
          <t>13:44</t>
        </is>
      </c>
      <c r="F502" s="5" t="n">
        <v>199.17</v>
      </c>
      <c r="G502" s="5" t="n"/>
      <c r="H502" s="5" t="n"/>
      <c r="I502" s="5" t="n"/>
      <c r="J502" s="5" t="n">
        <v>39.83</v>
      </c>
      <c r="K502" s="5" t="n"/>
      <c r="L502" s="5" t="n"/>
      <c r="M502" s="5" t="n"/>
      <c r="N502" s="5" t="n"/>
      <c r="O502" s="5" t="n">
        <v>239</v>
      </c>
      <c r="P502" s="5" t="n">
        <v>239</v>
      </c>
      <c r="Q502" s="5" t="n"/>
      <c r="R502" s="5" t="n"/>
      <c r="S502" s="5">
        <f>F502*20%</f>
        <v/>
      </c>
      <c r="T502" s="5">
        <f>J502-S502</f>
        <v/>
      </c>
      <c r="U502" s="5">
        <f>F502+J502</f>
        <v/>
      </c>
      <c r="V502" s="5">
        <f>O502-U502</f>
        <v/>
      </c>
      <c r="W502" s="5">
        <f>O502-(P502+R502)</f>
        <v/>
      </c>
      <c r="X502" s="5">
        <f>O502-(P502+Q502+R502)</f>
        <v/>
      </c>
    </row>
    <row r="503">
      <c r="A503" s="2" t="inlineStr">
        <is>
          <t>EJ011023.TXT</t>
        </is>
      </c>
      <c r="B503" s="3" t="inlineStr">
        <is>
          <t>005073</t>
        </is>
      </c>
      <c r="C503" s="3" t="inlineStr">
        <is>
          <t>004063</t>
        </is>
      </c>
      <c r="D503" s="4" t="n">
        <v>45180</v>
      </c>
      <c r="E503" s="2" t="inlineStr">
        <is>
          <t>16:23</t>
        </is>
      </c>
      <c r="F503" s="5" t="n">
        <v>1595</v>
      </c>
      <c r="G503" s="5" t="n"/>
      <c r="H503" s="5" t="n"/>
      <c r="I503" s="5" t="n"/>
      <c r="J503" s="5" t="n">
        <v>319</v>
      </c>
      <c r="K503" s="5" t="n"/>
      <c r="L503" s="5" t="n"/>
      <c r="M503" s="5" t="n"/>
      <c r="N503" s="5" t="n"/>
      <c r="O503" s="5" t="n">
        <v>1914</v>
      </c>
      <c r="P503" s="5" t="n">
        <v>1914</v>
      </c>
      <c r="Q503" s="5" t="n"/>
      <c r="R503" s="5" t="n"/>
      <c r="S503" s="5">
        <f>F503*20%</f>
        <v/>
      </c>
      <c r="T503" s="5">
        <f>J503-S503</f>
        <v/>
      </c>
      <c r="U503" s="5">
        <f>F503+J503</f>
        <v/>
      </c>
      <c r="V503" s="5">
        <f>O503-U503</f>
        <v/>
      </c>
      <c r="W503" s="5">
        <f>O503-(P503+R503)</f>
        <v/>
      </c>
      <c r="X503" s="5">
        <f>O503-(P503+Q503+R503)</f>
        <v/>
      </c>
    </row>
    <row r="504">
      <c r="A504" s="2" t="inlineStr">
        <is>
          <t>EJ011023.TXT</t>
        </is>
      </c>
      <c r="B504" s="3" t="inlineStr">
        <is>
          <t>005074</t>
        </is>
      </c>
      <c r="C504" s="3" t="inlineStr">
        <is>
          <t>004064</t>
        </is>
      </c>
      <c r="D504" s="4" t="n">
        <v>45180</v>
      </c>
      <c r="E504" s="2" t="inlineStr">
        <is>
          <t>16:24</t>
        </is>
      </c>
      <c r="F504" s="5" t="n">
        <v>822.5</v>
      </c>
      <c r="G504" s="5" t="n"/>
      <c r="H504" s="5" t="n"/>
      <c r="I504" s="5" t="n"/>
      <c r="J504" s="5" t="n">
        <v>164.5</v>
      </c>
      <c r="K504" s="5" t="n"/>
      <c r="L504" s="5" t="n"/>
      <c r="M504" s="5" t="n"/>
      <c r="N504" s="5" t="n"/>
      <c r="O504" s="5" t="n">
        <v>987</v>
      </c>
      <c r="P504" s="5" t="n"/>
      <c r="Q504" s="5" t="n">
        <v>987</v>
      </c>
      <c r="R504" s="5" t="n"/>
      <c r="S504" s="5">
        <f>F504*20%</f>
        <v/>
      </c>
      <c r="T504" s="5">
        <f>J504-S504</f>
        <v/>
      </c>
      <c r="U504" s="5">
        <f>F504+J504</f>
        <v/>
      </c>
      <c r="V504" s="5">
        <f>O504-U504</f>
        <v/>
      </c>
      <c r="W504" s="5">
        <f>O504-(P504+R504)</f>
        <v/>
      </c>
      <c r="X504" s="5">
        <f>O504-(P504+Q504+R504)</f>
        <v/>
      </c>
    </row>
    <row r="505">
      <c r="A505" s="2" t="inlineStr">
        <is>
          <t>EJ011023.TXT</t>
        </is>
      </c>
      <c r="B505" s="3" t="inlineStr">
        <is>
          <t>005075</t>
        </is>
      </c>
      <c r="C505" s="3" t="inlineStr">
        <is>
          <t>004065</t>
        </is>
      </c>
      <c r="D505" s="4" t="n">
        <v>45180</v>
      </c>
      <c r="E505" s="2" t="inlineStr">
        <is>
          <t>16:25</t>
        </is>
      </c>
      <c r="F505" s="5" t="n">
        <v>822.5</v>
      </c>
      <c r="G505" s="5" t="n"/>
      <c r="H505" s="5" t="n"/>
      <c r="I505" s="5" t="n"/>
      <c r="J505" s="5" t="n">
        <v>164.5</v>
      </c>
      <c r="K505" s="5" t="n"/>
      <c r="L505" s="5" t="n"/>
      <c r="M505" s="5" t="n"/>
      <c r="N505" s="5" t="n"/>
      <c r="O505" s="5" t="n">
        <v>987</v>
      </c>
      <c r="P505" s="5" t="n"/>
      <c r="Q505" s="5" t="n">
        <v>987</v>
      </c>
      <c r="R505" s="5" t="n"/>
      <c r="S505" s="5">
        <f>F505*20%</f>
        <v/>
      </c>
      <c r="T505" s="5">
        <f>J505-S505</f>
        <v/>
      </c>
      <c r="U505" s="5">
        <f>F505+J505</f>
        <v/>
      </c>
      <c r="V505" s="5">
        <f>O505-U505</f>
        <v/>
      </c>
      <c r="W505" s="5">
        <f>O505-(P505+R505)</f>
        <v/>
      </c>
      <c r="X505" s="5">
        <f>O505-(P505+Q505+R505)</f>
        <v/>
      </c>
    </row>
    <row r="506">
      <c r="A506" s="2" t="inlineStr">
        <is>
          <t>EJ011023.TXT</t>
        </is>
      </c>
      <c r="B506" s="3" t="inlineStr">
        <is>
          <t>005076</t>
        </is>
      </c>
      <c r="C506" s="3" t="inlineStr">
        <is>
          <t>004066</t>
        </is>
      </c>
      <c r="D506" s="4" t="n">
        <v>45181</v>
      </c>
      <c r="E506" s="2" t="inlineStr">
        <is>
          <t>15:03</t>
        </is>
      </c>
      <c r="F506" s="5" t="n">
        <v>274.17</v>
      </c>
      <c r="G506" s="5" t="n"/>
      <c r="H506" s="5" t="n"/>
      <c r="I506" s="5" t="n"/>
      <c r="J506" s="5" t="n">
        <v>54.83</v>
      </c>
      <c r="K506" s="5" t="n"/>
      <c r="L506" s="5" t="n"/>
      <c r="M506" s="5" t="n"/>
      <c r="N506" s="5" t="n"/>
      <c r="O506" s="5" t="n">
        <v>329</v>
      </c>
      <c r="P506" s="5" t="n"/>
      <c r="Q506" s="5" t="n">
        <v>329</v>
      </c>
      <c r="R506" s="5" t="n"/>
      <c r="S506" s="5">
        <f>F506*20%</f>
        <v/>
      </c>
      <c r="T506" s="5">
        <f>J506-S506</f>
        <v/>
      </c>
      <c r="U506" s="5">
        <f>F506+J506</f>
        <v/>
      </c>
      <c r="V506" s="5">
        <f>O506-U506</f>
        <v/>
      </c>
      <c r="W506" s="5">
        <f>O506-(P506+R506)</f>
        <v/>
      </c>
      <c r="X506" s="5">
        <f>O506-(P506+Q506+R506)</f>
        <v/>
      </c>
    </row>
    <row r="507">
      <c r="A507" s="2" t="inlineStr">
        <is>
          <t>EJ011023.TXT</t>
        </is>
      </c>
      <c r="B507" s="3" t="inlineStr">
        <is>
          <t>005077</t>
        </is>
      </c>
      <c r="C507" s="3" t="inlineStr">
        <is>
          <t>004067</t>
        </is>
      </c>
      <c r="D507" s="4" t="n">
        <v>45181</v>
      </c>
      <c r="E507" s="2" t="inlineStr">
        <is>
          <t>15:25</t>
        </is>
      </c>
      <c r="F507" s="5" t="n">
        <v>190.83</v>
      </c>
      <c r="G507" s="5" t="n"/>
      <c r="H507" s="5" t="n"/>
      <c r="I507" s="5" t="n"/>
      <c r="J507" s="5" t="n">
        <v>38.17</v>
      </c>
      <c r="K507" s="5" t="n"/>
      <c r="L507" s="5" t="n"/>
      <c r="M507" s="5" t="n"/>
      <c r="N507" s="5" t="n"/>
      <c r="O507" s="5" t="n">
        <v>229</v>
      </c>
      <c r="P507" s="5" t="n">
        <v>229</v>
      </c>
      <c r="Q507" s="5" t="n"/>
      <c r="R507" s="5" t="n"/>
      <c r="S507" s="5">
        <f>F507*20%</f>
        <v/>
      </c>
      <c r="T507" s="5">
        <f>J507-S507</f>
        <v/>
      </c>
      <c r="U507" s="5">
        <f>F507+J507</f>
        <v/>
      </c>
      <c r="V507" s="5">
        <f>O507-U507</f>
        <v/>
      </c>
      <c r="W507" s="5">
        <f>O507-(P507+R507)</f>
        <v/>
      </c>
      <c r="X507" s="5">
        <f>O507-(P507+Q507+R507)</f>
        <v/>
      </c>
    </row>
    <row r="508">
      <c r="A508" s="2" t="inlineStr">
        <is>
          <t>EJ011023.TXT</t>
        </is>
      </c>
      <c r="B508" s="3" t="inlineStr">
        <is>
          <t>005078</t>
        </is>
      </c>
      <c r="C508" s="3" t="inlineStr">
        <is>
          <t>004068</t>
        </is>
      </c>
      <c r="D508" s="4" t="n">
        <v>45182</v>
      </c>
      <c r="E508" s="2" t="inlineStr">
        <is>
          <t>13:42</t>
        </is>
      </c>
      <c r="F508" s="5" t="n">
        <v>313.33</v>
      </c>
      <c r="G508" s="5" t="n"/>
      <c r="H508" s="5" t="n"/>
      <c r="I508" s="5" t="n"/>
      <c r="J508" s="5" t="n">
        <v>62.67</v>
      </c>
      <c r="K508" s="5" t="n"/>
      <c r="L508" s="5" t="n"/>
      <c r="M508" s="5" t="n"/>
      <c r="N508" s="5" t="n"/>
      <c r="O508" s="5" t="n">
        <v>376</v>
      </c>
      <c r="P508" s="5" t="n"/>
      <c r="Q508" s="5" t="n">
        <v>376</v>
      </c>
      <c r="R508" s="5" t="n"/>
      <c r="S508" s="5">
        <f>F508*20%</f>
        <v/>
      </c>
      <c r="T508" s="5">
        <f>J508-S508</f>
        <v/>
      </c>
      <c r="U508" s="5">
        <f>F508+J508</f>
        <v/>
      </c>
      <c r="V508" s="5">
        <f>O508-U508</f>
        <v/>
      </c>
      <c r="W508" s="5">
        <f>O508-(P508+R508)</f>
        <v/>
      </c>
      <c r="X508" s="5">
        <f>O508-(P508+Q508+R508)</f>
        <v/>
      </c>
    </row>
    <row r="509">
      <c r="A509" s="2" t="inlineStr">
        <is>
          <t>EJ011023.TXT</t>
        </is>
      </c>
      <c r="B509" s="3" t="inlineStr">
        <is>
          <t>005079</t>
        </is>
      </c>
      <c r="C509" s="3" t="inlineStr">
        <is>
          <t>004069</t>
        </is>
      </c>
      <c r="D509" s="4" t="n">
        <v>45182</v>
      </c>
      <c r="E509" s="2" t="inlineStr">
        <is>
          <t>16:36</t>
        </is>
      </c>
      <c r="F509" s="5" t="n">
        <v>156.67</v>
      </c>
      <c r="G509" s="5" t="n"/>
      <c r="H509" s="5" t="n"/>
      <c r="I509" s="5" t="n"/>
      <c r="J509" s="5" t="n">
        <v>31.33</v>
      </c>
      <c r="K509" s="5" t="n"/>
      <c r="L509" s="5" t="n"/>
      <c r="M509" s="5" t="n"/>
      <c r="N509" s="5" t="n"/>
      <c r="O509" s="5" t="n">
        <v>188</v>
      </c>
      <c r="P509" s="5" t="n"/>
      <c r="Q509" s="5" t="n">
        <v>188</v>
      </c>
      <c r="R509" s="5" t="n"/>
      <c r="S509" s="5">
        <f>F509*20%</f>
        <v/>
      </c>
      <c r="T509" s="5">
        <f>J509-S509</f>
        <v/>
      </c>
      <c r="U509" s="5">
        <f>F509+J509</f>
        <v/>
      </c>
      <c r="V509" s="5">
        <f>O509-U509</f>
        <v/>
      </c>
      <c r="W509" s="5">
        <f>O509-(P509+R509)</f>
        <v/>
      </c>
      <c r="X509" s="5">
        <f>O509-(P509+Q509+R509)</f>
        <v/>
      </c>
    </row>
    <row r="510">
      <c r="A510" s="2" t="inlineStr">
        <is>
          <t>EJ011023.TXT</t>
        </is>
      </c>
      <c r="B510" s="3" t="inlineStr">
        <is>
          <t>005080</t>
        </is>
      </c>
      <c r="C510" s="3" t="inlineStr">
        <is>
          <t>004070</t>
        </is>
      </c>
      <c r="D510" s="4" t="n">
        <v>45183</v>
      </c>
      <c r="E510" s="2" t="inlineStr">
        <is>
          <t>10:07</t>
        </is>
      </c>
      <c r="F510" s="5" t="n">
        <v>208.33</v>
      </c>
      <c r="G510" s="5" t="n"/>
      <c r="H510" s="5" t="n"/>
      <c r="I510" s="5" t="n"/>
      <c r="J510" s="5" t="n">
        <v>41.67</v>
      </c>
      <c r="K510" s="5" t="n"/>
      <c r="L510" s="5" t="n"/>
      <c r="M510" s="5" t="n"/>
      <c r="N510" s="5" t="n"/>
      <c r="O510" s="5" t="n">
        <v>250</v>
      </c>
      <c r="P510" s="5" t="n"/>
      <c r="Q510" s="5" t="n">
        <v>250</v>
      </c>
      <c r="R510" s="5" t="n"/>
      <c r="S510" s="5">
        <f>F510*20%</f>
        <v/>
      </c>
      <c r="T510" s="5">
        <f>J510-S510</f>
        <v/>
      </c>
      <c r="U510" s="5">
        <f>F510+J510</f>
        <v/>
      </c>
      <c r="V510" s="5">
        <f>O510-U510</f>
        <v/>
      </c>
      <c r="W510" s="5">
        <f>O510-(P510+R510)</f>
        <v/>
      </c>
      <c r="X510" s="5">
        <f>O510-(P510+Q510+R510)</f>
        <v/>
      </c>
    </row>
    <row r="511">
      <c r="A511" s="2" t="inlineStr">
        <is>
          <t>EJ011023.TXT</t>
        </is>
      </c>
      <c r="B511" s="3" t="inlineStr">
        <is>
          <t>005081</t>
        </is>
      </c>
      <c r="C511" s="3" t="inlineStr">
        <is>
          <t>004071</t>
        </is>
      </c>
      <c r="D511" s="4" t="n">
        <v>45183</v>
      </c>
      <c r="E511" s="2" t="inlineStr">
        <is>
          <t>10:34</t>
        </is>
      </c>
      <c r="F511" s="5" t="n">
        <v>232.42</v>
      </c>
      <c r="G511" s="5" t="n"/>
      <c r="H511" s="5" t="n"/>
      <c r="I511" s="5" t="n"/>
      <c r="J511" s="5" t="n">
        <v>46.48</v>
      </c>
      <c r="K511" s="5" t="n"/>
      <c r="L511" s="5" t="n"/>
      <c r="M511" s="5" t="n"/>
      <c r="N511" s="5" t="n"/>
      <c r="O511" s="5" t="n">
        <v>278.9</v>
      </c>
      <c r="P511" s="5" t="n"/>
      <c r="Q511" s="5" t="n">
        <v>278.9</v>
      </c>
      <c r="R511" s="5" t="n"/>
      <c r="S511" s="5">
        <f>F511*20%</f>
        <v/>
      </c>
      <c r="T511" s="5">
        <f>J511-S511</f>
        <v/>
      </c>
      <c r="U511" s="5">
        <f>F511+J511</f>
        <v/>
      </c>
      <c r="V511" s="5">
        <f>O511-U511</f>
        <v/>
      </c>
      <c r="W511" s="5">
        <f>O511-(P511+R511)</f>
        <v/>
      </c>
      <c r="X511" s="5">
        <f>O511-(P511+Q511+R511)</f>
        <v/>
      </c>
    </row>
    <row r="512">
      <c r="A512" s="2" t="inlineStr">
        <is>
          <t>EJ011023.TXT</t>
        </is>
      </c>
      <c r="B512" s="3" t="inlineStr">
        <is>
          <t>005082</t>
        </is>
      </c>
      <c r="C512" s="3" t="inlineStr">
        <is>
          <t>004072</t>
        </is>
      </c>
      <c r="D512" s="4" t="n">
        <v>45183</v>
      </c>
      <c r="E512" s="2" t="inlineStr">
        <is>
          <t>10:41</t>
        </is>
      </c>
      <c r="F512" s="5" t="n">
        <v>199.17</v>
      </c>
      <c r="G512" s="5" t="n"/>
      <c r="H512" s="5" t="n"/>
      <c r="I512" s="5" t="n"/>
      <c r="J512" s="5" t="n">
        <v>39.83</v>
      </c>
      <c r="K512" s="5" t="n"/>
      <c r="L512" s="5" t="n"/>
      <c r="M512" s="5" t="n"/>
      <c r="N512" s="5" t="n"/>
      <c r="O512" s="5" t="n">
        <v>239</v>
      </c>
      <c r="P512" s="5" t="n"/>
      <c r="Q512" s="5" t="n">
        <v>239</v>
      </c>
      <c r="R512" s="5" t="n"/>
      <c r="S512" s="5">
        <f>F512*20%</f>
        <v/>
      </c>
      <c r="T512" s="5">
        <f>J512-S512</f>
        <v/>
      </c>
      <c r="U512" s="5">
        <f>F512+J512</f>
        <v/>
      </c>
      <c r="V512" s="5">
        <f>O512-U512</f>
        <v/>
      </c>
      <c r="W512" s="5">
        <f>O512-(P512+R512)</f>
        <v/>
      </c>
      <c r="X512" s="5">
        <f>O512-(P512+Q512+R512)</f>
        <v/>
      </c>
    </row>
    <row r="513">
      <c r="A513" s="2" t="inlineStr">
        <is>
          <t>EJ011023.TXT</t>
        </is>
      </c>
      <c r="B513" s="3" t="inlineStr">
        <is>
          <t>005083</t>
        </is>
      </c>
      <c r="C513" s="3" t="inlineStr">
        <is>
          <t>004073</t>
        </is>
      </c>
      <c r="D513" s="4" t="n">
        <v>45184</v>
      </c>
      <c r="E513" s="2" t="inlineStr">
        <is>
          <t>09:30</t>
        </is>
      </c>
      <c r="F513" s="5" t="n">
        <v>797.5</v>
      </c>
      <c r="G513" s="5" t="n"/>
      <c r="H513" s="5" t="n"/>
      <c r="I513" s="5" t="n"/>
      <c r="J513" s="5" t="n">
        <v>159.5</v>
      </c>
      <c r="K513" s="5" t="n"/>
      <c r="L513" s="5" t="n"/>
      <c r="M513" s="5" t="n"/>
      <c r="N513" s="5" t="n"/>
      <c r="O513" s="5" t="n">
        <v>957</v>
      </c>
      <c r="P513" s="5" t="n"/>
      <c r="Q513" s="5" t="n">
        <v>957</v>
      </c>
      <c r="R513" s="5" t="n"/>
      <c r="S513" s="5">
        <f>F513*20%</f>
        <v/>
      </c>
      <c r="T513" s="5">
        <f>J513-S513</f>
        <v/>
      </c>
      <c r="U513" s="5">
        <f>F513+J513</f>
        <v/>
      </c>
      <c r="V513" s="5">
        <f>O513-U513</f>
        <v/>
      </c>
      <c r="W513" s="5">
        <f>O513-(P513+R513)</f>
        <v/>
      </c>
      <c r="X513" s="5">
        <f>O513-(P513+Q513+R513)</f>
        <v/>
      </c>
    </row>
    <row r="514">
      <c r="A514" s="2" t="inlineStr">
        <is>
          <t>EJ011023.TXT</t>
        </is>
      </c>
      <c r="B514" s="3" t="inlineStr">
        <is>
          <t>005084</t>
        </is>
      </c>
      <c r="C514" s="3" t="inlineStr">
        <is>
          <t>004074</t>
        </is>
      </c>
      <c r="D514" s="4" t="n">
        <v>45184</v>
      </c>
      <c r="E514" s="2" t="inlineStr">
        <is>
          <t>09:54</t>
        </is>
      </c>
      <c r="F514" s="5" t="n">
        <v>787.5</v>
      </c>
      <c r="G514" s="5" t="n"/>
      <c r="H514" s="5" t="n"/>
      <c r="I514" s="5" t="n"/>
      <c r="J514" s="5" t="n">
        <v>157.5</v>
      </c>
      <c r="K514" s="5" t="n"/>
      <c r="L514" s="5" t="n"/>
      <c r="M514" s="5" t="n"/>
      <c r="N514" s="5" t="n"/>
      <c r="O514" s="5" t="n">
        <v>945</v>
      </c>
      <c r="P514" s="5" t="n"/>
      <c r="Q514" s="5" t="n">
        <v>945</v>
      </c>
      <c r="R514" s="5" t="n"/>
      <c r="S514" s="5">
        <f>F514*20%</f>
        <v/>
      </c>
      <c r="T514" s="5">
        <f>J514-S514</f>
        <v/>
      </c>
      <c r="U514" s="5">
        <f>F514+J514</f>
        <v/>
      </c>
      <c r="V514" s="5">
        <f>O514-U514</f>
        <v/>
      </c>
      <c r="W514" s="5">
        <f>O514-(P514+R514)</f>
        <v/>
      </c>
      <c r="X514" s="5">
        <f>O514-(P514+Q514+R514)</f>
        <v/>
      </c>
    </row>
    <row r="515">
      <c r="A515" s="2" t="inlineStr">
        <is>
          <t>EJ011023.TXT</t>
        </is>
      </c>
      <c r="B515" s="3" t="inlineStr">
        <is>
          <t>005085</t>
        </is>
      </c>
      <c r="C515" s="3" t="inlineStr">
        <is>
          <t>004075</t>
        </is>
      </c>
      <c r="D515" s="4" t="n">
        <v>45184</v>
      </c>
      <c r="E515" s="2" t="inlineStr">
        <is>
          <t>09:55</t>
        </is>
      </c>
      <c r="F515" s="5" t="n">
        <v>787.5</v>
      </c>
      <c r="G515" s="5" t="n"/>
      <c r="H515" s="5" t="n"/>
      <c r="I515" s="5" t="n"/>
      <c r="J515" s="5" t="n">
        <v>157.5</v>
      </c>
      <c r="K515" s="5" t="n"/>
      <c r="L515" s="5" t="n"/>
      <c r="M515" s="5" t="n"/>
      <c r="N515" s="5" t="n"/>
      <c r="O515" s="5" t="n">
        <v>945</v>
      </c>
      <c r="P515" s="5" t="n"/>
      <c r="Q515" s="5" t="n">
        <v>945</v>
      </c>
      <c r="R515" s="5" t="n"/>
      <c r="S515" s="5">
        <f>F515*20%</f>
        <v/>
      </c>
      <c r="T515" s="5">
        <f>J515-S515</f>
        <v/>
      </c>
      <c r="U515" s="5">
        <f>F515+J515</f>
        <v/>
      </c>
      <c r="V515" s="5">
        <f>O515-U515</f>
        <v/>
      </c>
      <c r="W515" s="5">
        <f>O515-(P515+R515)</f>
        <v/>
      </c>
      <c r="X515" s="5">
        <f>O515-(P515+Q515+R515)</f>
        <v/>
      </c>
    </row>
    <row r="516">
      <c r="A516" s="2" t="inlineStr">
        <is>
          <t>EJ011023.TXT</t>
        </is>
      </c>
      <c r="B516" s="3" t="inlineStr">
        <is>
          <t>005086</t>
        </is>
      </c>
      <c r="C516" s="3" t="inlineStr">
        <is>
          <t>004076</t>
        </is>
      </c>
      <c r="D516" s="4" t="n">
        <v>45184</v>
      </c>
      <c r="E516" s="2" t="inlineStr">
        <is>
          <t>10:05</t>
        </is>
      </c>
      <c r="F516" s="5" t="n">
        <v>495</v>
      </c>
      <c r="G516" s="5" t="n"/>
      <c r="H516" s="5" t="n"/>
      <c r="I516" s="5" t="n"/>
      <c r="J516" s="5" t="n">
        <v>99</v>
      </c>
      <c r="K516" s="5" t="n"/>
      <c r="L516" s="5" t="n"/>
      <c r="M516" s="5" t="n"/>
      <c r="N516" s="5" t="n"/>
      <c r="O516" s="5" t="n">
        <v>594</v>
      </c>
      <c r="P516" s="5" t="n"/>
      <c r="Q516" s="5" t="n">
        <v>594</v>
      </c>
      <c r="R516" s="5" t="n"/>
      <c r="S516" s="5">
        <f>F516*20%</f>
        <v/>
      </c>
      <c r="T516" s="5">
        <f>J516-S516</f>
        <v/>
      </c>
      <c r="U516" s="5">
        <f>F516+J516</f>
        <v/>
      </c>
      <c r="V516" s="5">
        <f>O516-U516</f>
        <v/>
      </c>
      <c r="W516" s="5">
        <f>O516-(P516+R516)</f>
        <v/>
      </c>
      <c r="X516" s="5">
        <f>O516-(P516+Q516+R516)</f>
        <v/>
      </c>
    </row>
    <row r="517">
      <c r="A517" s="2" t="inlineStr">
        <is>
          <t>EJ011023.TXT</t>
        </is>
      </c>
      <c r="B517" s="3" t="inlineStr">
        <is>
          <t>005087</t>
        </is>
      </c>
      <c r="C517" s="3" t="inlineStr">
        <is>
          <t>004077</t>
        </is>
      </c>
      <c r="D517" s="4" t="n">
        <v>45185</v>
      </c>
      <c r="E517" s="2" t="inlineStr">
        <is>
          <t>16:14</t>
        </is>
      </c>
      <c r="F517" s="5" t="n">
        <v>531.67</v>
      </c>
      <c r="G517" s="5" t="n"/>
      <c r="H517" s="5" t="n"/>
      <c r="I517" s="5" t="n"/>
      <c r="J517" s="5" t="n">
        <v>106.33</v>
      </c>
      <c r="K517" s="5" t="n"/>
      <c r="L517" s="5" t="n"/>
      <c r="M517" s="5" t="n"/>
      <c r="N517" s="5" t="n"/>
      <c r="O517" s="5" t="n">
        <v>638</v>
      </c>
      <c r="P517" s="5" t="n">
        <v>638</v>
      </c>
      <c r="Q517" s="5" t="n"/>
      <c r="R517" s="5" t="n"/>
      <c r="S517" s="5">
        <f>F517*20%</f>
        <v/>
      </c>
      <c r="T517" s="5">
        <f>J517-S517</f>
        <v/>
      </c>
      <c r="U517" s="5">
        <f>F517+J517</f>
        <v/>
      </c>
      <c r="V517" s="5">
        <f>O517-U517</f>
        <v/>
      </c>
      <c r="W517" s="5">
        <f>O517-(P517+R517)</f>
        <v/>
      </c>
      <c r="X517" s="5">
        <f>O517-(P517+Q517+R517)</f>
        <v/>
      </c>
    </row>
    <row r="518">
      <c r="A518" s="2" t="inlineStr">
        <is>
          <t>EJ011023.TXT</t>
        </is>
      </c>
      <c r="B518" s="3" t="inlineStr">
        <is>
          <t>005088</t>
        </is>
      </c>
      <c r="C518" s="3" t="inlineStr">
        <is>
          <t>004078</t>
        </is>
      </c>
      <c r="D518" s="4" t="n">
        <v>45187</v>
      </c>
      <c r="E518" s="2" t="inlineStr">
        <is>
          <t>11:07</t>
        </is>
      </c>
      <c r="F518" s="5" t="n">
        <v>66.33</v>
      </c>
      <c r="G518" s="5" t="n"/>
      <c r="H518" s="5" t="n"/>
      <c r="I518" s="5" t="n"/>
      <c r="J518" s="5" t="n">
        <v>13.27</v>
      </c>
      <c r="K518" s="5" t="n"/>
      <c r="L518" s="5" t="n"/>
      <c r="M518" s="5" t="n"/>
      <c r="N518" s="5" t="n"/>
      <c r="O518" s="5" t="n">
        <v>79.59999999999999</v>
      </c>
      <c r="P518" s="5" t="n"/>
      <c r="Q518" s="5" t="n">
        <v>79.59999999999999</v>
      </c>
      <c r="R518" s="5" t="n"/>
      <c r="S518" s="5">
        <f>F518*20%</f>
        <v/>
      </c>
      <c r="T518" s="5">
        <f>J518-S518</f>
        <v/>
      </c>
      <c r="U518" s="5">
        <f>F518+J518</f>
        <v/>
      </c>
      <c r="V518" s="5">
        <f>O518-U518</f>
        <v/>
      </c>
      <c r="W518" s="5">
        <f>O518-(P518+R518)</f>
        <v/>
      </c>
      <c r="X518" s="5">
        <f>O518-(P518+Q518+R518)</f>
        <v/>
      </c>
    </row>
    <row r="519">
      <c r="A519" s="2" t="inlineStr">
        <is>
          <t>EJ011023.TXT</t>
        </is>
      </c>
      <c r="B519" s="3" t="inlineStr">
        <is>
          <t>005089</t>
        </is>
      </c>
      <c r="C519" s="3" t="inlineStr">
        <is>
          <t>004079</t>
        </is>
      </c>
      <c r="D519" s="4" t="n">
        <v>45187</v>
      </c>
      <c r="E519" s="2" t="inlineStr">
        <is>
          <t>14:18</t>
        </is>
      </c>
      <c r="F519" s="5" t="n">
        <v>548.33</v>
      </c>
      <c r="G519" s="5" t="n"/>
      <c r="H519" s="5" t="n"/>
      <c r="I519" s="5" t="n"/>
      <c r="J519" s="5" t="n">
        <v>109.67</v>
      </c>
      <c r="K519" s="5" t="n"/>
      <c r="L519" s="5" t="n"/>
      <c r="M519" s="5" t="n"/>
      <c r="N519" s="5" t="n"/>
      <c r="O519" s="5" t="n">
        <v>658</v>
      </c>
      <c r="P519" s="5" t="n">
        <v>658</v>
      </c>
      <c r="Q519" s="5" t="n"/>
      <c r="R519" s="5" t="n"/>
      <c r="S519" s="5">
        <f>F519*20%</f>
        <v/>
      </c>
      <c r="T519" s="5">
        <f>J519-S519</f>
        <v/>
      </c>
      <c r="U519" s="5">
        <f>F519+J519</f>
        <v/>
      </c>
      <c r="V519" s="5">
        <f>O519-U519</f>
        <v/>
      </c>
      <c r="W519" s="5">
        <f>O519-(P519+R519)</f>
        <v/>
      </c>
      <c r="X519" s="5">
        <f>O519-(P519+Q519+R519)</f>
        <v/>
      </c>
    </row>
    <row r="520">
      <c r="A520" s="2" t="inlineStr">
        <is>
          <t>EJ011023.TXT</t>
        </is>
      </c>
      <c r="B520" s="3" t="inlineStr">
        <is>
          <t>005090</t>
        </is>
      </c>
      <c r="C520" s="3" t="inlineStr">
        <is>
          <t>004080</t>
        </is>
      </c>
      <c r="D520" s="4" t="n">
        <v>45187</v>
      </c>
      <c r="E520" s="2" t="inlineStr">
        <is>
          <t>15:58</t>
        </is>
      </c>
      <c r="F520" s="5" t="n">
        <v>274.17</v>
      </c>
      <c r="G520" s="5" t="n"/>
      <c r="H520" s="5" t="n"/>
      <c r="I520" s="5" t="n"/>
      <c r="J520" s="5" t="n">
        <v>54.83</v>
      </c>
      <c r="K520" s="5" t="n"/>
      <c r="L520" s="5" t="n"/>
      <c r="M520" s="5" t="n"/>
      <c r="N520" s="5" t="n"/>
      <c r="O520" s="5" t="n">
        <v>329</v>
      </c>
      <c r="P520" s="5" t="n"/>
      <c r="Q520" s="5" t="n">
        <v>329</v>
      </c>
      <c r="R520" s="5" t="n"/>
      <c r="S520" s="5">
        <f>F520*20%</f>
        <v/>
      </c>
      <c r="T520" s="5">
        <f>J520-S520</f>
        <v/>
      </c>
      <c r="U520" s="5">
        <f>F520+J520</f>
        <v/>
      </c>
      <c r="V520" s="5">
        <f>O520-U520</f>
        <v/>
      </c>
      <c r="W520" s="5">
        <f>O520-(P520+R520)</f>
        <v/>
      </c>
      <c r="X520" s="5">
        <f>O520-(P520+Q520+R520)</f>
        <v/>
      </c>
    </row>
    <row r="521">
      <c r="A521" s="2" t="inlineStr">
        <is>
          <t>EJ011023.TXT</t>
        </is>
      </c>
      <c r="B521" s="3" t="inlineStr">
        <is>
          <t>005091</t>
        </is>
      </c>
      <c r="C521" s="3" t="inlineStr">
        <is>
          <t>004081</t>
        </is>
      </c>
      <c r="D521" s="4" t="n">
        <v>45188</v>
      </c>
      <c r="E521" s="2" t="inlineStr">
        <is>
          <t>10:54</t>
        </is>
      </c>
      <c r="F521" s="5" t="n">
        <v>473.75</v>
      </c>
      <c r="G521" s="5" t="n"/>
      <c r="H521" s="5" t="n"/>
      <c r="I521" s="5" t="n"/>
      <c r="J521" s="5" t="n">
        <v>94.75</v>
      </c>
      <c r="K521" s="5" t="n"/>
      <c r="L521" s="5" t="n"/>
      <c r="M521" s="5" t="n"/>
      <c r="N521" s="5" t="n"/>
      <c r="O521" s="5" t="n">
        <v>568.5</v>
      </c>
      <c r="P521" s="5" t="n"/>
      <c r="Q521" s="5" t="n">
        <v>568.5</v>
      </c>
      <c r="R521" s="5" t="n"/>
      <c r="S521" s="5">
        <f>F521*20%</f>
        <v/>
      </c>
      <c r="T521" s="5">
        <f>J521-S521</f>
        <v/>
      </c>
      <c r="U521" s="5">
        <f>F521+J521</f>
        <v/>
      </c>
      <c r="V521" s="5">
        <f>O521-U521</f>
        <v/>
      </c>
      <c r="W521" s="5">
        <f>O521-(P521+R521)</f>
        <v/>
      </c>
      <c r="X521" s="5">
        <f>O521-(P521+Q521+R521)</f>
        <v/>
      </c>
    </row>
    <row r="522">
      <c r="A522" s="2" t="inlineStr">
        <is>
          <t>EJ011023.TXT</t>
        </is>
      </c>
      <c r="B522" s="3" t="inlineStr">
        <is>
          <t>005092</t>
        </is>
      </c>
      <c r="C522" s="3" t="inlineStr">
        <is>
          <t>004082</t>
        </is>
      </c>
      <c r="D522" s="4" t="n">
        <v>45188</v>
      </c>
      <c r="E522" s="2" t="inlineStr">
        <is>
          <t>10:54</t>
        </is>
      </c>
      <c r="F522" s="5" t="n">
        <v>473.75</v>
      </c>
      <c r="G522" s="5" t="n"/>
      <c r="H522" s="5" t="n"/>
      <c r="I522" s="5" t="n"/>
      <c r="J522" s="5" t="n">
        <v>94.75</v>
      </c>
      <c r="K522" s="5" t="n"/>
      <c r="L522" s="5" t="n"/>
      <c r="M522" s="5" t="n"/>
      <c r="N522" s="5" t="n"/>
      <c r="O522" s="5" t="n">
        <v>568.5</v>
      </c>
      <c r="P522" s="5" t="n"/>
      <c r="Q522" s="5" t="n">
        <v>568.5</v>
      </c>
      <c r="R522" s="5" t="n"/>
      <c r="S522" s="5">
        <f>F522*20%</f>
        <v/>
      </c>
      <c r="T522" s="5">
        <f>J522-S522</f>
        <v/>
      </c>
      <c r="U522" s="5">
        <f>F522+J522</f>
        <v/>
      </c>
      <c r="V522" s="5">
        <f>O522-U522</f>
        <v/>
      </c>
      <c r="W522" s="5">
        <f>O522-(P522+R522)</f>
        <v/>
      </c>
      <c r="X522" s="5">
        <f>O522-(P522+Q522+R522)</f>
        <v/>
      </c>
    </row>
    <row r="523">
      <c r="A523" s="2" t="inlineStr">
        <is>
          <t>EJ011023.TXT</t>
        </is>
      </c>
      <c r="B523" s="3" t="inlineStr">
        <is>
          <t>005093</t>
        </is>
      </c>
      <c r="C523" s="3" t="inlineStr">
        <is>
          <t>004083</t>
        </is>
      </c>
      <c r="D523" s="4" t="n">
        <v>45188</v>
      </c>
      <c r="E523" s="2" t="inlineStr">
        <is>
          <t>14:00</t>
        </is>
      </c>
      <c r="F523" s="5" t="n">
        <v>266.67</v>
      </c>
      <c r="G523" s="5" t="n"/>
      <c r="H523" s="5" t="n"/>
      <c r="I523" s="5" t="n"/>
      <c r="J523" s="5" t="n">
        <v>53.33</v>
      </c>
      <c r="K523" s="5" t="n"/>
      <c r="L523" s="5" t="n"/>
      <c r="M523" s="5" t="n"/>
      <c r="N523" s="5" t="n"/>
      <c r="O523" s="5" t="n">
        <v>320</v>
      </c>
      <c r="P523" s="5" t="n">
        <v>320</v>
      </c>
      <c r="Q523" s="5" t="n"/>
      <c r="R523" s="5" t="n"/>
      <c r="S523" s="5">
        <f>F523*20%</f>
        <v/>
      </c>
      <c r="T523" s="5">
        <f>J523-S523</f>
        <v/>
      </c>
      <c r="U523" s="5">
        <f>F523+J523</f>
        <v/>
      </c>
      <c r="V523" s="5">
        <f>O523-U523</f>
        <v/>
      </c>
      <c r="W523" s="5">
        <f>O523-(P523+R523)</f>
        <v/>
      </c>
      <c r="X523" s="5">
        <f>O523-(P523+Q523+R523)</f>
        <v/>
      </c>
    </row>
    <row r="524">
      <c r="A524" s="2" t="inlineStr">
        <is>
          <t>EJ011023.TXT</t>
        </is>
      </c>
      <c r="B524" s="3" t="inlineStr">
        <is>
          <t>005094</t>
        </is>
      </c>
      <c r="C524" s="3" t="inlineStr">
        <is>
          <t>004084</t>
        </is>
      </c>
      <c r="D524" s="4" t="n">
        <v>45188</v>
      </c>
      <c r="E524" s="2" t="inlineStr">
        <is>
          <t>16:46</t>
        </is>
      </c>
      <c r="F524" s="5" t="n">
        <v>231.67</v>
      </c>
      <c r="G524" s="5" t="n"/>
      <c r="H524" s="5" t="n"/>
      <c r="I524" s="5" t="n"/>
      <c r="J524" s="5" t="n">
        <v>46.33</v>
      </c>
      <c r="K524" s="5" t="n"/>
      <c r="L524" s="5" t="n"/>
      <c r="M524" s="5" t="n"/>
      <c r="N524" s="5" t="n"/>
      <c r="O524" s="5" t="n">
        <v>278</v>
      </c>
      <c r="P524" s="5" t="n">
        <v>278</v>
      </c>
      <c r="Q524" s="5" t="n"/>
      <c r="R524" s="5" t="n"/>
      <c r="S524" s="5">
        <f>F524*20%</f>
        <v/>
      </c>
      <c r="T524" s="5">
        <f>J524-S524</f>
        <v/>
      </c>
      <c r="U524" s="5">
        <f>F524+J524</f>
        <v/>
      </c>
      <c r="V524" s="5">
        <f>O524-U524</f>
        <v/>
      </c>
      <c r="W524" s="5">
        <f>O524-(P524+R524)</f>
        <v/>
      </c>
      <c r="X524" s="5">
        <f>O524-(P524+Q524+R524)</f>
        <v/>
      </c>
    </row>
    <row r="525">
      <c r="A525" s="2" t="inlineStr">
        <is>
          <t>EJ011023.TXT</t>
        </is>
      </c>
      <c r="B525" s="3" t="inlineStr">
        <is>
          <t>005095</t>
        </is>
      </c>
      <c r="C525" s="3" t="inlineStr">
        <is>
          <t>004085</t>
        </is>
      </c>
      <c r="D525" s="4" t="n">
        <v>45191</v>
      </c>
      <c r="E525" s="2" t="inlineStr">
        <is>
          <t>14:36</t>
        </is>
      </c>
      <c r="F525" s="5" t="n">
        <v>324.17</v>
      </c>
      <c r="G525" s="5" t="n"/>
      <c r="H525" s="5" t="n"/>
      <c r="I525" s="5" t="n"/>
      <c r="J525" s="5" t="n">
        <v>64.83</v>
      </c>
      <c r="K525" s="5" t="n"/>
      <c r="L525" s="5" t="n"/>
      <c r="M525" s="5" t="n"/>
      <c r="N525" s="5" t="n"/>
      <c r="O525" s="5" t="n">
        <v>389</v>
      </c>
      <c r="P525" s="5" t="n">
        <v>389</v>
      </c>
      <c r="Q525" s="5" t="n"/>
      <c r="R525" s="5" t="n"/>
      <c r="S525" s="5">
        <f>F525*20%</f>
        <v/>
      </c>
      <c r="T525" s="5">
        <f>J525-S525</f>
        <v/>
      </c>
      <c r="U525" s="5">
        <f>F525+J525</f>
        <v/>
      </c>
      <c r="V525" s="5">
        <f>O525-U525</f>
        <v/>
      </c>
      <c r="W525" s="5">
        <f>O525-(P525+R525)</f>
        <v/>
      </c>
      <c r="X525" s="5">
        <f>O525-(P525+Q525+R525)</f>
        <v/>
      </c>
    </row>
    <row r="526">
      <c r="A526" s="2" t="inlineStr">
        <is>
          <t>EJ011023.TXT</t>
        </is>
      </c>
      <c r="B526" s="3" t="inlineStr">
        <is>
          <t>005096</t>
        </is>
      </c>
      <c r="C526" s="3" t="inlineStr">
        <is>
          <t>004086</t>
        </is>
      </c>
      <c r="D526" s="4" t="n">
        <v>45192</v>
      </c>
      <c r="E526" s="2" t="inlineStr">
        <is>
          <t>15:35</t>
        </is>
      </c>
      <c r="F526" s="5" t="n">
        <v>548.33</v>
      </c>
      <c r="G526" s="5" t="n"/>
      <c r="H526" s="5" t="n"/>
      <c r="I526" s="5" t="n"/>
      <c r="J526" s="5" t="n">
        <v>109.67</v>
      </c>
      <c r="K526" s="5" t="n"/>
      <c r="L526" s="5" t="n"/>
      <c r="M526" s="5" t="n"/>
      <c r="N526" s="5" t="n"/>
      <c r="O526" s="5" t="n">
        <v>658</v>
      </c>
      <c r="P526" s="5" t="n"/>
      <c r="Q526" s="5" t="n">
        <v>658</v>
      </c>
      <c r="R526" s="5" t="n"/>
      <c r="S526" s="5">
        <f>F526*20%</f>
        <v/>
      </c>
      <c r="T526" s="5">
        <f>J526-S526</f>
        <v/>
      </c>
      <c r="U526" s="5">
        <f>F526+J526</f>
        <v/>
      </c>
      <c r="V526" s="5">
        <f>O526-U526</f>
        <v/>
      </c>
      <c r="W526" s="5">
        <f>O526-(P526+R526)</f>
        <v/>
      </c>
      <c r="X526" s="5">
        <f>O526-(P526+Q526+R526)</f>
        <v/>
      </c>
    </row>
    <row r="527">
      <c r="A527" s="2" t="inlineStr">
        <is>
          <t>EJ011023.TXT</t>
        </is>
      </c>
      <c r="B527" s="3" t="inlineStr">
        <is>
          <t>005097</t>
        </is>
      </c>
      <c r="C527" s="3" t="inlineStr">
        <is>
          <t>004087</t>
        </is>
      </c>
      <c r="D527" s="4" t="n">
        <v>45194</v>
      </c>
      <c r="E527" s="2" t="inlineStr">
        <is>
          <t>10:14</t>
        </is>
      </c>
      <c r="F527" s="5" t="n">
        <v>208.33</v>
      </c>
      <c r="G527" s="5" t="n"/>
      <c r="H527" s="5" t="n"/>
      <c r="I527" s="5" t="n"/>
      <c r="J527" s="5" t="n">
        <v>41.67</v>
      </c>
      <c r="K527" s="5" t="n"/>
      <c r="L527" s="5" t="n"/>
      <c r="M527" s="5" t="n"/>
      <c r="N527" s="5" t="n"/>
      <c r="O527" s="5" t="n">
        <v>250</v>
      </c>
      <c r="P527" s="5" t="n"/>
      <c r="Q527" s="5" t="n">
        <v>250</v>
      </c>
      <c r="R527" s="5" t="n"/>
      <c r="S527" s="5">
        <f>F527*20%</f>
        <v/>
      </c>
      <c r="T527" s="5">
        <f>J527-S527</f>
        <v/>
      </c>
      <c r="U527" s="5">
        <f>F527+J527</f>
        <v/>
      </c>
      <c r="V527" s="5">
        <f>O527-U527</f>
        <v/>
      </c>
      <c r="W527" s="5">
        <f>O527-(P527+R527)</f>
        <v/>
      </c>
      <c r="X527" s="5">
        <f>O527-(P527+Q527+R527)</f>
        <v/>
      </c>
    </row>
    <row r="528">
      <c r="A528" s="2" t="inlineStr">
        <is>
          <t>EJ011023.TXT</t>
        </is>
      </c>
      <c r="B528" s="3" t="inlineStr">
        <is>
          <t>005098</t>
        </is>
      </c>
      <c r="C528" s="3" t="inlineStr">
        <is>
          <t>004088</t>
        </is>
      </c>
      <c r="D528" s="4" t="n">
        <v>45194</v>
      </c>
      <c r="E528" s="2" t="inlineStr">
        <is>
          <t>11:41</t>
        </is>
      </c>
      <c r="F528" s="5" t="n">
        <v>208.33</v>
      </c>
      <c r="G528" s="5" t="n"/>
      <c r="H528" s="5" t="n"/>
      <c r="I528" s="5" t="n"/>
      <c r="J528" s="5" t="n">
        <v>41.67</v>
      </c>
      <c r="K528" s="5" t="n"/>
      <c r="L528" s="5" t="n"/>
      <c r="M528" s="5" t="n"/>
      <c r="N528" s="5" t="n"/>
      <c r="O528" s="5" t="n">
        <v>250</v>
      </c>
      <c r="P528" s="5" t="n"/>
      <c r="Q528" s="5" t="n">
        <v>250</v>
      </c>
      <c r="R528" s="5" t="n"/>
      <c r="S528" s="5">
        <f>F528*20%</f>
        <v/>
      </c>
      <c r="T528" s="5">
        <f>J528-S528</f>
        <v/>
      </c>
      <c r="U528" s="5">
        <f>F528+J528</f>
        <v/>
      </c>
      <c r="V528" s="5">
        <f>O528-U528</f>
        <v/>
      </c>
      <c r="W528" s="5">
        <f>O528-(P528+R528)</f>
        <v/>
      </c>
      <c r="X528" s="5">
        <f>O528-(P528+Q528+R528)</f>
        <v/>
      </c>
    </row>
    <row r="529">
      <c r="A529" s="2" t="inlineStr">
        <is>
          <t>EJ011023.TXT</t>
        </is>
      </c>
      <c r="B529" s="3" t="inlineStr">
        <is>
          <t>005099</t>
        </is>
      </c>
      <c r="C529" s="3" t="inlineStr">
        <is>
          <t>004089</t>
        </is>
      </c>
      <c r="D529" s="4" t="n">
        <v>45194</v>
      </c>
      <c r="E529" s="2" t="inlineStr">
        <is>
          <t>14:03</t>
        </is>
      </c>
      <c r="F529" s="5" t="n">
        <v>274.17</v>
      </c>
      <c r="G529" s="5" t="n"/>
      <c r="H529" s="5" t="n"/>
      <c r="I529" s="5" t="n"/>
      <c r="J529" s="5" t="n">
        <v>54.83</v>
      </c>
      <c r="K529" s="5" t="n"/>
      <c r="L529" s="5" t="n"/>
      <c r="M529" s="5" t="n"/>
      <c r="N529" s="5" t="n"/>
      <c r="O529" s="5" t="n">
        <v>329</v>
      </c>
      <c r="P529" s="5" t="n">
        <v>329</v>
      </c>
      <c r="Q529" s="5" t="n"/>
      <c r="R529" s="5" t="n"/>
      <c r="S529" s="5">
        <f>F529*20%</f>
        <v/>
      </c>
      <c r="T529" s="5">
        <f>J529-S529</f>
        <v/>
      </c>
      <c r="U529" s="5">
        <f>F529+J529</f>
        <v/>
      </c>
      <c r="V529" s="5">
        <f>O529-U529</f>
        <v/>
      </c>
      <c r="W529" s="5">
        <f>O529-(P529+R529)</f>
        <v/>
      </c>
      <c r="X529" s="5">
        <f>O529-(P529+Q529+R529)</f>
        <v/>
      </c>
    </row>
    <row r="530">
      <c r="A530" s="2" t="inlineStr">
        <is>
          <t>EJ011023.TXT</t>
        </is>
      </c>
      <c r="B530" s="3" t="inlineStr">
        <is>
          <t>005100</t>
        </is>
      </c>
      <c r="C530" s="3" t="inlineStr">
        <is>
          <t>004090</t>
        </is>
      </c>
      <c r="D530" s="4" t="n">
        <v>45194</v>
      </c>
      <c r="E530" s="2" t="inlineStr">
        <is>
          <t>16:20</t>
        </is>
      </c>
      <c r="F530" s="5" t="n">
        <v>548.33</v>
      </c>
      <c r="G530" s="5" t="n"/>
      <c r="H530" s="5" t="n"/>
      <c r="I530" s="5" t="n"/>
      <c r="J530" s="5" t="n">
        <v>109.67</v>
      </c>
      <c r="K530" s="5" t="n"/>
      <c r="L530" s="5" t="n"/>
      <c r="M530" s="5" t="n"/>
      <c r="N530" s="5" t="n"/>
      <c r="O530" s="5" t="n">
        <v>658</v>
      </c>
      <c r="P530" s="5" t="n">
        <v>658</v>
      </c>
      <c r="Q530" s="5" t="n"/>
      <c r="R530" s="5" t="n"/>
      <c r="S530" s="5">
        <f>F530*20%</f>
        <v/>
      </c>
      <c r="T530" s="5">
        <f>J530-S530</f>
        <v/>
      </c>
      <c r="U530" s="5">
        <f>F530+J530</f>
        <v/>
      </c>
      <c r="V530" s="5">
        <f>O530-U530</f>
        <v/>
      </c>
      <c r="W530" s="5">
        <f>O530-(P530+R530)</f>
        <v/>
      </c>
      <c r="X530" s="5">
        <f>O530-(P530+Q530+R530)</f>
        <v/>
      </c>
    </row>
    <row r="531">
      <c r="A531" s="2" t="inlineStr">
        <is>
          <t>EJ011023.TXT</t>
        </is>
      </c>
      <c r="B531" s="3" t="inlineStr">
        <is>
          <t>005101</t>
        </is>
      </c>
      <c r="C531" s="3" t="inlineStr">
        <is>
          <t>004091</t>
        </is>
      </c>
      <c r="D531" s="4" t="n">
        <v>45195</v>
      </c>
      <c r="E531" s="2" t="inlineStr">
        <is>
          <t>11:11</t>
        </is>
      </c>
      <c r="F531" s="5" t="n">
        <v>274.17</v>
      </c>
      <c r="G531" s="5" t="n"/>
      <c r="H531" s="5" t="n"/>
      <c r="I531" s="5" t="n"/>
      <c r="J531" s="5" t="n">
        <v>54.83</v>
      </c>
      <c r="K531" s="5" t="n"/>
      <c r="L531" s="5" t="n"/>
      <c r="M531" s="5" t="n"/>
      <c r="N531" s="5" t="n"/>
      <c r="O531" s="5" t="n">
        <v>329</v>
      </c>
      <c r="P531" s="5" t="n">
        <v>329</v>
      </c>
      <c r="Q531" s="5" t="n"/>
      <c r="R531" s="5" t="n"/>
      <c r="S531" s="5">
        <f>F531*20%</f>
        <v/>
      </c>
      <c r="T531" s="5">
        <f>J531-S531</f>
        <v/>
      </c>
      <c r="U531" s="5">
        <f>F531+J531</f>
        <v/>
      </c>
      <c r="V531" s="5">
        <f>O531-U531</f>
        <v/>
      </c>
      <c r="W531" s="5">
        <f>O531-(P531+R531)</f>
        <v/>
      </c>
      <c r="X531" s="5">
        <f>O531-(P531+Q531+R531)</f>
        <v/>
      </c>
    </row>
    <row r="532">
      <c r="A532" s="2" t="inlineStr">
        <is>
          <t>EJ011023.TXT</t>
        </is>
      </c>
      <c r="B532" s="3" t="inlineStr">
        <is>
          <t>005102</t>
        </is>
      </c>
      <c r="C532" s="3" t="inlineStr">
        <is>
          <t>004092</t>
        </is>
      </c>
      <c r="D532" s="4" t="n">
        <v>45196</v>
      </c>
      <c r="E532" s="2" t="inlineStr">
        <is>
          <t>10:34</t>
        </is>
      </c>
      <c r="F532" s="5" t="n">
        <v>548.33</v>
      </c>
      <c r="G532" s="5" t="n"/>
      <c r="H532" s="5" t="n"/>
      <c r="I532" s="5" t="n"/>
      <c r="J532" s="5" t="n">
        <v>109.67</v>
      </c>
      <c r="K532" s="5" t="n"/>
      <c r="L532" s="5" t="n"/>
      <c r="M532" s="5" t="n"/>
      <c r="N532" s="5" t="n"/>
      <c r="O532" s="5" t="n">
        <v>658</v>
      </c>
      <c r="P532" s="5" t="n">
        <v>658</v>
      </c>
      <c r="Q532" s="5" t="n"/>
      <c r="R532" s="5" t="n"/>
      <c r="S532" s="5">
        <f>F532*20%</f>
        <v/>
      </c>
      <c r="T532" s="5">
        <f>J532-S532</f>
        <v/>
      </c>
      <c r="U532" s="5">
        <f>F532+J532</f>
        <v/>
      </c>
      <c r="V532" s="5">
        <f>O532-U532</f>
        <v/>
      </c>
      <c r="W532" s="5">
        <f>O532-(P532+R532)</f>
        <v/>
      </c>
      <c r="X532" s="5">
        <f>O532-(P532+Q532+R532)</f>
        <v/>
      </c>
    </row>
    <row r="533">
      <c r="A533" s="2" t="inlineStr">
        <is>
          <t>EJ011023.TXT</t>
        </is>
      </c>
      <c r="B533" s="3" t="inlineStr">
        <is>
          <t>005103</t>
        </is>
      </c>
      <c r="C533" s="3" t="inlineStr">
        <is>
          <t>004093</t>
        </is>
      </c>
      <c r="D533" s="4" t="n">
        <v>45196</v>
      </c>
      <c r="E533" s="2" t="inlineStr">
        <is>
          <t>13:40</t>
        </is>
      </c>
      <c r="F533" s="5" t="n">
        <v>574.17</v>
      </c>
      <c r="G533" s="5" t="n"/>
      <c r="H533" s="5" t="n"/>
      <c r="I533" s="5" t="n"/>
      <c r="J533" s="5" t="n">
        <v>114.83</v>
      </c>
      <c r="K533" s="5" t="n"/>
      <c r="L533" s="5" t="n"/>
      <c r="M533" s="5" t="n"/>
      <c r="N533" s="5" t="n"/>
      <c r="O533" s="5" t="n">
        <v>689</v>
      </c>
      <c r="P533" s="5" t="n">
        <v>689</v>
      </c>
      <c r="Q533" s="5" t="n"/>
      <c r="R533" s="5" t="n"/>
      <c r="S533" s="5">
        <f>F533*20%</f>
        <v/>
      </c>
      <c r="T533" s="5">
        <f>J533-S533</f>
        <v/>
      </c>
      <c r="U533" s="5">
        <f>F533+J533</f>
        <v/>
      </c>
      <c r="V533" s="5">
        <f>O533-U533</f>
        <v/>
      </c>
      <c r="W533" s="5">
        <f>O533-(P533+R533)</f>
        <v/>
      </c>
      <c r="X533" s="5">
        <f>O533-(P533+Q533+R533)</f>
        <v/>
      </c>
    </row>
    <row r="534">
      <c r="A534" s="2" t="inlineStr">
        <is>
          <t>EJ011023.TXT</t>
        </is>
      </c>
      <c r="B534" s="3" t="inlineStr">
        <is>
          <t>005104</t>
        </is>
      </c>
      <c r="C534" s="3" t="inlineStr">
        <is>
          <t>004094</t>
        </is>
      </c>
      <c r="D534" s="4" t="n">
        <v>45197</v>
      </c>
      <c r="E534" s="2" t="inlineStr">
        <is>
          <t>11:04</t>
        </is>
      </c>
      <c r="F534" s="5" t="n">
        <v>574.17</v>
      </c>
      <c r="G534" s="5" t="n"/>
      <c r="H534" s="5" t="n"/>
      <c r="I534" s="5" t="n"/>
      <c r="J534" s="5" t="n">
        <v>114.83</v>
      </c>
      <c r="K534" s="5" t="n"/>
      <c r="L534" s="5" t="n"/>
      <c r="M534" s="5" t="n"/>
      <c r="N534" s="5" t="n"/>
      <c r="O534" s="5" t="n">
        <v>689</v>
      </c>
      <c r="P534" s="5" t="n">
        <v>689</v>
      </c>
      <c r="Q534" s="5" t="n"/>
      <c r="R534" s="5" t="n"/>
      <c r="S534" s="5">
        <f>F534*20%</f>
        <v/>
      </c>
      <c r="T534" s="5">
        <f>J534-S534</f>
        <v/>
      </c>
      <c r="U534" s="5">
        <f>F534+J534</f>
        <v/>
      </c>
      <c r="V534" s="5">
        <f>O534-U534</f>
        <v/>
      </c>
      <c r="W534" s="5">
        <f>O534-(P534+R534)</f>
        <v/>
      </c>
      <c r="X534" s="5">
        <f>O534-(P534+Q534+R534)</f>
        <v/>
      </c>
    </row>
    <row r="535">
      <c r="A535" s="2" t="inlineStr">
        <is>
          <t>EJ011023.TXT</t>
        </is>
      </c>
      <c r="B535" s="3" t="inlineStr">
        <is>
          <t>005105</t>
        </is>
      </c>
      <c r="C535" s="3" t="inlineStr">
        <is>
          <t>004095</t>
        </is>
      </c>
      <c r="D535" s="4" t="n">
        <v>45197</v>
      </c>
      <c r="E535" s="2" t="inlineStr">
        <is>
          <t>15:05</t>
        </is>
      </c>
      <c r="F535" s="5" t="n">
        <v>648.33</v>
      </c>
      <c r="G535" s="5" t="n"/>
      <c r="H535" s="5" t="n"/>
      <c r="I535" s="5" t="n"/>
      <c r="J535" s="5" t="n">
        <v>129.67</v>
      </c>
      <c r="K535" s="5" t="n"/>
      <c r="L535" s="5" t="n"/>
      <c r="M535" s="5" t="n"/>
      <c r="N535" s="5" t="n"/>
      <c r="O535" s="5" t="n">
        <v>778</v>
      </c>
      <c r="P535" s="5" t="n"/>
      <c r="Q535" s="5" t="n">
        <v>778</v>
      </c>
      <c r="R535" s="5" t="n"/>
      <c r="S535" s="5">
        <f>F535*20%</f>
        <v/>
      </c>
      <c r="T535" s="5">
        <f>J535-S535</f>
        <v/>
      </c>
      <c r="U535" s="5">
        <f>F535+J535</f>
        <v/>
      </c>
      <c r="V535" s="5">
        <f>O535-U535</f>
        <v/>
      </c>
      <c r="W535" s="5">
        <f>O535-(P535+R535)</f>
        <v/>
      </c>
      <c r="X535" s="5">
        <f>O535-(P535+Q535+R535)</f>
        <v/>
      </c>
    </row>
    <row r="536">
      <c r="A536" s="2" t="inlineStr">
        <is>
          <t>EJ011023.TXT</t>
        </is>
      </c>
      <c r="B536" s="3" t="inlineStr">
        <is>
          <t>005106</t>
        </is>
      </c>
      <c r="C536" s="3" t="inlineStr">
        <is>
          <t>004096</t>
        </is>
      </c>
      <c r="D536" s="4" t="n">
        <v>45197</v>
      </c>
      <c r="E536" s="2" t="inlineStr">
        <is>
          <t>16:22</t>
        </is>
      </c>
      <c r="F536" s="5" t="n">
        <v>199.17</v>
      </c>
      <c r="G536" s="5" t="n"/>
      <c r="H536" s="5" t="n"/>
      <c r="I536" s="5" t="n"/>
      <c r="J536" s="5" t="n">
        <v>39.83</v>
      </c>
      <c r="K536" s="5" t="n"/>
      <c r="L536" s="5" t="n"/>
      <c r="M536" s="5" t="n"/>
      <c r="N536" s="5" t="n"/>
      <c r="O536" s="5" t="n">
        <v>239</v>
      </c>
      <c r="P536" s="5" t="n"/>
      <c r="Q536" s="5" t="n">
        <v>239</v>
      </c>
      <c r="R536" s="5" t="n"/>
      <c r="S536" s="5">
        <f>F536*20%</f>
        <v/>
      </c>
      <c r="T536" s="5">
        <f>J536-S536</f>
        <v/>
      </c>
      <c r="U536" s="5">
        <f>F536+J536</f>
        <v/>
      </c>
      <c r="V536" s="5">
        <f>O536-U536</f>
        <v/>
      </c>
      <c r="W536" s="5">
        <f>O536-(P536+R536)</f>
        <v/>
      </c>
      <c r="X536" s="5">
        <f>O536-(P536+Q536+R536)</f>
        <v/>
      </c>
    </row>
    <row r="537">
      <c r="A537" s="2" t="inlineStr">
        <is>
          <t>EJ011023.TXT</t>
        </is>
      </c>
      <c r="B537" s="3" t="inlineStr">
        <is>
          <t>005107</t>
        </is>
      </c>
      <c r="C537" s="3" t="inlineStr">
        <is>
          <t>004097</t>
        </is>
      </c>
      <c r="D537" s="4" t="n">
        <v>45198</v>
      </c>
      <c r="E537" s="2" t="inlineStr">
        <is>
          <t>11:45</t>
        </is>
      </c>
      <c r="F537" s="5" t="n">
        <v>548.33</v>
      </c>
      <c r="G537" s="5" t="n"/>
      <c r="H537" s="5" t="n"/>
      <c r="I537" s="5" t="n"/>
      <c r="J537" s="5" t="n">
        <v>109.67</v>
      </c>
      <c r="K537" s="5" t="n"/>
      <c r="L537" s="5" t="n"/>
      <c r="M537" s="5" t="n"/>
      <c r="N537" s="5" t="n"/>
      <c r="O537" s="5" t="n">
        <v>658</v>
      </c>
      <c r="P537" s="5" t="n"/>
      <c r="Q537" s="5" t="n">
        <v>658</v>
      </c>
      <c r="R537" s="5" t="n"/>
      <c r="S537" s="5">
        <f>F537*20%</f>
        <v/>
      </c>
      <c r="T537" s="5">
        <f>J537-S537</f>
        <v/>
      </c>
      <c r="U537" s="5">
        <f>F537+J537</f>
        <v/>
      </c>
      <c r="V537" s="5">
        <f>O537-U537</f>
        <v/>
      </c>
      <c r="W537" s="5">
        <f>O537-(P537+R537)</f>
        <v/>
      </c>
      <c r="X537" s="5">
        <f>O537-(P537+Q537+R537)</f>
        <v/>
      </c>
    </row>
    <row r="538">
      <c r="A538" s="2" t="inlineStr">
        <is>
          <t>EJ011023.TXT</t>
        </is>
      </c>
      <c r="B538" s="3" t="inlineStr">
        <is>
          <t>005108</t>
        </is>
      </c>
      <c r="C538" s="3" t="inlineStr">
        <is>
          <t>004098</t>
        </is>
      </c>
      <c r="D538" s="4" t="n">
        <v>45198</v>
      </c>
      <c r="E538" s="2" t="inlineStr">
        <is>
          <t>13:53</t>
        </is>
      </c>
      <c r="F538" s="5" t="n">
        <v>74.17</v>
      </c>
      <c r="G538" s="5" t="n"/>
      <c r="H538" s="5" t="n"/>
      <c r="I538" s="5" t="n"/>
      <c r="J538" s="5" t="n">
        <v>14.83</v>
      </c>
      <c r="K538" s="5" t="n"/>
      <c r="L538" s="5" t="n"/>
      <c r="M538" s="5" t="n"/>
      <c r="N538" s="5" t="n"/>
      <c r="O538" s="5" t="n">
        <v>89</v>
      </c>
      <c r="P538" s="5" t="n"/>
      <c r="Q538" s="5" t="n">
        <v>89</v>
      </c>
      <c r="R538" s="5" t="n"/>
      <c r="S538" s="5">
        <f>F538*20%</f>
        <v/>
      </c>
      <c r="T538" s="5">
        <f>J538-S538</f>
        <v/>
      </c>
      <c r="U538" s="5">
        <f>F538+J538</f>
        <v/>
      </c>
      <c r="V538" s="5">
        <f>O538-U538</f>
        <v/>
      </c>
      <c r="W538" s="5">
        <f>O538-(P538+R538)</f>
        <v/>
      </c>
      <c r="X538" s="5">
        <f>O538-(P538+Q538+R538)</f>
        <v/>
      </c>
    </row>
    <row r="539">
      <c r="A539" s="2" t="inlineStr">
        <is>
          <t>EJ011023.TXT</t>
        </is>
      </c>
      <c r="B539" s="3" t="inlineStr">
        <is>
          <t>005109</t>
        </is>
      </c>
      <c r="C539" s="3" t="inlineStr">
        <is>
          <t>004099</t>
        </is>
      </c>
      <c r="D539" s="4" t="n">
        <v>45198</v>
      </c>
      <c r="E539" s="2" t="inlineStr">
        <is>
          <t>13:56</t>
        </is>
      </c>
      <c r="F539" s="5" t="n">
        <v>208.33</v>
      </c>
      <c r="G539" s="5" t="n"/>
      <c r="H539" s="5" t="n"/>
      <c r="I539" s="5" t="n"/>
      <c r="J539" s="5" t="n">
        <v>41.67</v>
      </c>
      <c r="K539" s="5" t="n"/>
      <c r="L539" s="5" t="n"/>
      <c r="M539" s="5" t="n"/>
      <c r="N539" s="5" t="n"/>
      <c r="O539" s="5" t="n">
        <v>250</v>
      </c>
      <c r="P539" s="5" t="n"/>
      <c r="Q539" s="5" t="n">
        <v>250</v>
      </c>
      <c r="R539" s="5" t="n"/>
      <c r="S539" s="5">
        <f>F539*20%</f>
        <v/>
      </c>
      <c r="T539" s="5">
        <f>J539-S539</f>
        <v/>
      </c>
      <c r="U539" s="5">
        <f>F539+J539</f>
        <v/>
      </c>
      <c r="V539" s="5">
        <f>O539-U539</f>
        <v/>
      </c>
      <c r="W539" s="5">
        <f>O539-(P539+R539)</f>
        <v/>
      </c>
      <c r="X539" s="5">
        <f>O539-(P539+Q539+R539)</f>
        <v/>
      </c>
    </row>
    <row r="540">
      <c r="A540" s="2" t="inlineStr">
        <is>
          <t>EJ011023.TXT</t>
        </is>
      </c>
      <c r="B540" s="3" t="inlineStr">
        <is>
          <t>005110</t>
        </is>
      </c>
      <c r="C540" s="3" t="inlineStr">
        <is>
          <t>004100</t>
        </is>
      </c>
      <c r="D540" s="4" t="n">
        <v>45198</v>
      </c>
      <c r="E540" s="2" t="inlineStr">
        <is>
          <t>14:00</t>
        </is>
      </c>
      <c r="F540" s="5" t="n">
        <v>822.5</v>
      </c>
      <c r="G540" s="5" t="n"/>
      <c r="H540" s="5" t="n"/>
      <c r="I540" s="5" t="n"/>
      <c r="J540" s="5" t="n">
        <v>164.5</v>
      </c>
      <c r="K540" s="5" t="n"/>
      <c r="L540" s="5" t="n"/>
      <c r="M540" s="5" t="n"/>
      <c r="N540" s="5" t="n"/>
      <c r="O540" s="5" t="n">
        <v>987</v>
      </c>
      <c r="P540" s="5" t="n"/>
      <c r="Q540" s="5" t="n">
        <v>987</v>
      </c>
      <c r="R540" s="5" t="n"/>
      <c r="S540" s="5">
        <f>F540*20%</f>
        <v/>
      </c>
      <c r="T540" s="5">
        <f>J540-S540</f>
        <v/>
      </c>
      <c r="U540" s="5">
        <f>F540+J540</f>
        <v/>
      </c>
      <c r="V540" s="5">
        <f>O540-U540</f>
        <v/>
      </c>
      <c r="W540" s="5">
        <f>O540-(P540+R540)</f>
        <v/>
      </c>
      <c r="X540" s="5">
        <f>O540-(P540+Q540+R540)</f>
        <v/>
      </c>
    </row>
    <row r="541">
      <c r="A541" s="2" t="inlineStr">
        <is>
          <t>EJ011023.TXT</t>
        </is>
      </c>
      <c r="B541" s="3" t="inlineStr">
        <is>
          <t>005111</t>
        </is>
      </c>
      <c r="C541" s="3" t="inlineStr">
        <is>
          <t>004101</t>
        </is>
      </c>
      <c r="D541" s="4" t="n">
        <v>45198</v>
      </c>
      <c r="E541" s="2" t="inlineStr">
        <is>
          <t>14:00</t>
        </is>
      </c>
      <c r="F541" s="5" t="n">
        <v>531.67</v>
      </c>
      <c r="G541" s="5" t="n"/>
      <c r="H541" s="5" t="n"/>
      <c r="I541" s="5" t="n"/>
      <c r="J541" s="5" t="n">
        <v>106.33</v>
      </c>
      <c r="K541" s="5" t="n"/>
      <c r="L541" s="5" t="n"/>
      <c r="M541" s="5" t="n"/>
      <c r="N541" s="5" t="n"/>
      <c r="O541" s="5" t="n">
        <v>638</v>
      </c>
      <c r="P541" s="5" t="n"/>
      <c r="Q541" s="5" t="n">
        <v>638</v>
      </c>
      <c r="R541" s="5" t="n"/>
      <c r="S541" s="5">
        <f>F541*20%</f>
        <v/>
      </c>
      <c r="T541" s="5">
        <f>J541-S541</f>
        <v/>
      </c>
      <c r="U541" s="5">
        <f>F541+J541</f>
        <v/>
      </c>
      <c r="V541" s="5">
        <f>O541-U541</f>
        <v/>
      </c>
      <c r="W541" s="5">
        <f>O541-(P541+R541)</f>
        <v/>
      </c>
      <c r="X541" s="5">
        <f>O541-(P541+Q541+R541)</f>
        <v/>
      </c>
    </row>
    <row r="542">
      <c r="A542" s="2" t="inlineStr">
        <is>
          <t>EJ011023.TXT</t>
        </is>
      </c>
      <c r="B542" s="3" t="inlineStr">
        <is>
          <t>005112</t>
        </is>
      </c>
      <c r="C542" s="3" t="inlineStr">
        <is>
          <t>004102</t>
        </is>
      </c>
      <c r="D542" s="4" t="n">
        <v>45199</v>
      </c>
      <c r="E542" s="2" t="inlineStr">
        <is>
          <t>14:48</t>
        </is>
      </c>
      <c r="F542" s="5" t="n">
        <v>548.33</v>
      </c>
      <c r="G542" s="5" t="n"/>
      <c r="H542" s="5" t="n"/>
      <c r="I542" s="5" t="n"/>
      <c r="J542" s="5" t="n">
        <v>109.67</v>
      </c>
      <c r="K542" s="5" t="n"/>
      <c r="L542" s="5" t="n"/>
      <c r="M542" s="5" t="n"/>
      <c r="N542" s="5" t="n"/>
      <c r="O542" s="5" t="n">
        <v>658</v>
      </c>
      <c r="P542" s="5" t="n"/>
      <c r="Q542" s="5" t="n">
        <v>658</v>
      </c>
      <c r="R542" s="5" t="n"/>
      <c r="S542" s="5">
        <f>F542*20%</f>
        <v/>
      </c>
      <c r="T542" s="5">
        <f>J542-S542</f>
        <v/>
      </c>
      <c r="U542" s="5">
        <f>F542+J542</f>
        <v/>
      </c>
      <c r="V542" s="5">
        <f>O542-U542</f>
        <v/>
      </c>
      <c r="W542" s="5">
        <f>O542-(P542+R542)</f>
        <v/>
      </c>
      <c r="X542" s="5">
        <f>O542-(P542+Q542+R542)</f>
        <v/>
      </c>
    </row>
    <row r="543">
      <c r="A543" s="2" t="inlineStr">
        <is>
          <t>EJ011023.TXT</t>
        </is>
      </c>
      <c r="B543" s="3" t="inlineStr">
        <is>
          <t>005113</t>
        </is>
      </c>
      <c r="C543" s="3" t="inlineStr">
        <is>
          <t>004103</t>
        </is>
      </c>
      <c r="D543" s="4" t="n">
        <v>45199</v>
      </c>
      <c r="E543" s="2" t="inlineStr">
        <is>
          <t>14:48</t>
        </is>
      </c>
      <c r="F543" s="5" t="n">
        <v>548.33</v>
      </c>
      <c r="G543" s="5" t="n"/>
      <c r="H543" s="5" t="n"/>
      <c r="I543" s="5" t="n"/>
      <c r="J543" s="5" t="n">
        <v>109.67</v>
      </c>
      <c r="K543" s="5" t="n"/>
      <c r="L543" s="5" t="n"/>
      <c r="M543" s="5" t="n"/>
      <c r="N543" s="5" t="n"/>
      <c r="O543" s="5" t="n">
        <v>658</v>
      </c>
      <c r="P543" s="5" t="n"/>
      <c r="Q543" s="5" t="n">
        <v>658</v>
      </c>
      <c r="R543" s="5" t="n"/>
      <c r="S543" s="5">
        <f>F543*20%</f>
        <v/>
      </c>
      <c r="T543" s="5">
        <f>J543-S543</f>
        <v/>
      </c>
      <c r="U543" s="5">
        <f>F543+J543</f>
        <v/>
      </c>
      <c r="V543" s="5">
        <f>O543-U543</f>
        <v/>
      </c>
      <c r="W543" s="5">
        <f>O543-(P543+R543)</f>
        <v/>
      </c>
      <c r="X543" s="5">
        <f>O543-(P543+Q543+R543)</f>
        <v/>
      </c>
    </row>
    <row r="544">
      <c r="A544" s="2" t="inlineStr">
        <is>
          <t>EJ011023.TXT</t>
        </is>
      </c>
      <c r="B544" s="3" t="inlineStr">
        <is>
          <t>005114</t>
        </is>
      </c>
      <c r="C544" s="3" t="inlineStr">
        <is>
          <t>004104</t>
        </is>
      </c>
      <c r="D544" s="4" t="n">
        <v>45199</v>
      </c>
      <c r="E544" s="2" t="inlineStr">
        <is>
          <t>14:52</t>
        </is>
      </c>
      <c r="F544" s="5" t="n">
        <v>822.5</v>
      </c>
      <c r="G544" s="5" t="n"/>
      <c r="H544" s="5" t="n"/>
      <c r="I544" s="5" t="n"/>
      <c r="J544" s="5" t="n">
        <v>164.5</v>
      </c>
      <c r="K544" s="5" t="n"/>
      <c r="L544" s="5" t="n"/>
      <c r="M544" s="5" t="n"/>
      <c r="N544" s="5" t="n"/>
      <c r="O544" s="5" t="n">
        <v>987</v>
      </c>
      <c r="P544" s="5" t="n"/>
      <c r="Q544" s="5" t="n">
        <v>987</v>
      </c>
      <c r="R544" s="5" t="n"/>
      <c r="S544" s="5">
        <f>F544*20%</f>
        <v/>
      </c>
      <c r="T544" s="5">
        <f>J544-S544</f>
        <v/>
      </c>
      <c r="U544" s="5">
        <f>F544+J544</f>
        <v/>
      </c>
      <c r="V544" s="5">
        <f>O544-U544</f>
        <v/>
      </c>
      <c r="W544" s="5">
        <f>O544-(P544+R544)</f>
        <v/>
      </c>
      <c r="X544" s="5">
        <f>O544-(P544+Q544+R544)</f>
        <v/>
      </c>
    </row>
    <row r="545">
      <c r="A545" s="2" t="inlineStr">
        <is>
          <t>EJ011023.TXT</t>
        </is>
      </c>
      <c r="B545" s="3" t="inlineStr">
        <is>
          <t>005115</t>
        </is>
      </c>
      <c r="C545" s="3" t="inlineStr">
        <is>
          <t>004105</t>
        </is>
      </c>
      <c r="D545" s="4" t="n">
        <v>45199</v>
      </c>
      <c r="E545" s="2" t="inlineStr">
        <is>
          <t>14:53</t>
        </is>
      </c>
      <c r="F545" s="5" t="n">
        <v>274.17</v>
      </c>
      <c r="G545" s="5" t="n"/>
      <c r="H545" s="5" t="n"/>
      <c r="I545" s="5" t="n"/>
      <c r="J545" s="5" t="n">
        <v>54.83</v>
      </c>
      <c r="K545" s="5" t="n"/>
      <c r="L545" s="5" t="n"/>
      <c r="M545" s="5" t="n"/>
      <c r="N545" s="5" t="n"/>
      <c r="O545" s="5" t="n">
        <v>329</v>
      </c>
      <c r="P545" s="5" t="n"/>
      <c r="Q545" s="5" t="n">
        <v>329</v>
      </c>
      <c r="R545" s="5" t="n"/>
      <c r="S545" s="5">
        <f>F545*20%</f>
        <v/>
      </c>
      <c r="T545" s="5">
        <f>J545-S545</f>
        <v/>
      </c>
      <c r="U545" s="5">
        <f>F545+J545</f>
        <v/>
      </c>
      <c r="V545" s="5">
        <f>O545-U545</f>
        <v/>
      </c>
      <c r="W545" s="5">
        <f>O545-(P545+R545)</f>
        <v/>
      </c>
      <c r="X545" s="5">
        <f>O545-(P545+Q545+R545)</f>
        <v/>
      </c>
    </row>
    <row r="546">
      <c r="A546" s="2" t="inlineStr">
        <is>
          <t>EJ011023.TXT</t>
        </is>
      </c>
      <c r="B546" s="3" t="inlineStr">
        <is>
          <t>005116</t>
        </is>
      </c>
      <c r="C546" s="3" t="inlineStr">
        <is>
          <t>004106</t>
        </is>
      </c>
      <c r="D546" s="4" t="n">
        <v>45199</v>
      </c>
      <c r="E546" s="2" t="inlineStr">
        <is>
          <t>14:53</t>
        </is>
      </c>
      <c r="F546" s="5" t="n">
        <v>822.5</v>
      </c>
      <c r="G546" s="5" t="n"/>
      <c r="H546" s="5" t="n"/>
      <c r="I546" s="5" t="n"/>
      <c r="J546" s="5" t="n">
        <v>164.5</v>
      </c>
      <c r="K546" s="5" t="n"/>
      <c r="L546" s="5" t="n"/>
      <c r="M546" s="5" t="n"/>
      <c r="N546" s="5" t="n"/>
      <c r="O546" s="5" t="n">
        <v>987</v>
      </c>
      <c r="P546" s="5" t="n"/>
      <c r="Q546" s="5" t="n">
        <v>987</v>
      </c>
      <c r="R546" s="5" t="n"/>
      <c r="S546" s="5">
        <f>F546*20%</f>
        <v/>
      </c>
      <c r="T546" s="5">
        <f>J546-S546</f>
        <v/>
      </c>
      <c r="U546" s="5">
        <f>F546+J546</f>
        <v/>
      </c>
      <c r="V546" s="5">
        <f>O546-U546</f>
        <v/>
      </c>
      <c r="W546" s="5">
        <f>O546-(P546+R546)</f>
        <v/>
      </c>
      <c r="X546" s="5">
        <f>O546-(P546+Q546+R546)</f>
        <v/>
      </c>
    </row>
    <row r="547">
      <c r="A547" s="2" t="inlineStr">
        <is>
          <t>EJ011023.TXT</t>
        </is>
      </c>
      <c r="B547" s="3" t="inlineStr">
        <is>
          <t>005117</t>
        </is>
      </c>
      <c r="C547" s="3" t="inlineStr">
        <is>
          <t>004107</t>
        </is>
      </c>
      <c r="D547" s="4" t="n">
        <v>45199</v>
      </c>
      <c r="E547" s="2" t="inlineStr">
        <is>
          <t>14:54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/>
      <c r="Q547" s="5" t="n">
        <v>658</v>
      </c>
      <c r="R547" s="5" t="n"/>
      <c r="S547" s="5">
        <f>F547*20%</f>
        <v/>
      </c>
      <c r="T547" s="5">
        <f>J547-S547</f>
        <v/>
      </c>
      <c r="U547" s="5">
        <f>F547+J547</f>
        <v/>
      </c>
      <c r="V547" s="5">
        <f>O547-U547</f>
        <v/>
      </c>
      <c r="W547" s="5">
        <f>O547-(P547+R547)</f>
        <v/>
      </c>
      <c r="X547" s="5">
        <f>O547-(P547+Q547+R547)</f>
        <v/>
      </c>
    </row>
    <row r="548">
      <c r="A548" s="2" t="inlineStr">
        <is>
          <t>EJ011023.TXT</t>
        </is>
      </c>
      <c r="B548" s="3" t="inlineStr">
        <is>
          <t>005118</t>
        </is>
      </c>
      <c r="C548" s="3" t="inlineStr">
        <is>
          <t>004108</t>
        </is>
      </c>
      <c r="D548" s="4" t="n">
        <v>45199</v>
      </c>
      <c r="E548" s="2" t="inlineStr">
        <is>
          <t>14:54</t>
        </is>
      </c>
      <c r="F548" s="5" t="n">
        <v>274.17</v>
      </c>
      <c r="G548" s="5" t="n"/>
      <c r="H548" s="5" t="n"/>
      <c r="I548" s="5" t="n"/>
      <c r="J548" s="5" t="n">
        <v>54.83</v>
      </c>
      <c r="K548" s="5" t="n"/>
      <c r="L548" s="5" t="n"/>
      <c r="M548" s="5" t="n"/>
      <c r="N548" s="5" t="n"/>
      <c r="O548" s="5" t="n">
        <v>329</v>
      </c>
      <c r="P548" s="5" t="n"/>
      <c r="Q548" s="5" t="n">
        <v>329</v>
      </c>
      <c r="R548" s="5" t="n"/>
      <c r="S548" s="5">
        <f>F548*20%</f>
        <v/>
      </c>
      <c r="T548" s="5">
        <f>J548-S548</f>
        <v/>
      </c>
      <c r="U548" s="5">
        <f>F548+J548</f>
        <v/>
      </c>
      <c r="V548" s="5">
        <f>O548-U548</f>
        <v/>
      </c>
      <c r="W548" s="5">
        <f>O548-(P548+R548)</f>
        <v/>
      </c>
      <c r="X548" s="5">
        <f>O548-(P548+Q548+R548)</f>
        <v/>
      </c>
    </row>
    <row r="549">
      <c r="A549" s="2" t="inlineStr">
        <is>
          <t>EJ011023.TXT</t>
        </is>
      </c>
      <c r="B549" s="3" t="inlineStr">
        <is>
          <t>005119</t>
        </is>
      </c>
      <c r="C549" s="3" t="inlineStr">
        <is>
          <t>004109</t>
        </is>
      </c>
      <c r="D549" s="4" t="n">
        <v>45199</v>
      </c>
      <c r="E549" s="2" t="inlineStr">
        <is>
          <t>16:42</t>
        </is>
      </c>
      <c r="F549" s="5" t="n">
        <v>222.5</v>
      </c>
      <c r="G549" s="5" t="n"/>
      <c r="H549" s="5" t="n"/>
      <c r="I549" s="5" t="n"/>
      <c r="J549" s="5" t="n">
        <v>44.5</v>
      </c>
      <c r="K549" s="5" t="n"/>
      <c r="L549" s="5" t="n"/>
      <c r="M549" s="5" t="n"/>
      <c r="N549" s="5" t="n"/>
      <c r="O549" s="5" t="n">
        <v>267</v>
      </c>
      <c r="P549" s="5" t="n"/>
      <c r="Q549" s="5" t="n">
        <v>267</v>
      </c>
      <c r="R549" s="5" t="n"/>
      <c r="S549" s="5">
        <f>F549*20%</f>
        <v/>
      </c>
      <c r="T549" s="5">
        <f>J549-S549</f>
        <v/>
      </c>
      <c r="U549" s="5">
        <f>F549+J549</f>
        <v/>
      </c>
      <c r="V549" s="5">
        <f>O549-U549</f>
        <v/>
      </c>
      <c r="W549" s="5">
        <f>O549-(P549+R549)</f>
        <v/>
      </c>
      <c r="X549" s="5">
        <f>O549-(P549+Q549+R549)</f>
        <v/>
      </c>
    </row>
    <row r="550">
      <c r="A550" s="2" t="inlineStr">
        <is>
          <t>EJ011023.TXT</t>
        </is>
      </c>
      <c r="B550" s="3" t="inlineStr">
        <is>
          <t>005120</t>
        </is>
      </c>
      <c r="C550" s="3" t="inlineStr">
        <is>
          <t>004110</t>
        </is>
      </c>
      <c r="D550" s="4" t="n">
        <v>45199</v>
      </c>
      <c r="E550" s="2" t="inlineStr">
        <is>
          <t>17:06</t>
        </is>
      </c>
      <c r="F550" s="5" t="n">
        <v>848.33</v>
      </c>
      <c r="G550" s="5" t="n"/>
      <c r="H550" s="5" t="n"/>
      <c r="I550" s="5" t="n"/>
      <c r="J550" s="5" t="n">
        <v>169.67</v>
      </c>
      <c r="K550" s="5" t="n"/>
      <c r="L550" s="5" t="n"/>
      <c r="M550" s="5" t="n"/>
      <c r="N550" s="5" t="n"/>
      <c r="O550" s="5" t="n">
        <v>1018</v>
      </c>
      <c r="P550" s="5" t="n">
        <v>1018</v>
      </c>
      <c r="Q550" s="5" t="n"/>
      <c r="R550" s="5" t="n"/>
      <c r="S550" s="5">
        <f>F550*20%</f>
        <v/>
      </c>
      <c r="T550" s="5">
        <f>J550-S550</f>
        <v/>
      </c>
      <c r="U550" s="5">
        <f>F550+J550</f>
        <v/>
      </c>
      <c r="V550" s="5">
        <f>O550-U550</f>
        <v/>
      </c>
      <c r="W550" s="5">
        <f>O550-(P550+R550)</f>
        <v/>
      </c>
      <c r="X550" s="5">
        <f>O550-(P550+Q550+R550)</f>
        <v/>
      </c>
    </row>
    <row r="551">
      <c r="A551" s="2" t="inlineStr">
        <is>
          <t>EJ101123.TXT</t>
        </is>
      </c>
      <c r="B551" s="3" t="inlineStr">
        <is>
          <t>005128</t>
        </is>
      </c>
      <c r="C551" s="3" t="inlineStr">
        <is>
          <t>004111</t>
        </is>
      </c>
      <c r="D551" s="4" t="n">
        <v>45201</v>
      </c>
      <c r="E551" s="2" t="inlineStr">
        <is>
          <t>16:38</t>
        </is>
      </c>
      <c r="F551" s="5" t="n">
        <v>822.5</v>
      </c>
      <c r="G551" s="5" t="n"/>
      <c r="H551" s="5" t="n"/>
      <c r="I551" s="5" t="n"/>
      <c r="J551" s="5" t="n">
        <v>164.5</v>
      </c>
      <c r="K551" s="5" t="n"/>
      <c r="L551" s="5" t="n"/>
      <c r="M551" s="5" t="n"/>
      <c r="N551" s="5" t="n"/>
      <c r="O551" s="5" t="n">
        <v>987</v>
      </c>
      <c r="P551" s="5" t="n"/>
      <c r="Q551" s="5" t="n">
        <v>987</v>
      </c>
      <c r="R551" s="5" t="n"/>
      <c r="S551" s="5">
        <f>F551*20%</f>
        <v/>
      </c>
      <c r="T551" s="5">
        <f>J551-S551</f>
        <v/>
      </c>
      <c r="U551" s="5">
        <f>F551+J551</f>
        <v/>
      </c>
      <c r="V551" s="5">
        <f>O551-U551</f>
        <v/>
      </c>
      <c r="W551" s="5">
        <f>O551-(P551+R551)</f>
        <v/>
      </c>
      <c r="X551" s="5">
        <f>O551-(P551+Q551+R551)</f>
        <v/>
      </c>
    </row>
    <row r="552">
      <c r="A552" s="2" t="inlineStr">
        <is>
          <t>EJ101123.TXT</t>
        </is>
      </c>
      <c r="B552" s="3" t="inlineStr">
        <is>
          <t>005129</t>
        </is>
      </c>
      <c r="C552" s="3" t="inlineStr">
        <is>
          <t>004112</t>
        </is>
      </c>
      <c r="D552" s="4" t="n">
        <v>45201</v>
      </c>
      <c r="E552" s="2" t="inlineStr">
        <is>
          <t>16:38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/>
      <c r="Q552" s="5" t="n">
        <v>658</v>
      </c>
      <c r="R552" s="5" t="n"/>
      <c r="S552" s="5">
        <f>F552*20%</f>
        <v/>
      </c>
      <c r="T552" s="5">
        <f>J552-S552</f>
        <v/>
      </c>
      <c r="U552" s="5">
        <f>F552+J552</f>
        <v/>
      </c>
      <c r="V552" s="5">
        <f>O552-U552</f>
        <v/>
      </c>
      <c r="W552" s="5">
        <f>O552-(P552+R552)</f>
        <v/>
      </c>
      <c r="X552" s="5">
        <f>O552-(P552+Q552+R552)</f>
        <v/>
      </c>
    </row>
    <row r="553">
      <c r="A553" s="2" t="inlineStr">
        <is>
          <t>EJ101123.TXT</t>
        </is>
      </c>
      <c r="B553" s="3" t="inlineStr">
        <is>
          <t>005130</t>
        </is>
      </c>
      <c r="C553" s="3" t="inlineStr">
        <is>
          <t>004113</t>
        </is>
      </c>
      <c r="D553" s="4" t="n">
        <v>45201</v>
      </c>
      <c r="E553" s="2" t="inlineStr">
        <is>
          <t>16:57</t>
        </is>
      </c>
      <c r="F553" s="5" t="n">
        <v>479.83</v>
      </c>
      <c r="G553" s="5" t="n"/>
      <c r="H553" s="5" t="n"/>
      <c r="I553" s="5" t="n"/>
      <c r="J553" s="5" t="n">
        <v>95.97</v>
      </c>
      <c r="K553" s="5" t="n"/>
      <c r="L553" s="5" t="n"/>
      <c r="M553" s="5" t="n"/>
      <c r="N553" s="5" t="n"/>
      <c r="O553" s="5" t="n">
        <v>575.8</v>
      </c>
      <c r="P553" s="5" t="n"/>
      <c r="Q553" s="5" t="n">
        <v>575.8</v>
      </c>
      <c r="R553" s="5" t="n"/>
      <c r="S553" s="5">
        <f>F553*20%</f>
        <v/>
      </c>
      <c r="T553" s="5">
        <f>J553-S553</f>
        <v/>
      </c>
      <c r="U553" s="5">
        <f>F553+J553</f>
        <v/>
      </c>
      <c r="V553" s="5">
        <f>O553-U553</f>
        <v/>
      </c>
      <c r="W553" s="5">
        <f>O553-(P553+R553)</f>
        <v/>
      </c>
      <c r="X553" s="5">
        <f>O553-(P553+Q553+R553)</f>
        <v/>
      </c>
    </row>
    <row r="554">
      <c r="A554" s="2" t="inlineStr">
        <is>
          <t>EJ101123.TXT</t>
        </is>
      </c>
      <c r="B554" s="3" t="inlineStr">
        <is>
          <t>005131</t>
        </is>
      </c>
      <c r="C554" s="3" t="inlineStr">
        <is>
          <t>004114</t>
        </is>
      </c>
      <c r="D554" s="4" t="n">
        <v>45202</v>
      </c>
      <c r="E554" s="2" t="inlineStr">
        <is>
          <t>09:39</t>
        </is>
      </c>
      <c r="F554" s="5" t="n">
        <v>265.83</v>
      </c>
      <c r="G554" s="5" t="n"/>
      <c r="H554" s="5" t="n"/>
      <c r="I554" s="5" t="n"/>
      <c r="J554" s="5" t="n">
        <v>53.17</v>
      </c>
      <c r="K554" s="5" t="n"/>
      <c r="L554" s="5" t="n"/>
      <c r="M554" s="5" t="n"/>
      <c r="N554" s="5" t="n"/>
      <c r="O554" s="5" t="n">
        <v>319</v>
      </c>
      <c r="P554" s="5" t="n"/>
      <c r="Q554" s="5" t="n">
        <v>319</v>
      </c>
      <c r="R554" s="5" t="n"/>
      <c r="S554" s="5">
        <f>F554*20%</f>
        <v/>
      </c>
      <c r="T554" s="5">
        <f>J554-S554</f>
        <v/>
      </c>
      <c r="U554" s="5">
        <f>F554+J554</f>
        <v/>
      </c>
      <c r="V554" s="5">
        <f>O554-U554</f>
        <v/>
      </c>
      <c r="W554" s="5">
        <f>O554-(P554+R554)</f>
        <v/>
      </c>
      <c r="X554" s="5">
        <f>O554-(P554+Q554+R554)</f>
        <v/>
      </c>
    </row>
    <row r="555">
      <c r="A555" s="2" t="inlineStr">
        <is>
          <t>EJ101123.TXT</t>
        </is>
      </c>
      <c r="B555" s="3" t="inlineStr">
        <is>
          <t>005132</t>
        </is>
      </c>
      <c r="C555" s="3" t="inlineStr">
        <is>
          <t>004115</t>
        </is>
      </c>
      <c r="D555" s="4" t="n">
        <v>45205</v>
      </c>
      <c r="E555" s="2" t="inlineStr">
        <is>
          <t>14:05</t>
        </is>
      </c>
      <c r="F555" s="5" t="n">
        <v>548.33</v>
      </c>
      <c r="G555" s="5" t="n"/>
      <c r="H555" s="5" t="n"/>
      <c r="I555" s="5" t="n"/>
      <c r="J555" s="5" t="n">
        <v>109.67</v>
      </c>
      <c r="K555" s="5" t="n"/>
      <c r="L555" s="5" t="n"/>
      <c r="M555" s="5" t="n"/>
      <c r="N555" s="5" t="n"/>
      <c r="O555" s="5" t="n">
        <v>658</v>
      </c>
      <c r="P555" s="5" t="n">
        <v>658</v>
      </c>
      <c r="Q555" s="5" t="n"/>
      <c r="R555" s="5" t="n"/>
      <c r="S555" s="5">
        <f>F555*20%</f>
        <v/>
      </c>
      <c r="T555" s="5">
        <f>J555-S555</f>
        <v/>
      </c>
      <c r="U555" s="5">
        <f>F555+J555</f>
        <v/>
      </c>
      <c r="V555" s="5">
        <f>O555-U555</f>
        <v/>
      </c>
      <c r="W555" s="5">
        <f>O555-(P555+R555)</f>
        <v/>
      </c>
      <c r="X555" s="5">
        <f>O555-(P555+Q555+R555)</f>
        <v/>
      </c>
    </row>
    <row r="556">
      <c r="A556" s="2" t="inlineStr">
        <is>
          <t>EJ101123.TXT</t>
        </is>
      </c>
      <c r="B556" s="3" t="inlineStr">
        <is>
          <t>005133</t>
        </is>
      </c>
      <c r="C556" s="3" t="inlineStr">
        <is>
          <t>004116</t>
        </is>
      </c>
      <c r="D556" s="4" t="n">
        <v>45206</v>
      </c>
      <c r="E556" s="2" t="inlineStr">
        <is>
          <t>15:50</t>
        </is>
      </c>
      <c r="F556" s="5" t="n">
        <v>199.17</v>
      </c>
      <c r="G556" s="5" t="n"/>
      <c r="H556" s="5" t="n"/>
      <c r="I556" s="5" t="n"/>
      <c r="J556" s="5" t="n">
        <v>39.83</v>
      </c>
      <c r="K556" s="5" t="n"/>
      <c r="L556" s="5" t="n"/>
      <c r="M556" s="5" t="n"/>
      <c r="N556" s="5" t="n"/>
      <c r="O556" s="5" t="n">
        <v>239</v>
      </c>
      <c r="P556" s="5" t="n">
        <v>239</v>
      </c>
      <c r="Q556" s="5" t="n"/>
      <c r="R556" s="5" t="n"/>
      <c r="S556" s="5">
        <f>F556*20%</f>
        <v/>
      </c>
      <c r="T556" s="5">
        <f>J556-S556</f>
        <v/>
      </c>
      <c r="U556" s="5">
        <f>F556+J556</f>
        <v/>
      </c>
      <c r="V556" s="5">
        <f>O556-U556</f>
        <v/>
      </c>
      <c r="W556" s="5">
        <f>O556-(P556+R556)</f>
        <v/>
      </c>
      <c r="X556" s="5">
        <f>O556-(P556+Q556+R556)</f>
        <v/>
      </c>
    </row>
    <row r="557">
      <c r="A557" s="2" t="inlineStr">
        <is>
          <t>EJ101123.TXT</t>
        </is>
      </c>
      <c r="B557" s="3" t="inlineStr">
        <is>
          <t>005134</t>
        </is>
      </c>
      <c r="C557" s="3" t="inlineStr">
        <is>
          <t>004117</t>
        </is>
      </c>
      <c r="D557" s="4" t="n">
        <v>45206</v>
      </c>
      <c r="E557" s="2" t="inlineStr">
        <is>
          <t>15:54</t>
        </is>
      </c>
      <c r="F557" s="5" t="n">
        <v>274.17</v>
      </c>
      <c r="G557" s="5" t="n"/>
      <c r="H557" s="5" t="n"/>
      <c r="I557" s="5" t="n"/>
      <c r="J557" s="5" t="n">
        <v>54.83</v>
      </c>
      <c r="K557" s="5" t="n"/>
      <c r="L557" s="5" t="n"/>
      <c r="M557" s="5" t="n"/>
      <c r="N557" s="5" t="n"/>
      <c r="O557" s="5" t="n">
        <v>329</v>
      </c>
      <c r="P557" s="5" t="n">
        <v>329</v>
      </c>
      <c r="Q557" s="5" t="n"/>
      <c r="R557" s="5" t="n"/>
      <c r="S557" s="5">
        <f>F557*20%</f>
        <v/>
      </c>
      <c r="T557" s="5">
        <f>J557-S557</f>
        <v/>
      </c>
      <c r="U557" s="5">
        <f>F557+J557</f>
        <v/>
      </c>
      <c r="V557" s="5">
        <f>O557-U557</f>
        <v/>
      </c>
      <c r="W557" s="5">
        <f>O557-(P557+R557)</f>
        <v/>
      </c>
      <c r="X557" s="5">
        <f>O557-(P557+Q557+R557)</f>
        <v/>
      </c>
    </row>
    <row r="558">
      <c r="A558" s="2" t="inlineStr">
        <is>
          <t>EJ101123.TXT</t>
        </is>
      </c>
      <c r="B558" s="3" t="inlineStr">
        <is>
          <t>005135</t>
        </is>
      </c>
      <c r="C558" s="3" t="inlineStr">
        <is>
          <t>004118</t>
        </is>
      </c>
      <c r="D558" s="4" t="n">
        <v>45206</v>
      </c>
      <c r="E558" s="2" t="inlineStr">
        <is>
          <t>15:54</t>
        </is>
      </c>
      <c r="F558" s="5" t="n">
        <v>274.17</v>
      </c>
      <c r="G558" s="5" t="n"/>
      <c r="H558" s="5" t="n"/>
      <c r="I558" s="5" t="n"/>
      <c r="J558" s="5" t="n">
        <v>54.83</v>
      </c>
      <c r="K558" s="5" t="n"/>
      <c r="L558" s="5" t="n"/>
      <c r="M558" s="5" t="n"/>
      <c r="N558" s="5" t="n"/>
      <c r="O558" s="5" t="n">
        <v>329</v>
      </c>
      <c r="P558" s="5" t="n"/>
      <c r="Q558" s="5" t="n">
        <v>329</v>
      </c>
      <c r="R558" s="5" t="n"/>
      <c r="S558" s="5">
        <f>F558*20%</f>
        <v/>
      </c>
      <c r="T558" s="5">
        <f>J558-S558</f>
        <v/>
      </c>
      <c r="U558" s="5">
        <f>F558+J558</f>
        <v/>
      </c>
      <c r="V558" s="5">
        <f>O558-U558</f>
        <v/>
      </c>
      <c r="W558" s="5">
        <f>O558-(P558+R558)</f>
        <v/>
      </c>
      <c r="X558" s="5">
        <f>O558-(P558+Q558+R558)</f>
        <v/>
      </c>
    </row>
    <row r="559">
      <c r="A559" s="2" t="inlineStr">
        <is>
          <t>EJ101123.TXT</t>
        </is>
      </c>
      <c r="B559" s="3" t="inlineStr">
        <is>
          <t>005136</t>
        </is>
      </c>
      <c r="C559" s="3" t="inlineStr">
        <is>
          <t>004119</t>
        </is>
      </c>
      <c r="D559" s="4" t="n">
        <v>45208</v>
      </c>
      <c r="E559" s="2" t="inlineStr">
        <is>
          <t>13:52</t>
        </is>
      </c>
      <c r="F559" s="5" t="n">
        <v>548.33</v>
      </c>
      <c r="G559" s="5" t="n"/>
      <c r="H559" s="5" t="n"/>
      <c r="I559" s="5" t="n"/>
      <c r="J559" s="5" t="n">
        <v>109.67</v>
      </c>
      <c r="K559" s="5" t="n"/>
      <c r="L559" s="5" t="n"/>
      <c r="M559" s="5" t="n"/>
      <c r="N559" s="5" t="n"/>
      <c r="O559" s="5" t="n">
        <v>658</v>
      </c>
      <c r="P559" s="5" t="n"/>
      <c r="Q559" s="5" t="n">
        <v>658</v>
      </c>
      <c r="R559" s="5" t="n"/>
      <c r="S559" s="5">
        <f>F559*20%</f>
        <v/>
      </c>
      <c r="T559" s="5">
        <f>J559-S559</f>
        <v/>
      </c>
      <c r="U559" s="5">
        <f>F559+J559</f>
        <v/>
      </c>
      <c r="V559" s="5">
        <f>O559-U559</f>
        <v/>
      </c>
      <c r="W559" s="5">
        <f>O559-(P559+R559)</f>
        <v/>
      </c>
      <c r="X559" s="5">
        <f>O559-(P559+Q559+R559)</f>
        <v/>
      </c>
    </row>
    <row r="560">
      <c r="A560" s="2" t="inlineStr">
        <is>
          <t>EJ101123.TXT</t>
        </is>
      </c>
      <c r="B560" s="3" t="inlineStr">
        <is>
          <t>005137</t>
        </is>
      </c>
      <c r="C560" s="3" t="inlineStr">
        <is>
          <t>004120</t>
        </is>
      </c>
      <c r="D560" s="4" t="n">
        <v>45209</v>
      </c>
      <c r="E560" s="2" t="inlineStr">
        <is>
          <t>13:43</t>
        </is>
      </c>
      <c r="F560" s="5" t="n">
        <v>274.17</v>
      </c>
      <c r="G560" s="5" t="n"/>
      <c r="H560" s="5" t="n"/>
      <c r="I560" s="5" t="n"/>
      <c r="J560" s="5" t="n">
        <v>54.83</v>
      </c>
      <c r="K560" s="5" t="n"/>
      <c r="L560" s="5" t="n"/>
      <c r="M560" s="5" t="n"/>
      <c r="N560" s="5" t="n"/>
      <c r="O560" s="5" t="n">
        <v>329</v>
      </c>
      <c r="P560" s="5" t="n">
        <v>329</v>
      </c>
      <c r="Q560" s="5" t="n"/>
      <c r="R560" s="5" t="n"/>
      <c r="S560" s="5">
        <f>F560*20%</f>
        <v/>
      </c>
      <c r="T560" s="5">
        <f>J560-S560</f>
        <v/>
      </c>
      <c r="U560" s="5">
        <f>F560+J560</f>
        <v/>
      </c>
      <c r="V560" s="5">
        <f>O560-U560</f>
        <v/>
      </c>
      <c r="W560" s="5">
        <f>O560-(P560+R560)</f>
        <v/>
      </c>
      <c r="X560" s="5">
        <f>O560-(P560+Q560+R560)</f>
        <v/>
      </c>
    </row>
    <row r="561">
      <c r="A561" s="2" t="inlineStr">
        <is>
          <t>EJ101123.TXT</t>
        </is>
      </c>
      <c r="B561" s="3" t="inlineStr">
        <is>
          <t>005138</t>
        </is>
      </c>
      <c r="C561" s="3" t="inlineStr">
        <is>
          <t>004121</t>
        </is>
      </c>
      <c r="D561" s="4" t="n">
        <v>45209</v>
      </c>
      <c r="E561" s="2" t="inlineStr">
        <is>
          <t>14:31</t>
        </is>
      </c>
      <c r="F561" s="5" t="n">
        <v>548.33</v>
      </c>
      <c r="G561" s="5" t="n"/>
      <c r="H561" s="5" t="n"/>
      <c r="I561" s="5" t="n"/>
      <c r="J561" s="5" t="n">
        <v>109.67</v>
      </c>
      <c r="K561" s="5" t="n"/>
      <c r="L561" s="5" t="n"/>
      <c r="M561" s="5" t="n"/>
      <c r="N561" s="5" t="n"/>
      <c r="O561" s="5" t="n">
        <v>658</v>
      </c>
      <c r="P561" s="5" t="n"/>
      <c r="Q561" s="5" t="n">
        <v>658</v>
      </c>
      <c r="R561" s="5" t="n"/>
      <c r="S561" s="5">
        <f>F561*20%</f>
        <v/>
      </c>
      <c r="T561" s="5">
        <f>J561-S561</f>
        <v/>
      </c>
      <c r="U561" s="5">
        <f>F561+J561</f>
        <v/>
      </c>
      <c r="V561" s="5">
        <f>O561-U561</f>
        <v/>
      </c>
      <c r="W561" s="5">
        <f>O561-(P561+R561)</f>
        <v/>
      </c>
      <c r="X561" s="5">
        <f>O561-(P561+Q561+R561)</f>
        <v/>
      </c>
    </row>
    <row r="562">
      <c r="A562" s="2" t="inlineStr">
        <is>
          <t>EJ101123.TXT</t>
        </is>
      </c>
      <c r="B562" s="3" t="inlineStr">
        <is>
          <t>005139</t>
        </is>
      </c>
      <c r="C562" s="3" t="inlineStr">
        <is>
          <t>004122</t>
        </is>
      </c>
      <c r="D562" s="4" t="n">
        <v>45209</v>
      </c>
      <c r="E562" s="2" t="inlineStr">
        <is>
          <t>16:17</t>
        </is>
      </c>
      <c r="F562" s="5" t="n">
        <v>175</v>
      </c>
      <c r="G562" s="5" t="n"/>
      <c r="H562" s="5" t="n"/>
      <c r="I562" s="5" t="n"/>
      <c r="J562" s="5" t="n">
        <v>35</v>
      </c>
      <c r="K562" s="5" t="n"/>
      <c r="L562" s="5" t="n"/>
      <c r="M562" s="5" t="n"/>
      <c r="N562" s="5" t="n"/>
      <c r="O562" s="5" t="n">
        <v>210</v>
      </c>
      <c r="P562" s="5" t="n">
        <v>210</v>
      </c>
      <c r="Q562" s="5" t="n"/>
      <c r="R562" s="5" t="n"/>
      <c r="S562" s="5">
        <f>F562*20%</f>
        <v/>
      </c>
      <c r="T562" s="5">
        <f>J562-S562</f>
        <v/>
      </c>
      <c r="U562" s="5">
        <f>F562+J562</f>
        <v/>
      </c>
      <c r="V562" s="5">
        <f>O562-U562</f>
        <v/>
      </c>
      <c r="W562" s="5">
        <f>O562-(P562+R562)</f>
        <v/>
      </c>
      <c r="X562" s="5">
        <f>O562-(P562+Q562+R562)</f>
        <v/>
      </c>
    </row>
    <row r="563">
      <c r="A563" s="2" t="inlineStr">
        <is>
          <t>EJ101123.TXT</t>
        </is>
      </c>
      <c r="B563" s="3" t="inlineStr">
        <is>
          <t>005140</t>
        </is>
      </c>
      <c r="C563" s="3" t="inlineStr">
        <is>
          <t>004123</t>
        </is>
      </c>
      <c r="D563" s="4" t="n">
        <v>45210</v>
      </c>
      <c r="E563" s="2" t="inlineStr">
        <is>
          <t>15:10</t>
        </is>
      </c>
      <c r="F563" s="5" t="n">
        <v>3290</v>
      </c>
      <c r="G563" s="5" t="n"/>
      <c r="H563" s="5" t="n"/>
      <c r="I563" s="5" t="n"/>
      <c r="J563" s="5" t="n">
        <v>658</v>
      </c>
      <c r="K563" s="5" t="n"/>
      <c r="L563" s="5" t="n"/>
      <c r="M563" s="5" t="n"/>
      <c r="N563" s="5" t="n"/>
      <c r="O563" s="5" t="n">
        <v>3948</v>
      </c>
      <c r="P563" s="5" t="n">
        <v>3948</v>
      </c>
      <c r="Q563" s="5" t="n"/>
      <c r="R563" s="5" t="n"/>
      <c r="S563" s="5">
        <f>F563*20%</f>
        <v/>
      </c>
      <c r="T563" s="5">
        <f>J563-S563</f>
        <v/>
      </c>
      <c r="U563" s="5">
        <f>F563+J563</f>
        <v/>
      </c>
      <c r="V563" s="5">
        <f>O563-U563</f>
        <v/>
      </c>
      <c r="W563" s="5">
        <f>O563-(P563+R563)</f>
        <v/>
      </c>
      <c r="X563" s="5">
        <f>O563-(P563+Q563+R563)</f>
        <v/>
      </c>
    </row>
    <row r="564">
      <c r="A564" s="2" t="inlineStr">
        <is>
          <t>EJ101123.TXT</t>
        </is>
      </c>
      <c r="B564" s="3" t="inlineStr">
        <is>
          <t>005141</t>
        </is>
      </c>
      <c r="C564" s="3" t="inlineStr">
        <is>
          <t>004124</t>
        </is>
      </c>
      <c r="D564" s="4" t="n">
        <v>45210</v>
      </c>
      <c r="E564" s="2" t="inlineStr">
        <is>
          <t>16:08</t>
        </is>
      </c>
      <c r="F564" s="5" t="n">
        <v>1096.67</v>
      </c>
      <c r="G564" s="5" t="n"/>
      <c r="H564" s="5" t="n"/>
      <c r="I564" s="5" t="n"/>
      <c r="J564" s="5" t="n">
        <v>219.33</v>
      </c>
      <c r="K564" s="5" t="n"/>
      <c r="L564" s="5" t="n"/>
      <c r="M564" s="5" t="n"/>
      <c r="N564" s="5" t="n"/>
      <c r="O564" s="5" t="n">
        <v>1316</v>
      </c>
      <c r="P564" s="5" t="n"/>
      <c r="Q564" s="5" t="n">
        <v>1316</v>
      </c>
      <c r="R564" s="5" t="n"/>
      <c r="S564" s="5">
        <f>F564*20%</f>
        <v/>
      </c>
      <c r="T564" s="5">
        <f>J564-S564</f>
        <v/>
      </c>
      <c r="U564" s="5">
        <f>F564+J564</f>
        <v/>
      </c>
      <c r="V564" s="5">
        <f>O564-U564</f>
        <v/>
      </c>
      <c r="W564" s="5">
        <f>O564-(P564+R564)</f>
        <v/>
      </c>
      <c r="X564" s="5">
        <f>O564-(P564+Q564+R564)</f>
        <v/>
      </c>
    </row>
    <row r="565">
      <c r="A565" s="2" t="inlineStr">
        <is>
          <t>EJ101123.TXT</t>
        </is>
      </c>
      <c r="B565" s="3" t="inlineStr">
        <is>
          <t>005142</t>
        </is>
      </c>
      <c r="C565" s="3" t="inlineStr">
        <is>
          <t>004125</t>
        </is>
      </c>
      <c r="D565" s="4" t="n">
        <v>45213</v>
      </c>
      <c r="E565" s="2" t="inlineStr">
        <is>
          <t>13:40</t>
        </is>
      </c>
      <c r="F565" s="5" t="n">
        <v>274.17</v>
      </c>
      <c r="G565" s="5" t="n"/>
      <c r="H565" s="5" t="n"/>
      <c r="I565" s="5" t="n"/>
      <c r="J565" s="5" t="n">
        <v>54.83</v>
      </c>
      <c r="K565" s="5" t="n"/>
      <c r="L565" s="5" t="n"/>
      <c r="M565" s="5" t="n"/>
      <c r="N565" s="5" t="n"/>
      <c r="O565" s="5" t="n">
        <v>329</v>
      </c>
      <c r="P565" s="5" t="n">
        <v>329</v>
      </c>
      <c r="Q565" s="5" t="n"/>
      <c r="R565" s="5" t="n"/>
      <c r="S565" s="5">
        <f>F565*20%</f>
        <v/>
      </c>
      <c r="T565" s="5">
        <f>J565-S565</f>
        <v/>
      </c>
      <c r="U565" s="5">
        <f>F565+J565</f>
        <v/>
      </c>
      <c r="V565" s="5">
        <f>O565-U565</f>
        <v/>
      </c>
      <c r="W565" s="5">
        <f>O565-(P565+R565)</f>
        <v/>
      </c>
      <c r="X565" s="5">
        <f>O565-(P565+Q565+R565)</f>
        <v/>
      </c>
    </row>
    <row r="566">
      <c r="A566" s="2" t="inlineStr">
        <is>
          <t>EJ101123.TXT</t>
        </is>
      </c>
      <c r="B566" s="3" t="inlineStr">
        <is>
          <t>005143</t>
        </is>
      </c>
      <c r="C566" s="3" t="inlineStr">
        <is>
          <t>004126</t>
        </is>
      </c>
      <c r="D566" s="4" t="n">
        <v>45213</v>
      </c>
      <c r="E566" s="2" t="inlineStr">
        <is>
          <t>15:52</t>
        </is>
      </c>
      <c r="F566" s="5" t="n">
        <v>274.17</v>
      </c>
      <c r="G566" s="5" t="n"/>
      <c r="H566" s="5" t="n"/>
      <c r="I566" s="5" t="n"/>
      <c r="J566" s="5" t="n">
        <v>54.83</v>
      </c>
      <c r="K566" s="5" t="n"/>
      <c r="L566" s="5" t="n"/>
      <c r="M566" s="5" t="n"/>
      <c r="N566" s="5" t="n"/>
      <c r="O566" s="5" t="n">
        <v>329</v>
      </c>
      <c r="P566" s="5" t="n">
        <v>329</v>
      </c>
      <c r="Q566" s="5" t="n"/>
      <c r="R566" s="5" t="n"/>
      <c r="S566" s="5">
        <f>F566*20%</f>
        <v/>
      </c>
      <c r="T566" s="5">
        <f>J566-S566</f>
        <v/>
      </c>
      <c r="U566" s="5">
        <f>F566+J566</f>
        <v/>
      </c>
      <c r="V566" s="5">
        <f>O566-U566</f>
        <v/>
      </c>
      <c r="W566" s="5">
        <f>O566-(P566+R566)</f>
        <v/>
      </c>
      <c r="X566" s="5">
        <f>O566-(P566+Q566+R566)</f>
        <v/>
      </c>
    </row>
    <row r="567">
      <c r="A567" s="2" t="inlineStr">
        <is>
          <t>EJ101123.TXT</t>
        </is>
      </c>
      <c r="B567" s="3" t="inlineStr">
        <is>
          <t>005144</t>
        </is>
      </c>
      <c r="C567" s="3" t="inlineStr">
        <is>
          <t>004127</t>
        </is>
      </c>
      <c r="D567" s="4" t="n">
        <v>45213</v>
      </c>
      <c r="E567" s="2" t="inlineStr">
        <is>
          <t>17:08</t>
        </is>
      </c>
      <c r="F567" s="5" t="n">
        <v>8240.83</v>
      </c>
      <c r="G567" s="5" t="n"/>
      <c r="H567" s="5" t="n"/>
      <c r="I567" s="5" t="n"/>
      <c r="J567" s="5" t="n">
        <v>1648.17</v>
      </c>
      <c r="K567" s="5" t="n"/>
      <c r="L567" s="5" t="n"/>
      <c r="M567" s="5" t="n"/>
      <c r="N567" s="5" t="n"/>
      <c r="O567" s="5" t="n">
        <v>9889</v>
      </c>
      <c r="P567" s="5" t="n">
        <v>9889</v>
      </c>
      <c r="Q567" s="5" t="n"/>
      <c r="R567" s="5" t="n"/>
      <c r="S567" s="5">
        <f>F567*20%</f>
        <v/>
      </c>
      <c r="T567" s="5">
        <f>J567-S567</f>
        <v/>
      </c>
      <c r="U567" s="5">
        <f>F567+J567</f>
        <v/>
      </c>
      <c r="V567" s="5">
        <f>O567-U567</f>
        <v/>
      </c>
      <c r="W567" s="5">
        <f>O567-(P567+R567)</f>
        <v/>
      </c>
      <c r="X567" s="5">
        <f>O567-(P567+Q567+R567)</f>
        <v/>
      </c>
    </row>
    <row r="568">
      <c r="A568" s="2" t="inlineStr">
        <is>
          <t>EJ101123.TXT</t>
        </is>
      </c>
      <c r="B568" s="3" t="inlineStr">
        <is>
          <t>005145</t>
        </is>
      </c>
      <c r="C568" s="3" t="inlineStr">
        <is>
          <t>004128</t>
        </is>
      </c>
      <c r="D568" s="4" t="n">
        <v>45216</v>
      </c>
      <c r="E568" s="2" t="inlineStr">
        <is>
          <t>10:17</t>
        </is>
      </c>
      <c r="F568" s="5" t="n">
        <v>1165</v>
      </c>
      <c r="G568" s="5" t="n"/>
      <c r="H568" s="5" t="n"/>
      <c r="I568" s="5" t="n"/>
      <c r="J568" s="5" t="n">
        <v>233</v>
      </c>
      <c r="K568" s="5" t="n"/>
      <c r="L568" s="5" t="n"/>
      <c r="M568" s="5" t="n"/>
      <c r="N568" s="5" t="n"/>
      <c r="O568" s="5" t="n">
        <v>1398</v>
      </c>
      <c r="P568" s="5" t="n">
        <v>1398</v>
      </c>
      <c r="Q568" s="5" t="n"/>
      <c r="R568" s="5" t="n"/>
      <c r="S568" s="5">
        <f>F568*20%</f>
        <v/>
      </c>
      <c r="T568" s="5">
        <f>J568-S568</f>
        <v/>
      </c>
      <c r="U568" s="5">
        <f>F568+J568</f>
        <v/>
      </c>
      <c r="V568" s="5">
        <f>O568-U568</f>
        <v/>
      </c>
      <c r="W568" s="5">
        <f>O568-(P568+R568)</f>
        <v/>
      </c>
      <c r="X568" s="5">
        <f>O568-(P568+Q568+R568)</f>
        <v/>
      </c>
    </row>
    <row r="569">
      <c r="A569" s="2" t="inlineStr">
        <is>
          <t>EJ101123.TXT</t>
        </is>
      </c>
      <c r="B569" s="3" t="inlineStr">
        <is>
          <t>005146</t>
        </is>
      </c>
      <c r="C569" s="3" t="inlineStr">
        <is>
          <t>004129</t>
        </is>
      </c>
      <c r="D569" s="4" t="n">
        <v>45216</v>
      </c>
      <c r="E569" s="2" t="inlineStr">
        <is>
          <t>15:28</t>
        </is>
      </c>
      <c r="F569" s="5" t="n">
        <v>37.5</v>
      </c>
      <c r="G569" s="5" t="n"/>
      <c r="H569" s="5" t="n"/>
      <c r="I569" s="5" t="n"/>
      <c r="J569" s="5" t="n">
        <v>7.5</v>
      </c>
      <c r="K569" s="5" t="n"/>
      <c r="L569" s="5" t="n"/>
      <c r="M569" s="5" t="n"/>
      <c r="N569" s="5" t="n"/>
      <c r="O569" s="5" t="n">
        <v>45</v>
      </c>
      <c r="P569" s="5" t="n"/>
      <c r="Q569" s="5" t="n">
        <v>45</v>
      </c>
      <c r="R569" s="5" t="n"/>
      <c r="S569" s="5">
        <f>F569*20%</f>
        <v/>
      </c>
      <c r="T569" s="5">
        <f>J569-S569</f>
        <v/>
      </c>
      <c r="U569" s="5">
        <f>F569+J569</f>
        <v/>
      </c>
      <c r="V569" s="5">
        <f>O569-U569</f>
        <v/>
      </c>
      <c r="W569" s="5">
        <f>O569-(P569+R569)</f>
        <v/>
      </c>
      <c r="X569" s="5">
        <f>O569-(P569+Q569+R569)</f>
        <v/>
      </c>
    </row>
    <row r="570">
      <c r="A570" s="2" t="inlineStr">
        <is>
          <t>EJ101123.TXT</t>
        </is>
      </c>
      <c r="B570" s="3" t="inlineStr">
        <is>
          <t>005147</t>
        </is>
      </c>
      <c r="C570" s="3" t="inlineStr">
        <is>
          <t>004130</t>
        </is>
      </c>
      <c r="D570" s="4" t="n">
        <v>45216</v>
      </c>
      <c r="E570" s="2" t="inlineStr">
        <is>
          <t>16:11</t>
        </is>
      </c>
      <c r="F570" s="5" t="n">
        <v>995.83</v>
      </c>
      <c r="G570" s="5" t="n"/>
      <c r="H570" s="5" t="n"/>
      <c r="I570" s="5" t="n"/>
      <c r="J570" s="5" t="n">
        <v>199.17</v>
      </c>
      <c r="K570" s="5" t="n"/>
      <c r="L570" s="5" t="n"/>
      <c r="M570" s="5" t="n"/>
      <c r="N570" s="5" t="n"/>
      <c r="O570" s="5" t="n">
        <v>1195</v>
      </c>
      <c r="P570" s="5" t="n">
        <v>1195</v>
      </c>
      <c r="Q570" s="5" t="n"/>
      <c r="R570" s="5" t="n"/>
      <c r="S570" s="5">
        <f>F570*20%</f>
        <v/>
      </c>
      <c r="T570" s="5">
        <f>J570-S570</f>
        <v/>
      </c>
      <c r="U570" s="5">
        <f>F570+J570</f>
        <v/>
      </c>
      <c r="V570" s="5">
        <f>O570-U570</f>
        <v/>
      </c>
      <c r="W570" s="5">
        <f>O570-(P570+R570)</f>
        <v/>
      </c>
      <c r="X570" s="5">
        <f>O570-(P570+Q570+R570)</f>
        <v/>
      </c>
    </row>
    <row r="571">
      <c r="A571" s="2" t="inlineStr">
        <is>
          <t>EJ101123.TXT</t>
        </is>
      </c>
      <c r="B571" s="3" t="inlineStr">
        <is>
          <t>005148</t>
        </is>
      </c>
      <c r="C571" s="3" t="inlineStr">
        <is>
          <t>004131</t>
        </is>
      </c>
      <c r="D571" s="4" t="n">
        <v>45220</v>
      </c>
      <c r="E571" s="2" t="inlineStr">
        <is>
          <t>14:48</t>
        </is>
      </c>
      <c r="F571" s="5" t="n">
        <v>124.17</v>
      </c>
      <c r="G571" s="5" t="n"/>
      <c r="H571" s="5" t="n"/>
      <c r="I571" s="5" t="n"/>
      <c r="J571" s="5" t="n">
        <v>24.83</v>
      </c>
      <c r="K571" s="5" t="n"/>
      <c r="L571" s="5" t="n"/>
      <c r="M571" s="5" t="n"/>
      <c r="N571" s="5" t="n"/>
      <c r="O571" s="5" t="n">
        <v>149</v>
      </c>
      <c r="P571" s="5" t="n"/>
      <c r="Q571" s="5" t="n">
        <v>149</v>
      </c>
      <c r="R571" s="5" t="n"/>
      <c r="S571" s="5">
        <f>F571*20%</f>
        <v/>
      </c>
      <c r="T571" s="5">
        <f>J571-S571</f>
        <v/>
      </c>
      <c r="U571" s="5">
        <f>F571+J571</f>
        <v/>
      </c>
      <c r="V571" s="5">
        <f>O571-U571</f>
        <v/>
      </c>
      <c r="W571" s="5">
        <f>O571-(P571+R571)</f>
        <v/>
      </c>
      <c r="X571" s="5">
        <f>O571-(P571+Q571+R571)</f>
        <v/>
      </c>
    </row>
    <row r="572">
      <c r="A572" s="2" t="inlineStr">
        <is>
          <t>EJ101123.TXT</t>
        </is>
      </c>
      <c r="B572" s="3" t="inlineStr">
        <is>
          <t>005149</t>
        </is>
      </c>
      <c r="C572" s="3" t="inlineStr">
        <is>
          <t>004132</t>
        </is>
      </c>
      <c r="D572" s="4" t="n">
        <v>45222</v>
      </c>
      <c r="E572" s="2" t="inlineStr">
        <is>
          <t>15:36</t>
        </is>
      </c>
      <c r="F572" s="5" t="n">
        <v>202.5</v>
      </c>
      <c r="G572" s="5" t="n"/>
      <c r="H572" s="5" t="n"/>
      <c r="I572" s="5" t="n"/>
      <c r="J572" s="5" t="n">
        <v>40.5</v>
      </c>
      <c r="K572" s="5" t="n"/>
      <c r="L572" s="5" t="n"/>
      <c r="M572" s="5" t="n"/>
      <c r="N572" s="5" t="n"/>
      <c r="O572" s="5" t="n">
        <v>243</v>
      </c>
      <c r="P572" s="5" t="n">
        <v>243</v>
      </c>
      <c r="Q572" s="5" t="n"/>
      <c r="R572" s="5" t="n"/>
      <c r="S572" s="5">
        <f>F572*20%</f>
        <v/>
      </c>
      <c r="T572" s="5">
        <f>J572-S572</f>
        <v/>
      </c>
      <c r="U572" s="5">
        <f>F572+J572</f>
        <v/>
      </c>
      <c r="V572" s="5">
        <f>O572-U572</f>
        <v/>
      </c>
      <c r="W572" s="5">
        <f>O572-(P572+R572)</f>
        <v/>
      </c>
      <c r="X572" s="5">
        <f>O572-(P572+Q572+R572)</f>
        <v/>
      </c>
    </row>
    <row r="573">
      <c r="A573" s="2" t="inlineStr">
        <is>
          <t>EJ101123.TXT</t>
        </is>
      </c>
      <c r="B573" s="3" t="inlineStr">
        <is>
          <t>005150</t>
        </is>
      </c>
      <c r="C573" s="3" t="inlineStr">
        <is>
          <t>004133</t>
        </is>
      </c>
      <c r="D573" s="4" t="n">
        <v>45222</v>
      </c>
      <c r="E573" s="2" t="inlineStr">
        <is>
          <t>16:05</t>
        </is>
      </c>
      <c r="F573" s="5" t="n">
        <v>531.67</v>
      </c>
      <c r="G573" s="5" t="n"/>
      <c r="H573" s="5" t="n"/>
      <c r="I573" s="5" t="n"/>
      <c r="J573" s="5" t="n">
        <v>106.33</v>
      </c>
      <c r="K573" s="5" t="n"/>
      <c r="L573" s="5" t="n"/>
      <c r="M573" s="5" t="n"/>
      <c r="N573" s="5" t="n"/>
      <c r="O573" s="5" t="n">
        <v>638</v>
      </c>
      <c r="P573" s="5" t="n"/>
      <c r="Q573" s="5" t="n">
        <v>638</v>
      </c>
      <c r="R573" s="5" t="n"/>
      <c r="S573" s="5">
        <f>F573*20%</f>
        <v/>
      </c>
      <c r="T573" s="5">
        <f>J573-S573</f>
        <v/>
      </c>
      <c r="U573" s="5">
        <f>F573+J573</f>
        <v/>
      </c>
      <c r="V573" s="5">
        <f>O573-U573</f>
        <v/>
      </c>
      <c r="W573" s="5">
        <f>O573-(P573+R573)</f>
        <v/>
      </c>
      <c r="X573" s="5">
        <f>O573-(P573+Q573+R573)</f>
        <v/>
      </c>
    </row>
    <row r="574">
      <c r="A574" s="2" t="inlineStr">
        <is>
          <t>EJ101123.TXT</t>
        </is>
      </c>
      <c r="B574" s="3" t="inlineStr">
        <is>
          <t>005151</t>
        </is>
      </c>
      <c r="C574" s="3" t="inlineStr">
        <is>
          <t>004134</t>
        </is>
      </c>
      <c r="D574" s="4" t="n">
        <v>45222</v>
      </c>
      <c r="E574" s="2" t="inlineStr">
        <is>
          <t>16:29</t>
        </is>
      </c>
      <c r="F574" s="5" t="n">
        <v>274.17</v>
      </c>
      <c r="G574" s="5" t="n"/>
      <c r="H574" s="5" t="n"/>
      <c r="I574" s="5" t="n"/>
      <c r="J574" s="5" t="n">
        <v>54.83</v>
      </c>
      <c r="K574" s="5" t="n"/>
      <c r="L574" s="5" t="n"/>
      <c r="M574" s="5" t="n"/>
      <c r="N574" s="5" t="n"/>
      <c r="O574" s="5" t="n">
        <v>329</v>
      </c>
      <c r="P574" s="5" t="n"/>
      <c r="Q574" s="5" t="n">
        <v>329</v>
      </c>
      <c r="R574" s="5" t="n"/>
      <c r="S574" s="5">
        <f>F574*20%</f>
        <v/>
      </c>
      <c r="T574" s="5">
        <f>J574-S574</f>
        <v/>
      </c>
      <c r="U574" s="5">
        <f>F574+J574</f>
        <v/>
      </c>
      <c r="V574" s="5">
        <f>O574-U574</f>
        <v/>
      </c>
      <c r="W574" s="5">
        <f>O574-(P574+R574)</f>
        <v/>
      </c>
      <c r="X574" s="5">
        <f>O574-(P574+Q574+R574)</f>
        <v/>
      </c>
    </row>
    <row r="575">
      <c r="A575" s="2" t="inlineStr">
        <is>
          <t>EJ101123.TXT</t>
        </is>
      </c>
      <c r="B575" s="3" t="inlineStr">
        <is>
          <t>005152</t>
        </is>
      </c>
      <c r="C575" s="3" t="inlineStr">
        <is>
          <t>004135</t>
        </is>
      </c>
      <c r="D575" s="4" t="n">
        <v>45222</v>
      </c>
      <c r="E575" s="2" t="inlineStr">
        <is>
          <t>16:39</t>
        </is>
      </c>
      <c r="F575" s="5" t="n">
        <v>274.17</v>
      </c>
      <c r="G575" s="5" t="n"/>
      <c r="H575" s="5" t="n"/>
      <c r="I575" s="5" t="n"/>
      <c r="J575" s="5" t="n">
        <v>54.83</v>
      </c>
      <c r="K575" s="5" t="n"/>
      <c r="L575" s="5" t="n"/>
      <c r="M575" s="5" t="n"/>
      <c r="N575" s="5" t="n"/>
      <c r="O575" s="5" t="n">
        <v>329</v>
      </c>
      <c r="P575" s="5" t="n"/>
      <c r="Q575" s="5" t="n">
        <v>329</v>
      </c>
      <c r="R575" s="5" t="n"/>
      <c r="S575" s="5">
        <f>F575*20%</f>
        <v/>
      </c>
      <c r="T575" s="5">
        <f>J575-S575</f>
        <v/>
      </c>
      <c r="U575" s="5">
        <f>F575+J575</f>
        <v/>
      </c>
      <c r="V575" s="5">
        <f>O575-U575</f>
        <v/>
      </c>
      <c r="W575" s="5">
        <f>O575-(P575+R575)</f>
        <v/>
      </c>
      <c r="X575" s="5">
        <f>O575-(P575+Q575+R575)</f>
        <v/>
      </c>
    </row>
    <row r="576">
      <c r="A576" s="2" t="inlineStr">
        <is>
          <t>EJ101123.TXT</t>
        </is>
      </c>
      <c r="B576" s="3" t="inlineStr">
        <is>
          <t>005153</t>
        </is>
      </c>
      <c r="C576" s="3" t="inlineStr">
        <is>
          <t>004136</t>
        </is>
      </c>
      <c r="D576" s="4" t="n">
        <v>45223</v>
      </c>
      <c r="E576" s="2" t="inlineStr">
        <is>
          <t>11:45</t>
        </is>
      </c>
      <c r="F576" s="5" t="n">
        <v>37.5</v>
      </c>
      <c r="G576" s="5" t="n"/>
      <c r="H576" s="5" t="n"/>
      <c r="I576" s="5" t="n"/>
      <c r="J576" s="5" t="n">
        <v>7.5</v>
      </c>
      <c r="K576" s="5" t="n"/>
      <c r="L576" s="5" t="n"/>
      <c r="M576" s="5" t="n"/>
      <c r="N576" s="5" t="n"/>
      <c r="O576" s="5" t="n">
        <v>45</v>
      </c>
      <c r="P576" s="5" t="n">
        <v>45</v>
      </c>
      <c r="Q576" s="5" t="n"/>
      <c r="R576" s="5" t="n"/>
      <c r="S576" s="5">
        <f>F576*20%</f>
        <v/>
      </c>
      <c r="T576" s="5">
        <f>J576-S576</f>
        <v/>
      </c>
      <c r="U576" s="5">
        <f>F576+J576</f>
        <v/>
      </c>
      <c r="V576" s="5">
        <f>O576-U576</f>
        <v/>
      </c>
      <c r="W576" s="5">
        <f>O576-(P576+R576)</f>
        <v/>
      </c>
      <c r="X576" s="5">
        <f>O576-(P576+Q576+R576)</f>
        <v/>
      </c>
    </row>
    <row r="577">
      <c r="A577" s="2" t="inlineStr">
        <is>
          <t>EJ101123.TXT</t>
        </is>
      </c>
      <c r="B577" s="3" t="inlineStr">
        <is>
          <t>005154</t>
        </is>
      </c>
      <c r="C577" s="3" t="inlineStr">
        <is>
          <t>004137</t>
        </is>
      </c>
      <c r="D577" s="4" t="n">
        <v>45223</v>
      </c>
      <c r="E577" s="2" t="inlineStr">
        <is>
          <t>17:13</t>
        </is>
      </c>
      <c r="F577" s="5" t="n">
        <v>274.17</v>
      </c>
      <c r="G577" s="5" t="n"/>
      <c r="H577" s="5" t="n"/>
      <c r="I577" s="5" t="n"/>
      <c r="J577" s="5" t="n">
        <v>54.83</v>
      </c>
      <c r="K577" s="5" t="n"/>
      <c r="L577" s="5" t="n"/>
      <c r="M577" s="5" t="n"/>
      <c r="N577" s="5" t="n"/>
      <c r="O577" s="5" t="n">
        <v>329</v>
      </c>
      <c r="P577" s="5" t="n"/>
      <c r="Q577" s="5" t="n">
        <v>329</v>
      </c>
      <c r="R577" s="5" t="n"/>
      <c r="S577" s="5">
        <f>F577*20%</f>
        <v/>
      </c>
      <c r="T577" s="5">
        <f>J577-S577</f>
        <v/>
      </c>
      <c r="U577" s="5">
        <f>F577+J577</f>
        <v/>
      </c>
      <c r="V577" s="5">
        <f>O577-U577</f>
        <v/>
      </c>
      <c r="W577" s="5">
        <f>O577-(P577+R577)</f>
        <v/>
      </c>
      <c r="X577" s="5">
        <f>O577-(P577+Q577+R577)</f>
        <v/>
      </c>
    </row>
    <row r="578">
      <c r="A578" s="2" t="inlineStr">
        <is>
          <t>EJ101123.TXT</t>
        </is>
      </c>
      <c r="B578" s="3" t="inlineStr">
        <is>
          <t>005155</t>
        </is>
      </c>
      <c r="C578" s="3" t="inlineStr">
        <is>
          <t>004138</t>
        </is>
      </c>
      <c r="D578" s="4" t="n">
        <v>45226</v>
      </c>
      <c r="E578" s="2" t="inlineStr">
        <is>
          <t>10:18</t>
        </is>
      </c>
      <c r="F578" s="5" t="n">
        <v>548.33</v>
      </c>
      <c r="G578" s="5" t="n"/>
      <c r="H578" s="5" t="n"/>
      <c r="I578" s="5" t="n"/>
      <c r="J578" s="5" t="n">
        <v>109.67</v>
      </c>
      <c r="K578" s="5" t="n"/>
      <c r="L578" s="5" t="n"/>
      <c r="M578" s="5" t="n"/>
      <c r="N578" s="5" t="n"/>
      <c r="O578" s="5" t="n">
        <v>658</v>
      </c>
      <c r="P578" s="5" t="n"/>
      <c r="Q578" s="5" t="n">
        <v>658</v>
      </c>
      <c r="R578" s="5" t="n"/>
      <c r="S578" s="5">
        <f>F578*20%</f>
        <v/>
      </c>
      <c r="T578" s="5">
        <f>J578-S578</f>
        <v/>
      </c>
      <c r="U578" s="5">
        <f>F578+J578</f>
        <v/>
      </c>
      <c r="V578" s="5">
        <f>O578-U578</f>
        <v/>
      </c>
      <c r="W578" s="5">
        <f>O578-(P578+R578)</f>
        <v/>
      </c>
      <c r="X578" s="5">
        <f>O578-(P578+Q578+R578)</f>
        <v/>
      </c>
    </row>
    <row r="579">
      <c r="A579" s="2" t="inlineStr">
        <is>
          <t>EJ101123.TXT</t>
        </is>
      </c>
      <c r="B579" s="3" t="inlineStr">
        <is>
          <t>005156</t>
        </is>
      </c>
      <c r="C579" s="3" t="inlineStr">
        <is>
          <t>004139</t>
        </is>
      </c>
      <c r="D579" s="4" t="n">
        <v>45229</v>
      </c>
      <c r="E579" s="2" t="inlineStr">
        <is>
          <t>14:55</t>
        </is>
      </c>
      <c r="F579" s="5" t="n">
        <v>324.17</v>
      </c>
      <c r="G579" s="5" t="n"/>
      <c r="H579" s="5" t="n"/>
      <c r="I579" s="5" t="n"/>
      <c r="J579" s="5" t="n">
        <v>64.83</v>
      </c>
      <c r="K579" s="5" t="n"/>
      <c r="L579" s="5" t="n"/>
      <c r="M579" s="5" t="n"/>
      <c r="N579" s="5" t="n"/>
      <c r="O579" s="5" t="n">
        <v>389</v>
      </c>
      <c r="P579" s="5" t="n"/>
      <c r="Q579" s="5" t="n">
        <v>389</v>
      </c>
      <c r="R579" s="5" t="n"/>
      <c r="S579" s="5">
        <f>F579*20%</f>
        <v/>
      </c>
      <c r="T579" s="5">
        <f>J579-S579</f>
        <v/>
      </c>
      <c r="U579" s="5">
        <f>F579+J579</f>
        <v/>
      </c>
      <c r="V579" s="5">
        <f>O579-U579</f>
        <v/>
      </c>
      <c r="W579" s="5">
        <f>O579-(P579+R579)</f>
        <v/>
      </c>
      <c r="X579" s="5">
        <f>O579-(P579+Q579+R579)</f>
        <v/>
      </c>
    </row>
    <row r="580">
      <c r="A580" s="2" t="inlineStr">
        <is>
          <t>EJ101123.TXT</t>
        </is>
      </c>
      <c r="B580" s="3" t="inlineStr">
        <is>
          <t>005157</t>
        </is>
      </c>
      <c r="C580" s="3" t="inlineStr">
        <is>
          <t>004140</t>
        </is>
      </c>
      <c r="D580" s="4" t="n">
        <v>45229</v>
      </c>
      <c r="E580" s="2" t="inlineStr">
        <is>
          <t>16:43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  <c r="S580" s="5">
        <f>F580*20%</f>
        <v/>
      </c>
      <c r="T580" s="5">
        <f>J580-S580</f>
        <v/>
      </c>
      <c r="U580" s="5">
        <f>F580+J580</f>
        <v/>
      </c>
      <c r="V580" s="5">
        <f>O580-U580</f>
        <v/>
      </c>
      <c r="W580" s="5">
        <f>O580-(P580+R580)</f>
        <v/>
      </c>
      <c r="X580" s="5">
        <f>O580-(P580+Q580+R580)</f>
        <v/>
      </c>
    </row>
    <row r="581">
      <c r="A581" s="2" t="inlineStr">
        <is>
          <t>EJ101123.TXT</t>
        </is>
      </c>
      <c r="B581" s="3" t="inlineStr">
        <is>
          <t>005158</t>
        </is>
      </c>
      <c r="C581" s="3" t="inlineStr">
        <is>
          <t>004141</t>
        </is>
      </c>
      <c r="D581" s="4" t="n">
        <v>45229</v>
      </c>
      <c r="E581" s="2" t="inlineStr">
        <is>
          <t>16:52</t>
        </is>
      </c>
      <c r="F581" s="5" t="n">
        <v>548.33</v>
      </c>
      <c r="G581" s="5" t="n"/>
      <c r="H581" s="5" t="n"/>
      <c r="I581" s="5" t="n"/>
      <c r="J581" s="5" t="n">
        <v>109.67</v>
      </c>
      <c r="K581" s="5" t="n"/>
      <c r="L581" s="5" t="n"/>
      <c r="M581" s="5" t="n"/>
      <c r="N581" s="5" t="n"/>
      <c r="O581" s="5" t="n">
        <v>658</v>
      </c>
      <c r="P581" s="5" t="n"/>
      <c r="Q581" s="5" t="n">
        <v>658</v>
      </c>
      <c r="R581" s="5" t="n"/>
      <c r="S581" s="5">
        <f>F581*20%</f>
        <v/>
      </c>
      <c r="T581" s="5">
        <f>J581-S581</f>
        <v/>
      </c>
      <c r="U581" s="5">
        <f>F581+J581</f>
        <v/>
      </c>
      <c r="V581" s="5">
        <f>O581-U581</f>
        <v/>
      </c>
      <c r="W581" s="5">
        <f>O581-(P581+R581)</f>
        <v/>
      </c>
      <c r="X581" s="5">
        <f>O581-(P581+Q581+R581)</f>
        <v/>
      </c>
    </row>
    <row r="582">
      <c r="A582" s="2" t="inlineStr">
        <is>
          <t>EJ101123.TXT</t>
        </is>
      </c>
      <c r="B582" s="3" t="inlineStr">
        <is>
          <t>005159</t>
        </is>
      </c>
      <c r="C582" s="3" t="inlineStr">
        <is>
          <t>004142</t>
        </is>
      </c>
      <c r="D582" s="4" t="n">
        <v>45232</v>
      </c>
      <c r="E582" s="2" t="inlineStr">
        <is>
          <t>15:56</t>
        </is>
      </c>
      <c r="F582" s="5" t="n">
        <v>797.5</v>
      </c>
      <c r="G582" s="5" t="n"/>
      <c r="H582" s="5" t="n"/>
      <c r="I582" s="5" t="n"/>
      <c r="J582" s="5" t="n">
        <v>159.5</v>
      </c>
      <c r="K582" s="5" t="n"/>
      <c r="L582" s="5" t="n"/>
      <c r="M582" s="5" t="n"/>
      <c r="N582" s="5" t="n"/>
      <c r="O582" s="5" t="n">
        <v>957</v>
      </c>
      <c r="P582" s="5" t="n"/>
      <c r="Q582" s="5" t="n">
        <v>957</v>
      </c>
      <c r="R582" s="5" t="n"/>
      <c r="S582" s="5">
        <f>F582*20%</f>
        <v/>
      </c>
      <c r="T582" s="5">
        <f>J582-S582</f>
        <v/>
      </c>
      <c r="U582" s="5">
        <f>F582+J582</f>
        <v/>
      </c>
      <c r="V582" s="5">
        <f>O582-U582</f>
        <v/>
      </c>
      <c r="W582" s="5">
        <f>O582-(P582+R582)</f>
        <v/>
      </c>
      <c r="X582" s="5">
        <f>O582-(P582+Q582+R582)</f>
        <v/>
      </c>
    </row>
    <row r="583">
      <c r="A583" s="2" t="inlineStr">
        <is>
          <t>EJ101123.TXT</t>
        </is>
      </c>
      <c r="B583" s="3" t="inlineStr">
        <is>
          <t>005160</t>
        </is>
      </c>
      <c r="C583" s="3" t="inlineStr">
        <is>
          <t>004143</t>
        </is>
      </c>
      <c r="D583" s="4" t="n">
        <v>45232</v>
      </c>
      <c r="E583" s="2" t="inlineStr">
        <is>
          <t>15:58</t>
        </is>
      </c>
      <c r="F583" s="5" t="n">
        <v>265.83</v>
      </c>
      <c r="G583" s="5" t="n"/>
      <c r="H583" s="5" t="n"/>
      <c r="I583" s="5" t="n"/>
      <c r="J583" s="5" t="n">
        <v>53.17</v>
      </c>
      <c r="K583" s="5" t="n"/>
      <c r="L583" s="5" t="n"/>
      <c r="M583" s="5" t="n"/>
      <c r="N583" s="5" t="n"/>
      <c r="O583" s="5" t="n">
        <v>319</v>
      </c>
      <c r="P583" s="5" t="n">
        <v>319</v>
      </c>
      <c r="Q583" s="5" t="n"/>
      <c r="R583" s="5" t="n"/>
      <c r="S583" s="5">
        <f>F583*20%</f>
        <v/>
      </c>
      <c r="T583" s="5">
        <f>J583-S583</f>
        <v/>
      </c>
      <c r="U583" s="5">
        <f>F583+J583</f>
        <v/>
      </c>
      <c r="V583" s="5">
        <f>O583-U583</f>
        <v/>
      </c>
      <c r="W583" s="5">
        <f>O583-(P583+R583)</f>
        <v/>
      </c>
      <c r="X583" s="5">
        <f>O583-(P583+Q583+R583)</f>
        <v/>
      </c>
    </row>
    <row r="584">
      <c r="A584" s="2" t="inlineStr">
        <is>
          <t>EJ101123.TXT</t>
        </is>
      </c>
      <c r="B584" s="3" t="inlineStr">
        <is>
          <t>005161</t>
        </is>
      </c>
      <c r="C584" s="3" t="inlineStr">
        <is>
          <t>004144</t>
        </is>
      </c>
      <c r="D584" s="4" t="n">
        <v>45234</v>
      </c>
      <c r="E584" s="2" t="inlineStr">
        <is>
          <t>15:44</t>
        </is>
      </c>
      <c r="F584" s="5" t="n">
        <v>548.33</v>
      </c>
      <c r="G584" s="5" t="n"/>
      <c r="H584" s="5" t="n"/>
      <c r="I584" s="5" t="n"/>
      <c r="J584" s="5" t="n">
        <v>109.67</v>
      </c>
      <c r="K584" s="5" t="n"/>
      <c r="L584" s="5" t="n"/>
      <c r="M584" s="5" t="n"/>
      <c r="N584" s="5" t="n"/>
      <c r="O584" s="5" t="n">
        <v>658</v>
      </c>
      <c r="P584" s="5" t="n">
        <v>658</v>
      </c>
      <c r="Q584" s="5" t="n"/>
      <c r="R584" s="5" t="n"/>
      <c r="S584" s="5">
        <f>F584*20%</f>
        <v/>
      </c>
      <c r="T584" s="5">
        <f>J584-S584</f>
        <v/>
      </c>
      <c r="U584" s="5">
        <f>F584+J584</f>
        <v/>
      </c>
      <c r="V584" s="5">
        <f>O584-U584</f>
        <v/>
      </c>
      <c r="W584" s="5">
        <f>O584-(P584+R584)</f>
        <v/>
      </c>
      <c r="X584" s="5">
        <f>O584-(P584+Q584+R584)</f>
        <v/>
      </c>
    </row>
    <row r="585">
      <c r="A585" s="2" t="inlineStr">
        <is>
          <t>EJ101123.TXT</t>
        </is>
      </c>
      <c r="B585" s="3" t="inlineStr">
        <is>
          <t>005162</t>
        </is>
      </c>
      <c r="C585" s="3" t="inlineStr">
        <is>
          <t>004145</t>
        </is>
      </c>
      <c r="D585" s="4" t="n">
        <v>45238</v>
      </c>
      <c r="E585" s="2" t="inlineStr">
        <is>
          <t>16:43</t>
        </is>
      </c>
      <c r="F585" s="5" t="n">
        <v>265.83</v>
      </c>
      <c r="G585" s="5" t="n"/>
      <c r="H585" s="5" t="n"/>
      <c r="I585" s="5" t="n"/>
      <c r="J585" s="5" t="n">
        <v>53.17</v>
      </c>
      <c r="K585" s="5" t="n"/>
      <c r="L585" s="5" t="n"/>
      <c r="M585" s="5" t="n"/>
      <c r="N585" s="5" t="n"/>
      <c r="O585" s="5" t="n">
        <v>319</v>
      </c>
      <c r="P585" s="5" t="n"/>
      <c r="Q585" s="5" t="n">
        <v>319</v>
      </c>
      <c r="R585" s="5" t="n"/>
      <c r="S585" s="5">
        <f>F585*20%</f>
        <v/>
      </c>
      <c r="T585" s="5">
        <f>J585-S585</f>
        <v/>
      </c>
      <c r="U585" s="5">
        <f>F585+J585</f>
        <v/>
      </c>
      <c r="V585" s="5">
        <f>O585-U585</f>
        <v/>
      </c>
      <c r="W585" s="5">
        <f>O585-(P585+R585)</f>
        <v/>
      </c>
      <c r="X585" s="5">
        <f>O585-(P585+Q585+R585)</f>
        <v/>
      </c>
    </row>
    <row r="586">
      <c r="A586" s="2" t="inlineStr">
        <is>
          <t>EJ101123.TXT</t>
        </is>
      </c>
      <c r="B586" s="3" t="inlineStr">
        <is>
          <t>005163</t>
        </is>
      </c>
      <c r="C586" s="3" t="inlineStr">
        <is>
          <t>004146</t>
        </is>
      </c>
      <c r="D586" s="4" t="n">
        <v>45239</v>
      </c>
      <c r="E586" s="2" t="inlineStr">
        <is>
          <t>12:38</t>
        </is>
      </c>
      <c r="F586" s="5" t="n">
        <v>598.33</v>
      </c>
      <c r="G586" s="5" t="n"/>
      <c r="H586" s="5" t="n"/>
      <c r="I586" s="5" t="n"/>
      <c r="J586" s="5" t="n">
        <v>119.67</v>
      </c>
      <c r="K586" s="5" t="n"/>
      <c r="L586" s="5" t="n"/>
      <c r="M586" s="5" t="n"/>
      <c r="N586" s="5" t="n"/>
      <c r="O586" s="5" t="n">
        <v>718</v>
      </c>
      <c r="P586" s="5" t="n"/>
      <c r="Q586" s="5" t="n">
        <v>718</v>
      </c>
      <c r="R586" s="5" t="n"/>
      <c r="S586" s="5">
        <f>F586*20%</f>
        <v/>
      </c>
      <c r="T586" s="5">
        <f>J586-S586</f>
        <v/>
      </c>
      <c r="U586" s="5">
        <f>F586+J586</f>
        <v/>
      </c>
      <c r="V586" s="5">
        <f>O586-U586</f>
        <v/>
      </c>
      <c r="W586" s="5">
        <f>O586-(P586+R586)</f>
        <v/>
      </c>
      <c r="X586" s="5">
        <f>O586-(P586+Q586+R586)</f>
        <v/>
      </c>
    </row>
    <row r="587">
      <c r="A587" s="2" t="inlineStr">
        <is>
          <t>EJ101123.TXT</t>
        </is>
      </c>
      <c r="B587" s="3" t="inlineStr">
        <is>
          <t>005164</t>
        </is>
      </c>
      <c r="C587" s="3" t="inlineStr">
        <is>
          <t>004147</t>
        </is>
      </c>
      <c r="D587" s="4" t="n">
        <v>45239</v>
      </c>
      <c r="E587" s="2" t="inlineStr">
        <is>
          <t>16:03</t>
        </is>
      </c>
      <c r="F587" s="5" t="n">
        <v>274.17</v>
      </c>
      <c r="G587" s="5" t="n"/>
      <c r="H587" s="5" t="n"/>
      <c r="I587" s="5" t="n"/>
      <c r="J587" s="5" t="n">
        <v>54.83</v>
      </c>
      <c r="K587" s="5" t="n"/>
      <c r="L587" s="5" t="n"/>
      <c r="M587" s="5" t="n"/>
      <c r="N587" s="5" t="n"/>
      <c r="O587" s="5" t="n">
        <v>329</v>
      </c>
      <c r="P587" s="5" t="n"/>
      <c r="Q587" s="5" t="n">
        <v>329</v>
      </c>
      <c r="R587" s="5" t="n"/>
      <c r="S587" s="5">
        <f>F587*20%</f>
        <v/>
      </c>
      <c r="T587" s="5">
        <f>J587-S587</f>
        <v/>
      </c>
      <c r="U587" s="5">
        <f>F587+J587</f>
        <v/>
      </c>
      <c r="V587" s="5">
        <f>O587-U587</f>
        <v/>
      </c>
      <c r="W587" s="5">
        <f>O587-(P587+R587)</f>
        <v/>
      </c>
      <c r="X587" s="5">
        <f>O587-(P587+Q587+R587)</f>
        <v/>
      </c>
    </row>
    <row r="588">
      <c r="A588" s="2" t="inlineStr">
        <is>
          <t>EJ011223.TXT</t>
        </is>
      </c>
      <c r="B588" s="3" t="inlineStr">
        <is>
          <t>005173</t>
        </is>
      </c>
      <c r="C588" s="3" t="inlineStr">
        <is>
          <t>004148</t>
        </is>
      </c>
      <c r="D588" s="4" t="n">
        <v>45244</v>
      </c>
      <c r="E588" s="2" t="inlineStr">
        <is>
          <t>12:57</t>
        </is>
      </c>
      <c r="F588" s="5" t="n">
        <v>3240</v>
      </c>
      <c r="G588" s="5" t="n"/>
      <c r="H588" s="5" t="n"/>
      <c r="I588" s="5" t="n"/>
      <c r="J588" s="5" t="n">
        <v>648</v>
      </c>
      <c r="K588" s="5" t="n"/>
      <c r="L588" s="5" t="n"/>
      <c r="M588" s="5" t="n"/>
      <c r="N588" s="5" t="n"/>
      <c r="O588" s="5" t="n">
        <v>3888</v>
      </c>
      <c r="P588" s="5" t="n">
        <v>3888</v>
      </c>
      <c r="Q588" s="5" t="n"/>
      <c r="R588" s="5" t="n"/>
      <c r="S588" s="5">
        <f>F588*20%</f>
        <v/>
      </c>
      <c r="T588" s="5">
        <f>J588-S588</f>
        <v/>
      </c>
      <c r="U588" s="5">
        <f>F588+J588</f>
        <v/>
      </c>
      <c r="V588" s="5">
        <f>O588-U588</f>
        <v/>
      </c>
      <c r="W588" s="5">
        <f>O588-(P588+R588)</f>
        <v/>
      </c>
      <c r="X588" s="5">
        <f>O588-(P588+Q588+R588)</f>
        <v/>
      </c>
    </row>
    <row r="589">
      <c r="A589" s="2" t="inlineStr">
        <is>
          <t>EJ011223.TXT</t>
        </is>
      </c>
      <c r="B589" s="3" t="inlineStr">
        <is>
          <t>005174</t>
        </is>
      </c>
      <c r="C589" s="3" t="inlineStr">
        <is>
          <t>004149</t>
        </is>
      </c>
      <c r="D589" s="4" t="n">
        <v>45248</v>
      </c>
      <c r="E589" s="2" t="inlineStr">
        <is>
          <t>17:03</t>
        </is>
      </c>
      <c r="F589" s="5" t="n">
        <v>165.83</v>
      </c>
      <c r="G589" s="5" t="n"/>
      <c r="H589" s="5" t="n"/>
      <c r="I589" s="5" t="n"/>
      <c r="J589" s="5" t="n">
        <v>33.17</v>
      </c>
      <c r="K589" s="5" t="n"/>
      <c r="L589" s="5" t="n"/>
      <c r="M589" s="5" t="n"/>
      <c r="N589" s="5" t="n"/>
      <c r="O589" s="5" t="n">
        <v>199</v>
      </c>
      <c r="P589" s="5" t="n"/>
      <c r="Q589" s="5" t="n">
        <v>199</v>
      </c>
      <c r="R589" s="5" t="n"/>
      <c r="S589" s="5">
        <f>F589*20%</f>
        <v/>
      </c>
      <c r="T589" s="5">
        <f>J589-S589</f>
        <v/>
      </c>
      <c r="U589" s="5">
        <f>F589+J589</f>
        <v/>
      </c>
      <c r="V589" s="5">
        <f>O589-U589</f>
        <v/>
      </c>
      <c r="W589" s="5">
        <f>O589-(P589+R589)</f>
        <v/>
      </c>
      <c r="X589" s="5">
        <f>O589-(P589+Q589+R589)</f>
        <v/>
      </c>
    </row>
    <row r="590">
      <c r="A590" s="2" t="inlineStr">
        <is>
          <t>EJ011223.TXT</t>
        </is>
      </c>
      <c r="B590" s="3" t="inlineStr">
        <is>
          <t>005175</t>
        </is>
      </c>
      <c r="C590" s="3" t="inlineStr">
        <is>
          <t>004150</t>
        </is>
      </c>
      <c r="D590" s="4" t="n">
        <v>45252</v>
      </c>
      <c r="E590" s="2" t="inlineStr">
        <is>
          <t>12:26</t>
        </is>
      </c>
      <c r="F590" s="5" t="n">
        <v>274.17</v>
      </c>
      <c r="G590" s="5" t="n"/>
      <c r="H590" s="5" t="n"/>
      <c r="I590" s="5" t="n"/>
      <c r="J590" s="5" t="n">
        <v>54.83</v>
      </c>
      <c r="K590" s="5" t="n"/>
      <c r="L590" s="5" t="n"/>
      <c r="M590" s="5" t="n"/>
      <c r="N590" s="5" t="n"/>
      <c r="O590" s="5" t="n">
        <v>329</v>
      </c>
      <c r="P590" s="5" t="n"/>
      <c r="Q590" s="5" t="n">
        <v>329</v>
      </c>
      <c r="R590" s="5" t="n"/>
      <c r="S590" s="5">
        <f>F590*20%</f>
        <v/>
      </c>
      <c r="T590" s="5">
        <f>J590-S590</f>
        <v/>
      </c>
      <c r="U590" s="5">
        <f>F590+J590</f>
        <v/>
      </c>
      <c r="V590" s="5">
        <f>O590-U590</f>
        <v/>
      </c>
      <c r="W590" s="5">
        <f>O590-(P590+R590)</f>
        <v/>
      </c>
      <c r="X590" s="5">
        <f>O590-(P590+Q590+R590)</f>
        <v/>
      </c>
    </row>
    <row r="591">
      <c r="A591" s="2" t="inlineStr">
        <is>
          <t>EJ011223.TXT</t>
        </is>
      </c>
      <c r="B591" s="3" t="inlineStr">
        <is>
          <t>005176</t>
        </is>
      </c>
      <c r="C591" s="3" t="inlineStr">
        <is>
          <t>004151</t>
        </is>
      </c>
      <c r="D591" s="4" t="n">
        <v>45255</v>
      </c>
      <c r="E591" s="2" t="inlineStr">
        <is>
          <t>17:23</t>
        </is>
      </c>
      <c r="F591" s="5" t="n">
        <v>1096.67</v>
      </c>
      <c r="G591" s="5" t="n"/>
      <c r="H591" s="5" t="n"/>
      <c r="I591" s="5" t="n"/>
      <c r="J591" s="5" t="n">
        <v>219.33</v>
      </c>
      <c r="K591" s="5" t="n"/>
      <c r="L591" s="5" t="n"/>
      <c r="M591" s="5" t="n"/>
      <c r="N591" s="5" t="n"/>
      <c r="O591" s="5" t="n">
        <v>1316</v>
      </c>
      <c r="P591" s="5" t="n">
        <v>1316</v>
      </c>
      <c r="Q591" s="5" t="n"/>
      <c r="R591" s="5" t="n"/>
      <c r="S591" s="5">
        <f>F591*20%</f>
        <v/>
      </c>
      <c r="T591" s="5">
        <f>J591-S591</f>
        <v/>
      </c>
      <c r="U591" s="5">
        <f>F591+J591</f>
        <v/>
      </c>
      <c r="V591" s="5">
        <f>O591-U591</f>
        <v/>
      </c>
      <c r="W591" s="5">
        <f>O591-(P591+R591)</f>
        <v/>
      </c>
      <c r="X591" s="5">
        <f>O591-(P591+Q591+R591)</f>
        <v/>
      </c>
    </row>
    <row r="592">
      <c r="A592" s="2" t="inlineStr">
        <is>
          <t>EJ011223.TXT</t>
        </is>
      </c>
      <c r="B592" s="3" t="inlineStr">
        <is>
          <t>005177</t>
        </is>
      </c>
      <c r="C592" s="3" t="inlineStr">
        <is>
          <t>004152</t>
        </is>
      </c>
      <c r="D592" s="4" t="n">
        <v>45255</v>
      </c>
      <c r="E592" s="2" t="inlineStr">
        <is>
          <t>17:35</t>
        </is>
      </c>
      <c r="F592" s="5" t="n">
        <v>274.17</v>
      </c>
      <c r="G592" s="5" t="n"/>
      <c r="H592" s="5" t="n"/>
      <c r="I592" s="5" t="n"/>
      <c r="J592" s="5" t="n">
        <v>54.83</v>
      </c>
      <c r="K592" s="5" t="n"/>
      <c r="L592" s="5" t="n"/>
      <c r="M592" s="5" t="n"/>
      <c r="N592" s="5" t="n"/>
      <c r="O592" s="5" t="n">
        <v>329</v>
      </c>
      <c r="P592" s="5" t="n"/>
      <c r="Q592" s="5" t="n">
        <v>329</v>
      </c>
      <c r="R592" s="5" t="n"/>
      <c r="S592" s="5">
        <f>F592*20%</f>
        <v/>
      </c>
      <c r="T592" s="5">
        <f>J592-S592</f>
        <v/>
      </c>
      <c r="U592" s="5">
        <f>F592+J592</f>
        <v/>
      </c>
      <c r="V592" s="5">
        <f>O592-U592</f>
        <v/>
      </c>
      <c r="W592" s="5">
        <f>O592-(P592+R592)</f>
        <v/>
      </c>
      <c r="X592" s="5">
        <f>O592-(P592+Q592+R592)</f>
        <v/>
      </c>
    </row>
    <row r="593">
      <c r="A593" s="2" t="inlineStr">
        <is>
          <t>EJ011223.TXT</t>
        </is>
      </c>
      <c r="B593" s="3" t="inlineStr">
        <is>
          <t>005178</t>
        </is>
      </c>
      <c r="C593" s="3" t="inlineStr">
        <is>
          <t>004153</t>
        </is>
      </c>
      <c r="D593" s="4" t="n">
        <v>45260</v>
      </c>
      <c r="E593" s="2" t="inlineStr">
        <is>
          <t>10:50</t>
        </is>
      </c>
      <c r="F593" s="5" t="n">
        <v>274.17</v>
      </c>
      <c r="G593" s="5" t="n"/>
      <c r="H593" s="5" t="n"/>
      <c r="I593" s="5" t="n"/>
      <c r="J593" s="5" t="n">
        <v>54.83</v>
      </c>
      <c r="K593" s="5" t="n"/>
      <c r="L593" s="5" t="n"/>
      <c r="M593" s="5" t="n"/>
      <c r="N593" s="5" t="n"/>
      <c r="O593" s="5" t="n">
        <v>329</v>
      </c>
      <c r="P593" s="5" t="n"/>
      <c r="Q593" s="5" t="n">
        <v>329</v>
      </c>
      <c r="R593" s="5" t="n"/>
      <c r="S593" s="5">
        <f>F593*20%</f>
        <v/>
      </c>
      <c r="T593" s="5">
        <f>J593-S593</f>
        <v/>
      </c>
      <c r="U593" s="5">
        <f>F593+J593</f>
        <v/>
      </c>
      <c r="V593" s="5">
        <f>O593-U593</f>
        <v/>
      </c>
      <c r="W593" s="5">
        <f>O593-(P593+R593)</f>
        <v/>
      </c>
      <c r="X593" s="5">
        <f>O593-(P593+Q593+R593)</f>
        <v/>
      </c>
    </row>
    <row r="594">
      <c r="A594" s="2" t="inlineStr">
        <is>
          <t>EJ010124.TXT</t>
        </is>
      </c>
      <c r="B594" s="3" t="inlineStr">
        <is>
          <t>005187</t>
        </is>
      </c>
      <c r="C594" s="3" t="inlineStr">
        <is>
          <t>004154</t>
        </is>
      </c>
      <c r="D594" s="4" t="n">
        <v>45261</v>
      </c>
      <c r="E594" s="2" t="inlineStr">
        <is>
          <t>18:30</t>
        </is>
      </c>
      <c r="F594" s="5" t="n">
        <v>582.5</v>
      </c>
      <c r="G594" s="5" t="n"/>
      <c r="H594" s="5" t="n"/>
      <c r="I594" s="5" t="n"/>
      <c r="J594" s="5" t="n">
        <v>116.5</v>
      </c>
      <c r="K594" s="5" t="n"/>
      <c r="L594" s="5" t="n"/>
      <c r="M594" s="5" t="n"/>
      <c r="N594" s="5" t="n"/>
      <c r="O594" s="5" t="n">
        <v>699</v>
      </c>
      <c r="P594" s="5" t="n"/>
      <c r="Q594" s="5" t="n">
        <v>699</v>
      </c>
      <c r="R594" s="5" t="n"/>
      <c r="S594" s="5">
        <f>F594*20%</f>
        <v/>
      </c>
      <c r="T594" s="5">
        <f>J594-S594</f>
        <v/>
      </c>
      <c r="U594" s="5">
        <f>F594+J594</f>
        <v/>
      </c>
      <c r="V594" s="5">
        <f>O594-U594</f>
        <v/>
      </c>
      <c r="W594" s="5">
        <f>O594-(P594+R594)</f>
        <v/>
      </c>
      <c r="X594" s="5">
        <f>O594-(P594+Q594+R594)</f>
        <v/>
      </c>
    </row>
    <row r="595">
      <c r="A595" s="2" t="inlineStr">
        <is>
          <t>EJ010124.TXT</t>
        </is>
      </c>
      <c r="B595" s="3" t="inlineStr">
        <is>
          <t>005188</t>
        </is>
      </c>
      <c r="C595" s="3" t="inlineStr">
        <is>
          <t>004155</t>
        </is>
      </c>
      <c r="D595" s="4" t="n">
        <v>45261</v>
      </c>
      <c r="E595" s="2" t="inlineStr">
        <is>
          <t>18:32</t>
        </is>
      </c>
      <c r="F595" s="5" t="n">
        <v>531.67</v>
      </c>
      <c r="G595" s="5" t="n"/>
      <c r="H595" s="5" t="n"/>
      <c r="I595" s="5" t="n"/>
      <c r="J595" s="5" t="n">
        <v>106.33</v>
      </c>
      <c r="K595" s="5" t="n"/>
      <c r="L595" s="5" t="n"/>
      <c r="M595" s="5" t="n"/>
      <c r="N595" s="5" t="n"/>
      <c r="O595" s="5" t="n">
        <v>638</v>
      </c>
      <c r="P595" s="5" t="n"/>
      <c r="Q595" s="5" t="n">
        <v>638</v>
      </c>
      <c r="R595" s="5" t="n"/>
      <c r="S595" s="5">
        <f>F595*20%</f>
        <v/>
      </c>
      <c r="T595" s="5">
        <f>J595-S595</f>
        <v/>
      </c>
      <c r="U595" s="5">
        <f>F595+J595</f>
        <v/>
      </c>
      <c r="V595" s="5">
        <f>O595-U595</f>
        <v/>
      </c>
      <c r="W595" s="5">
        <f>O595-(P595+R595)</f>
        <v/>
      </c>
      <c r="X595" s="5">
        <f>O595-(P595+Q595+R595)</f>
        <v/>
      </c>
    </row>
    <row r="596">
      <c r="A596" s="2" t="inlineStr">
        <is>
          <t>EJ010124.TXT</t>
        </is>
      </c>
      <c r="B596" s="3" t="inlineStr">
        <is>
          <t>005189</t>
        </is>
      </c>
      <c r="C596" s="3" t="inlineStr">
        <is>
          <t>004156</t>
        </is>
      </c>
      <c r="D596" s="4" t="n">
        <v>45261</v>
      </c>
      <c r="E596" s="2" t="inlineStr">
        <is>
          <t>18:32</t>
        </is>
      </c>
      <c r="F596" s="5" t="n">
        <v>531.67</v>
      </c>
      <c r="G596" s="5" t="n"/>
      <c r="H596" s="5" t="n"/>
      <c r="I596" s="5" t="n"/>
      <c r="J596" s="5" t="n">
        <v>106.33</v>
      </c>
      <c r="K596" s="5" t="n"/>
      <c r="L596" s="5" t="n"/>
      <c r="M596" s="5" t="n"/>
      <c r="N596" s="5" t="n"/>
      <c r="O596" s="5" t="n">
        <v>638</v>
      </c>
      <c r="P596" s="5" t="n"/>
      <c r="Q596" s="5" t="n">
        <v>638</v>
      </c>
      <c r="R596" s="5" t="n"/>
      <c r="S596" s="5">
        <f>F596*20%</f>
        <v/>
      </c>
      <c r="T596" s="5">
        <f>J596-S596</f>
        <v/>
      </c>
      <c r="U596" s="5">
        <f>F596+J596</f>
        <v/>
      </c>
      <c r="V596" s="5">
        <f>O596-U596</f>
        <v/>
      </c>
      <c r="W596" s="5">
        <f>O596-(P596+R596)</f>
        <v/>
      </c>
      <c r="X596" s="5">
        <f>O596-(P596+Q596+R596)</f>
        <v/>
      </c>
    </row>
    <row r="597">
      <c r="A597" s="2" t="inlineStr">
        <is>
          <t>EJ010124.TXT</t>
        </is>
      </c>
      <c r="B597" s="3" t="inlineStr">
        <is>
          <t>005190</t>
        </is>
      </c>
      <c r="C597" s="3" t="inlineStr">
        <is>
          <t>004157</t>
        </is>
      </c>
      <c r="D597" s="4" t="n">
        <v>45262</v>
      </c>
      <c r="E597" s="2" t="inlineStr">
        <is>
          <t>14:52</t>
        </is>
      </c>
      <c r="F597" s="5" t="n">
        <v>822.5</v>
      </c>
      <c r="G597" s="5" t="n"/>
      <c r="H597" s="5" t="n"/>
      <c r="I597" s="5" t="n"/>
      <c r="J597" s="5" t="n">
        <v>164.5</v>
      </c>
      <c r="K597" s="5" t="n"/>
      <c r="L597" s="5" t="n"/>
      <c r="M597" s="5" t="n"/>
      <c r="N597" s="5" t="n"/>
      <c r="O597" s="5" t="n">
        <v>987</v>
      </c>
      <c r="P597" s="5" t="n"/>
      <c r="Q597" s="5" t="n">
        <v>987</v>
      </c>
      <c r="R597" s="5" t="n"/>
      <c r="S597" s="5">
        <f>F597*20%</f>
        <v/>
      </c>
      <c r="T597" s="5">
        <f>J597-S597</f>
        <v/>
      </c>
      <c r="U597" s="5">
        <f>F597+J597</f>
        <v/>
      </c>
      <c r="V597" s="5">
        <f>O597-U597</f>
        <v/>
      </c>
      <c r="W597" s="5">
        <f>O597-(P597+R597)</f>
        <v/>
      </c>
      <c r="X597" s="5">
        <f>O597-(P597+Q597+R597)</f>
        <v/>
      </c>
    </row>
    <row r="598">
      <c r="A598" s="2" t="inlineStr">
        <is>
          <t>EJ010124.TXT</t>
        </is>
      </c>
      <c r="B598" s="3" t="inlineStr">
        <is>
          <t>005191</t>
        </is>
      </c>
      <c r="C598" s="3" t="inlineStr">
        <is>
          <t>004158</t>
        </is>
      </c>
      <c r="D598" s="4" t="n">
        <v>45262</v>
      </c>
      <c r="E598" s="2" t="inlineStr">
        <is>
          <t>14:52</t>
        </is>
      </c>
      <c r="F598" s="5" t="n">
        <v>797.5</v>
      </c>
      <c r="G598" s="5" t="n"/>
      <c r="H598" s="5" t="n"/>
      <c r="I598" s="5" t="n"/>
      <c r="J598" s="5" t="n">
        <v>159.5</v>
      </c>
      <c r="K598" s="5" t="n"/>
      <c r="L598" s="5" t="n"/>
      <c r="M598" s="5" t="n"/>
      <c r="N598" s="5" t="n"/>
      <c r="O598" s="5" t="n">
        <v>957</v>
      </c>
      <c r="P598" s="5" t="n"/>
      <c r="Q598" s="5" t="n">
        <v>957</v>
      </c>
      <c r="R598" s="5" t="n"/>
      <c r="S598" s="5">
        <f>F598*20%</f>
        <v/>
      </c>
      <c r="T598" s="5">
        <f>J598-S598</f>
        <v/>
      </c>
      <c r="U598" s="5">
        <f>F598+J598</f>
        <v/>
      </c>
      <c r="V598" s="5">
        <f>O598-U598</f>
        <v/>
      </c>
      <c r="W598" s="5">
        <f>O598-(P598+R598)</f>
        <v/>
      </c>
      <c r="X598" s="5">
        <f>O598-(P598+Q598+R598)</f>
        <v/>
      </c>
    </row>
    <row r="599">
      <c r="A599" s="2" t="inlineStr">
        <is>
          <t>EJ010124.TXT</t>
        </is>
      </c>
      <c r="B599" s="3" t="inlineStr">
        <is>
          <t>005192</t>
        </is>
      </c>
      <c r="C599" s="3" t="inlineStr">
        <is>
          <t>004159</t>
        </is>
      </c>
      <c r="D599" s="4" t="n">
        <v>45262</v>
      </c>
      <c r="E599" s="2" t="inlineStr">
        <is>
          <t>14:52</t>
        </is>
      </c>
      <c r="F599" s="5" t="n">
        <v>822.5</v>
      </c>
      <c r="G599" s="5" t="n"/>
      <c r="H599" s="5" t="n"/>
      <c r="I599" s="5" t="n"/>
      <c r="J599" s="5" t="n">
        <v>164.5</v>
      </c>
      <c r="K599" s="5" t="n"/>
      <c r="L599" s="5" t="n"/>
      <c r="M599" s="5" t="n"/>
      <c r="N599" s="5" t="n"/>
      <c r="O599" s="5" t="n">
        <v>987</v>
      </c>
      <c r="P599" s="5" t="n"/>
      <c r="Q599" s="5" t="n">
        <v>987</v>
      </c>
      <c r="R599" s="5" t="n"/>
      <c r="S599" s="5">
        <f>F599*20%</f>
        <v/>
      </c>
      <c r="T599" s="5">
        <f>J599-S599</f>
        <v/>
      </c>
      <c r="U599" s="5">
        <f>F599+J599</f>
        <v/>
      </c>
      <c r="V599" s="5">
        <f>O599-U599</f>
        <v/>
      </c>
      <c r="W599" s="5">
        <f>O599-(P599+R599)</f>
        <v/>
      </c>
      <c r="X599" s="5">
        <f>O599-(P599+Q599+R599)</f>
        <v/>
      </c>
    </row>
    <row r="600">
      <c r="A600" s="2" t="inlineStr">
        <is>
          <t>EJ010124.TXT</t>
        </is>
      </c>
      <c r="B600" s="3" t="inlineStr">
        <is>
          <t>005193</t>
        </is>
      </c>
      <c r="C600" s="3" t="inlineStr">
        <is>
          <t>004160</t>
        </is>
      </c>
      <c r="D600" s="4" t="n">
        <v>45262</v>
      </c>
      <c r="E600" s="2" t="inlineStr">
        <is>
          <t>14:53</t>
        </is>
      </c>
      <c r="F600" s="5" t="n">
        <v>531.67</v>
      </c>
      <c r="G600" s="5" t="n"/>
      <c r="H600" s="5" t="n"/>
      <c r="I600" s="5" t="n"/>
      <c r="J600" s="5" t="n">
        <v>106.33</v>
      </c>
      <c r="K600" s="5" t="n"/>
      <c r="L600" s="5" t="n"/>
      <c r="M600" s="5" t="n"/>
      <c r="N600" s="5" t="n"/>
      <c r="O600" s="5" t="n">
        <v>638</v>
      </c>
      <c r="P600" s="5" t="n"/>
      <c r="Q600" s="5" t="n">
        <v>638</v>
      </c>
      <c r="R600" s="5" t="n"/>
      <c r="S600" s="5">
        <f>F600*20%</f>
        <v/>
      </c>
      <c r="T600" s="5">
        <f>J600-S600</f>
        <v/>
      </c>
      <c r="U600" s="5">
        <f>F600+J600</f>
        <v/>
      </c>
      <c r="V600" s="5">
        <f>O600-U600</f>
        <v/>
      </c>
      <c r="W600" s="5">
        <f>O600-(P600+R600)</f>
        <v/>
      </c>
      <c r="X600" s="5">
        <f>O600-(P600+Q600+R600)</f>
        <v/>
      </c>
    </row>
    <row r="601">
      <c r="A601" s="2" t="inlineStr">
        <is>
          <t>EJ010124.TXT</t>
        </is>
      </c>
      <c r="B601" s="3" t="inlineStr">
        <is>
          <t>005194</t>
        </is>
      </c>
      <c r="C601" s="3" t="inlineStr">
        <is>
          <t>004161</t>
        </is>
      </c>
      <c r="D601" s="4" t="n">
        <v>45262</v>
      </c>
      <c r="E601" s="2" t="inlineStr">
        <is>
          <t>14:53</t>
        </is>
      </c>
      <c r="F601" s="5" t="n">
        <v>265.83</v>
      </c>
      <c r="G601" s="5" t="n"/>
      <c r="H601" s="5" t="n"/>
      <c r="I601" s="5" t="n"/>
      <c r="J601" s="5" t="n">
        <v>53.17</v>
      </c>
      <c r="K601" s="5" t="n"/>
      <c r="L601" s="5" t="n"/>
      <c r="M601" s="5" t="n"/>
      <c r="N601" s="5" t="n"/>
      <c r="O601" s="5" t="n">
        <v>319</v>
      </c>
      <c r="P601" s="5" t="n"/>
      <c r="Q601" s="5" t="n">
        <v>319</v>
      </c>
      <c r="R601" s="5" t="n"/>
      <c r="S601" s="5">
        <f>F601*20%</f>
        <v/>
      </c>
      <c r="T601" s="5">
        <f>J601-S601</f>
        <v/>
      </c>
      <c r="U601" s="5">
        <f>F601+J601</f>
        <v/>
      </c>
      <c r="V601" s="5">
        <f>O601-U601</f>
        <v/>
      </c>
      <c r="W601" s="5">
        <f>O601-(P601+R601)</f>
        <v/>
      </c>
      <c r="X601" s="5">
        <f>O601-(P601+Q601+R601)</f>
        <v/>
      </c>
    </row>
    <row r="602">
      <c r="A602" s="2" t="inlineStr">
        <is>
          <t>EJ010124.TXT</t>
        </is>
      </c>
      <c r="B602" s="3" t="inlineStr">
        <is>
          <t>005195</t>
        </is>
      </c>
      <c r="C602" s="3" t="inlineStr">
        <is>
          <t>004162</t>
        </is>
      </c>
      <c r="D602" s="4" t="n">
        <v>45262</v>
      </c>
      <c r="E602" s="2" t="inlineStr">
        <is>
          <t>14:54</t>
        </is>
      </c>
      <c r="F602" s="5" t="n">
        <v>531.67</v>
      </c>
      <c r="G602" s="5" t="n"/>
      <c r="H602" s="5" t="n"/>
      <c r="I602" s="5" t="n"/>
      <c r="J602" s="5" t="n">
        <v>106.33</v>
      </c>
      <c r="K602" s="5" t="n"/>
      <c r="L602" s="5" t="n"/>
      <c r="M602" s="5" t="n"/>
      <c r="N602" s="5" t="n"/>
      <c r="O602" s="5" t="n">
        <v>638</v>
      </c>
      <c r="P602" s="5" t="n"/>
      <c r="Q602" s="5" t="n">
        <v>638</v>
      </c>
      <c r="R602" s="5" t="n"/>
      <c r="S602" s="5">
        <f>F602*20%</f>
        <v/>
      </c>
      <c r="T602" s="5">
        <f>J602-S602</f>
        <v/>
      </c>
      <c r="U602" s="5">
        <f>F602+J602</f>
        <v/>
      </c>
      <c r="V602" s="5">
        <f>O602-U602</f>
        <v/>
      </c>
      <c r="W602" s="5">
        <f>O602-(P602+R602)</f>
        <v/>
      </c>
      <c r="X602" s="5">
        <f>O602-(P602+Q602+R602)</f>
        <v/>
      </c>
    </row>
    <row r="603">
      <c r="A603" s="2" t="inlineStr">
        <is>
          <t>EJ010124.TXT</t>
        </is>
      </c>
      <c r="B603" s="3" t="inlineStr">
        <is>
          <t>005196</t>
        </is>
      </c>
      <c r="C603" s="3" t="inlineStr">
        <is>
          <t>004163</t>
        </is>
      </c>
      <c r="D603" s="4" t="n">
        <v>45262</v>
      </c>
      <c r="E603" s="2" t="inlineStr">
        <is>
          <t>14:54</t>
        </is>
      </c>
      <c r="F603" s="5" t="n">
        <v>797.5</v>
      </c>
      <c r="G603" s="5" t="n"/>
      <c r="H603" s="5" t="n"/>
      <c r="I603" s="5" t="n"/>
      <c r="J603" s="5" t="n">
        <v>159.5</v>
      </c>
      <c r="K603" s="5" t="n"/>
      <c r="L603" s="5" t="n"/>
      <c r="M603" s="5" t="n"/>
      <c r="N603" s="5" t="n"/>
      <c r="O603" s="5" t="n">
        <v>957</v>
      </c>
      <c r="P603" s="5" t="n"/>
      <c r="Q603" s="5" t="n">
        <v>957</v>
      </c>
      <c r="R603" s="5" t="n"/>
      <c r="S603" s="5">
        <f>F603*20%</f>
        <v/>
      </c>
      <c r="T603" s="5">
        <f>J603-S603</f>
        <v/>
      </c>
      <c r="U603" s="5">
        <f>F603+J603</f>
        <v/>
      </c>
      <c r="V603" s="5">
        <f>O603-U603</f>
        <v/>
      </c>
      <c r="W603" s="5">
        <f>O603-(P603+R603)</f>
        <v/>
      </c>
      <c r="X603" s="5">
        <f>O603-(P603+Q603+R603)</f>
        <v/>
      </c>
    </row>
    <row r="604">
      <c r="A604" s="2" t="inlineStr">
        <is>
          <t>EJ010124.TXT</t>
        </is>
      </c>
      <c r="B604" s="3" t="inlineStr">
        <is>
          <t>005197</t>
        </is>
      </c>
      <c r="C604" s="3" t="inlineStr">
        <is>
          <t>004164</t>
        </is>
      </c>
      <c r="D604" s="4" t="n">
        <v>45262</v>
      </c>
      <c r="E604" s="2" t="inlineStr">
        <is>
          <t>14:54</t>
        </is>
      </c>
      <c r="F604" s="5" t="n">
        <v>531.67</v>
      </c>
      <c r="G604" s="5" t="n"/>
      <c r="H604" s="5" t="n"/>
      <c r="I604" s="5" t="n"/>
      <c r="J604" s="5" t="n">
        <v>106.33</v>
      </c>
      <c r="K604" s="5" t="n"/>
      <c r="L604" s="5" t="n"/>
      <c r="M604" s="5" t="n"/>
      <c r="N604" s="5" t="n"/>
      <c r="O604" s="5" t="n">
        <v>638</v>
      </c>
      <c r="P604" s="5" t="n"/>
      <c r="Q604" s="5" t="n">
        <v>638</v>
      </c>
      <c r="R604" s="5" t="n"/>
      <c r="S604" s="5">
        <f>F604*20%</f>
        <v/>
      </c>
      <c r="T604" s="5">
        <f>J604-S604</f>
        <v/>
      </c>
      <c r="U604" s="5">
        <f>F604+J604</f>
        <v/>
      </c>
      <c r="V604" s="5">
        <f>O604-U604</f>
        <v/>
      </c>
      <c r="W604" s="5">
        <f>O604-(P604+R604)</f>
        <v/>
      </c>
      <c r="X604" s="5">
        <f>O604-(P604+Q604+R604)</f>
        <v/>
      </c>
    </row>
    <row r="605">
      <c r="A605" s="2" t="inlineStr">
        <is>
          <t>EJ010124.TXT</t>
        </is>
      </c>
      <c r="B605" s="3" t="inlineStr">
        <is>
          <t>005198</t>
        </is>
      </c>
      <c r="C605" s="3" t="inlineStr">
        <is>
          <t>004165</t>
        </is>
      </c>
      <c r="D605" s="4" t="n">
        <v>45262</v>
      </c>
      <c r="E605" s="2" t="inlineStr">
        <is>
          <t>14:55</t>
        </is>
      </c>
      <c r="F605" s="5" t="n">
        <v>797.5</v>
      </c>
      <c r="G605" s="5" t="n"/>
      <c r="H605" s="5" t="n"/>
      <c r="I605" s="5" t="n"/>
      <c r="J605" s="5" t="n">
        <v>159.5</v>
      </c>
      <c r="K605" s="5" t="n"/>
      <c r="L605" s="5" t="n"/>
      <c r="M605" s="5" t="n"/>
      <c r="N605" s="5" t="n"/>
      <c r="O605" s="5" t="n">
        <v>957</v>
      </c>
      <c r="P605" s="5" t="n"/>
      <c r="Q605" s="5" t="n">
        <v>957</v>
      </c>
      <c r="R605" s="5" t="n"/>
      <c r="S605" s="5">
        <f>F605*20%</f>
        <v/>
      </c>
      <c r="T605" s="5">
        <f>J605-S605</f>
        <v/>
      </c>
      <c r="U605" s="5">
        <f>F605+J605</f>
        <v/>
      </c>
      <c r="V605" s="5">
        <f>O605-U605</f>
        <v/>
      </c>
      <c r="W605" s="5">
        <f>O605-(P605+R605)</f>
        <v/>
      </c>
      <c r="X605" s="5">
        <f>O605-(P605+Q605+R605)</f>
        <v/>
      </c>
    </row>
    <row r="606">
      <c r="A606" s="2" t="inlineStr">
        <is>
          <t>EJ010124.TXT</t>
        </is>
      </c>
      <c r="B606" s="3" t="inlineStr">
        <is>
          <t>005199</t>
        </is>
      </c>
      <c r="C606" s="3" t="inlineStr">
        <is>
          <t>004166</t>
        </is>
      </c>
      <c r="D606" s="4" t="n">
        <v>45262</v>
      </c>
      <c r="E606" s="2" t="inlineStr">
        <is>
          <t>14:55</t>
        </is>
      </c>
      <c r="F606" s="5" t="n">
        <v>531.67</v>
      </c>
      <c r="G606" s="5" t="n"/>
      <c r="H606" s="5" t="n"/>
      <c r="I606" s="5" t="n"/>
      <c r="J606" s="5" t="n">
        <v>106.33</v>
      </c>
      <c r="K606" s="5" t="n"/>
      <c r="L606" s="5" t="n"/>
      <c r="M606" s="5" t="n"/>
      <c r="N606" s="5" t="n"/>
      <c r="O606" s="5" t="n">
        <v>638</v>
      </c>
      <c r="P606" s="5" t="n"/>
      <c r="Q606" s="5" t="n">
        <v>638</v>
      </c>
      <c r="R606" s="5" t="n"/>
      <c r="S606" s="5">
        <f>F606*20%</f>
        <v/>
      </c>
      <c r="T606" s="5">
        <f>J606-S606</f>
        <v/>
      </c>
      <c r="U606" s="5">
        <f>F606+J606</f>
        <v/>
      </c>
      <c r="V606" s="5">
        <f>O606-U606</f>
        <v/>
      </c>
      <c r="W606" s="5">
        <f>O606-(P606+R606)</f>
        <v/>
      </c>
      <c r="X606" s="5">
        <f>O606-(P606+Q606+R606)</f>
        <v/>
      </c>
    </row>
    <row r="607">
      <c r="A607" s="2" t="inlineStr">
        <is>
          <t>EJ010124.TXT</t>
        </is>
      </c>
      <c r="B607" s="3" t="inlineStr">
        <is>
          <t>005200</t>
        </is>
      </c>
      <c r="C607" s="3" t="inlineStr">
        <is>
          <t>004167</t>
        </is>
      </c>
      <c r="D607" s="4" t="n">
        <v>45262</v>
      </c>
      <c r="E607" s="2" t="inlineStr">
        <is>
          <t>14:55</t>
        </is>
      </c>
      <c r="F607" s="5" t="n">
        <v>531.67</v>
      </c>
      <c r="G607" s="5" t="n"/>
      <c r="H607" s="5" t="n"/>
      <c r="I607" s="5" t="n"/>
      <c r="J607" s="5" t="n">
        <v>106.33</v>
      </c>
      <c r="K607" s="5" t="n"/>
      <c r="L607" s="5" t="n"/>
      <c r="M607" s="5" t="n"/>
      <c r="N607" s="5" t="n"/>
      <c r="O607" s="5" t="n">
        <v>638</v>
      </c>
      <c r="P607" s="5" t="n"/>
      <c r="Q607" s="5" t="n">
        <v>638</v>
      </c>
      <c r="R607" s="5" t="n"/>
      <c r="S607" s="5">
        <f>F607*20%</f>
        <v/>
      </c>
      <c r="T607" s="5">
        <f>J607-S607</f>
        <v/>
      </c>
      <c r="U607" s="5">
        <f>F607+J607</f>
        <v/>
      </c>
      <c r="V607" s="5">
        <f>O607-U607</f>
        <v/>
      </c>
      <c r="W607" s="5">
        <f>O607-(P607+R607)</f>
        <v/>
      </c>
      <c r="X607" s="5">
        <f>O607-(P607+Q607+R607)</f>
        <v/>
      </c>
    </row>
    <row r="608">
      <c r="A608" s="2" t="inlineStr">
        <is>
          <t>EJ010124.TXT</t>
        </is>
      </c>
      <c r="B608" s="3" t="inlineStr">
        <is>
          <t>005201</t>
        </is>
      </c>
      <c r="C608" s="3" t="inlineStr">
        <is>
          <t>004168</t>
        </is>
      </c>
      <c r="D608" s="4" t="n">
        <v>45263</v>
      </c>
      <c r="E608" s="2" t="inlineStr">
        <is>
          <t>19:01</t>
        </is>
      </c>
      <c r="F608" s="5" t="n">
        <v>1133.33</v>
      </c>
      <c r="G608" s="5" t="n"/>
      <c r="H608" s="5" t="n"/>
      <c r="I608" s="5" t="n"/>
      <c r="J608" s="5" t="n">
        <v>226.67</v>
      </c>
      <c r="K608" s="5" t="n"/>
      <c r="L608" s="5" t="n"/>
      <c r="M608" s="5" t="n"/>
      <c r="N608" s="5" t="n"/>
      <c r="O608" s="5" t="n">
        <v>1360</v>
      </c>
      <c r="P608" s="5" t="n"/>
      <c r="Q608" s="5" t="n">
        <v>1360</v>
      </c>
      <c r="R608" s="5" t="n"/>
      <c r="S608" s="5">
        <f>F608*20%</f>
        <v/>
      </c>
      <c r="T608" s="5">
        <f>J608-S608</f>
        <v/>
      </c>
      <c r="U608" s="5">
        <f>F608+J608</f>
        <v/>
      </c>
      <c r="V608" s="5">
        <f>O608-U608</f>
        <v/>
      </c>
      <c r="W608" s="5">
        <f>O608-(P608+R608)</f>
        <v/>
      </c>
      <c r="X608" s="5">
        <f>O608-(P608+Q608+R608)</f>
        <v/>
      </c>
    </row>
    <row r="609">
      <c r="A609" s="2" t="inlineStr">
        <is>
          <t>EJ010124.TXT</t>
        </is>
      </c>
      <c r="B609" s="3" t="inlineStr">
        <is>
          <t>005202</t>
        </is>
      </c>
      <c r="C609" s="3" t="inlineStr">
        <is>
          <t>004169</t>
        </is>
      </c>
      <c r="D609" s="4" t="n">
        <v>45267</v>
      </c>
      <c r="E609" s="2" t="inlineStr">
        <is>
          <t>18:10</t>
        </is>
      </c>
      <c r="F609" s="5" t="n">
        <v>165.83</v>
      </c>
      <c r="G609" s="5" t="n"/>
      <c r="H609" s="5" t="n"/>
      <c r="I609" s="5" t="n"/>
      <c r="J609" s="5" t="n">
        <v>33.17</v>
      </c>
      <c r="K609" s="5" t="n"/>
      <c r="L609" s="5" t="n"/>
      <c r="M609" s="5" t="n"/>
      <c r="N609" s="5" t="n"/>
      <c r="O609" s="5" t="n">
        <v>199</v>
      </c>
      <c r="P609" s="5" t="n"/>
      <c r="Q609" s="5" t="n">
        <v>199</v>
      </c>
      <c r="R609" s="5" t="n"/>
      <c r="S609" s="5">
        <f>F609*20%</f>
        <v/>
      </c>
      <c r="T609" s="5">
        <f>J609-S609</f>
        <v/>
      </c>
      <c r="U609" s="5">
        <f>F609+J609</f>
        <v/>
      </c>
      <c r="V609" s="5">
        <f>O609-U609</f>
        <v/>
      </c>
      <c r="W609" s="5">
        <f>O609-(P609+R609)</f>
        <v/>
      </c>
      <c r="X609" s="5">
        <f>O609-(P609+Q609+R609)</f>
        <v/>
      </c>
    </row>
    <row r="610">
      <c r="A610" s="2" t="inlineStr">
        <is>
          <t>EJ010124.TXT</t>
        </is>
      </c>
      <c r="B610" s="3" t="inlineStr">
        <is>
          <t>005203</t>
        </is>
      </c>
      <c r="C610" s="3" t="inlineStr">
        <is>
          <t>004170</t>
        </is>
      </c>
      <c r="D610" s="4" t="n">
        <v>45267</v>
      </c>
      <c r="E610" s="2" t="inlineStr">
        <is>
          <t>18:15</t>
        </is>
      </c>
      <c r="F610" s="5" t="n">
        <v>199.17</v>
      </c>
      <c r="G610" s="5" t="n"/>
      <c r="H610" s="5" t="n"/>
      <c r="I610" s="5" t="n"/>
      <c r="J610" s="5" t="n">
        <v>39.83</v>
      </c>
      <c r="K610" s="5" t="n"/>
      <c r="L610" s="5" t="n"/>
      <c r="M610" s="5" t="n"/>
      <c r="N610" s="5" t="n"/>
      <c r="O610" s="5" t="n">
        <v>239</v>
      </c>
      <c r="P610" s="5" t="n">
        <v>239</v>
      </c>
      <c r="Q610" s="5" t="n"/>
      <c r="R610" s="5" t="n"/>
      <c r="S610" s="5">
        <f>F610*20%</f>
        <v/>
      </c>
      <c r="T610" s="5">
        <f>J610-S610</f>
        <v/>
      </c>
      <c r="U610" s="5">
        <f>F610+J610</f>
        <v/>
      </c>
      <c r="V610" s="5">
        <f>O610-U610</f>
        <v/>
      </c>
      <c r="W610" s="5">
        <f>O610-(P610+R610)</f>
        <v/>
      </c>
      <c r="X610" s="5">
        <f>O610-(P610+Q610+R610)</f>
        <v/>
      </c>
    </row>
    <row r="611">
      <c r="A611" s="2" t="inlineStr">
        <is>
          <t>EJ010124.TXT</t>
        </is>
      </c>
      <c r="B611" s="3" t="inlineStr">
        <is>
          <t>005204</t>
        </is>
      </c>
      <c r="C611" s="3" t="inlineStr">
        <is>
          <t>004171</t>
        </is>
      </c>
      <c r="D611" s="4" t="n">
        <v>45268</v>
      </c>
      <c r="E611" s="2" t="inlineStr">
        <is>
          <t>17:16</t>
        </is>
      </c>
      <c r="F611" s="5" t="n">
        <v>4185</v>
      </c>
      <c r="G611" s="5" t="n"/>
      <c r="H611" s="5" t="n"/>
      <c r="I611" s="5" t="n"/>
      <c r="J611" s="5" t="n">
        <v>837</v>
      </c>
      <c r="K611" s="5" t="n"/>
      <c r="L611" s="5" t="n"/>
      <c r="M611" s="5" t="n"/>
      <c r="N611" s="5" t="n"/>
      <c r="O611" s="5" t="n">
        <v>5022</v>
      </c>
      <c r="P611" s="5" t="n">
        <v>5022</v>
      </c>
      <c r="Q611" s="5" t="n"/>
      <c r="R611" s="5" t="n"/>
      <c r="S611" s="5">
        <f>F611*20%</f>
        <v/>
      </c>
      <c r="T611" s="5">
        <f>J611-S611</f>
        <v/>
      </c>
      <c r="U611" s="5">
        <f>F611+J611</f>
        <v/>
      </c>
      <c r="V611" s="5">
        <f>O611-U611</f>
        <v/>
      </c>
      <c r="W611" s="5">
        <f>O611-(P611+R611)</f>
        <v/>
      </c>
      <c r="X611" s="5">
        <f>O611-(P611+Q611+R611)</f>
        <v/>
      </c>
    </row>
    <row r="612">
      <c r="A612" s="2" t="inlineStr">
        <is>
          <t>EJ010124.TXT</t>
        </is>
      </c>
      <c r="B612" s="3" t="inlineStr">
        <is>
          <t>005205</t>
        </is>
      </c>
      <c r="C612" s="3" t="inlineStr">
        <is>
          <t>004172</t>
        </is>
      </c>
      <c r="D612" s="4" t="n">
        <v>45280</v>
      </c>
      <c r="E612" s="2" t="inlineStr">
        <is>
          <t>18:16</t>
        </is>
      </c>
      <c r="F612" s="5" t="n">
        <v>582.5</v>
      </c>
      <c r="G612" s="5" t="n"/>
      <c r="H612" s="5" t="n"/>
      <c r="I612" s="5" t="n"/>
      <c r="J612" s="5" t="n">
        <v>116.5</v>
      </c>
      <c r="K612" s="5" t="n"/>
      <c r="L612" s="5" t="n"/>
      <c r="M612" s="5" t="n"/>
      <c r="N612" s="5" t="n"/>
      <c r="O612" s="5" t="n">
        <v>699</v>
      </c>
      <c r="P612" s="5" t="n">
        <v>699</v>
      </c>
      <c r="Q612" s="5" t="n"/>
      <c r="R612" s="5" t="n"/>
      <c r="S612" s="5">
        <f>F612*20%</f>
        <v/>
      </c>
      <c r="T612" s="5">
        <f>J612-S612</f>
        <v/>
      </c>
      <c r="U612" s="5">
        <f>F612+J612</f>
        <v/>
      </c>
      <c r="V612" s="5">
        <f>O612-U612</f>
        <v/>
      </c>
      <c r="W612" s="5">
        <f>O612-(P612+R612)</f>
        <v/>
      </c>
      <c r="X612" s="5">
        <f>O612-(P612+Q612+R612)</f>
        <v/>
      </c>
    </row>
    <row r="613">
      <c r="A613" s="2" t="inlineStr">
        <is>
          <t>EJ010124.TXT</t>
        </is>
      </c>
      <c r="B613" s="3" t="inlineStr">
        <is>
          <t>005206</t>
        </is>
      </c>
      <c r="C613" s="3" t="inlineStr">
        <is>
          <t>004173</t>
        </is>
      </c>
      <c r="D613" s="4" t="n">
        <v>45281</v>
      </c>
      <c r="E613" s="2" t="inlineStr">
        <is>
          <t>17:33</t>
        </is>
      </c>
      <c r="F613" s="5" t="n">
        <v>822.5</v>
      </c>
      <c r="G613" s="5" t="n"/>
      <c r="H613" s="5" t="n"/>
      <c r="I613" s="5" t="n"/>
      <c r="J613" s="5" t="n">
        <v>164.5</v>
      </c>
      <c r="K613" s="5" t="n"/>
      <c r="L613" s="5" t="n"/>
      <c r="M613" s="5" t="n"/>
      <c r="N613" s="5" t="n"/>
      <c r="O613" s="5" t="n">
        <v>987</v>
      </c>
      <c r="P613" s="5" t="n"/>
      <c r="Q613" s="5" t="n">
        <v>987</v>
      </c>
      <c r="R613" s="5" t="n"/>
      <c r="S613" s="5">
        <f>F613*20%</f>
        <v/>
      </c>
      <c r="T613" s="5">
        <f>J613-S613</f>
        <v/>
      </c>
      <c r="U613" s="5">
        <f>F613+J613</f>
        <v/>
      </c>
      <c r="V613" s="5">
        <f>O613-U613</f>
        <v/>
      </c>
      <c r="W613" s="5">
        <f>O613-(P613+R613)</f>
        <v/>
      </c>
      <c r="X613" s="5">
        <f>O613-(P613+Q613+R613)</f>
        <v/>
      </c>
    </row>
    <row r="614">
      <c r="A614" s="2" t="inlineStr">
        <is>
          <t>EJ010124.TXT</t>
        </is>
      </c>
      <c r="B614" s="3" t="inlineStr">
        <is>
          <t>005207</t>
        </is>
      </c>
      <c r="C614" s="3" t="inlineStr">
        <is>
          <t>004174</t>
        </is>
      </c>
      <c r="D614" s="4" t="n">
        <v>45282</v>
      </c>
      <c r="E614" s="2" t="inlineStr">
        <is>
          <t>15:40</t>
        </is>
      </c>
      <c r="F614" s="5" t="n">
        <v>274.17</v>
      </c>
      <c r="G614" s="5" t="n"/>
      <c r="H614" s="5" t="n"/>
      <c r="I614" s="5" t="n"/>
      <c r="J614" s="5" t="n">
        <v>54.83</v>
      </c>
      <c r="K614" s="5" t="n"/>
      <c r="L614" s="5" t="n"/>
      <c r="M614" s="5" t="n"/>
      <c r="N614" s="5" t="n"/>
      <c r="O614" s="5" t="n">
        <v>329</v>
      </c>
      <c r="P614" s="5" t="n">
        <v>329</v>
      </c>
      <c r="Q614" s="5" t="n"/>
      <c r="R614" s="5" t="n"/>
      <c r="S614" s="5">
        <f>F614*20%</f>
        <v/>
      </c>
      <c r="T614" s="5">
        <f>J614-S614</f>
        <v/>
      </c>
      <c r="U614" s="5">
        <f>F614+J614</f>
        <v/>
      </c>
      <c r="V614" s="5">
        <f>O614-U614</f>
        <v/>
      </c>
      <c r="W614" s="5">
        <f>O614-(P614+R614)</f>
        <v/>
      </c>
      <c r="X614" s="5">
        <f>O614-(P614+Q614+R614)</f>
        <v/>
      </c>
    </row>
    <row r="615">
      <c r="A615" s="2" t="inlineStr">
        <is>
          <t>EJ010124.TXT</t>
        </is>
      </c>
      <c r="B615" s="3" t="inlineStr">
        <is>
          <t>005208</t>
        </is>
      </c>
      <c r="C615" s="3" t="inlineStr">
        <is>
          <t>004175</t>
        </is>
      </c>
      <c r="D615" s="4" t="n">
        <v>45282</v>
      </c>
      <c r="E615" s="2" t="inlineStr">
        <is>
          <t>15:45</t>
        </is>
      </c>
      <c r="F615" s="5" t="n">
        <v>482.5</v>
      </c>
      <c r="G615" s="5" t="n"/>
      <c r="H615" s="5" t="n"/>
      <c r="I615" s="5" t="n"/>
      <c r="J615" s="5" t="n">
        <v>96.5</v>
      </c>
      <c r="K615" s="5" t="n"/>
      <c r="L615" s="5" t="n"/>
      <c r="M615" s="5" t="n"/>
      <c r="N615" s="5" t="n"/>
      <c r="O615" s="5" t="n">
        <v>579</v>
      </c>
      <c r="P615" s="5" t="n">
        <v>579</v>
      </c>
      <c r="Q615" s="5" t="n"/>
      <c r="R615" s="5" t="n"/>
      <c r="S615" s="5">
        <f>F615*20%</f>
        <v/>
      </c>
      <c r="T615" s="5">
        <f>J615-S615</f>
        <v/>
      </c>
      <c r="U615" s="5">
        <f>F615+J615</f>
        <v/>
      </c>
      <c r="V615" s="5">
        <f>O615-U615</f>
        <v/>
      </c>
      <c r="W615" s="5">
        <f>O615-(P615+R615)</f>
        <v/>
      </c>
      <c r="X615" s="5">
        <f>O615-(P615+Q615+R615)</f>
        <v/>
      </c>
    </row>
    <row r="616">
      <c r="A616" s="2" t="inlineStr">
        <is>
          <t>EJ010124.TXT</t>
        </is>
      </c>
      <c r="B616" s="3" t="inlineStr">
        <is>
          <t>005209</t>
        </is>
      </c>
      <c r="C616" s="3" t="inlineStr">
        <is>
          <t>004176</t>
        </is>
      </c>
      <c r="D616" s="4" t="n">
        <v>45282</v>
      </c>
      <c r="E616" s="2" t="inlineStr">
        <is>
          <t>19:39</t>
        </is>
      </c>
      <c r="F616" s="5" t="n">
        <v>274.17</v>
      </c>
      <c r="G616" s="5" t="n"/>
      <c r="H616" s="5" t="n"/>
      <c r="I616" s="5" t="n"/>
      <c r="J616" s="5" t="n">
        <v>54.83</v>
      </c>
      <c r="K616" s="5" t="n"/>
      <c r="L616" s="5" t="n"/>
      <c r="M616" s="5" t="n"/>
      <c r="N616" s="5" t="n"/>
      <c r="O616" s="5" t="n">
        <v>329</v>
      </c>
      <c r="P616" s="5" t="n"/>
      <c r="Q616" s="5" t="n">
        <v>329</v>
      </c>
      <c r="R616" s="5" t="n"/>
      <c r="S616" s="5">
        <f>F616*20%</f>
        <v/>
      </c>
      <c r="T616" s="5">
        <f>J616-S616</f>
        <v/>
      </c>
      <c r="U616" s="5">
        <f>F616+J616</f>
        <v/>
      </c>
      <c r="V616" s="5">
        <f>O616-U616</f>
        <v/>
      </c>
      <c r="W616" s="5">
        <f>O616-(P616+R616)</f>
        <v/>
      </c>
      <c r="X616" s="5">
        <f>O616-(P616+Q616+R616)</f>
        <v/>
      </c>
    </row>
    <row r="617">
      <c r="A617" s="2" t="inlineStr">
        <is>
          <t>EJ010124.TXT</t>
        </is>
      </c>
      <c r="B617" s="3" t="inlineStr">
        <is>
          <t>005210</t>
        </is>
      </c>
      <c r="C617" s="3" t="inlineStr">
        <is>
          <t>004177</t>
        </is>
      </c>
      <c r="D617" s="4" t="n">
        <v>45283</v>
      </c>
      <c r="E617" s="2" t="inlineStr">
        <is>
          <t>15:39</t>
        </is>
      </c>
      <c r="F617" s="5" t="n">
        <v>274.17</v>
      </c>
      <c r="G617" s="5" t="n"/>
      <c r="H617" s="5" t="n"/>
      <c r="I617" s="5" t="n"/>
      <c r="J617" s="5" t="n">
        <v>54.83</v>
      </c>
      <c r="K617" s="5" t="n"/>
      <c r="L617" s="5" t="n"/>
      <c r="M617" s="5" t="n"/>
      <c r="N617" s="5" t="n"/>
      <c r="O617" s="5" t="n">
        <v>329</v>
      </c>
      <c r="P617" s="5" t="n"/>
      <c r="Q617" s="5" t="n">
        <v>329</v>
      </c>
      <c r="R617" s="5" t="n"/>
      <c r="S617" s="5">
        <f>F617*20%</f>
        <v/>
      </c>
      <c r="T617" s="5">
        <f>J617-S617</f>
        <v/>
      </c>
      <c r="U617" s="5">
        <f>F617+J617</f>
        <v/>
      </c>
      <c r="V617" s="5">
        <f>O617-U617</f>
        <v/>
      </c>
      <c r="W617" s="5">
        <f>O617-(P617+R617)</f>
        <v/>
      </c>
      <c r="X617" s="5">
        <f>O617-(P617+Q617+R617)</f>
        <v/>
      </c>
    </row>
    <row r="618">
      <c r="A618" s="2" t="inlineStr">
        <is>
          <t>EJ010124.TXT</t>
        </is>
      </c>
      <c r="B618" s="3" t="inlineStr">
        <is>
          <t>005211</t>
        </is>
      </c>
      <c r="C618" s="3" t="inlineStr">
        <is>
          <t>004178</t>
        </is>
      </c>
      <c r="D618" s="4" t="n">
        <v>45283</v>
      </c>
      <c r="E618" s="2" t="inlineStr">
        <is>
          <t>16:10</t>
        </is>
      </c>
      <c r="F618" s="5" t="n">
        <v>822.5</v>
      </c>
      <c r="G618" s="5" t="n"/>
      <c r="H618" s="5" t="n"/>
      <c r="I618" s="5" t="n"/>
      <c r="J618" s="5" t="n">
        <v>164.5</v>
      </c>
      <c r="K618" s="5" t="n"/>
      <c r="L618" s="5" t="n"/>
      <c r="M618" s="5" t="n"/>
      <c r="N618" s="5" t="n"/>
      <c r="O618" s="5" t="n">
        <v>987</v>
      </c>
      <c r="P618" s="5" t="n">
        <v>987</v>
      </c>
      <c r="Q618" s="5" t="n"/>
      <c r="R618" s="5" t="n"/>
      <c r="S618" s="5">
        <f>F618*20%</f>
        <v/>
      </c>
      <c r="T618" s="5">
        <f>J618-S618</f>
        <v/>
      </c>
      <c r="U618" s="5">
        <f>F618+J618</f>
        <v/>
      </c>
      <c r="V618" s="5">
        <f>O618-U618</f>
        <v/>
      </c>
      <c r="W618" s="5">
        <f>O618-(P618+R618)</f>
        <v/>
      </c>
      <c r="X618" s="5">
        <f>O618-(P618+Q618+R618)</f>
        <v/>
      </c>
    </row>
    <row r="619">
      <c r="A619" s="2" t="inlineStr">
        <is>
          <t>EJ010124.TXT</t>
        </is>
      </c>
      <c r="B619" s="3" t="inlineStr">
        <is>
          <t>005212</t>
        </is>
      </c>
      <c r="C619" s="3" t="inlineStr">
        <is>
          <t>004179</t>
        </is>
      </c>
      <c r="D619" s="4" t="n">
        <v>45283</v>
      </c>
      <c r="E619" s="2" t="inlineStr">
        <is>
          <t>16:29</t>
        </is>
      </c>
      <c r="F619" s="5" t="n">
        <v>548.33</v>
      </c>
      <c r="G619" s="5" t="n"/>
      <c r="H619" s="5" t="n"/>
      <c r="I619" s="5" t="n"/>
      <c r="J619" s="5" t="n">
        <v>109.67</v>
      </c>
      <c r="K619" s="5" t="n"/>
      <c r="L619" s="5" t="n"/>
      <c r="M619" s="5" t="n"/>
      <c r="N619" s="5" t="n"/>
      <c r="O619" s="5" t="n">
        <v>658</v>
      </c>
      <c r="P619" s="5" t="n">
        <v>658</v>
      </c>
      <c r="Q619" s="5" t="n"/>
      <c r="R619" s="5" t="n"/>
      <c r="S619" s="5">
        <f>F619*20%</f>
        <v/>
      </c>
      <c r="T619" s="5">
        <f>J619-S619</f>
        <v/>
      </c>
      <c r="U619" s="5">
        <f>F619+J619</f>
        <v/>
      </c>
      <c r="V619" s="5">
        <f>O619-U619</f>
        <v/>
      </c>
      <c r="W619" s="5">
        <f>O619-(P619+R619)</f>
        <v/>
      </c>
      <c r="X619" s="5">
        <f>O619-(P619+Q619+R619)</f>
        <v/>
      </c>
    </row>
    <row r="620">
      <c r="A620" s="2" t="inlineStr">
        <is>
          <t>EJ010124.TXT</t>
        </is>
      </c>
      <c r="B620" s="3" t="inlineStr">
        <is>
          <t>005213</t>
        </is>
      </c>
      <c r="C620" s="3" t="inlineStr">
        <is>
          <t>004180</t>
        </is>
      </c>
      <c r="D620" s="4" t="n">
        <v>45283</v>
      </c>
      <c r="E620" s="2" t="inlineStr">
        <is>
          <t>18:30</t>
        </is>
      </c>
      <c r="F620" s="5" t="n">
        <v>548.33</v>
      </c>
      <c r="G620" s="5" t="n"/>
      <c r="H620" s="5" t="n"/>
      <c r="I620" s="5" t="n"/>
      <c r="J620" s="5" t="n">
        <v>109.67</v>
      </c>
      <c r="K620" s="5" t="n"/>
      <c r="L620" s="5" t="n"/>
      <c r="M620" s="5" t="n"/>
      <c r="N620" s="5" t="n"/>
      <c r="O620" s="5" t="n">
        <v>658</v>
      </c>
      <c r="P620" s="5" t="n"/>
      <c r="Q620" s="5" t="n">
        <v>658</v>
      </c>
      <c r="R620" s="5" t="n"/>
      <c r="S620" s="5">
        <f>F620*20%</f>
        <v/>
      </c>
      <c r="T620" s="5">
        <f>J620-S620</f>
        <v/>
      </c>
      <c r="U620" s="5">
        <f>F620+J620</f>
        <v/>
      </c>
      <c r="V620" s="5">
        <f>O620-U620</f>
        <v/>
      </c>
      <c r="W620" s="5">
        <f>O620-(P620+R620)</f>
        <v/>
      </c>
      <c r="X620" s="5">
        <f>O620-(P620+Q620+R620)</f>
        <v/>
      </c>
    </row>
    <row r="621">
      <c r="A621" s="2" t="inlineStr">
        <is>
          <t>EJ010124.TXT</t>
        </is>
      </c>
      <c r="B621" s="3" t="inlineStr">
        <is>
          <t>005214</t>
        </is>
      </c>
      <c r="C621" s="3" t="inlineStr">
        <is>
          <t>004181</t>
        </is>
      </c>
      <c r="D621" s="4" t="n">
        <v>45286</v>
      </c>
      <c r="E621" s="2" t="inlineStr">
        <is>
          <t>11:49</t>
        </is>
      </c>
      <c r="F621" s="5" t="n">
        <v>797.5</v>
      </c>
      <c r="G621" s="5" t="n"/>
      <c r="H621" s="5" t="n"/>
      <c r="I621" s="5" t="n"/>
      <c r="J621" s="5" t="n">
        <v>159.5</v>
      </c>
      <c r="K621" s="5" t="n"/>
      <c r="L621" s="5" t="n"/>
      <c r="M621" s="5" t="n"/>
      <c r="N621" s="5" t="n"/>
      <c r="O621" s="5" t="n">
        <v>957</v>
      </c>
      <c r="P621" s="5" t="n"/>
      <c r="Q621" s="5" t="n">
        <v>957</v>
      </c>
      <c r="R621" s="5" t="n"/>
      <c r="S621" s="5">
        <f>F621*20%</f>
        <v/>
      </c>
      <c r="T621" s="5">
        <f>J621-S621</f>
        <v/>
      </c>
      <c r="U621" s="5">
        <f>F621+J621</f>
        <v/>
      </c>
      <c r="V621" s="5">
        <f>O621-U621</f>
        <v/>
      </c>
      <c r="W621" s="5">
        <f>O621-(P621+R621)</f>
        <v/>
      </c>
      <c r="X621" s="5">
        <f>O621-(P621+Q621+R621)</f>
        <v/>
      </c>
    </row>
    <row r="622">
      <c r="A622" s="2" t="inlineStr">
        <is>
          <t>EJ010124.TXT</t>
        </is>
      </c>
      <c r="B622" s="3" t="inlineStr">
        <is>
          <t>005215</t>
        </is>
      </c>
      <c r="C622" s="3" t="inlineStr">
        <is>
          <t>004182</t>
        </is>
      </c>
      <c r="D622" s="4" t="n">
        <v>45286</v>
      </c>
      <c r="E622" s="2" t="inlineStr">
        <is>
          <t>11:50</t>
        </is>
      </c>
      <c r="F622" s="5" t="n">
        <v>815.83</v>
      </c>
      <c r="G622" s="5" t="n"/>
      <c r="H622" s="5" t="n"/>
      <c r="I622" s="5" t="n"/>
      <c r="J622" s="5" t="n">
        <v>163.17</v>
      </c>
      <c r="K622" s="5" t="n"/>
      <c r="L622" s="5" t="n"/>
      <c r="M622" s="5" t="n"/>
      <c r="N622" s="5" t="n"/>
      <c r="O622" s="5" t="n">
        <v>979</v>
      </c>
      <c r="P622" s="5" t="n"/>
      <c r="Q622" s="5" t="n">
        <v>979</v>
      </c>
      <c r="R622" s="5" t="n"/>
      <c r="S622" s="5">
        <f>F622*20%</f>
        <v/>
      </c>
      <c r="T622" s="5">
        <f>J622-S622</f>
        <v/>
      </c>
      <c r="U622" s="5">
        <f>F622+J622</f>
        <v/>
      </c>
      <c r="V622" s="5">
        <f>O622-U622</f>
        <v/>
      </c>
      <c r="W622" s="5">
        <f>O622-(P622+R622)</f>
        <v/>
      </c>
      <c r="X622" s="5">
        <f>O622-(P622+Q622+R622)</f>
        <v/>
      </c>
    </row>
    <row r="623">
      <c r="A623" s="2" t="inlineStr">
        <is>
          <t>EJ010124.TXT</t>
        </is>
      </c>
      <c r="B623" s="3" t="inlineStr">
        <is>
          <t>005216</t>
        </is>
      </c>
      <c r="C623" s="3" t="inlineStr">
        <is>
          <t>004183</t>
        </is>
      </c>
      <c r="D623" s="4" t="n">
        <v>45286</v>
      </c>
      <c r="E623" s="2" t="inlineStr">
        <is>
          <t>11:50</t>
        </is>
      </c>
      <c r="F623" s="5" t="n">
        <v>614.17</v>
      </c>
      <c r="G623" s="5" t="n"/>
      <c r="H623" s="5" t="n"/>
      <c r="I623" s="5" t="n"/>
      <c r="J623" s="5" t="n">
        <v>122.83</v>
      </c>
      <c r="K623" s="5" t="n"/>
      <c r="L623" s="5" t="n"/>
      <c r="M623" s="5" t="n"/>
      <c r="N623" s="5" t="n"/>
      <c r="O623" s="5" t="n">
        <v>737</v>
      </c>
      <c r="P623" s="5" t="n"/>
      <c r="Q623" s="5" t="n">
        <v>737</v>
      </c>
      <c r="R623" s="5" t="n"/>
      <c r="S623" s="5">
        <f>F623*20%</f>
        <v/>
      </c>
      <c r="T623" s="5">
        <f>J623-S623</f>
        <v/>
      </c>
      <c r="U623" s="5">
        <f>F623+J623</f>
        <v/>
      </c>
      <c r="V623" s="5">
        <f>O623-U623</f>
        <v/>
      </c>
      <c r="W623" s="5">
        <f>O623-(P623+R623)</f>
        <v/>
      </c>
      <c r="X623" s="5">
        <f>O623-(P623+Q623+R623)</f>
        <v/>
      </c>
    </row>
    <row r="624">
      <c r="A624" s="2" t="inlineStr">
        <is>
          <t>EJ010124.TXT</t>
        </is>
      </c>
      <c r="B624" s="3" t="inlineStr">
        <is>
          <t>005217</t>
        </is>
      </c>
      <c r="C624" s="3" t="inlineStr">
        <is>
          <t>004184</t>
        </is>
      </c>
      <c r="D624" s="4" t="n">
        <v>45286</v>
      </c>
      <c r="E624" s="2" t="inlineStr">
        <is>
          <t>15:48</t>
        </is>
      </c>
      <c r="F624" s="5" t="n">
        <v>274.17</v>
      </c>
      <c r="G624" s="5" t="n"/>
      <c r="H624" s="5" t="n"/>
      <c r="I624" s="5" t="n"/>
      <c r="J624" s="5" t="n">
        <v>54.83</v>
      </c>
      <c r="K624" s="5" t="n"/>
      <c r="L624" s="5" t="n"/>
      <c r="M624" s="5" t="n"/>
      <c r="N624" s="5" t="n"/>
      <c r="O624" s="5" t="n">
        <v>329</v>
      </c>
      <c r="P624" s="5" t="n">
        <v>329</v>
      </c>
      <c r="Q624" s="5" t="n"/>
      <c r="R624" s="5" t="n"/>
      <c r="S624" s="5">
        <f>F624*20%</f>
        <v/>
      </c>
      <c r="T624" s="5">
        <f>J624-S624</f>
        <v/>
      </c>
      <c r="U624" s="5">
        <f>F624+J624</f>
        <v/>
      </c>
      <c r="V624" s="5">
        <f>O624-U624</f>
        <v/>
      </c>
      <c r="W624" s="5">
        <f>O624-(P624+R624)</f>
        <v/>
      </c>
      <c r="X624" s="5">
        <f>O624-(P624+Q624+R624)</f>
        <v/>
      </c>
    </row>
    <row r="625">
      <c r="A625" s="2" t="inlineStr">
        <is>
          <t>EJ010124.TXT</t>
        </is>
      </c>
      <c r="B625" s="3" t="inlineStr">
        <is>
          <t>005218</t>
        </is>
      </c>
      <c r="C625" s="3" t="inlineStr">
        <is>
          <t>004185</t>
        </is>
      </c>
      <c r="D625" s="4" t="n">
        <v>45286</v>
      </c>
      <c r="E625" s="2" t="inlineStr">
        <is>
          <t>15:49</t>
        </is>
      </c>
      <c r="F625" s="5" t="n">
        <v>274.17</v>
      </c>
      <c r="G625" s="5" t="n"/>
      <c r="H625" s="5" t="n"/>
      <c r="I625" s="5" t="n"/>
      <c r="J625" s="5" t="n">
        <v>54.83</v>
      </c>
      <c r="K625" s="5" t="n"/>
      <c r="L625" s="5" t="n"/>
      <c r="M625" s="5" t="n"/>
      <c r="N625" s="5" t="n"/>
      <c r="O625" s="5" t="n">
        <v>329</v>
      </c>
      <c r="P625" s="5" t="n">
        <v>329</v>
      </c>
      <c r="Q625" s="5" t="n"/>
      <c r="R625" s="5" t="n"/>
      <c r="S625" s="5">
        <f>F625*20%</f>
        <v/>
      </c>
      <c r="T625" s="5">
        <f>J625-S625</f>
        <v/>
      </c>
      <c r="U625" s="5">
        <f>F625+J625</f>
        <v/>
      </c>
      <c r="V625" s="5">
        <f>O625-U625</f>
        <v/>
      </c>
      <c r="W625" s="5">
        <f>O625-(P625+R625)</f>
        <v/>
      </c>
      <c r="X625" s="5">
        <f>O625-(P625+Q625+R625)</f>
        <v/>
      </c>
    </row>
    <row r="626">
      <c r="A626" s="2" t="inlineStr">
        <is>
          <t>EJ010124.TXT</t>
        </is>
      </c>
      <c r="B626" s="3" t="inlineStr">
        <is>
          <t>005219</t>
        </is>
      </c>
      <c r="C626" s="3" t="inlineStr">
        <is>
          <t>004186</t>
        </is>
      </c>
      <c r="D626" s="4" t="n">
        <v>45286</v>
      </c>
      <c r="E626" s="2" t="inlineStr">
        <is>
          <t>18:05</t>
        </is>
      </c>
      <c r="F626" s="5" t="n">
        <v>531.67</v>
      </c>
      <c r="G626" s="5" t="n"/>
      <c r="H626" s="5" t="n"/>
      <c r="I626" s="5" t="n"/>
      <c r="J626" s="5" t="n">
        <v>106.33</v>
      </c>
      <c r="K626" s="5" t="n"/>
      <c r="L626" s="5" t="n"/>
      <c r="M626" s="5" t="n"/>
      <c r="N626" s="5" t="n"/>
      <c r="O626" s="5" t="n">
        <v>638</v>
      </c>
      <c r="P626" s="5" t="n">
        <v>638</v>
      </c>
      <c r="Q626" s="5" t="n"/>
      <c r="R626" s="5" t="n"/>
      <c r="S626" s="5">
        <f>F626*20%</f>
        <v/>
      </c>
      <c r="T626" s="5">
        <f>J626-S626</f>
        <v/>
      </c>
      <c r="U626" s="5">
        <f>F626+J626</f>
        <v/>
      </c>
      <c r="V626" s="5">
        <f>O626-U626</f>
        <v/>
      </c>
      <c r="W626" s="5">
        <f>O626-(P626+R626)</f>
        <v/>
      </c>
      <c r="X626" s="5">
        <f>O626-(P626+Q626+R626)</f>
        <v/>
      </c>
    </row>
    <row r="627">
      <c r="A627" s="2" t="inlineStr">
        <is>
          <t>EJ010124.TXT</t>
        </is>
      </c>
      <c r="B627" s="3" t="inlineStr">
        <is>
          <t>005220</t>
        </is>
      </c>
      <c r="C627" s="3" t="inlineStr">
        <is>
          <t>004187</t>
        </is>
      </c>
      <c r="D627" s="4" t="n">
        <v>45287</v>
      </c>
      <c r="E627" s="2" t="inlineStr">
        <is>
          <t>15:44</t>
        </is>
      </c>
      <c r="F627" s="5" t="n">
        <v>398.33</v>
      </c>
      <c r="G627" s="5" t="n"/>
      <c r="H627" s="5" t="n"/>
      <c r="I627" s="5" t="n"/>
      <c r="J627" s="5" t="n">
        <v>79.67</v>
      </c>
      <c r="K627" s="5" t="n"/>
      <c r="L627" s="5" t="n"/>
      <c r="M627" s="5" t="n"/>
      <c r="N627" s="5" t="n"/>
      <c r="O627" s="5" t="n">
        <v>478</v>
      </c>
      <c r="P627" s="5" t="n"/>
      <c r="Q627" s="5" t="n">
        <v>478</v>
      </c>
      <c r="R627" s="5" t="n"/>
      <c r="S627" s="5">
        <f>F627*20%</f>
        <v/>
      </c>
      <c r="T627" s="5">
        <f>J627-S627</f>
        <v/>
      </c>
      <c r="U627" s="5">
        <f>F627+J627</f>
        <v/>
      </c>
      <c r="V627" s="5">
        <f>O627-U627</f>
        <v/>
      </c>
      <c r="W627" s="5">
        <f>O627-(P627+R627)</f>
        <v/>
      </c>
      <c r="X627" s="5">
        <f>O627-(P627+Q627+R627)</f>
        <v/>
      </c>
    </row>
    <row r="628">
      <c r="A628" s="2" t="inlineStr">
        <is>
          <t>EJ010124.TXT</t>
        </is>
      </c>
      <c r="B628" s="3" t="inlineStr">
        <is>
          <t>005221</t>
        </is>
      </c>
      <c r="C628" s="3" t="inlineStr">
        <is>
          <t>004188</t>
        </is>
      </c>
      <c r="D628" s="4" t="n">
        <v>45288</v>
      </c>
      <c r="E628" s="2" t="inlineStr">
        <is>
          <t>16:46</t>
        </is>
      </c>
      <c r="F628" s="5" t="n">
        <v>274.17</v>
      </c>
      <c r="G628" s="5" t="n"/>
      <c r="H628" s="5" t="n"/>
      <c r="I628" s="5" t="n"/>
      <c r="J628" s="5" t="n">
        <v>54.83</v>
      </c>
      <c r="K628" s="5" t="n"/>
      <c r="L628" s="5" t="n"/>
      <c r="M628" s="5" t="n"/>
      <c r="N628" s="5" t="n"/>
      <c r="O628" s="5" t="n">
        <v>329</v>
      </c>
      <c r="P628" s="5" t="n"/>
      <c r="Q628" s="5" t="n">
        <v>329</v>
      </c>
      <c r="R628" s="5" t="n"/>
      <c r="S628" s="5">
        <f>F628*20%</f>
        <v/>
      </c>
      <c r="T628" s="5">
        <f>J628-S628</f>
        <v/>
      </c>
      <c r="U628" s="5">
        <f>F628+J628</f>
        <v/>
      </c>
      <c r="V628" s="5">
        <f>O628-U628</f>
        <v/>
      </c>
      <c r="W628" s="5">
        <f>O628-(P628+R628)</f>
        <v/>
      </c>
      <c r="X628" s="5">
        <f>O628-(P628+Q628+R628)</f>
        <v/>
      </c>
    </row>
    <row r="629">
      <c r="A629" s="2" t="inlineStr">
        <is>
          <t>EJ010124.TXT</t>
        </is>
      </c>
      <c r="B629" s="3" t="inlineStr">
        <is>
          <t>005222</t>
        </is>
      </c>
      <c r="C629" s="3" t="inlineStr">
        <is>
          <t>004189</t>
        </is>
      </c>
      <c r="D629" s="4" t="n">
        <v>45290</v>
      </c>
      <c r="E629" s="2" t="inlineStr">
        <is>
          <t>15:47</t>
        </is>
      </c>
      <c r="F629" s="5" t="n">
        <v>548.33</v>
      </c>
      <c r="G629" s="5" t="n"/>
      <c r="H629" s="5" t="n"/>
      <c r="I629" s="5" t="n"/>
      <c r="J629" s="5" t="n">
        <v>109.67</v>
      </c>
      <c r="K629" s="5" t="n"/>
      <c r="L629" s="5" t="n"/>
      <c r="M629" s="5" t="n"/>
      <c r="N629" s="5" t="n"/>
      <c r="O629" s="5" t="n">
        <v>658</v>
      </c>
      <c r="P629" s="5" t="n"/>
      <c r="Q629" s="5" t="n">
        <v>658</v>
      </c>
      <c r="R629" s="5" t="n"/>
      <c r="S629" s="5">
        <f>F629*20%</f>
        <v/>
      </c>
      <c r="T629" s="5">
        <f>J629-S629</f>
        <v/>
      </c>
      <c r="U629" s="5">
        <f>F629+J629</f>
        <v/>
      </c>
      <c r="V629" s="5">
        <f>O629-U629</f>
        <v/>
      </c>
      <c r="W629" s="5">
        <f>O629-(P629+R629)</f>
        <v/>
      </c>
      <c r="X629" s="5">
        <f>O629-(P629+Q629+R629)</f>
        <v/>
      </c>
    </row>
    <row r="630">
      <c r="A630" s="2" t="inlineStr">
        <is>
          <t>EJ020224.TXT</t>
        </is>
      </c>
      <c r="B630" s="3" t="inlineStr">
        <is>
          <t>005230</t>
        </is>
      </c>
      <c r="C630" s="3" t="inlineStr">
        <is>
          <t>004190</t>
        </is>
      </c>
      <c r="D630" s="4" t="n">
        <v>45295</v>
      </c>
      <c r="E630" s="2" t="inlineStr">
        <is>
          <t>14:36</t>
        </is>
      </c>
      <c r="F630" s="5" t="n">
        <v>797.5</v>
      </c>
      <c r="G630" s="5" t="n"/>
      <c r="H630" s="5" t="n"/>
      <c r="I630" s="5" t="n"/>
      <c r="J630" s="5" t="n">
        <v>159.5</v>
      </c>
      <c r="K630" s="5" t="n"/>
      <c r="L630" s="5" t="n"/>
      <c r="M630" s="5" t="n"/>
      <c r="N630" s="5" t="n"/>
      <c r="O630" s="5" t="n">
        <v>957</v>
      </c>
      <c r="P630" s="5" t="n"/>
      <c r="Q630" s="5" t="n">
        <v>957</v>
      </c>
      <c r="R630" s="5" t="n"/>
      <c r="S630" s="5">
        <f>F630*20%</f>
        <v/>
      </c>
      <c r="T630" s="5">
        <f>J630-S630</f>
        <v/>
      </c>
      <c r="U630" s="5">
        <f>F630+J630</f>
        <v/>
      </c>
      <c r="V630" s="5">
        <f>O630-U630</f>
        <v/>
      </c>
      <c r="W630" s="5">
        <f>O630-(P630+R630)</f>
        <v/>
      </c>
      <c r="X630" s="5">
        <f>O630-(P630+Q630+R630)</f>
        <v/>
      </c>
    </row>
    <row r="631">
      <c r="A631" s="2" t="inlineStr">
        <is>
          <t>EJ020224.TXT</t>
        </is>
      </c>
      <c r="B631" s="3" t="inlineStr">
        <is>
          <t>005231</t>
        </is>
      </c>
      <c r="C631" s="3" t="inlineStr">
        <is>
          <t>004191</t>
        </is>
      </c>
      <c r="D631" s="4" t="n">
        <v>45295</v>
      </c>
      <c r="E631" s="2" t="inlineStr">
        <is>
          <t>14:37</t>
        </is>
      </c>
      <c r="F631" s="5" t="n">
        <v>531.67</v>
      </c>
      <c r="G631" s="5" t="n"/>
      <c r="H631" s="5" t="n"/>
      <c r="I631" s="5" t="n"/>
      <c r="J631" s="5" t="n">
        <v>106.33</v>
      </c>
      <c r="K631" s="5" t="n"/>
      <c r="L631" s="5" t="n"/>
      <c r="M631" s="5" t="n"/>
      <c r="N631" s="5" t="n"/>
      <c r="O631" s="5" t="n">
        <v>638</v>
      </c>
      <c r="P631" s="5" t="n"/>
      <c r="Q631" s="5" t="n">
        <v>638</v>
      </c>
      <c r="R631" s="5" t="n"/>
      <c r="S631" s="5">
        <f>F631*20%</f>
        <v/>
      </c>
      <c r="T631" s="5">
        <f>J631-S631</f>
        <v/>
      </c>
      <c r="U631" s="5">
        <f>F631+J631</f>
        <v/>
      </c>
      <c r="V631" s="5">
        <f>O631-U631</f>
        <v/>
      </c>
      <c r="W631" s="5">
        <f>O631-(P631+R631)</f>
        <v/>
      </c>
      <c r="X631" s="5">
        <f>O631-(P631+Q631+R631)</f>
        <v/>
      </c>
    </row>
    <row r="632">
      <c r="A632" s="2" t="inlineStr">
        <is>
          <t>EJ020224.TXT</t>
        </is>
      </c>
      <c r="B632" s="3" t="inlineStr">
        <is>
          <t>005232</t>
        </is>
      </c>
      <c r="C632" s="3" t="inlineStr">
        <is>
          <t>004192</t>
        </is>
      </c>
      <c r="D632" s="4" t="n">
        <v>45295</v>
      </c>
      <c r="E632" s="2" t="inlineStr">
        <is>
          <t>14:37</t>
        </is>
      </c>
      <c r="F632" s="5" t="n">
        <v>265.83</v>
      </c>
      <c r="G632" s="5" t="n"/>
      <c r="H632" s="5" t="n"/>
      <c r="I632" s="5" t="n"/>
      <c r="J632" s="5" t="n">
        <v>53.17</v>
      </c>
      <c r="K632" s="5" t="n"/>
      <c r="L632" s="5" t="n"/>
      <c r="M632" s="5" t="n"/>
      <c r="N632" s="5" t="n"/>
      <c r="O632" s="5" t="n">
        <v>319</v>
      </c>
      <c r="P632" s="5" t="n"/>
      <c r="Q632" s="5" t="n">
        <v>319</v>
      </c>
      <c r="R632" s="5" t="n"/>
      <c r="S632" s="5">
        <f>F632*20%</f>
        <v/>
      </c>
      <c r="T632" s="5">
        <f>J632-S632</f>
        <v/>
      </c>
      <c r="U632" s="5">
        <f>F632+J632</f>
        <v/>
      </c>
      <c r="V632" s="5">
        <f>O632-U632</f>
        <v/>
      </c>
      <c r="W632" s="5">
        <f>O632-(P632+R632)</f>
        <v/>
      </c>
      <c r="X632" s="5">
        <f>O632-(P632+Q632+R632)</f>
        <v/>
      </c>
    </row>
    <row r="633">
      <c r="A633" s="2" t="inlineStr">
        <is>
          <t>EJ020224.TXT</t>
        </is>
      </c>
      <c r="B633" s="3" t="inlineStr">
        <is>
          <t>005233</t>
        </is>
      </c>
      <c r="C633" s="3" t="inlineStr">
        <is>
          <t>004193</t>
        </is>
      </c>
      <c r="D633" s="4" t="n">
        <v>45295</v>
      </c>
      <c r="E633" s="2" t="inlineStr">
        <is>
          <t>14:37</t>
        </is>
      </c>
      <c r="F633" s="5" t="n">
        <v>797.5</v>
      </c>
      <c r="G633" s="5" t="n"/>
      <c r="H633" s="5" t="n"/>
      <c r="I633" s="5" t="n"/>
      <c r="J633" s="5" t="n">
        <v>159.5</v>
      </c>
      <c r="K633" s="5" t="n"/>
      <c r="L633" s="5" t="n"/>
      <c r="M633" s="5" t="n"/>
      <c r="N633" s="5" t="n"/>
      <c r="O633" s="5" t="n">
        <v>957</v>
      </c>
      <c r="P633" s="5" t="n"/>
      <c r="Q633" s="5" t="n">
        <v>957</v>
      </c>
      <c r="R633" s="5" t="n"/>
      <c r="S633" s="5">
        <f>F633*20%</f>
        <v/>
      </c>
      <c r="T633" s="5">
        <f>J633-S633</f>
        <v/>
      </c>
      <c r="U633" s="5">
        <f>F633+J633</f>
        <v/>
      </c>
      <c r="V633" s="5">
        <f>O633-U633</f>
        <v/>
      </c>
      <c r="W633" s="5">
        <f>O633-(P633+R633)</f>
        <v/>
      </c>
      <c r="X633" s="5">
        <f>O633-(P633+Q633+R633)</f>
        <v/>
      </c>
    </row>
    <row r="634">
      <c r="A634" s="2" t="inlineStr">
        <is>
          <t>EJ020224.TXT</t>
        </is>
      </c>
      <c r="B634" s="3" t="inlineStr">
        <is>
          <t>005234</t>
        </is>
      </c>
      <c r="C634" s="3" t="inlineStr">
        <is>
          <t>004194</t>
        </is>
      </c>
      <c r="D634" s="4" t="n">
        <v>45295</v>
      </c>
      <c r="E634" s="2" t="inlineStr">
        <is>
          <t>14:37</t>
        </is>
      </c>
      <c r="F634" s="5" t="n">
        <v>797.5</v>
      </c>
      <c r="G634" s="5" t="n"/>
      <c r="H634" s="5" t="n"/>
      <c r="I634" s="5" t="n"/>
      <c r="J634" s="5" t="n">
        <v>159.5</v>
      </c>
      <c r="K634" s="5" t="n"/>
      <c r="L634" s="5" t="n"/>
      <c r="M634" s="5" t="n"/>
      <c r="N634" s="5" t="n"/>
      <c r="O634" s="5" t="n">
        <v>957</v>
      </c>
      <c r="P634" s="5" t="n"/>
      <c r="Q634" s="5" t="n">
        <v>957</v>
      </c>
      <c r="R634" s="5" t="n"/>
      <c r="S634" s="5">
        <f>F634*20%</f>
        <v/>
      </c>
      <c r="T634" s="5">
        <f>J634-S634</f>
        <v/>
      </c>
      <c r="U634" s="5">
        <f>F634+J634</f>
        <v/>
      </c>
      <c r="V634" s="5">
        <f>O634-U634</f>
        <v/>
      </c>
      <c r="W634" s="5">
        <f>O634-(P634+R634)</f>
        <v/>
      </c>
      <c r="X634" s="5">
        <f>O634-(P634+Q634+R634)</f>
        <v/>
      </c>
    </row>
    <row r="635">
      <c r="A635" s="2" t="inlineStr">
        <is>
          <t>EJ020224.TXT</t>
        </is>
      </c>
      <c r="B635" s="3" t="inlineStr">
        <is>
          <t>005235</t>
        </is>
      </c>
      <c r="C635" s="3" t="inlineStr">
        <is>
          <t>004195</t>
        </is>
      </c>
      <c r="D635" s="4" t="n">
        <v>45295</v>
      </c>
      <c r="E635" s="2" t="inlineStr">
        <is>
          <t>14:46</t>
        </is>
      </c>
      <c r="F635" s="5" t="n">
        <v>548.33</v>
      </c>
      <c r="G635" s="5" t="n"/>
      <c r="H635" s="5" t="n"/>
      <c r="I635" s="5" t="n"/>
      <c r="J635" s="5" t="n">
        <v>109.67</v>
      </c>
      <c r="K635" s="5" t="n"/>
      <c r="L635" s="5" t="n"/>
      <c r="M635" s="5" t="n"/>
      <c r="N635" s="5" t="n"/>
      <c r="O635" s="5" t="n">
        <v>658</v>
      </c>
      <c r="P635" s="5" t="n"/>
      <c r="Q635" s="5" t="n">
        <v>658</v>
      </c>
      <c r="R635" s="5" t="n"/>
      <c r="S635" s="5">
        <f>F635*20%</f>
        <v/>
      </c>
      <c r="T635" s="5">
        <f>J635-S635</f>
        <v/>
      </c>
      <c r="U635" s="5">
        <f>F635+J635</f>
        <v/>
      </c>
      <c r="V635" s="5">
        <f>O635-U635</f>
        <v/>
      </c>
      <c r="W635" s="5">
        <f>O635-(P635+R635)</f>
        <v/>
      </c>
      <c r="X635" s="5">
        <f>O635-(P635+Q635+R635)</f>
        <v/>
      </c>
    </row>
    <row r="636">
      <c r="A636" s="2" t="inlineStr">
        <is>
          <t>EJ020224.TXT</t>
        </is>
      </c>
      <c r="B636" s="3" t="inlineStr">
        <is>
          <t>005236</t>
        </is>
      </c>
      <c r="C636" s="3" t="inlineStr">
        <is>
          <t>004196</t>
        </is>
      </c>
      <c r="D636" s="4" t="n">
        <v>45295</v>
      </c>
      <c r="E636" s="2" t="inlineStr">
        <is>
          <t>15:25</t>
        </is>
      </c>
      <c r="F636" s="5" t="n">
        <v>548.33</v>
      </c>
      <c r="G636" s="5" t="n"/>
      <c r="H636" s="5" t="n"/>
      <c r="I636" s="5" t="n"/>
      <c r="J636" s="5" t="n">
        <v>109.67</v>
      </c>
      <c r="K636" s="5" t="n"/>
      <c r="L636" s="5" t="n"/>
      <c r="M636" s="5" t="n"/>
      <c r="N636" s="5" t="n"/>
      <c r="O636" s="5" t="n">
        <v>658</v>
      </c>
      <c r="P636" s="5" t="n"/>
      <c r="Q636" s="5" t="n">
        <v>658</v>
      </c>
      <c r="R636" s="5" t="n"/>
      <c r="S636" s="5">
        <f>F636*20%</f>
        <v/>
      </c>
      <c r="T636" s="5">
        <f>J636-S636</f>
        <v/>
      </c>
      <c r="U636" s="5">
        <f>F636+J636</f>
        <v/>
      </c>
      <c r="V636" s="5">
        <f>O636-U636</f>
        <v/>
      </c>
      <c r="W636" s="5">
        <f>O636-(P636+R636)</f>
        <v/>
      </c>
      <c r="X636" s="5">
        <f>O636-(P636+Q636+R636)</f>
        <v/>
      </c>
    </row>
    <row r="637">
      <c r="A637" s="2" t="inlineStr">
        <is>
          <t>EJ020224.TXT</t>
        </is>
      </c>
      <c r="B637" s="3" t="inlineStr">
        <is>
          <t>005237</t>
        </is>
      </c>
      <c r="C637" s="3" t="inlineStr">
        <is>
          <t>004197</t>
        </is>
      </c>
      <c r="D637" s="4" t="n">
        <v>45301</v>
      </c>
      <c r="E637" s="2" t="inlineStr">
        <is>
          <t>15:41</t>
        </is>
      </c>
      <c r="F637" s="5" t="n">
        <v>548.33</v>
      </c>
      <c r="G637" s="5" t="n"/>
      <c r="H637" s="5" t="n"/>
      <c r="I637" s="5" t="n"/>
      <c r="J637" s="5" t="n">
        <v>109.67</v>
      </c>
      <c r="K637" s="5" t="n"/>
      <c r="L637" s="5" t="n"/>
      <c r="M637" s="5" t="n"/>
      <c r="N637" s="5" t="n"/>
      <c r="O637" s="5" t="n">
        <v>658</v>
      </c>
      <c r="P637" s="5" t="n"/>
      <c r="Q637" s="5" t="n">
        <v>658</v>
      </c>
      <c r="R637" s="5" t="n"/>
      <c r="S637" s="5">
        <f>F637*20%</f>
        <v/>
      </c>
      <c r="T637" s="5">
        <f>J637-S637</f>
        <v/>
      </c>
      <c r="U637" s="5">
        <f>F637+J637</f>
        <v/>
      </c>
      <c r="V637" s="5">
        <f>O637-U637</f>
        <v/>
      </c>
      <c r="W637" s="5">
        <f>O637-(P637+R637)</f>
        <v/>
      </c>
      <c r="X637" s="5">
        <f>O637-(P637+Q637+R637)</f>
        <v/>
      </c>
    </row>
    <row r="638">
      <c r="A638" s="2" t="inlineStr">
        <is>
          <t>EJ020224.TXT</t>
        </is>
      </c>
      <c r="B638" s="3" t="inlineStr">
        <is>
          <t>005238</t>
        </is>
      </c>
      <c r="C638" s="3" t="inlineStr">
        <is>
          <t>004198</t>
        </is>
      </c>
      <c r="D638" s="4" t="n">
        <v>45301</v>
      </c>
      <c r="E638" s="2" t="inlineStr">
        <is>
          <t>17:19</t>
        </is>
      </c>
      <c r="F638" s="5" t="n">
        <v>274.17</v>
      </c>
      <c r="G638" s="5" t="n"/>
      <c r="H638" s="5" t="n"/>
      <c r="I638" s="5" t="n"/>
      <c r="J638" s="5" t="n">
        <v>54.83</v>
      </c>
      <c r="K638" s="5" t="n"/>
      <c r="L638" s="5" t="n"/>
      <c r="M638" s="5" t="n"/>
      <c r="N638" s="5" t="n"/>
      <c r="O638" s="5" t="n">
        <v>329</v>
      </c>
      <c r="P638" s="5" t="n"/>
      <c r="Q638" s="5" t="n">
        <v>329</v>
      </c>
      <c r="R638" s="5" t="n"/>
      <c r="S638" s="5">
        <f>F638*20%</f>
        <v/>
      </c>
      <c r="T638" s="5">
        <f>J638-S638</f>
        <v/>
      </c>
      <c r="U638" s="5">
        <f>F638+J638</f>
        <v/>
      </c>
      <c r="V638" s="5">
        <f>O638-U638</f>
        <v/>
      </c>
      <c r="W638" s="5">
        <f>O638-(P638+R638)</f>
        <v/>
      </c>
      <c r="X638" s="5">
        <f>O638-(P638+Q638+R638)</f>
        <v/>
      </c>
    </row>
    <row r="639">
      <c r="A639" s="2" t="inlineStr">
        <is>
          <t>EJ020224.TXT</t>
        </is>
      </c>
      <c r="B639" s="3" t="inlineStr">
        <is>
          <t>005239</t>
        </is>
      </c>
      <c r="C639" s="3" t="inlineStr">
        <is>
          <t>004199</t>
        </is>
      </c>
      <c r="D639" s="4" t="n">
        <v>45302</v>
      </c>
      <c r="E639" s="2" t="inlineStr">
        <is>
          <t>11:53</t>
        </is>
      </c>
      <c r="F639" s="5" t="n">
        <v>274.17</v>
      </c>
      <c r="G639" s="5" t="n"/>
      <c r="H639" s="5" t="n"/>
      <c r="I639" s="5" t="n"/>
      <c r="J639" s="5" t="n">
        <v>54.83</v>
      </c>
      <c r="K639" s="5" t="n"/>
      <c r="L639" s="5" t="n"/>
      <c r="M639" s="5" t="n"/>
      <c r="N639" s="5" t="n"/>
      <c r="O639" s="5" t="n">
        <v>329</v>
      </c>
      <c r="P639" s="5" t="n">
        <v>329</v>
      </c>
      <c r="Q639" s="5" t="n"/>
      <c r="R639" s="5" t="n"/>
      <c r="S639" s="5">
        <f>F639*20%</f>
        <v/>
      </c>
      <c r="T639" s="5">
        <f>J639-S639</f>
        <v/>
      </c>
      <c r="U639" s="5">
        <f>F639+J639</f>
        <v/>
      </c>
      <c r="V639" s="5">
        <f>O639-U639</f>
        <v/>
      </c>
      <c r="W639" s="5">
        <f>O639-(P639+R639)</f>
        <v/>
      </c>
      <c r="X639" s="5">
        <f>O639-(P639+Q639+R639)</f>
        <v/>
      </c>
    </row>
    <row r="640">
      <c r="A640" s="2" t="inlineStr">
        <is>
          <t>EJ020224.TXT</t>
        </is>
      </c>
      <c r="B640" s="3" t="inlineStr">
        <is>
          <t>005240</t>
        </is>
      </c>
      <c r="C640" s="3" t="inlineStr">
        <is>
          <t>004200</t>
        </is>
      </c>
      <c r="D640" s="4" t="n">
        <v>45304</v>
      </c>
      <c r="E640" s="2" t="inlineStr">
        <is>
          <t>15:49</t>
        </is>
      </c>
      <c r="F640" s="5" t="n">
        <v>274.17</v>
      </c>
      <c r="G640" s="5" t="n"/>
      <c r="H640" s="5" t="n"/>
      <c r="I640" s="5" t="n"/>
      <c r="J640" s="5" t="n">
        <v>54.83</v>
      </c>
      <c r="K640" s="5" t="n"/>
      <c r="L640" s="5" t="n"/>
      <c r="M640" s="5" t="n"/>
      <c r="N640" s="5" t="n"/>
      <c r="O640" s="5" t="n">
        <v>329</v>
      </c>
      <c r="P640" s="5" t="n"/>
      <c r="Q640" s="5" t="n">
        <v>329</v>
      </c>
      <c r="R640" s="5" t="n"/>
      <c r="S640" s="5">
        <f>F640*20%</f>
        <v/>
      </c>
      <c r="T640" s="5">
        <f>J640-S640</f>
        <v/>
      </c>
      <c r="U640" s="5">
        <f>F640+J640</f>
        <v/>
      </c>
      <c r="V640" s="5">
        <f>O640-U640</f>
        <v/>
      </c>
      <c r="W640" s="5">
        <f>O640-(P640+R640)</f>
        <v/>
      </c>
      <c r="X640" s="5">
        <f>O640-(P640+Q640+R640)</f>
        <v/>
      </c>
    </row>
    <row r="641">
      <c r="A641" s="2" t="inlineStr">
        <is>
          <t>EJ020224.TXT</t>
        </is>
      </c>
      <c r="B641" s="3" t="inlineStr">
        <is>
          <t>005241</t>
        </is>
      </c>
      <c r="C641" s="3" t="inlineStr">
        <is>
          <t>004201</t>
        </is>
      </c>
      <c r="D641" s="4" t="n">
        <v>45304</v>
      </c>
      <c r="E641" s="2" t="inlineStr">
        <is>
          <t>16:11</t>
        </is>
      </c>
      <c r="F641" s="5" t="n">
        <v>856.67</v>
      </c>
      <c r="G641" s="5" t="n"/>
      <c r="H641" s="5" t="n"/>
      <c r="I641" s="5" t="n"/>
      <c r="J641" s="5" t="n">
        <v>171.33</v>
      </c>
      <c r="K641" s="5" t="n"/>
      <c r="L641" s="5" t="n"/>
      <c r="M641" s="5" t="n"/>
      <c r="N641" s="5" t="n"/>
      <c r="O641" s="5" t="n">
        <v>1028</v>
      </c>
      <c r="P641" s="5" t="n">
        <v>1028</v>
      </c>
      <c r="Q641" s="5" t="n"/>
      <c r="R641" s="5" t="n"/>
      <c r="S641" s="5">
        <f>F641*20%</f>
        <v/>
      </c>
      <c r="T641" s="5">
        <f>J641-S641</f>
        <v/>
      </c>
      <c r="U641" s="5">
        <f>F641+J641</f>
        <v/>
      </c>
      <c r="V641" s="5">
        <f>O641-U641</f>
        <v/>
      </c>
      <c r="W641" s="5">
        <f>O641-(P641+R641)</f>
        <v/>
      </c>
      <c r="X641" s="5">
        <f>O641-(P641+Q641+R641)</f>
        <v/>
      </c>
    </row>
    <row r="642">
      <c r="A642" s="2" t="inlineStr">
        <is>
          <t>EJ020224.TXT</t>
        </is>
      </c>
      <c r="B642" s="3" t="inlineStr">
        <is>
          <t>005242</t>
        </is>
      </c>
      <c r="C642" s="3" t="inlineStr">
        <is>
          <t>004202</t>
        </is>
      </c>
      <c r="D642" s="4" t="n">
        <v>45304</v>
      </c>
      <c r="E642" s="2" t="inlineStr">
        <is>
          <t>16:14</t>
        </is>
      </c>
      <c r="F642" s="5" t="n">
        <v>473.33</v>
      </c>
      <c r="G642" s="5" t="n"/>
      <c r="H642" s="5" t="n"/>
      <c r="I642" s="5" t="n"/>
      <c r="J642" s="5" t="n">
        <v>94.67</v>
      </c>
      <c r="K642" s="5" t="n"/>
      <c r="L642" s="5" t="n"/>
      <c r="M642" s="5" t="n"/>
      <c r="N642" s="5" t="n"/>
      <c r="O642" s="5" t="n">
        <v>568</v>
      </c>
      <c r="P642" s="5" t="n"/>
      <c r="Q642" s="5" t="n">
        <v>568</v>
      </c>
      <c r="R642" s="5" t="n"/>
      <c r="S642" s="5">
        <f>F642*20%</f>
        <v/>
      </c>
      <c r="T642" s="5">
        <f>J642-S642</f>
        <v/>
      </c>
      <c r="U642" s="5">
        <f>F642+J642</f>
        <v/>
      </c>
      <c r="V642" s="5">
        <f>O642-U642</f>
        <v/>
      </c>
      <c r="W642" s="5">
        <f>O642-(P642+R642)</f>
        <v/>
      </c>
      <c r="X642" s="5">
        <f>O642-(P642+Q642+R642)</f>
        <v/>
      </c>
    </row>
    <row r="643">
      <c r="A643" s="2" t="inlineStr">
        <is>
          <t>EJ020224.TXT</t>
        </is>
      </c>
      <c r="B643" s="3" t="inlineStr">
        <is>
          <t>005243</t>
        </is>
      </c>
      <c r="C643" s="3" t="inlineStr">
        <is>
          <t>004203</t>
        </is>
      </c>
      <c r="D643" s="4" t="n">
        <v>45304</v>
      </c>
      <c r="E643" s="2" t="inlineStr">
        <is>
          <t>16:17</t>
        </is>
      </c>
      <c r="F643" s="5" t="n">
        <v>733.33</v>
      </c>
      <c r="G643" s="5" t="n"/>
      <c r="H643" s="5" t="n"/>
      <c r="I643" s="5" t="n"/>
      <c r="J643" s="5" t="n">
        <v>146.67</v>
      </c>
      <c r="K643" s="5" t="n"/>
      <c r="L643" s="5" t="n"/>
      <c r="M643" s="5" t="n"/>
      <c r="N643" s="5" t="n"/>
      <c r="O643" s="5" t="n">
        <v>880</v>
      </c>
      <c r="P643" s="5" t="n"/>
      <c r="Q643" s="5" t="n">
        <v>880</v>
      </c>
      <c r="R643" s="5" t="n"/>
      <c r="S643" s="5">
        <f>F643*20%</f>
        <v/>
      </c>
      <c r="T643" s="5">
        <f>J643-S643</f>
        <v/>
      </c>
      <c r="U643" s="5">
        <f>F643+J643</f>
        <v/>
      </c>
      <c r="V643" s="5">
        <f>O643-U643</f>
        <v/>
      </c>
      <c r="W643" s="5">
        <f>O643-(P643+R643)</f>
        <v/>
      </c>
      <c r="X643" s="5">
        <f>O643-(P643+Q643+R643)</f>
        <v/>
      </c>
    </row>
    <row r="644">
      <c r="A644" s="2" t="inlineStr">
        <is>
          <t>EJ020224.TXT</t>
        </is>
      </c>
      <c r="B644" s="3" t="inlineStr">
        <is>
          <t>005244</t>
        </is>
      </c>
      <c r="C644" s="3" t="inlineStr">
        <is>
          <t>004204</t>
        </is>
      </c>
      <c r="D644" s="4" t="n">
        <v>45307</v>
      </c>
      <c r="E644" s="2" t="inlineStr">
        <is>
          <t>12:36</t>
        </is>
      </c>
      <c r="F644" s="5" t="n">
        <v>274.17</v>
      </c>
      <c r="G644" s="5" t="n"/>
      <c r="H644" s="5" t="n"/>
      <c r="I644" s="5" t="n"/>
      <c r="J644" s="5" t="n">
        <v>54.83</v>
      </c>
      <c r="K644" s="5" t="n"/>
      <c r="L644" s="5" t="n"/>
      <c r="M644" s="5" t="n"/>
      <c r="N644" s="5" t="n"/>
      <c r="O644" s="5" t="n">
        <v>329</v>
      </c>
      <c r="P644" s="5" t="n"/>
      <c r="Q644" s="5" t="n">
        <v>329</v>
      </c>
      <c r="R644" s="5" t="n"/>
      <c r="S644" s="5">
        <f>F644*20%</f>
        <v/>
      </c>
      <c r="T644" s="5">
        <f>J644-S644</f>
        <v/>
      </c>
      <c r="U644" s="5">
        <f>F644+J644</f>
        <v/>
      </c>
      <c r="V644" s="5">
        <f>O644-U644</f>
        <v/>
      </c>
      <c r="W644" s="5">
        <f>O644-(P644+R644)</f>
        <v/>
      </c>
      <c r="X644" s="5">
        <f>O644-(P644+Q644+R644)</f>
        <v/>
      </c>
    </row>
    <row r="645">
      <c r="A645" s="2" t="inlineStr">
        <is>
          <t>EJ020224.TXT</t>
        </is>
      </c>
      <c r="B645" s="3" t="inlineStr">
        <is>
          <t>005245</t>
        </is>
      </c>
      <c r="C645" s="3" t="inlineStr">
        <is>
          <t>004205</t>
        </is>
      </c>
      <c r="D645" s="4" t="n">
        <v>45307</v>
      </c>
      <c r="E645" s="2" t="inlineStr">
        <is>
          <t>14:34</t>
        </is>
      </c>
      <c r="F645" s="5" t="n">
        <v>274.17</v>
      </c>
      <c r="G645" s="5" t="n"/>
      <c r="H645" s="5" t="n"/>
      <c r="I645" s="5" t="n"/>
      <c r="J645" s="5" t="n">
        <v>54.83</v>
      </c>
      <c r="K645" s="5" t="n"/>
      <c r="L645" s="5" t="n"/>
      <c r="M645" s="5" t="n"/>
      <c r="N645" s="5" t="n"/>
      <c r="O645" s="5" t="n">
        <v>329</v>
      </c>
      <c r="P645" s="5" t="n">
        <v>329</v>
      </c>
      <c r="Q645" s="5" t="n"/>
      <c r="R645" s="5" t="n"/>
      <c r="S645" s="5">
        <f>F645*20%</f>
        <v/>
      </c>
      <c r="T645" s="5">
        <f>J645-S645</f>
        <v/>
      </c>
      <c r="U645" s="5">
        <f>F645+J645</f>
        <v/>
      </c>
      <c r="V645" s="5">
        <f>O645-U645</f>
        <v/>
      </c>
      <c r="W645" s="5">
        <f>O645-(P645+R645)</f>
        <v/>
      </c>
      <c r="X645" s="5">
        <f>O645-(P645+Q645+R645)</f>
        <v/>
      </c>
    </row>
    <row r="646">
      <c r="A646" s="2" t="inlineStr">
        <is>
          <t>EJ020224.TXT</t>
        </is>
      </c>
      <c r="B646" s="3" t="inlineStr">
        <is>
          <t>005246</t>
        </is>
      </c>
      <c r="C646" s="3" t="inlineStr">
        <is>
          <t>004206</t>
        </is>
      </c>
      <c r="D646" s="4" t="n">
        <v>45311</v>
      </c>
      <c r="E646" s="2" t="inlineStr">
        <is>
          <t>16:54</t>
        </is>
      </c>
      <c r="F646" s="5" t="n">
        <v>548.33</v>
      </c>
      <c r="G646" s="5" t="n"/>
      <c r="H646" s="5" t="n"/>
      <c r="I646" s="5" t="n"/>
      <c r="J646" s="5" t="n">
        <v>109.67</v>
      </c>
      <c r="K646" s="5" t="n"/>
      <c r="L646" s="5" t="n"/>
      <c r="M646" s="5" t="n"/>
      <c r="N646" s="5" t="n"/>
      <c r="O646" s="5" t="n">
        <v>658</v>
      </c>
      <c r="P646" s="5" t="n"/>
      <c r="Q646" s="5" t="n">
        <v>658</v>
      </c>
      <c r="R646" s="5" t="n"/>
      <c r="S646" s="5">
        <f>F646*20%</f>
        <v/>
      </c>
      <c r="T646" s="5">
        <f>J646-S646</f>
        <v/>
      </c>
      <c r="U646" s="5">
        <f>F646+J646</f>
        <v/>
      </c>
      <c r="V646" s="5">
        <f>O646-U646</f>
        <v/>
      </c>
      <c r="W646" s="5">
        <f>O646-(P646+R646)</f>
        <v/>
      </c>
      <c r="X646" s="5">
        <f>O646-(P646+Q646+R646)</f>
        <v/>
      </c>
    </row>
    <row r="647">
      <c r="A647" s="2" t="inlineStr">
        <is>
          <t>EJ020224.TXT</t>
        </is>
      </c>
      <c r="B647" s="3" t="inlineStr">
        <is>
          <t>005247</t>
        </is>
      </c>
      <c r="C647" s="3" t="inlineStr">
        <is>
          <t>004207</t>
        </is>
      </c>
      <c r="D647" s="4" t="n">
        <v>45311</v>
      </c>
      <c r="E647" s="2" t="inlineStr">
        <is>
          <t>17:48</t>
        </is>
      </c>
      <c r="F647" s="5" t="n">
        <v>82.5</v>
      </c>
      <c r="G647" s="5" t="n"/>
      <c r="H647" s="5" t="n"/>
      <c r="I647" s="5" t="n"/>
      <c r="J647" s="5" t="n">
        <v>16.5</v>
      </c>
      <c r="K647" s="5" t="n"/>
      <c r="L647" s="5" t="n"/>
      <c r="M647" s="5" t="n"/>
      <c r="N647" s="5" t="n"/>
      <c r="O647" s="5" t="n">
        <v>99</v>
      </c>
      <c r="P647" s="5" t="n">
        <v>99</v>
      </c>
      <c r="Q647" s="5" t="n"/>
      <c r="R647" s="5" t="n"/>
      <c r="S647" s="5">
        <f>F647*20%</f>
        <v/>
      </c>
      <c r="T647" s="5">
        <f>J647-S647</f>
        <v/>
      </c>
      <c r="U647" s="5">
        <f>F647+J647</f>
        <v/>
      </c>
      <c r="V647" s="5">
        <f>O647-U647</f>
        <v/>
      </c>
      <c r="W647" s="5">
        <f>O647-(P647+R647)</f>
        <v/>
      </c>
      <c r="X647" s="5">
        <f>O647-(P647+Q647+R647)</f>
        <v/>
      </c>
    </row>
    <row r="648">
      <c r="A648" s="2" t="inlineStr">
        <is>
          <t>EJ020224.TXT</t>
        </is>
      </c>
      <c r="B648" s="3" t="inlineStr">
        <is>
          <t>005248</t>
        </is>
      </c>
      <c r="C648" s="3" t="inlineStr">
        <is>
          <t>004208</t>
        </is>
      </c>
      <c r="D648" s="4" t="n">
        <v>45313</v>
      </c>
      <c r="E648" s="2" t="inlineStr">
        <is>
          <t>17:14</t>
        </is>
      </c>
      <c r="F648" s="5" t="n">
        <v>274.17</v>
      </c>
      <c r="G648" s="5" t="n"/>
      <c r="H648" s="5" t="n"/>
      <c r="I648" s="5" t="n"/>
      <c r="J648" s="5" t="n">
        <v>54.83</v>
      </c>
      <c r="K648" s="5" t="n"/>
      <c r="L648" s="5" t="n"/>
      <c r="M648" s="5" t="n"/>
      <c r="N648" s="5" t="n"/>
      <c r="O648" s="5" t="n">
        <v>329</v>
      </c>
      <c r="P648" s="5" t="n">
        <v>329</v>
      </c>
      <c r="Q648" s="5" t="n"/>
      <c r="R648" s="5" t="n"/>
      <c r="S648" s="5">
        <f>F648*20%</f>
        <v/>
      </c>
      <c r="T648" s="5">
        <f>J648-S648</f>
        <v/>
      </c>
      <c r="U648" s="5">
        <f>F648+J648</f>
        <v/>
      </c>
      <c r="V648" s="5">
        <f>O648-U648</f>
        <v/>
      </c>
      <c r="W648" s="5">
        <f>O648-(P648+R648)</f>
        <v/>
      </c>
      <c r="X648" s="5">
        <f>O648-(P648+Q648+R648)</f>
        <v/>
      </c>
    </row>
    <row r="649">
      <c r="A649" s="2" t="inlineStr">
        <is>
          <t>EJ020224.TXT</t>
        </is>
      </c>
      <c r="B649" s="3" t="inlineStr">
        <is>
          <t>005249</t>
        </is>
      </c>
      <c r="C649" s="3" t="inlineStr">
        <is>
          <t>004209</t>
        </is>
      </c>
      <c r="D649" s="4" t="n">
        <v>45315</v>
      </c>
      <c r="E649" s="2" t="inlineStr">
        <is>
          <t>11:47</t>
        </is>
      </c>
      <c r="F649" s="5" t="n">
        <v>175</v>
      </c>
      <c r="G649" s="5" t="n"/>
      <c r="H649" s="5" t="n"/>
      <c r="I649" s="5" t="n"/>
      <c r="J649" s="5" t="n">
        <v>35</v>
      </c>
      <c r="K649" s="5" t="n"/>
      <c r="L649" s="5" t="n"/>
      <c r="M649" s="5" t="n"/>
      <c r="N649" s="5" t="n"/>
      <c r="O649" s="5" t="n">
        <v>210</v>
      </c>
      <c r="P649" s="5" t="n">
        <v>210</v>
      </c>
      <c r="Q649" s="5" t="n"/>
      <c r="R649" s="5" t="n"/>
      <c r="S649" s="5">
        <f>F649*20%</f>
        <v/>
      </c>
      <c r="T649" s="5">
        <f>J649-S649</f>
        <v/>
      </c>
      <c r="U649" s="5">
        <f>F649+J649</f>
        <v/>
      </c>
      <c r="V649" s="5">
        <f>O649-U649</f>
        <v/>
      </c>
      <c r="W649" s="5">
        <f>O649-(P649+R649)</f>
        <v/>
      </c>
      <c r="X649" s="5">
        <f>O649-(P649+Q649+R649)</f>
        <v/>
      </c>
    </row>
    <row r="650">
      <c r="A650" s="2" t="inlineStr">
        <is>
          <t>EJ020224.TXT</t>
        </is>
      </c>
      <c r="B650" s="3" t="inlineStr">
        <is>
          <t>005250</t>
        </is>
      </c>
      <c r="C650" s="3" t="inlineStr">
        <is>
          <t>004210</t>
        </is>
      </c>
      <c r="D650" s="4" t="n">
        <v>45324</v>
      </c>
      <c r="E650" s="2" t="inlineStr">
        <is>
          <t>10:43</t>
        </is>
      </c>
      <c r="F650" s="5" t="n">
        <v>274.17</v>
      </c>
      <c r="G650" s="5" t="n"/>
      <c r="H650" s="5" t="n"/>
      <c r="I650" s="5" t="n"/>
      <c r="J650" s="5" t="n">
        <v>54.83</v>
      </c>
      <c r="K650" s="5" t="n"/>
      <c r="L650" s="5" t="n"/>
      <c r="M650" s="5" t="n"/>
      <c r="N650" s="5" t="n"/>
      <c r="O650" s="5" t="n">
        <v>329</v>
      </c>
      <c r="P650" s="5" t="n"/>
      <c r="Q650" s="5" t="n">
        <v>329</v>
      </c>
      <c r="R650" s="5" t="n"/>
      <c r="S650" s="5">
        <f>F650*20%</f>
        <v/>
      </c>
      <c r="T650" s="5">
        <f>J650-S650</f>
        <v/>
      </c>
      <c r="U650" s="5">
        <f>F650+J650</f>
        <v/>
      </c>
      <c r="V650" s="5">
        <f>O650-U650</f>
        <v/>
      </c>
      <c r="W650" s="5">
        <f>O650-(P650+R650)</f>
        <v/>
      </c>
      <c r="X650" s="5">
        <f>O650-(P650+Q650+R650)</f>
        <v/>
      </c>
    </row>
    <row r="651">
      <c r="A651" s="2" t="inlineStr">
        <is>
          <t>EJ020324.TXT</t>
        </is>
      </c>
      <c r="B651" s="3" t="inlineStr">
        <is>
          <t>005258</t>
        </is>
      </c>
      <c r="C651" s="3" t="inlineStr">
        <is>
          <t>004211</t>
        </is>
      </c>
      <c r="D651" s="4" t="n">
        <v>45324</v>
      </c>
      <c r="E651" s="2" t="inlineStr">
        <is>
          <t>11:42</t>
        </is>
      </c>
      <c r="F651" s="5" t="n">
        <v>833.33</v>
      </c>
      <c r="G651" s="5" t="n"/>
      <c r="H651" s="5" t="n"/>
      <c r="I651" s="5" t="n"/>
      <c r="J651" s="5" t="n">
        <v>166.67</v>
      </c>
      <c r="K651" s="5" t="n"/>
      <c r="L651" s="5" t="n"/>
      <c r="M651" s="5" t="n"/>
      <c r="N651" s="5" t="n"/>
      <c r="O651" s="5" t="n">
        <v>1000</v>
      </c>
      <c r="P651" s="5" t="n"/>
      <c r="Q651" s="5" t="n">
        <v>1000</v>
      </c>
      <c r="R651" s="5" t="n"/>
      <c r="S651" s="5">
        <f>F651*20%</f>
        <v/>
      </c>
      <c r="T651" s="5">
        <f>J651-S651</f>
        <v/>
      </c>
      <c r="U651" s="5">
        <f>F651+J651</f>
        <v/>
      </c>
      <c r="V651" s="5">
        <f>O651-U651</f>
        <v/>
      </c>
      <c r="W651" s="5">
        <f>O651-(P651+R651)</f>
        <v/>
      </c>
      <c r="X651" s="5">
        <f>O651-(P651+Q651+R651)</f>
        <v/>
      </c>
    </row>
    <row r="652">
      <c r="A652" s="2" t="inlineStr">
        <is>
          <t>EJ020324.TXT</t>
        </is>
      </c>
      <c r="B652" s="3" t="inlineStr">
        <is>
          <t>005259</t>
        </is>
      </c>
      <c r="C652" s="3" t="inlineStr">
        <is>
          <t>004212</t>
        </is>
      </c>
      <c r="D652" s="4" t="n">
        <v>45324</v>
      </c>
      <c r="E652" s="2" t="inlineStr">
        <is>
          <t>11:43</t>
        </is>
      </c>
      <c r="F652" s="5" t="n">
        <v>822.5</v>
      </c>
      <c r="G652" s="5" t="n"/>
      <c r="H652" s="5" t="n"/>
      <c r="I652" s="5" t="n"/>
      <c r="J652" s="5" t="n">
        <v>164.5</v>
      </c>
      <c r="K652" s="5" t="n"/>
      <c r="L652" s="5" t="n"/>
      <c r="M652" s="5" t="n"/>
      <c r="N652" s="5" t="n"/>
      <c r="O652" s="5" t="n">
        <v>987</v>
      </c>
      <c r="P652" s="5" t="n"/>
      <c r="Q652" s="5" t="n">
        <v>987</v>
      </c>
      <c r="R652" s="5" t="n"/>
      <c r="S652" s="5">
        <f>F652*20%</f>
        <v/>
      </c>
      <c r="T652" s="5">
        <f>J652-S652</f>
        <v/>
      </c>
      <c r="U652" s="5">
        <f>F652+J652</f>
        <v/>
      </c>
      <c r="V652" s="5">
        <f>O652-U652</f>
        <v/>
      </c>
      <c r="W652" s="5">
        <f>O652-(P652+R652)</f>
        <v/>
      </c>
      <c r="X652" s="5">
        <f>O652-(P652+Q652+R652)</f>
        <v/>
      </c>
    </row>
    <row r="653">
      <c r="A653" s="2" t="inlineStr">
        <is>
          <t>EJ020324.TXT</t>
        </is>
      </c>
      <c r="B653" s="3" t="inlineStr">
        <is>
          <t>005260</t>
        </is>
      </c>
      <c r="C653" s="3" t="inlineStr">
        <is>
          <t>004213</t>
        </is>
      </c>
      <c r="D653" s="4" t="n">
        <v>45324</v>
      </c>
      <c r="E653" s="2" t="inlineStr">
        <is>
          <t>11:44</t>
        </is>
      </c>
      <c r="F653" s="5" t="n">
        <v>822.5</v>
      </c>
      <c r="G653" s="5" t="n"/>
      <c r="H653" s="5" t="n"/>
      <c r="I653" s="5" t="n"/>
      <c r="J653" s="5" t="n">
        <v>164.5</v>
      </c>
      <c r="K653" s="5" t="n"/>
      <c r="L653" s="5" t="n"/>
      <c r="M653" s="5" t="n"/>
      <c r="N653" s="5" t="n"/>
      <c r="O653" s="5" t="n">
        <v>987</v>
      </c>
      <c r="P653" s="5" t="n"/>
      <c r="Q653" s="5" t="n">
        <v>987</v>
      </c>
      <c r="R653" s="5" t="n"/>
      <c r="S653" s="5">
        <f>F653*20%</f>
        <v/>
      </c>
      <c r="T653" s="5">
        <f>J653-S653</f>
        <v/>
      </c>
      <c r="U653" s="5">
        <f>F653+J653</f>
        <v/>
      </c>
      <c r="V653" s="5">
        <f>O653-U653</f>
        <v/>
      </c>
      <c r="W653" s="5">
        <f>O653-(P653+R653)</f>
        <v/>
      </c>
      <c r="X653" s="5">
        <f>O653-(P653+Q653+R653)</f>
        <v/>
      </c>
    </row>
    <row r="654">
      <c r="A654" s="2" t="inlineStr">
        <is>
          <t>EJ020324.TXT</t>
        </is>
      </c>
      <c r="B654" s="3" t="inlineStr">
        <is>
          <t>005261</t>
        </is>
      </c>
      <c r="C654" s="3" t="inlineStr">
        <is>
          <t>004214</t>
        </is>
      </c>
      <c r="D654" s="4" t="n">
        <v>45324</v>
      </c>
      <c r="E654" s="2" t="inlineStr">
        <is>
          <t>11:45</t>
        </is>
      </c>
      <c r="F654" s="5" t="n">
        <v>625</v>
      </c>
      <c r="G654" s="5" t="n"/>
      <c r="H654" s="5" t="n"/>
      <c r="I654" s="5" t="n"/>
      <c r="J654" s="5" t="n">
        <v>125</v>
      </c>
      <c r="K654" s="5" t="n"/>
      <c r="L654" s="5" t="n"/>
      <c r="M654" s="5" t="n"/>
      <c r="N654" s="5" t="n"/>
      <c r="O654" s="5" t="n">
        <v>750</v>
      </c>
      <c r="P654" s="5" t="n"/>
      <c r="Q654" s="5" t="n">
        <v>750</v>
      </c>
      <c r="R654" s="5" t="n"/>
      <c r="S654" s="5">
        <f>F654*20%</f>
        <v/>
      </c>
      <c r="T654" s="5">
        <f>J654-S654</f>
        <v/>
      </c>
      <c r="U654" s="5">
        <f>F654+J654</f>
        <v/>
      </c>
      <c r="V654" s="5">
        <f>O654-U654</f>
        <v/>
      </c>
      <c r="W654" s="5">
        <f>O654-(P654+R654)</f>
        <v/>
      </c>
      <c r="X654" s="5">
        <f>O654-(P654+Q654+R654)</f>
        <v/>
      </c>
    </row>
    <row r="655">
      <c r="A655" s="2" t="inlineStr">
        <is>
          <t>EJ020324.TXT</t>
        </is>
      </c>
      <c r="B655" s="3" t="inlineStr">
        <is>
          <t>005262</t>
        </is>
      </c>
      <c r="C655" s="3" t="inlineStr">
        <is>
          <t>004215</t>
        </is>
      </c>
      <c r="D655" s="4" t="n">
        <v>45324</v>
      </c>
      <c r="E655" s="2" t="inlineStr">
        <is>
          <t>11:46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/>
      <c r="Q655" s="5" t="n">
        <v>658</v>
      </c>
      <c r="R655" s="5" t="n"/>
      <c r="S655" s="5">
        <f>F655*20%</f>
        <v/>
      </c>
      <c r="T655" s="5">
        <f>J655-S655</f>
        <v/>
      </c>
      <c r="U655" s="5">
        <f>F655+J655</f>
        <v/>
      </c>
      <c r="V655" s="5">
        <f>O655-U655</f>
        <v/>
      </c>
      <c r="W655" s="5">
        <f>O655-(P655+R655)</f>
        <v/>
      </c>
      <c r="X655" s="5">
        <f>O655-(P655+Q655+R655)</f>
        <v/>
      </c>
    </row>
    <row r="656">
      <c r="A656" s="2" t="inlineStr">
        <is>
          <t>EJ020324.TXT</t>
        </is>
      </c>
      <c r="B656" s="3" t="inlineStr">
        <is>
          <t>005263</t>
        </is>
      </c>
      <c r="C656" s="3" t="inlineStr">
        <is>
          <t>004216</t>
        </is>
      </c>
      <c r="D656" s="4" t="n">
        <v>45324</v>
      </c>
      <c r="E656" s="2" t="inlineStr">
        <is>
          <t>11:47</t>
        </is>
      </c>
      <c r="F656" s="5" t="n">
        <v>423.33</v>
      </c>
      <c r="G656" s="5" t="n"/>
      <c r="H656" s="5" t="n"/>
      <c r="I656" s="5" t="n"/>
      <c r="J656" s="5" t="n">
        <v>84.67</v>
      </c>
      <c r="K656" s="5" t="n"/>
      <c r="L656" s="5" t="n"/>
      <c r="M656" s="5" t="n"/>
      <c r="N656" s="5" t="n"/>
      <c r="O656" s="5" t="n">
        <v>508</v>
      </c>
      <c r="P656" s="5" t="n"/>
      <c r="Q656" s="5" t="n">
        <v>508</v>
      </c>
      <c r="R656" s="5" t="n"/>
      <c r="S656" s="5">
        <f>F656*20%</f>
        <v/>
      </c>
      <c r="T656" s="5">
        <f>J656-S656</f>
        <v/>
      </c>
      <c r="U656" s="5">
        <f>F656+J656</f>
        <v/>
      </c>
      <c r="V656" s="5">
        <f>O656-U656</f>
        <v/>
      </c>
      <c r="W656" s="5">
        <f>O656-(P656+R656)</f>
        <v/>
      </c>
      <c r="X656" s="5">
        <f>O656-(P656+Q656+R656)</f>
        <v/>
      </c>
    </row>
    <row r="657">
      <c r="A657" s="2" t="inlineStr">
        <is>
          <t>EJ020324.TXT</t>
        </is>
      </c>
      <c r="B657" s="3" t="inlineStr">
        <is>
          <t>005264</t>
        </is>
      </c>
      <c r="C657" s="3" t="inlineStr">
        <is>
          <t>004217</t>
        </is>
      </c>
      <c r="D657" s="4" t="n">
        <v>45327</v>
      </c>
      <c r="E657" s="2" t="inlineStr">
        <is>
          <t>13:37</t>
        </is>
      </c>
      <c r="F657" s="5" t="n">
        <v>37.5</v>
      </c>
      <c r="G657" s="5" t="n"/>
      <c r="H657" s="5" t="n"/>
      <c r="I657" s="5" t="n"/>
      <c r="J657" s="5" t="n">
        <v>7.5</v>
      </c>
      <c r="K657" s="5" t="n"/>
      <c r="L657" s="5" t="n"/>
      <c r="M657" s="5" t="n"/>
      <c r="N657" s="5" t="n"/>
      <c r="O657" s="5" t="n">
        <v>45</v>
      </c>
      <c r="P657" s="5" t="n">
        <v>45</v>
      </c>
      <c r="Q657" s="5" t="n"/>
      <c r="R657" s="5" t="n"/>
      <c r="S657" s="5">
        <f>F657*20%</f>
        <v/>
      </c>
      <c r="T657" s="5">
        <f>J657-S657</f>
        <v/>
      </c>
      <c r="U657" s="5">
        <f>F657+J657</f>
        <v/>
      </c>
      <c r="V657" s="5">
        <f>O657-U657</f>
        <v/>
      </c>
      <c r="W657" s="5">
        <f>O657-(P657+R657)</f>
        <v/>
      </c>
      <c r="X657" s="5">
        <f>O657-(P657+Q657+R657)</f>
        <v/>
      </c>
    </row>
    <row r="658">
      <c r="A658" s="2" t="inlineStr">
        <is>
          <t>EJ020324.TXT</t>
        </is>
      </c>
      <c r="B658" s="3" t="inlineStr">
        <is>
          <t>005265</t>
        </is>
      </c>
      <c r="C658" s="3" t="inlineStr">
        <is>
          <t>004218</t>
        </is>
      </c>
      <c r="D658" s="4" t="n">
        <v>45327</v>
      </c>
      <c r="E658" s="2" t="inlineStr">
        <is>
          <t>14:42</t>
        </is>
      </c>
      <c r="F658" s="5" t="n">
        <v>1096.67</v>
      </c>
      <c r="G658" s="5" t="n"/>
      <c r="H658" s="5" t="n"/>
      <c r="I658" s="5" t="n"/>
      <c r="J658" s="5" t="n">
        <v>219.33</v>
      </c>
      <c r="K658" s="5" t="n"/>
      <c r="L658" s="5" t="n"/>
      <c r="M658" s="5" t="n"/>
      <c r="N658" s="5" t="n"/>
      <c r="O658" s="5" t="n">
        <v>1316</v>
      </c>
      <c r="P658" s="5" t="n">
        <v>1316</v>
      </c>
      <c r="Q658" s="5" t="n"/>
      <c r="R658" s="5" t="n"/>
      <c r="S658" s="5">
        <f>F658*20%</f>
        <v/>
      </c>
      <c r="T658" s="5">
        <f>J658-S658</f>
        <v/>
      </c>
      <c r="U658" s="5">
        <f>F658+J658</f>
        <v/>
      </c>
      <c r="V658" s="5">
        <f>O658-U658</f>
        <v/>
      </c>
      <c r="W658" s="5">
        <f>O658-(P658+R658)</f>
        <v/>
      </c>
      <c r="X658" s="5">
        <f>O658-(P658+Q658+R658)</f>
        <v/>
      </c>
    </row>
    <row r="659">
      <c r="A659" s="2" t="inlineStr">
        <is>
          <t>EJ020324.TXT</t>
        </is>
      </c>
      <c r="B659" s="3" t="inlineStr">
        <is>
          <t>005266</t>
        </is>
      </c>
      <c r="C659" s="3" t="inlineStr">
        <is>
          <t>004219</t>
        </is>
      </c>
      <c r="D659" s="4" t="n">
        <v>45328</v>
      </c>
      <c r="E659" s="2" t="inlineStr">
        <is>
          <t>13:55</t>
        </is>
      </c>
      <c r="F659" s="5" t="n">
        <v>621.67</v>
      </c>
      <c r="G659" s="5" t="n"/>
      <c r="H659" s="5" t="n"/>
      <c r="I659" s="5" t="n"/>
      <c r="J659" s="5" t="n">
        <v>124.33</v>
      </c>
      <c r="K659" s="5" t="n"/>
      <c r="L659" s="5" t="n"/>
      <c r="M659" s="5" t="n"/>
      <c r="N659" s="5" t="n"/>
      <c r="O659" s="5" t="n">
        <v>746</v>
      </c>
      <c r="P659" s="5" t="n">
        <v>746</v>
      </c>
      <c r="Q659" s="5" t="n"/>
      <c r="R659" s="5" t="n"/>
      <c r="S659" s="5">
        <f>F659*20%</f>
        <v/>
      </c>
      <c r="T659" s="5">
        <f>J659-S659</f>
        <v/>
      </c>
      <c r="U659" s="5">
        <f>F659+J659</f>
        <v/>
      </c>
      <c r="V659" s="5">
        <f>O659-U659</f>
        <v/>
      </c>
      <c r="W659" s="5">
        <f>O659-(P659+R659)</f>
        <v/>
      </c>
      <c r="X659" s="5">
        <f>O659-(P659+Q659+R659)</f>
        <v/>
      </c>
    </row>
    <row r="660">
      <c r="A660" s="2" t="inlineStr">
        <is>
          <t>EJ020324.TXT</t>
        </is>
      </c>
      <c r="B660" s="3" t="inlineStr">
        <is>
          <t>005267</t>
        </is>
      </c>
      <c r="C660" s="3" t="inlineStr">
        <is>
          <t>004220</t>
        </is>
      </c>
      <c r="D660" s="4" t="n">
        <v>45328</v>
      </c>
      <c r="E660" s="2" t="inlineStr">
        <is>
          <t>18:59</t>
        </is>
      </c>
      <c r="F660" s="5" t="n">
        <v>73.33</v>
      </c>
      <c r="G660" s="5" t="n"/>
      <c r="H660" s="5" t="n"/>
      <c r="I660" s="5" t="n"/>
      <c r="J660" s="5" t="n">
        <v>14.67</v>
      </c>
      <c r="K660" s="5" t="n"/>
      <c r="L660" s="5" t="n"/>
      <c r="M660" s="5" t="n"/>
      <c r="N660" s="5" t="n"/>
      <c r="O660" s="5" t="n">
        <v>88</v>
      </c>
      <c r="P660" s="5" t="n">
        <v>88</v>
      </c>
      <c r="Q660" s="5" t="n"/>
      <c r="R660" s="5" t="n"/>
      <c r="S660" s="5">
        <f>F660*20%</f>
        <v/>
      </c>
      <c r="T660" s="5">
        <f>J660-S660</f>
        <v/>
      </c>
      <c r="U660" s="5">
        <f>F660+J660</f>
        <v/>
      </c>
      <c r="V660" s="5">
        <f>O660-U660</f>
        <v/>
      </c>
      <c r="W660" s="5">
        <f>O660-(P660+R660)</f>
        <v/>
      </c>
      <c r="X660" s="5">
        <f>O660-(P660+Q660+R660)</f>
        <v/>
      </c>
    </row>
    <row r="661">
      <c r="A661" s="2" t="inlineStr">
        <is>
          <t>EJ020324.TXT</t>
        </is>
      </c>
      <c r="B661" s="3" t="inlineStr">
        <is>
          <t>005268</t>
        </is>
      </c>
      <c r="C661" s="3" t="inlineStr">
        <is>
          <t>004221</t>
        </is>
      </c>
      <c r="D661" s="4" t="n">
        <v>45331</v>
      </c>
      <c r="E661" s="2" t="inlineStr">
        <is>
          <t>15:12</t>
        </is>
      </c>
      <c r="F661" s="5" t="n">
        <v>190.83</v>
      </c>
      <c r="G661" s="5" t="n"/>
      <c r="H661" s="5" t="n"/>
      <c r="I661" s="5" t="n"/>
      <c r="J661" s="5" t="n">
        <v>38.17</v>
      </c>
      <c r="K661" s="5" t="n"/>
      <c r="L661" s="5" t="n"/>
      <c r="M661" s="5" t="n"/>
      <c r="N661" s="5" t="n"/>
      <c r="O661" s="5" t="n">
        <v>229</v>
      </c>
      <c r="P661" s="5" t="n">
        <v>229</v>
      </c>
      <c r="Q661" s="5" t="n"/>
      <c r="R661" s="5" t="n"/>
      <c r="S661" s="5">
        <f>F661*20%</f>
        <v/>
      </c>
      <c r="T661" s="5">
        <f>J661-S661</f>
        <v/>
      </c>
      <c r="U661" s="5">
        <f>F661+J661</f>
        <v/>
      </c>
      <c r="V661" s="5">
        <f>O661-U661</f>
        <v/>
      </c>
      <c r="W661" s="5">
        <f>O661-(P661+R661)</f>
        <v/>
      </c>
      <c r="X661" s="5">
        <f>O661-(P661+Q661+R661)</f>
        <v/>
      </c>
    </row>
    <row r="662">
      <c r="A662" s="2" t="inlineStr">
        <is>
          <t>EJ020324.TXT</t>
        </is>
      </c>
      <c r="B662" s="3" t="inlineStr">
        <is>
          <t>005269</t>
        </is>
      </c>
      <c r="C662" s="3" t="inlineStr">
        <is>
          <t>004222</t>
        </is>
      </c>
      <c r="D662" s="4" t="n">
        <v>45331</v>
      </c>
      <c r="E662" s="2" t="inlineStr">
        <is>
          <t>15:14</t>
        </is>
      </c>
      <c r="F662" s="5" t="n">
        <v>190.83</v>
      </c>
      <c r="G662" s="5" t="n"/>
      <c r="H662" s="5" t="n"/>
      <c r="I662" s="5" t="n"/>
      <c r="J662" s="5" t="n">
        <v>38.17</v>
      </c>
      <c r="K662" s="5" t="n"/>
      <c r="L662" s="5" t="n"/>
      <c r="M662" s="5" t="n"/>
      <c r="N662" s="5" t="n"/>
      <c r="O662" s="5" t="n">
        <v>229</v>
      </c>
      <c r="P662" s="5" t="n">
        <v>229</v>
      </c>
      <c r="Q662" s="5" t="n"/>
      <c r="R662" s="5" t="n"/>
      <c r="S662" s="5">
        <f>F662*20%</f>
        <v/>
      </c>
      <c r="T662" s="5">
        <f>J662-S662</f>
        <v/>
      </c>
      <c r="U662" s="5">
        <f>F662+J662</f>
        <v/>
      </c>
      <c r="V662" s="5">
        <f>O662-U662</f>
        <v/>
      </c>
      <c r="W662" s="5">
        <f>O662-(P662+R662)</f>
        <v/>
      </c>
      <c r="X662" s="5">
        <f>O662-(P662+Q662+R662)</f>
        <v/>
      </c>
    </row>
    <row r="663">
      <c r="A663" s="2" t="inlineStr">
        <is>
          <t>EJ020324.TXT</t>
        </is>
      </c>
      <c r="B663" s="3" t="inlineStr">
        <is>
          <t>005270</t>
        </is>
      </c>
      <c r="C663" s="3" t="inlineStr">
        <is>
          <t>004223</t>
        </is>
      </c>
      <c r="D663" s="4" t="n">
        <v>45341</v>
      </c>
      <c r="E663" s="2" t="inlineStr">
        <is>
          <t>14:32</t>
        </is>
      </c>
      <c r="F663" s="5" t="n">
        <v>274.17</v>
      </c>
      <c r="G663" s="5" t="n"/>
      <c r="H663" s="5" t="n"/>
      <c r="I663" s="5" t="n"/>
      <c r="J663" s="5" t="n">
        <v>54.83</v>
      </c>
      <c r="K663" s="5" t="n"/>
      <c r="L663" s="5" t="n"/>
      <c r="M663" s="5" t="n"/>
      <c r="N663" s="5" t="n"/>
      <c r="O663" s="5" t="n">
        <v>329</v>
      </c>
      <c r="P663" s="5" t="n">
        <v>329</v>
      </c>
      <c r="Q663" s="5" t="n"/>
      <c r="R663" s="5" t="n"/>
      <c r="S663" s="5">
        <f>F663*20%</f>
        <v/>
      </c>
      <c r="T663" s="5">
        <f>J663-S663</f>
        <v/>
      </c>
      <c r="U663" s="5">
        <f>F663+J663</f>
        <v/>
      </c>
      <c r="V663" s="5">
        <f>O663-U663</f>
        <v/>
      </c>
      <c r="W663" s="5">
        <f>O663-(P663+R663)</f>
        <v/>
      </c>
      <c r="X663" s="5">
        <f>O663-(P663+Q663+R663)</f>
        <v/>
      </c>
    </row>
    <row r="664">
      <c r="A664" s="2" t="inlineStr">
        <is>
          <t>EJ020324.TXT</t>
        </is>
      </c>
      <c r="B664" s="3" t="inlineStr">
        <is>
          <t>005271</t>
        </is>
      </c>
      <c r="C664" s="3" t="inlineStr">
        <is>
          <t>004224</t>
        </is>
      </c>
      <c r="D664" s="4" t="n">
        <v>45341</v>
      </c>
      <c r="E664" s="2" t="inlineStr">
        <is>
          <t>15:42</t>
        </is>
      </c>
      <c r="F664" s="5" t="n">
        <v>329.17</v>
      </c>
      <c r="G664" s="5" t="n"/>
      <c r="H664" s="5" t="n"/>
      <c r="I664" s="5" t="n"/>
      <c r="J664" s="5" t="n">
        <v>65.83</v>
      </c>
      <c r="K664" s="5" t="n"/>
      <c r="L664" s="5" t="n"/>
      <c r="M664" s="5" t="n"/>
      <c r="N664" s="5" t="n"/>
      <c r="O664" s="5" t="n">
        <v>395</v>
      </c>
      <c r="P664" s="5" t="n"/>
      <c r="Q664" s="5" t="n">
        <v>395</v>
      </c>
      <c r="R664" s="5" t="n"/>
      <c r="S664" s="5">
        <f>F664*20%</f>
        <v/>
      </c>
      <c r="T664" s="5">
        <f>J664-S664</f>
        <v/>
      </c>
      <c r="U664" s="5">
        <f>F664+J664</f>
        <v/>
      </c>
      <c r="V664" s="5">
        <f>O664-U664</f>
        <v/>
      </c>
      <c r="W664" s="5">
        <f>O664-(P664+R664)</f>
        <v/>
      </c>
      <c r="X664" s="5">
        <f>O664-(P664+Q664+R664)</f>
        <v/>
      </c>
    </row>
    <row r="665">
      <c r="A665" s="2" t="inlineStr">
        <is>
          <t>EJ020324.TXT</t>
        </is>
      </c>
      <c r="B665" s="3" t="inlineStr">
        <is>
          <t>005272</t>
        </is>
      </c>
      <c r="C665" s="3" t="inlineStr">
        <is>
          <t>004225</t>
        </is>
      </c>
      <c r="D665" s="4" t="n">
        <v>45341</v>
      </c>
      <c r="E665" s="2" t="inlineStr">
        <is>
          <t>15:44</t>
        </is>
      </c>
      <c r="F665" s="5" t="n">
        <v>208.33</v>
      </c>
      <c r="G665" s="5" t="n"/>
      <c r="H665" s="5" t="n"/>
      <c r="I665" s="5" t="n"/>
      <c r="J665" s="5" t="n">
        <v>41.67</v>
      </c>
      <c r="K665" s="5" t="n"/>
      <c r="L665" s="5" t="n"/>
      <c r="M665" s="5" t="n"/>
      <c r="N665" s="5" t="n"/>
      <c r="O665" s="5" t="n">
        <v>250</v>
      </c>
      <c r="P665" s="5" t="n"/>
      <c r="Q665" s="5" t="n">
        <v>250</v>
      </c>
      <c r="R665" s="5" t="n"/>
      <c r="S665" s="5">
        <f>F665*20%</f>
        <v/>
      </c>
      <c r="T665" s="5">
        <f>J665-S665</f>
        <v/>
      </c>
      <c r="U665" s="5">
        <f>F665+J665</f>
        <v/>
      </c>
      <c r="V665" s="5">
        <f>O665-U665</f>
        <v/>
      </c>
      <c r="W665" s="5">
        <f>O665-(P665+R665)</f>
        <v/>
      </c>
      <c r="X665" s="5">
        <f>O665-(P665+Q665+R665)</f>
        <v/>
      </c>
    </row>
    <row r="666">
      <c r="A666" s="2" t="inlineStr">
        <is>
          <t>EJ020324.TXT</t>
        </is>
      </c>
      <c r="B666" s="3" t="inlineStr">
        <is>
          <t>005273</t>
        </is>
      </c>
      <c r="C666" s="3" t="inlineStr">
        <is>
          <t>004226</t>
        </is>
      </c>
      <c r="D666" s="4" t="n">
        <v>45344</v>
      </c>
      <c r="E666" s="2" t="inlineStr">
        <is>
          <t>17:51</t>
        </is>
      </c>
      <c r="F666" s="5" t="n">
        <v>274.17</v>
      </c>
      <c r="G666" s="5" t="n"/>
      <c r="H666" s="5" t="n"/>
      <c r="I666" s="5" t="n"/>
      <c r="J666" s="5" t="n">
        <v>54.83</v>
      </c>
      <c r="K666" s="5" t="n"/>
      <c r="L666" s="5" t="n"/>
      <c r="M666" s="5" t="n"/>
      <c r="N666" s="5" t="n"/>
      <c r="O666" s="5" t="n">
        <v>329</v>
      </c>
      <c r="P666" s="5" t="n"/>
      <c r="Q666" s="5" t="n">
        <v>329</v>
      </c>
      <c r="R666" s="5" t="n"/>
      <c r="S666" s="5">
        <f>F666*20%</f>
        <v/>
      </c>
      <c r="T666" s="5">
        <f>J666-S666</f>
        <v/>
      </c>
      <c r="U666" s="5">
        <f>F666+J666</f>
        <v/>
      </c>
      <c r="V666" s="5">
        <f>O666-U666</f>
        <v/>
      </c>
      <c r="W666" s="5">
        <f>O666-(P666+R666)</f>
        <v/>
      </c>
      <c r="X666" s="5">
        <f>O666-(P666+Q666+R666)</f>
        <v/>
      </c>
    </row>
    <row r="667">
      <c r="A667" s="2" t="inlineStr">
        <is>
          <t>EJ020324.TXT</t>
        </is>
      </c>
      <c r="B667" s="3" t="inlineStr">
        <is>
          <t>005274</t>
        </is>
      </c>
      <c r="C667" s="3" t="inlineStr">
        <is>
          <t>004227</t>
        </is>
      </c>
      <c r="D667" s="4" t="n">
        <v>45345</v>
      </c>
      <c r="E667" s="2" t="inlineStr">
        <is>
          <t>15:53</t>
        </is>
      </c>
      <c r="F667" s="5" t="n">
        <v>265.83</v>
      </c>
      <c r="G667" s="5" t="n"/>
      <c r="H667" s="5" t="n"/>
      <c r="I667" s="5" t="n"/>
      <c r="J667" s="5" t="n">
        <v>53.17</v>
      </c>
      <c r="K667" s="5" t="n"/>
      <c r="L667" s="5" t="n"/>
      <c r="M667" s="5" t="n"/>
      <c r="N667" s="5" t="n"/>
      <c r="O667" s="5" t="n">
        <v>319</v>
      </c>
      <c r="P667" s="5" t="n"/>
      <c r="Q667" s="5" t="n">
        <v>319</v>
      </c>
      <c r="R667" s="5" t="n"/>
      <c r="S667" s="5">
        <f>F667*20%</f>
        <v/>
      </c>
      <c r="T667" s="5">
        <f>J667-S667</f>
        <v/>
      </c>
      <c r="U667" s="5">
        <f>F667+J667</f>
        <v/>
      </c>
      <c r="V667" s="5">
        <f>O667-U667</f>
        <v/>
      </c>
      <c r="W667" s="5">
        <f>O667-(P667+R667)</f>
        <v/>
      </c>
      <c r="X667" s="5">
        <f>O667-(P667+Q667+R667)</f>
        <v/>
      </c>
    </row>
    <row r="668">
      <c r="A668" s="2" t="inlineStr">
        <is>
          <t>EJ020324.TXT</t>
        </is>
      </c>
      <c r="B668" s="3" t="inlineStr">
        <is>
          <t>005275</t>
        </is>
      </c>
      <c r="C668" s="3" t="inlineStr">
        <is>
          <t>004228</t>
        </is>
      </c>
      <c r="D668" s="4" t="n">
        <v>45345</v>
      </c>
      <c r="E668" s="2" t="inlineStr">
        <is>
          <t>16:10</t>
        </is>
      </c>
      <c r="F668" s="5" t="n">
        <v>265.83</v>
      </c>
      <c r="G668" s="5" t="n"/>
      <c r="H668" s="5" t="n"/>
      <c r="I668" s="5" t="n"/>
      <c r="J668" s="5" t="n">
        <v>53.17</v>
      </c>
      <c r="K668" s="5" t="n"/>
      <c r="L668" s="5" t="n"/>
      <c r="M668" s="5" t="n"/>
      <c r="N668" s="5" t="n"/>
      <c r="O668" s="5" t="n">
        <v>319</v>
      </c>
      <c r="P668" s="5" t="n"/>
      <c r="Q668" s="5" t="n">
        <v>319</v>
      </c>
      <c r="R668" s="5" t="n"/>
      <c r="S668" s="5">
        <f>F668*20%</f>
        <v/>
      </c>
      <c r="T668" s="5">
        <f>J668-S668</f>
        <v/>
      </c>
      <c r="U668" s="5">
        <f>F668+J668</f>
        <v/>
      </c>
      <c r="V668" s="5">
        <f>O668-U668</f>
        <v/>
      </c>
      <c r="W668" s="5">
        <f>O668-(P668+R668)</f>
        <v/>
      </c>
      <c r="X668" s="5">
        <f>O668-(P668+Q668+R668)</f>
        <v/>
      </c>
    </row>
    <row r="669">
      <c r="A669" s="2" t="inlineStr">
        <is>
          <t>EJ020324.TXT</t>
        </is>
      </c>
      <c r="B669" s="3" t="inlineStr">
        <is>
          <t>005276</t>
        </is>
      </c>
      <c r="C669" s="3" t="inlineStr">
        <is>
          <t>004229</t>
        </is>
      </c>
      <c r="D669" s="4" t="n">
        <v>45346</v>
      </c>
      <c r="E669" s="2" t="inlineStr">
        <is>
          <t>16:25</t>
        </is>
      </c>
      <c r="F669" s="5" t="n">
        <v>822.5</v>
      </c>
      <c r="G669" s="5" t="n"/>
      <c r="H669" s="5" t="n"/>
      <c r="I669" s="5" t="n"/>
      <c r="J669" s="5" t="n">
        <v>164.5</v>
      </c>
      <c r="K669" s="5" t="n"/>
      <c r="L669" s="5" t="n"/>
      <c r="M669" s="5" t="n"/>
      <c r="N669" s="5" t="n"/>
      <c r="O669" s="5" t="n">
        <v>987</v>
      </c>
      <c r="P669" s="5" t="n">
        <v>987</v>
      </c>
      <c r="Q669" s="5" t="n"/>
      <c r="R669" s="5" t="n"/>
      <c r="S669" s="5">
        <f>F669*20%</f>
        <v/>
      </c>
      <c r="T669" s="5">
        <f>J669-S669</f>
        <v/>
      </c>
      <c r="U669" s="5">
        <f>F669+J669</f>
        <v/>
      </c>
      <c r="V669" s="5">
        <f>O669-U669</f>
        <v/>
      </c>
      <c r="W669" s="5">
        <f>O669-(P669+R669)</f>
        <v/>
      </c>
      <c r="X669" s="5">
        <f>O669-(P669+Q669+R669)</f>
        <v/>
      </c>
    </row>
    <row r="670">
      <c r="A670" s="2" t="inlineStr">
        <is>
          <t>EJ020324.TXT</t>
        </is>
      </c>
      <c r="B670" s="3" t="inlineStr">
        <is>
          <t>005278</t>
        </is>
      </c>
      <c r="C670" s="3" t="inlineStr">
        <is>
          <t>004230</t>
        </is>
      </c>
      <c r="D670" s="4" t="n">
        <v>45348</v>
      </c>
      <c r="E670" s="2" t="inlineStr">
        <is>
          <t>15:02</t>
        </is>
      </c>
      <c r="F670" s="5" t="n">
        <v>324.17</v>
      </c>
      <c r="G670" s="5" t="n"/>
      <c r="H670" s="5" t="n"/>
      <c r="I670" s="5" t="n"/>
      <c r="J670" s="5" t="n">
        <v>64.83</v>
      </c>
      <c r="K670" s="5" t="n"/>
      <c r="L670" s="5" t="n"/>
      <c r="M670" s="5" t="n"/>
      <c r="N670" s="5" t="n"/>
      <c r="O670" s="5" t="n">
        <v>389</v>
      </c>
      <c r="P670" s="5" t="n"/>
      <c r="Q670" s="5" t="n">
        <v>389</v>
      </c>
      <c r="R670" s="5" t="n"/>
      <c r="S670" s="5">
        <f>F670*20%</f>
        <v/>
      </c>
      <c r="T670" s="5">
        <f>J670-S670</f>
        <v/>
      </c>
      <c r="U670" s="5">
        <f>F670+J670</f>
        <v/>
      </c>
      <c r="V670" s="5">
        <f>O670-U670</f>
        <v/>
      </c>
      <c r="W670" s="5">
        <f>O670-(P670+R670)</f>
        <v/>
      </c>
      <c r="X670" s="5">
        <f>O670-(P670+Q670+R670)</f>
        <v/>
      </c>
    </row>
    <row r="671">
      <c r="A671" s="2" t="inlineStr">
        <is>
          <t>EJ020324.TXT</t>
        </is>
      </c>
      <c r="B671" s="3" t="inlineStr">
        <is>
          <t>005279</t>
        </is>
      </c>
      <c r="C671" s="3" t="inlineStr">
        <is>
          <t>004231</t>
        </is>
      </c>
      <c r="D671" s="4" t="n">
        <v>45350</v>
      </c>
      <c r="E671" s="2" t="inlineStr">
        <is>
          <t>15:46</t>
        </is>
      </c>
      <c r="F671" s="5" t="n">
        <v>124.17</v>
      </c>
      <c r="G671" s="5" t="n"/>
      <c r="H671" s="5" t="n"/>
      <c r="I671" s="5" t="n"/>
      <c r="J671" s="5" t="n">
        <v>24.83</v>
      </c>
      <c r="K671" s="5" t="n"/>
      <c r="L671" s="5" t="n"/>
      <c r="M671" s="5" t="n"/>
      <c r="N671" s="5" t="n"/>
      <c r="O671" s="5" t="n">
        <v>149</v>
      </c>
      <c r="P671" s="5" t="n"/>
      <c r="Q671" s="5" t="n">
        <v>149</v>
      </c>
      <c r="R671" s="5" t="n"/>
      <c r="S671" s="5">
        <f>F671*20%</f>
        <v/>
      </c>
      <c r="T671" s="5">
        <f>J671-S671</f>
        <v/>
      </c>
      <c r="U671" s="5">
        <f>F671+J671</f>
        <v/>
      </c>
      <c r="V671" s="5">
        <f>O671-U671</f>
        <v/>
      </c>
      <c r="W671" s="5">
        <f>O671-(P671+R671)</f>
        <v/>
      </c>
      <c r="X671" s="5">
        <f>O671-(P671+Q671+R671)</f>
        <v/>
      </c>
    </row>
    <row r="672">
      <c r="A672" s="2" t="inlineStr">
        <is>
          <t>EJ020324.TXT</t>
        </is>
      </c>
      <c r="B672" s="3" t="inlineStr">
        <is>
          <t>005280</t>
        </is>
      </c>
      <c r="C672" s="3" t="inlineStr">
        <is>
          <t>004232</t>
        </is>
      </c>
      <c r="D672" s="4" t="n">
        <v>45352</v>
      </c>
      <c r="E672" s="2" t="inlineStr">
        <is>
          <t>15:59</t>
        </is>
      </c>
      <c r="F672" s="5" t="n">
        <v>73.33</v>
      </c>
      <c r="G672" s="5" t="n"/>
      <c r="H672" s="5" t="n"/>
      <c r="I672" s="5" t="n"/>
      <c r="J672" s="5" t="n">
        <v>14.67</v>
      </c>
      <c r="K672" s="5" t="n"/>
      <c r="L672" s="5" t="n"/>
      <c r="M672" s="5" t="n"/>
      <c r="N672" s="5" t="n"/>
      <c r="O672" s="5" t="n">
        <v>88</v>
      </c>
      <c r="P672" s="5" t="n">
        <v>88</v>
      </c>
      <c r="Q672" s="5" t="n"/>
      <c r="R672" s="5" t="n"/>
      <c r="S672" s="5">
        <f>F672*20%</f>
        <v/>
      </c>
      <c r="T672" s="5">
        <f>J672-S672</f>
        <v/>
      </c>
      <c r="U672" s="5">
        <f>F672+J672</f>
        <v/>
      </c>
      <c r="V672" s="5">
        <f>O672-U672</f>
        <v/>
      </c>
      <c r="W672" s="5">
        <f>O672-(P672+R672)</f>
        <v/>
      </c>
      <c r="X672" s="5">
        <f>O672-(P672+Q672+R672)</f>
        <v/>
      </c>
    </row>
    <row r="673">
      <c r="A673" s="2" t="inlineStr">
        <is>
          <t>EJ020324.TXT</t>
        </is>
      </c>
      <c r="B673" s="3" t="inlineStr">
        <is>
          <t>005281</t>
        </is>
      </c>
      <c r="C673" s="3" t="inlineStr">
        <is>
          <t>004233</t>
        </is>
      </c>
      <c r="D673" s="4" t="n">
        <v>45353</v>
      </c>
      <c r="E673" s="2" t="inlineStr">
        <is>
          <t>10:23</t>
        </is>
      </c>
      <c r="F673" s="5" t="n">
        <v>548.33</v>
      </c>
      <c r="G673" s="5" t="n"/>
      <c r="H673" s="5" t="n"/>
      <c r="I673" s="5" t="n"/>
      <c r="J673" s="5" t="n">
        <v>109.67</v>
      </c>
      <c r="K673" s="5" t="n"/>
      <c r="L673" s="5" t="n"/>
      <c r="M673" s="5" t="n"/>
      <c r="N673" s="5" t="n"/>
      <c r="O673" s="5" t="n">
        <v>658</v>
      </c>
      <c r="P673" s="5" t="n">
        <v>658</v>
      </c>
      <c r="Q673" s="5" t="n"/>
      <c r="R673" s="5" t="n"/>
      <c r="S673" s="5">
        <f>F673*20%</f>
        <v/>
      </c>
      <c r="T673" s="5">
        <f>J673-S673</f>
        <v/>
      </c>
      <c r="U673" s="5">
        <f>F673+J673</f>
        <v/>
      </c>
      <c r="V673" s="5">
        <f>O673-U673</f>
        <v/>
      </c>
      <c r="W673" s="5">
        <f>O673-(P673+R673)</f>
        <v/>
      </c>
      <c r="X673" s="5">
        <f>O673-(P673+Q673+R673)</f>
        <v/>
      </c>
    </row>
    <row r="674">
      <c r="A674" s="2" t="inlineStr">
        <is>
          <t>EJ020324.TXT</t>
        </is>
      </c>
      <c r="B674" s="3" t="inlineStr">
        <is>
          <t>005282</t>
        </is>
      </c>
      <c r="C674" s="3" t="inlineStr">
        <is>
          <t>004234</t>
        </is>
      </c>
      <c r="D674" s="4" t="n">
        <v>45353</v>
      </c>
      <c r="E674" s="2" t="inlineStr">
        <is>
          <t>14:36</t>
        </is>
      </c>
      <c r="F674" s="5" t="n">
        <v>199.17</v>
      </c>
      <c r="G674" s="5" t="n"/>
      <c r="H674" s="5" t="n"/>
      <c r="I674" s="5" t="n"/>
      <c r="J674" s="5" t="n">
        <v>39.83</v>
      </c>
      <c r="K674" s="5" t="n"/>
      <c r="L674" s="5" t="n"/>
      <c r="M674" s="5" t="n"/>
      <c r="N674" s="5" t="n"/>
      <c r="O674" s="5" t="n">
        <v>239</v>
      </c>
      <c r="P674" s="5" t="n">
        <v>239</v>
      </c>
      <c r="Q674" s="5" t="n"/>
      <c r="R674" s="5" t="n"/>
      <c r="S674" s="5">
        <f>F674*20%</f>
        <v/>
      </c>
      <c r="T674" s="5">
        <f>J674-S674</f>
        <v/>
      </c>
      <c r="U674" s="5">
        <f>F674+J674</f>
        <v/>
      </c>
      <c r="V674" s="5">
        <f>O674-U674</f>
        <v/>
      </c>
      <c r="W674" s="5">
        <f>O674-(P674+R674)</f>
        <v/>
      </c>
      <c r="X674" s="5">
        <f>O674-(P674+Q674+R674)</f>
        <v/>
      </c>
    </row>
    <row r="675">
      <c r="A675" s="2" t="inlineStr">
        <is>
          <t>EJ020424.TXT</t>
        </is>
      </c>
      <c r="B675" s="3" t="inlineStr">
        <is>
          <t>005289</t>
        </is>
      </c>
      <c r="C675" s="3" t="inlineStr">
        <is>
          <t>004235</t>
        </is>
      </c>
      <c r="D675" s="4" t="n">
        <v>45353</v>
      </c>
      <c r="E675" s="2" t="inlineStr">
        <is>
          <t>15:05</t>
        </is>
      </c>
      <c r="F675" s="5" t="n">
        <v>208.33</v>
      </c>
      <c r="G675" s="5" t="n"/>
      <c r="H675" s="5" t="n"/>
      <c r="I675" s="5" t="n"/>
      <c r="J675" s="5" t="n">
        <v>41.67</v>
      </c>
      <c r="K675" s="5" t="n"/>
      <c r="L675" s="5" t="n"/>
      <c r="M675" s="5" t="n"/>
      <c r="N675" s="5" t="n"/>
      <c r="O675" s="5" t="n">
        <v>250</v>
      </c>
      <c r="P675" s="5" t="n"/>
      <c r="Q675" s="5" t="n">
        <v>250</v>
      </c>
      <c r="R675" s="5" t="n"/>
      <c r="S675" s="5">
        <f>F675*20%</f>
        <v/>
      </c>
      <c r="T675" s="5">
        <f>J675-S675</f>
        <v/>
      </c>
      <c r="U675" s="5">
        <f>F675+J675</f>
        <v/>
      </c>
      <c r="V675" s="5">
        <f>O675-U675</f>
        <v/>
      </c>
      <c r="W675" s="5">
        <f>O675-(P675+R675)</f>
        <v/>
      </c>
      <c r="X675" s="5">
        <f>O675-(P675+Q675+R675)</f>
        <v/>
      </c>
    </row>
    <row r="676">
      <c r="A676" s="2" t="inlineStr">
        <is>
          <t>EJ020424.TXT</t>
        </is>
      </c>
      <c r="B676" s="3" t="inlineStr">
        <is>
          <t>005290</t>
        </is>
      </c>
      <c r="C676" s="3" t="inlineStr">
        <is>
          <t>004236</t>
        </is>
      </c>
      <c r="D676" s="4" t="n">
        <v>45355</v>
      </c>
      <c r="E676" s="2" t="inlineStr">
        <is>
          <t>11:13</t>
        </is>
      </c>
      <c r="F676" s="5" t="n">
        <v>208.33</v>
      </c>
      <c r="G676" s="5" t="n"/>
      <c r="H676" s="5" t="n"/>
      <c r="I676" s="5" t="n"/>
      <c r="J676" s="5" t="n">
        <v>41.67</v>
      </c>
      <c r="K676" s="5" t="n"/>
      <c r="L676" s="5" t="n"/>
      <c r="M676" s="5" t="n"/>
      <c r="N676" s="5" t="n"/>
      <c r="O676" s="5" t="n">
        <v>250</v>
      </c>
      <c r="P676" s="5" t="n"/>
      <c r="Q676" s="5" t="n">
        <v>250</v>
      </c>
      <c r="R676" s="5" t="n"/>
      <c r="S676" s="5">
        <f>F676*20%</f>
        <v/>
      </c>
      <c r="T676" s="5">
        <f>J676-S676</f>
        <v/>
      </c>
      <c r="U676" s="5">
        <f>F676+J676</f>
        <v/>
      </c>
      <c r="V676" s="5">
        <f>O676-U676</f>
        <v/>
      </c>
      <c r="W676" s="5">
        <f>O676-(P676+R676)</f>
        <v/>
      </c>
      <c r="X676" s="5">
        <f>O676-(P676+Q676+R676)</f>
        <v/>
      </c>
    </row>
    <row r="677">
      <c r="A677" s="2" t="inlineStr">
        <is>
          <t>EJ020424.TXT</t>
        </is>
      </c>
      <c r="B677" s="3" t="inlineStr">
        <is>
          <t>005291</t>
        </is>
      </c>
      <c r="C677" s="3" t="inlineStr">
        <is>
          <t>004237</t>
        </is>
      </c>
      <c r="D677" s="4" t="n">
        <v>45355</v>
      </c>
      <c r="E677" s="2" t="inlineStr">
        <is>
          <t>11:25</t>
        </is>
      </c>
      <c r="F677" s="5" t="n">
        <v>129.17</v>
      </c>
      <c r="G677" s="5" t="n"/>
      <c r="H677" s="5" t="n"/>
      <c r="I677" s="5" t="n"/>
      <c r="J677" s="5" t="n">
        <v>25.83</v>
      </c>
      <c r="K677" s="5" t="n"/>
      <c r="L677" s="5" t="n"/>
      <c r="M677" s="5" t="n"/>
      <c r="N677" s="5" t="n"/>
      <c r="O677" s="5" t="n">
        <v>155</v>
      </c>
      <c r="P677" s="5" t="n"/>
      <c r="Q677" s="5" t="n">
        <v>155</v>
      </c>
      <c r="R677" s="5" t="n"/>
      <c r="S677" s="5">
        <f>F677*20%</f>
        <v/>
      </c>
      <c r="T677" s="5">
        <f>J677-S677</f>
        <v/>
      </c>
      <c r="U677" s="5">
        <f>F677+J677</f>
        <v/>
      </c>
      <c r="V677" s="5">
        <f>O677-U677</f>
        <v/>
      </c>
      <c r="W677" s="5">
        <f>O677-(P677+R677)</f>
        <v/>
      </c>
      <c r="X677" s="5">
        <f>O677-(P677+Q677+R677)</f>
        <v/>
      </c>
    </row>
    <row r="678">
      <c r="A678" s="2" t="inlineStr">
        <is>
          <t>EJ020424.TXT</t>
        </is>
      </c>
      <c r="B678" s="3" t="inlineStr">
        <is>
          <t>005292</t>
        </is>
      </c>
      <c r="C678" s="3" t="inlineStr">
        <is>
          <t>004238</t>
        </is>
      </c>
      <c r="D678" s="4" t="n">
        <v>45355</v>
      </c>
      <c r="E678" s="2" t="inlineStr">
        <is>
          <t>11:40</t>
        </is>
      </c>
      <c r="F678" s="5" t="n">
        <v>208.33</v>
      </c>
      <c r="G678" s="5" t="n"/>
      <c r="H678" s="5" t="n"/>
      <c r="I678" s="5" t="n"/>
      <c r="J678" s="5" t="n">
        <v>41.67</v>
      </c>
      <c r="K678" s="5" t="n"/>
      <c r="L678" s="5" t="n"/>
      <c r="M678" s="5" t="n"/>
      <c r="N678" s="5" t="n"/>
      <c r="O678" s="5" t="n">
        <v>250</v>
      </c>
      <c r="P678" s="5" t="n"/>
      <c r="Q678" s="5" t="n">
        <v>250</v>
      </c>
      <c r="R678" s="5" t="n"/>
      <c r="S678" s="5">
        <f>F678*20%</f>
        <v/>
      </c>
      <c r="T678" s="5">
        <f>J678-S678</f>
        <v/>
      </c>
      <c r="U678" s="5">
        <f>F678+J678</f>
        <v/>
      </c>
      <c r="V678" s="5">
        <f>O678-U678</f>
        <v/>
      </c>
      <c r="W678" s="5">
        <f>O678-(P678+R678)</f>
        <v/>
      </c>
      <c r="X678" s="5">
        <f>O678-(P678+Q678+R678)</f>
        <v/>
      </c>
    </row>
    <row r="679">
      <c r="A679" s="2" t="inlineStr">
        <is>
          <t>EJ020424.TXT</t>
        </is>
      </c>
      <c r="B679" s="3" t="inlineStr">
        <is>
          <t>005293</t>
        </is>
      </c>
      <c r="C679" s="3" t="inlineStr">
        <is>
          <t>004239</t>
        </is>
      </c>
      <c r="D679" s="4" t="n">
        <v>45356</v>
      </c>
      <c r="E679" s="2" t="inlineStr">
        <is>
          <t>11:46</t>
        </is>
      </c>
      <c r="F679" s="5" t="n">
        <v>410</v>
      </c>
      <c r="G679" s="5" t="n"/>
      <c r="H679" s="5" t="n"/>
      <c r="I679" s="5" t="n"/>
      <c r="J679" s="5" t="n">
        <v>82</v>
      </c>
      <c r="K679" s="5" t="n"/>
      <c r="L679" s="5" t="n"/>
      <c r="M679" s="5" t="n"/>
      <c r="N679" s="5" t="n"/>
      <c r="O679" s="5" t="n">
        <v>492</v>
      </c>
      <c r="P679" s="5" t="n"/>
      <c r="Q679" s="5" t="n">
        <v>492</v>
      </c>
      <c r="R679" s="5" t="n"/>
      <c r="S679" s="5">
        <f>F679*20%</f>
        <v/>
      </c>
      <c r="T679" s="5">
        <f>J679-S679</f>
        <v/>
      </c>
      <c r="U679" s="5">
        <f>F679+J679</f>
        <v/>
      </c>
      <c r="V679" s="5">
        <f>O679-U679</f>
        <v/>
      </c>
      <c r="W679" s="5">
        <f>O679-(P679+R679)</f>
        <v/>
      </c>
      <c r="X679" s="5">
        <f>O679-(P679+Q679+R679)</f>
        <v/>
      </c>
    </row>
    <row r="680">
      <c r="A680" s="2" t="inlineStr">
        <is>
          <t>EJ020424.TXT</t>
        </is>
      </c>
      <c r="B680" s="3" t="inlineStr">
        <is>
          <t>005294</t>
        </is>
      </c>
      <c r="C680" s="3" t="inlineStr">
        <is>
          <t>004240</t>
        </is>
      </c>
      <c r="D680" s="4" t="n">
        <v>45356</v>
      </c>
      <c r="E680" s="2" t="inlineStr">
        <is>
          <t>14:51</t>
        </is>
      </c>
      <c r="F680" s="5" t="n">
        <v>274.17</v>
      </c>
      <c r="G680" s="5" t="n"/>
      <c r="H680" s="5" t="n"/>
      <c r="I680" s="5" t="n"/>
      <c r="J680" s="5" t="n">
        <v>54.83</v>
      </c>
      <c r="K680" s="5" t="n"/>
      <c r="L680" s="5" t="n"/>
      <c r="M680" s="5" t="n"/>
      <c r="N680" s="5" t="n"/>
      <c r="O680" s="5" t="n">
        <v>329</v>
      </c>
      <c r="P680" s="5" t="n"/>
      <c r="Q680" s="5" t="n">
        <v>329</v>
      </c>
      <c r="R680" s="5" t="n"/>
      <c r="S680" s="5">
        <f>F680*20%</f>
        <v/>
      </c>
      <c r="T680" s="5">
        <f>J680-S680</f>
        <v/>
      </c>
      <c r="U680" s="5">
        <f>F680+J680</f>
        <v/>
      </c>
      <c r="V680" s="5">
        <f>O680-U680</f>
        <v/>
      </c>
      <c r="W680" s="5">
        <f>O680-(P680+R680)</f>
        <v/>
      </c>
      <c r="X680" s="5">
        <f>O680-(P680+Q680+R680)</f>
        <v/>
      </c>
    </row>
    <row r="681">
      <c r="A681" s="2" t="inlineStr">
        <is>
          <t>EJ020424.TXT</t>
        </is>
      </c>
      <c r="B681" s="3" t="inlineStr">
        <is>
          <t>005295</t>
        </is>
      </c>
      <c r="C681" s="3" t="inlineStr">
        <is>
          <t>004241</t>
        </is>
      </c>
      <c r="D681" s="4" t="n">
        <v>45357</v>
      </c>
      <c r="E681" s="2" t="inlineStr">
        <is>
          <t>17:58</t>
        </is>
      </c>
      <c r="F681" s="5" t="n">
        <v>381.67</v>
      </c>
      <c r="G681" s="5" t="n"/>
      <c r="H681" s="5" t="n"/>
      <c r="I681" s="5" t="n"/>
      <c r="J681" s="5" t="n">
        <v>76.33</v>
      </c>
      <c r="K681" s="5" t="n"/>
      <c r="L681" s="5" t="n"/>
      <c r="M681" s="5" t="n"/>
      <c r="N681" s="5" t="n"/>
      <c r="O681" s="5" t="n">
        <v>458</v>
      </c>
      <c r="P681" s="5" t="n">
        <v>458</v>
      </c>
      <c r="Q681" s="5" t="n"/>
      <c r="R681" s="5" t="n"/>
      <c r="S681" s="5">
        <f>F681*20%</f>
        <v/>
      </c>
      <c r="T681" s="5">
        <f>J681-S681</f>
        <v/>
      </c>
      <c r="U681" s="5">
        <f>F681+J681</f>
        <v/>
      </c>
      <c r="V681" s="5">
        <f>O681-U681</f>
        <v/>
      </c>
      <c r="W681" s="5">
        <f>O681-(P681+R681)</f>
        <v/>
      </c>
      <c r="X681" s="5">
        <f>O681-(P681+Q681+R681)</f>
        <v/>
      </c>
    </row>
    <row r="682">
      <c r="A682" s="2" t="inlineStr">
        <is>
          <t>EJ020424.TXT</t>
        </is>
      </c>
      <c r="B682" s="3" t="inlineStr">
        <is>
          <t>005296</t>
        </is>
      </c>
      <c r="C682" s="3" t="inlineStr">
        <is>
          <t>004242</t>
        </is>
      </c>
      <c r="D682" s="4" t="n">
        <v>45359</v>
      </c>
      <c r="E682" s="2" t="inlineStr">
        <is>
          <t>17:27</t>
        </is>
      </c>
      <c r="F682" s="5" t="n">
        <v>208.33</v>
      </c>
      <c r="G682" s="5" t="n"/>
      <c r="H682" s="5" t="n"/>
      <c r="I682" s="5" t="n"/>
      <c r="J682" s="5" t="n">
        <v>41.67</v>
      </c>
      <c r="K682" s="5" t="n"/>
      <c r="L682" s="5" t="n"/>
      <c r="M682" s="5" t="n"/>
      <c r="N682" s="5" t="n"/>
      <c r="O682" s="5" t="n">
        <v>250</v>
      </c>
      <c r="P682" s="5" t="n"/>
      <c r="Q682" s="5" t="n">
        <v>250</v>
      </c>
      <c r="R682" s="5" t="n"/>
      <c r="S682" s="5">
        <f>F682*20%</f>
        <v/>
      </c>
      <c r="T682" s="5">
        <f>J682-S682</f>
        <v/>
      </c>
      <c r="U682" s="5">
        <f>F682+J682</f>
        <v/>
      </c>
      <c r="V682" s="5">
        <f>O682-U682</f>
        <v/>
      </c>
      <c r="W682" s="5">
        <f>O682-(P682+R682)</f>
        <v/>
      </c>
      <c r="X682" s="5">
        <f>O682-(P682+Q682+R682)</f>
        <v/>
      </c>
    </row>
    <row r="683">
      <c r="A683" s="2" t="inlineStr">
        <is>
          <t>EJ020424.TXT</t>
        </is>
      </c>
      <c r="B683" s="3" t="inlineStr">
        <is>
          <t>005297</t>
        </is>
      </c>
      <c r="C683" s="3" t="inlineStr">
        <is>
          <t>004243</t>
        </is>
      </c>
      <c r="D683" s="4" t="n">
        <v>45359</v>
      </c>
      <c r="E683" s="2" t="inlineStr">
        <is>
          <t>17:53</t>
        </is>
      </c>
      <c r="F683" s="5" t="n">
        <v>208.33</v>
      </c>
      <c r="G683" s="5" t="n"/>
      <c r="H683" s="5" t="n"/>
      <c r="I683" s="5" t="n"/>
      <c r="J683" s="5" t="n">
        <v>41.67</v>
      </c>
      <c r="K683" s="5" t="n"/>
      <c r="L683" s="5" t="n"/>
      <c r="M683" s="5" t="n"/>
      <c r="N683" s="5" t="n"/>
      <c r="O683" s="5" t="n">
        <v>250</v>
      </c>
      <c r="P683" s="5" t="n"/>
      <c r="Q683" s="5" t="n">
        <v>250</v>
      </c>
      <c r="R683" s="5" t="n"/>
      <c r="S683" s="5">
        <f>F683*20%</f>
        <v/>
      </c>
      <c r="T683" s="5">
        <f>J683-S683</f>
        <v/>
      </c>
      <c r="U683" s="5">
        <f>F683+J683</f>
        <v/>
      </c>
      <c r="V683" s="5">
        <f>O683-U683</f>
        <v/>
      </c>
      <c r="W683" s="5">
        <f>O683-(P683+R683)</f>
        <v/>
      </c>
      <c r="X683" s="5">
        <f>O683-(P683+Q683+R683)</f>
        <v/>
      </c>
    </row>
    <row r="684">
      <c r="A684" s="2" t="inlineStr">
        <is>
          <t>EJ020424.TXT</t>
        </is>
      </c>
      <c r="B684" s="3" t="inlineStr">
        <is>
          <t>005298</t>
        </is>
      </c>
      <c r="C684" s="3" t="inlineStr">
        <is>
          <t>004244</t>
        </is>
      </c>
      <c r="D684" s="4" t="n">
        <v>45360</v>
      </c>
      <c r="E684" s="2" t="inlineStr">
        <is>
          <t>18:26</t>
        </is>
      </c>
      <c r="F684" s="5" t="n">
        <v>548.33</v>
      </c>
      <c r="G684" s="5" t="n"/>
      <c r="H684" s="5" t="n"/>
      <c r="I684" s="5" t="n"/>
      <c r="J684" s="5" t="n">
        <v>109.67</v>
      </c>
      <c r="K684" s="5" t="n"/>
      <c r="L684" s="5" t="n"/>
      <c r="M684" s="5" t="n"/>
      <c r="N684" s="5" t="n"/>
      <c r="O684" s="5" t="n">
        <v>658</v>
      </c>
      <c r="P684" s="5" t="n"/>
      <c r="Q684" s="5" t="n">
        <v>658</v>
      </c>
      <c r="R684" s="5" t="n"/>
      <c r="S684" s="5">
        <f>F684*20%</f>
        <v/>
      </c>
      <c r="T684" s="5">
        <f>J684-S684</f>
        <v/>
      </c>
      <c r="U684" s="5">
        <f>F684+J684</f>
        <v/>
      </c>
      <c r="V684" s="5">
        <f>O684-U684</f>
        <v/>
      </c>
      <c r="W684" s="5">
        <f>O684-(P684+R684)</f>
        <v/>
      </c>
      <c r="X684" s="5">
        <f>O684-(P684+Q684+R684)</f>
        <v/>
      </c>
    </row>
    <row r="685">
      <c r="A685" s="2" t="inlineStr">
        <is>
          <t>EJ020424.TXT</t>
        </is>
      </c>
      <c r="B685" s="3" t="inlineStr">
        <is>
          <t>005299</t>
        </is>
      </c>
      <c r="C685" s="3" t="inlineStr">
        <is>
          <t>004245</t>
        </is>
      </c>
      <c r="D685" s="4" t="n">
        <v>45360</v>
      </c>
      <c r="E685" s="2" t="inlineStr">
        <is>
          <t>18:29</t>
        </is>
      </c>
      <c r="F685" s="5" t="n">
        <v>223.25</v>
      </c>
      <c r="G685" s="5" t="n"/>
      <c r="H685" s="5" t="n"/>
      <c r="I685" s="5" t="n"/>
      <c r="J685" s="5" t="n">
        <v>44.65</v>
      </c>
      <c r="K685" s="5" t="n"/>
      <c r="L685" s="5" t="n"/>
      <c r="M685" s="5" t="n"/>
      <c r="N685" s="5" t="n"/>
      <c r="O685" s="5" t="n">
        <v>267.9</v>
      </c>
      <c r="P685" s="5" t="n">
        <v>267.9</v>
      </c>
      <c r="Q685" s="5" t="n"/>
      <c r="R685" s="5" t="n"/>
      <c r="S685" s="5">
        <f>F685*20%</f>
        <v/>
      </c>
      <c r="T685" s="5">
        <f>J685-S685</f>
        <v/>
      </c>
      <c r="U685" s="5">
        <f>F685+J685</f>
        <v/>
      </c>
      <c r="V685" s="5">
        <f>O685-U685</f>
        <v/>
      </c>
      <c r="W685" s="5">
        <f>O685-(P685+R685)</f>
        <v/>
      </c>
      <c r="X685" s="5">
        <f>O685-(P685+Q685+R685)</f>
        <v/>
      </c>
    </row>
    <row r="686">
      <c r="A686" s="2" t="inlineStr">
        <is>
          <t>EJ020424.TXT</t>
        </is>
      </c>
      <c r="B686" s="3" t="inlineStr">
        <is>
          <t>005300</t>
        </is>
      </c>
      <c r="C686" s="3" t="inlineStr">
        <is>
          <t>004246</t>
        </is>
      </c>
      <c r="D686" s="4" t="n">
        <v>45366</v>
      </c>
      <c r="E686" s="2" t="inlineStr">
        <is>
          <t>11:54</t>
        </is>
      </c>
      <c r="F686" s="5" t="n">
        <v>548.33</v>
      </c>
      <c r="G686" s="5" t="n"/>
      <c r="H686" s="5" t="n"/>
      <c r="I686" s="5" t="n"/>
      <c r="J686" s="5" t="n">
        <v>109.67</v>
      </c>
      <c r="K686" s="5" t="n"/>
      <c r="L686" s="5" t="n"/>
      <c r="M686" s="5" t="n"/>
      <c r="N686" s="5" t="n"/>
      <c r="O686" s="5" t="n">
        <v>658</v>
      </c>
      <c r="P686" s="5" t="n"/>
      <c r="Q686" s="5" t="n">
        <v>658</v>
      </c>
      <c r="R686" s="5" t="n"/>
      <c r="S686" s="5">
        <f>F686*20%</f>
        <v/>
      </c>
      <c r="T686" s="5">
        <f>J686-S686</f>
        <v/>
      </c>
      <c r="U686" s="5">
        <f>F686+J686</f>
        <v/>
      </c>
      <c r="V686" s="5">
        <f>O686-U686</f>
        <v/>
      </c>
      <c r="W686" s="5">
        <f>O686-(P686+R686)</f>
        <v/>
      </c>
      <c r="X686" s="5">
        <f>O686-(P686+Q686+R686)</f>
        <v/>
      </c>
    </row>
    <row r="687">
      <c r="A687" s="2" t="inlineStr">
        <is>
          <t>EJ020424.TXT</t>
        </is>
      </c>
      <c r="B687" s="3" t="inlineStr">
        <is>
          <t>005301</t>
        </is>
      </c>
      <c r="C687" s="3" t="inlineStr">
        <is>
          <t>004247</t>
        </is>
      </c>
      <c r="D687" s="4" t="n">
        <v>45366</v>
      </c>
      <c r="E687" s="2" t="inlineStr">
        <is>
          <t>17:21</t>
        </is>
      </c>
      <c r="F687" s="5" t="n">
        <v>208.33</v>
      </c>
      <c r="G687" s="5" t="n"/>
      <c r="H687" s="5" t="n"/>
      <c r="I687" s="5" t="n"/>
      <c r="J687" s="5" t="n">
        <v>41.67</v>
      </c>
      <c r="K687" s="5" t="n"/>
      <c r="L687" s="5" t="n"/>
      <c r="M687" s="5" t="n"/>
      <c r="N687" s="5" t="n"/>
      <c r="O687" s="5" t="n">
        <v>250</v>
      </c>
      <c r="P687" s="5" t="n"/>
      <c r="Q687" s="5" t="n">
        <v>250</v>
      </c>
      <c r="R687" s="5" t="n"/>
      <c r="S687" s="5">
        <f>F687*20%</f>
        <v/>
      </c>
      <c r="T687" s="5">
        <f>J687-S687</f>
        <v/>
      </c>
      <c r="U687" s="5">
        <f>F687+J687</f>
        <v/>
      </c>
      <c r="V687" s="5">
        <f>O687-U687</f>
        <v/>
      </c>
      <c r="W687" s="5">
        <f>O687-(P687+R687)</f>
        <v/>
      </c>
      <c r="X687" s="5">
        <f>O687-(P687+Q687+R687)</f>
        <v/>
      </c>
    </row>
    <row r="688">
      <c r="A688" s="2" t="inlineStr">
        <is>
          <t>EJ020424.TXT</t>
        </is>
      </c>
      <c r="B688" s="3" t="inlineStr">
        <is>
          <t>005302</t>
        </is>
      </c>
      <c r="C688" s="3" t="inlineStr">
        <is>
          <t>004248</t>
        </is>
      </c>
      <c r="D688" s="4" t="n">
        <v>45369</v>
      </c>
      <c r="E688" s="2" t="inlineStr">
        <is>
          <t>11:00</t>
        </is>
      </c>
      <c r="F688" s="5" t="n">
        <v>548.33</v>
      </c>
      <c r="G688" s="5" t="n"/>
      <c r="H688" s="5" t="n"/>
      <c r="I688" s="5" t="n"/>
      <c r="J688" s="5" t="n">
        <v>109.67</v>
      </c>
      <c r="K688" s="5" t="n"/>
      <c r="L688" s="5" t="n"/>
      <c r="M688" s="5" t="n"/>
      <c r="N688" s="5" t="n"/>
      <c r="O688" s="5" t="n">
        <v>658</v>
      </c>
      <c r="P688" s="5" t="n"/>
      <c r="Q688" s="5" t="n">
        <v>658</v>
      </c>
      <c r="R688" s="5" t="n"/>
      <c r="S688" s="5">
        <f>F688*20%</f>
        <v/>
      </c>
      <c r="T688" s="5">
        <f>J688-S688</f>
        <v/>
      </c>
      <c r="U688" s="5">
        <f>F688+J688</f>
        <v/>
      </c>
      <c r="V688" s="5">
        <f>O688-U688</f>
        <v/>
      </c>
      <c r="W688" s="5">
        <f>O688-(P688+R688)</f>
        <v/>
      </c>
      <c r="X688" s="5">
        <f>O688-(P688+Q688+R688)</f>
        <v/>
      </c>
    </row>
    <row r="689">
      <c r="A689" s="2" t="inlineStr">
        <is>
          <t>EJ020424.TXT</t>
        </is>
      </c>
      <c r="B689" s="3" t="inlineStr">
        <is>
          <t>005303</t>
        </is>
      </c>
      <c r="C689" s="3" t="inlineStr">
        <is>
          <t>004249</t>
        </is>
      </c>
      <c r="D689" s="4" t="n">
        <v>45369</v>
      </c>
      <c r="E689" s="2" t="inlineStr">
        <is>
          <t>16:36</t>
        </is>
      </c>
      <c r="F689" s="5" t="n">
        <v>208.33</v>
      </c>
      <c r="G689" s="5" t="n"/>
      <c r="H689" s="5" t="n"/>
      <c r="I689" s="5" t="n"/>
      <c r="J689" s="5" t="n">
        <v>41.67</v>
      </c>
      <c r="K689" s="5" t="n"/>
      <c r="L689" s="5" t="n"/>
      <c r="M689" s="5" t="n"/>
      <c r="N689" s="5" t="n"/>
      <c r="O689" s="5" t="n">
        <v>250</v>
      </c>
      <c r="P689" s="5" t="n"/>
      <c r="Q689" s="5" t="n">
        <v>250</v>
      </c>
      <c r="R689" s="5" t="n"/>
      <c r="S689" s="5">
        <f>F689*20%</f>
        <v/>
      </c>
      <c r="T689" s="5">
        <f>J689-S689</f>
        <v/>
      </c>
      <c r="U689" s="5">
        <f>F689+J689</f>
        <v/>
      </c>
      <c r="V689" s="5">
        <f>O689-U689</f>
        <v/>
      </c>
      <c r="W689" s="5">
        <f>O689-(P689+R689)</f>
        <v/>
      </c>
      <c r="X689" s="5">
        <f>O689-(P689+Q689+R689)</f>
        <v/>
      </c>
    </row>
    <row r="690">
      <c r="A690" s="2" t="inlineStr">
        <is>
          <t>EJ020424.TXT</t>
        </is>
      </c>
      <c r="B690" s="3" t="inlineStr">
        <is>
          <t>005304</t>
        </is>
      </c>
      <c r="C690" s="3" t="inlineStr">
        <is>
          <t>004250</t>
        </is>
      </c>
      <c r="D690" s="4" t="n">
        <v>45370</v>
      </c>
      <c r="E690" s="2" t="inlineStr">
        <is>
          <t>17:05</t>
        </is>
      </c>
      <c r="F690" s="5" t="n">
        <v>199.17</v>
      </c>
      <c r="G690" s="5" t="n"/>
      <c r="H690" s="5" t="n"/>
      <c r="I690" s="5" t="n"/>
      <c r="J690" s="5" t="n">
        <v>39.83</v>
      </c>
      <c r="K690" s="5" t="n"/>
      <c r="L690" s="5" t="n"/>
      <c r="M690" s="5" t="n"/>
      <c r="N690" s="5" t="n"/>
      <c r="O690" s="5" t="n">
        <v>239</v>
      </c>
      <c r="P690" s="5" t="n">
        <v>239</v>
      </c>
      <c r="Q690" s="5" t="n"/>
      <c r="R690" s="5" t="n"/>
      <c r="S690" s="5">
        <f>F690*20%</f>
        <v/>
      </c>
      <c r="T690" s="5">
        <f>J690-S690</f>
        <v/>
      </c>
      <c r="U690" s="5">
        <f>F690+J690</f>
        <v/>
      </c>
      <c r="V690" s="5">
        <f>O690-U690</f>
        <v/>
      </c>
      <c r="W690" s="5">
        <f>O690-(P690+R690)</f>
        <v/>
      </c>
      <c r="X690" s="5">
        <f>O690-(P690+Q690+R690)</f>
        <v/>
      </c>
    </row>
    <row r="691">
      <c r="A691" s="2" t="inlineStr">
        <is>
          <t>EJ020424.TXT</t>
        </is>
      </c>
      <c r="B691" s="3" t="inlineStr">
        <is>
          <t>005305</t>
        </is>
      </c>
      <c r="C691" s="3" t="inlineStr">
        <is>
          <t>004251</t>
        </is>
      </c>
      <c r="D691" s="4" t="n">
        <v>45372</v>
      </c>
      <c r="E691" s="2" t="inlineStr">
        <is>
          <t>10:23</t>
        </is>
      </c>
      <c r="F691" s="5" t="n">
        <v>548.33</v>
      </c>
      <c r="G691" s="5" t="n"/>
      <c r="H691" s="5" t="n"/>
      <c r="I691" s="5" t="n"/>
      <c r="J691" s="5" t="n">
        <v>109.67</v>
      </c>
      <c r="K691" s="5" t="n"/>
      <c r="L691" s="5" t="n"/>
      <c r="M691" s="5" t="n"/>
      <c r="N691" s="5" t="n"/>
      <c r="O691" s="5" t="n">
        <v>658</v>
      </c>
      <c r="P691" s="5" t="n"/>
      <c r="Q691" s="5" t="n">
        <v>658</v>
      </c>
      <c r="R691" s="5" t="n"/>
      <c r="S691" s="5">
        <f>F691*20%</f>
        <v/>
      </c>
      <c r="T691" s="5">
        <f>J691-S691</f>
        <v/>
      </c>
      <c r="U691" s="5">
        <f>F691+J691</f>
        <v/>
      </c>
      <c r="V691" s="5">
        <f>O691-U691</f>
        <v/>
      </c>
      <c r="W691" s="5">
        <f>O691-(P691+R691)</f>
        <v/>
      </c>
      <c r="X691" s="5">
        <f>O691-(P691+Q691+R691)</f>
        <v/>
      </c>
    </row>
    <row r="692">
      <c r="A692" s="2" t="inlineStr">
        <is>
          <t>EJ020424.TXT</t>
        </is>
      </c>
      <c r="B692" s="3" t="inlineStr">
        <is>
          <t>005306</t>
        </is>
      </c>
      <c r="C692" s="3" t="inlineStr">
        <is>
          <t>004252</t>
        </is>
      </c>
      <c r="D692" s="4" t="n">
        <v>45372</v>
      </c>
      <c r="E692" s="2" t="inlineStr">
        <is>
          <t>11:16</t>
        </is>
      </c>
      <c r="F692" s="5" t="n">
        <v>66.33</v>
      </c>
      <c r="G692" s="5" t="n"/>
      <c r="H692" s="5" t="n"/>
      <c r="I692" s="5" t="n"/>
      <c r="J692" s="5" t="n">
        <v>13.27</v>
      </c>
      <c r="K692" s="5" t="n"/>
      <c r="L692" s="5" t="n"/>
      <c r="M692" s="5" t="n"/>
      <c r="N692" s="5" t="n"/>
      <c r="O692" s="5" t="n">
        <v>79.59999999999999</v>
      </c>
      <c r="P692" s="5" t="n">
        <v>79.59999999999999</v>
      </c>
      <c r="Q692" s="5" t="n"/>
      <c r="R692" s="5" t="n"/>
      <c r="S692" s="5">
        <f>F692*20%</f>
        <v/>
      </c>
      <c r="T692" s="5">
        <f>J692-S692</f>
        <v/>
      </c>
      <c r="U692" s="5">
        <f>F692+J692</f>
        <v/>
      </c>
      <c r="V692" s="5">
        <f>O692-U692</f>
        <v/>
      </c>
      <c r="W692" s="5">
        <f>O692-(P692+R692)</f>
        <v/>
      </c>
      <c r="X692" s="5">
        <f>O692-(P692+Q692+R692)</f>
        <v/>
      </c>
    </row>
    <row r="693">
      <c r="A693" s="2" t="inlineStr">
        <is>
          <t>EJ020424.TXT</t>
        </is>
      </c>
      <c r="B693" s="3" t="inlineStr">
        <is>
          <t>005307</t>
        </is>
      </c>
      <c r="C693" s="3" t="inlineStr">
        <is>
          <t>004253</t>
        </is>
      </c>
      <c r="D693" s="4" t="n">
        <v>45373</v>
      </c>
      <c r="E693" s="2" t="inlineStr">
        <is>
          <t>16:12</t>
        </is>
      </c>
      <c r="F693" s="5" t="n">
        <v>548.33</v>
      </c>
      <c r="G693" s="5" t="n"/>
      <c r="H693" s="5" t="n"/>
      <c r="I693" s="5" t="n"/>
      <c r="J693" s="5" t="n">
        <v>109.67</v>
      </c>
      <c r="K693" s="5" t="n"/>
      <c r="L693" s="5" t="n"/>
      <c r="M693" s="5" t="n"/>
      <c r="N693" s="5" t="n"/>
      <c r="O693" s="5" t="n">
        <v>658</v>
      </c>
      <c r="P693" s="5" t="n"/>
      <c r="Q693" s="5" t="n">
        <v>658</v>
      </c>
      <c r="R693" s="5" t="n"/>
      <c r="S693" s="5">
        <f>F693*20%</f>
        <v/>
      </c>
      <c r="T693" s="5">
        <f>J693-S693</f>
        <v/>
      </c>
      <c r="U693" s="5">
        <f>F693+J693</f>
        <v/>
      </c>
      <c r="V693" s="5">
        <f>O693-U693</f>
        <v/>
      </c>
      <c r="W693" s="5">
        <f>O693-(P693+R693)</f>
        <v/>
      </c>
      <c r="X693" s="5">
        <f>O693-(P693+Q693+R693)</f>
        <v/>
      </c>
    </row>
    <row r="694">
      <c r="A694" s="2" t="inlineStr">
        <is>
          <t>EJ020424.TXT</t>
        </is>
      </c>
      <c r="B694" s="3" t="inlineStr">
        <is>
          <t>005308</t>
        </is>
      </c>
      <c r="C694" s="3" t="inlineStr">
        <is>
          <t>004254</t>
        </is>
      </c>
      <c r="D694" s="4" t="n">
        <v>45373</v>
      </c>
      <c r="E694" s="2" t="inlineStr">
        <is>
          <t>16:18</t>
        </is>
      </c>
      <c r="F694" s="5" t="n">
        <v>208.33</v>
      </c>
      <c r="G694" s="5" t="n"/>
      <c r="H694" s="5" t="n"/>
      <c r="I694" s="5" t="n"/>
      <c r="J694" s="5" t="n">
        <v>41.67</v>
      </c>
      <c r="K694" s="5" t="n"/>
      <c r="L694" s="5" t="n"/>
      <c r="M694" s="5" t="n"/>
      <c r="N694" s="5" t="n"/>
      <c r="O694" s="5" t="n">
        <v>250</v>
      </c>
      <c r="P694" s="5" t="n"/>
      <c r="Q694" s="5" t="n">
        <v>250</v>
      </c>
      <c r="R694" s="5" t="n"/>
      <c r="S694" s="5">
        <f>F694*20%</f>
        <v/>
      </c>
      <c r="T694" s="5">
        <f>J694-S694</f>
        <v/>
      </c>
      <c r="U694" s="5">
        <f>F694+J694</f>
        <v/>
      </c>
      <c r="V694" s="5">
        <f>O694-U694</f>
        <v/>
      </c>
      <c r="W694" s="5">
        <f>O694-(P694+R694)</f>
        <v/>
      </c>
      <c r="X694" s="5">
        <f>O694-(P694+Q694+R694)</f>
        <v/>
      </c>
    </row>
    <row r="695">
      <c r="A695" s="2" t="inlineStr">
        <is>
          <t>EJ020424.TXT</t>
        </is>
      </c>
      <c r="B695" s="3" t="inlineStr">
        <is>
          <t>005309</t>
        </is>
      </c>
      <c r="C695" s="3" t="inlineStr">
        <is>
          <t>004255</t>
        </is>
      </c>
      <c r="D695" s="4" t="n">
        <v>45374</v>
      </c>
      <c r="E695" s="2" t="inlineStr">
        <is>
          <t>16:12</t>
        </is>
      </c>
      <c r="F695" s="5" t="n">
        <v>548.33</v>
      </c>
      <c r="G695" s="5" t="n"/>
      <c r="H695" s="5" t="n"/>
      <c r="I695" s="5" t="n"/>
      <c r="J695" s="5" t="n">
        <v>109.67</v>
      </c>
      <c r="K695" s="5" t="n"/>
      <c r="L695" s="5" t="n"/>
      <c r="M695" s="5" t="n"/>
      <c r="N695" s="5" t="n"/>
      <c r="O695" s="5" t="n">
        <v>658</v>
      </c>
      <c r="P695" s="5" t="n"/>
      <c r="Q695" s="5" t="n">
        <v>658</v>
      </c>
      <c r="R695" s="5" t="n"/>
      <c r="S695" s="5">
        <f>F695*20%</f>
        <v/>
      </c>
      <c r="T695" s="5">
        <f>J695-S695</f>
        <v/>
      </c>
      <c r="U695" s="5">
        <f>F695+J695</f>
        <v/>
      </c>
      <c r="V695" s="5">
        <f>O695-U695</f>
        <v/>
      </c>
      <c r="W695" s="5">
        <f>O695-(P695+R695)</f>
        <v/>
      </c>
      <c r="X695" s="5">
        <f>O695-(P695+Q695+R695)</f>
        <v/>
      </c>
    </row>
    <row r="696">
      <c r="A696" s="2" t="inlineStr">
        <is>
          <t>EJ020424.TXT</t>
        </is>
      </c>
      <c r="B696" s="3" t="inlineStr">
        <is>
          <t>005310</t>
        </is>
      </c>
      <c r="C696" s="3" t="inlineStr">
        <is>
          <t>004256</t>
        </is>
      </c>
      <c r="D696" s="4" t="n">
        <v>45374</v>
      </c>
      <c r="E696" s="2" t="inlineStr">
        <is>
          <t>17:11</t>
        </is>
      </c>
      <c r="F696" s="5" t="n">
        <v>265.83</v>
      </c>
      <c r="G696" s="5" t="n"/>
      <c r="H696" s="5" t="n"/>
      <c r="I696" s="5" t="n"/>
      <c r="J696" s="5" t="n">
        <v>53.17</v>
      </c>
      <c r="K696" s="5" t="n"/>
      <c r="L696" s="5" t="n"/>
      <c r="M696" s="5" t="n"/>
      <c r="N696" s="5" t="n"/>
      <c r="O696" s="5" t="n">
        <v>319</v>
      </c>
      <c r="P696" s="5" t="n"/>
      <c r="Q696" s="5" t="n">
        <v>319</v>
      </c>
      <c r="R696" s="5" t="n"/>
      <c r="S696" s="5">
        <f>F696*20%</f>
        <v/>
      </c>
      <c r="T696" s="5">
        <f>J696-S696</f>
        <v/>
      </c>
      <c r="U696" s="5">
        <f>F696+J696</f>
        <v/>
      </c>
      <c r="V696" s="5">
        <f>O696-U696</f>
        <v/>
      </c>
      <c r="W696" s="5">
        <f>O696-(P696+R696)</f>
        <v/>
      </c>
      <c r="X696" s="5">
        <f>O696-(P696+Q696+R696)</f>
        <v/>
      </c>
    </row>
    <row r="697">
      <c r="A697" s="2" t="inlineStr">
        <is>
          <t>EJ020424.TXT</t>
        </is>
      </c>
      <c r="B697" s="3" t="inlineStr">
        <is>
          <t>005311</t>
        </is>
      </c>
      <c r="C697" s="3" t="inlineStr">
        <is>
          <t>004257</t>
        </is>
      </c>
      <c r="D697" s="4" t="n">
        <v>45379</v>
      </c>
      <c r="E697" s="2" t="inlineStr">
        <is>
          <t>11:26</t>
        </is>
      </c>
      <c r="F697" s="5" t="n">
        <v>208.33</v>
      </c>
      <c r="G697" s="5" t="n"/>
      <c r="H697" s="5" t="n"/>
      <c r="I697" s="5" t="n"/>
      <c r="J697" s="5" t="n">
        <v>41.67</v>
      </c>
      <c r="K697" s="5" t="n"/>
      <c r="L697" s="5" t="n"/>
      <c r="M697" s="5" t="n"/>
      <c r="N697" s="5" t="n"/>
      <c r="O697" s="5" t="n">
        <v>250</v>
      </c>
      <c r="P697" s="5" t="n"/>
      <c r="Q697" s="5" t="n">
        <v>250</v>
      </c>
      <c r="R697" s="5" t="n"/>
      <c r="S697" s="5">
        <f>F697*20%</f>
        <v/>
      </c>
      <c r="T697" s="5">
        <f>J697-S697</f>
        <v/>
      </c>
      <c r="U697" s="5">
        <f>F697+J697</f>
        <v/>
      </c>
      <c r="V697" s="5">
        <f>O697-U697</f>
        <v/>
      </c>
      <c r="W697" s="5">
        <f>O697-(P697+R697)</f>
        <v/>
      </c>
      <c r="X697" s="5">
        <f>O697-(P697+Q697+R697)</f>
        <v/>
      </c>
    </row>
    <row r="698">
      <c r="A698" s="2" t="inlineStr">
        <is>
          <t>EJ020424.TXT</t>
        </is>
      </c>
      <c r="B698" s="3" t="inlineStr">
        <is>
          <t>005312</t>
        </is>
      </c>
      <c r="C698" s="3" t="inlineStr">
        <is>
          <t>004258</t>
        </is>
      </c>
      <c r="D698" s="4" t="n">
        <v>45379</v>
      </c>
      <c r="E698" s="2" t="inlineStr">
        <is>
          <t>15:36</t>
        </is>
      </c>
      <c r="F698" s="5" t="n">
        <v>274.17</v>
      </c>
      <c r="G698" s="5" t="n"/>
      <c r="H698" s="5" t="n"/>
      <c r="I698" s="5" t="n"/>
      <c r="J698" s="5" t="n">
        <v>54.83</v>
      </c>
      <c r="K698" s="5" t="n"/>
      <c r="L698" s="5" t="n"/>
      <c r="M698" s="5" t="n"/>
      <c r="N698" s="5" t="n"/>
      <c r="O698" s="5" t="n">
        <v>329</v>
      </c>
      <c r="P698" s="5" t="n"/>
      <c r="Q698" s="5" t="n">
        <v>329</v>
      </c>
      <c r="R698" s="5" t="n"/>
      <c r="S698" s="5">
        <f>F698*20%</f>
        <v/>
      </c>
      <c r="T698" s="5">
        <f>J698-S698</f>
        <v/>
      </c>
      <c r="U698" s="5">
        <f>F698+J698</f>
        <v/>
      </c>
      <c r="V698" s="5">
        <f>O698-U698</f>
        <v/>
      </c>
      <c r="W698" s="5">
        <f>O698-(P698+R698)</f>
        <v/>
      </c>
      <c r="X698" s="5">
        <f>O698-(P698+Q698+R698)</f>
        <v/>
      </c>
    </row>
    <row r="699">
      <c r="A699" s="2" t="inlineStr">
        <is>
          <t>EJ020424.TXT</t>
        </is>
      </c>
      <c r="B699" s="3" t="inlineStr">
        <is>
          <t>005313</t>
        </is>
      </c>
      <c r="C699" s="3" t="inlineStr">
        <is>
          <t>004259</t>
        </is>
      </c>
      <c r="D699" s="4" t="n">
        <v>45380</v>
      </c>
      <c r="E699" s="2" t="inlineStr">
        <is>
          <t>11:53</t>
        </is>
      </c>
      <c r="F699" s="5" t="n">
        <v>74</v>
      </c>
      <c r="G699" s="5" t="n"/>
      <c r="H699" s="5" t="n"/>
      <c r="I699" s="5" t="n"/>
      <c r="J699" s="5" t="n">
        <v>14.8</v>
      </c>
      <c r="K699" s="5" t="n"/>
      <c r="L699" s="5" t="n"/>
      <c r="M699" s="5" t="n"/>
      <c r="N699" s="5" t="n"/>
      <c r="O699" s="5" t="n">
        <v>88.8</v>
      </c>
      <c r="P699" s="5" t="n"/>
      <c r="Q699" s="5" t="n">
        <v>88.8</v>
      </c>
      <c r="R699" s="5" t="n"/>
      <c r="S699" s="5">
        <f>F699*20%</f>
        <v/>
      </c>
      <c r="T699" s="5">
        <f>J699-S699</f>
        <v/>
      </c>
      <c r="U699" s="5">
        <f>F699+J699</f>
        <v/>
      </c>
      <c r="V699" s="5">
        <f>O699-U699</f>
        <v/>
      </c>
      <c r="W699" s="5">
        <f>O699-(P699+R699)</f>
        <v/>
      </c>
      <c r="X699" s="5">
        <f>O699-(P699+Q699+R699)</f>
        <v/>
      </c>
    </row>
    <row r="700">
      <c r="A700" s="2" t="inlineStr">
        <is>
          <t>EJ020424.TXT</t>
        </is>
      </c>
      <c r="B700" s="3" t="inlineStr">
        <is>
          <t>005314</t>
        </is>
      </c>
      <c r="C700" s="3" t="inlineStr">
        <is>
          <t>004260</t>
        </is>
      </c>
      <c r="D700" s="4" t="n">
        <v>45380</v>
      </c>
      <c r="E700" s="2" t="inlineStr">
        <is>
          <t>17:02</t>
        </is>
      </c>
      <c r="F700" s="5" t="n">
        <v>208.33</v>
      </c>
      <c r="G700" s="5" t="n"/>
      <c r="H700" s="5" t="n"/>
      <c r="I700" s="5" t="n"/>
      <c r="J700" s="5" t="n">
        <v>41.67</v>
      </c>
      <c r="K700" s="5" t="n"/>
      <c r="L700" s="5" t="n"/>
      <c r="M700" s="5" t="n"/>
      <c r="N700" s="5" t="n"/>
      <c r="O700" s="5" t="n">
        <v>250</v>
      </c>
      <c r="P700" s="5" t="n"/>
      <c r="Q700" s="5" t="n">
        <v>250</v>
      </c>
      <c r="R700" s="5" t="n"/>
      <c r="S700" s="5">
        <f>F700*20%</f>
        <v/>
      </c>
      <c r="T700" s="5">
        <f>J700-S700</f>
        <v/>
      </c>
      <c r="U700" s="5">
        <f>F700+J700</f>
        <v/>
      </c>
      <c r="V700" s="5">
        <f>O700-U700</f>
        <v/>
      </c>
      <c r="W700" s="5">
        <f>O700-(P700+R700)</f>
        <v/>
      </c>
      <c r="X700" s="5">
        <f>O700-(P700+Q700+R700)</f>
        <v/>
      </c>
    </row>
    <row r="701">
      <c r="A701" s="2" t="inlineStr">
        <is>
          <t>EJ020424.TXT</t>
        </is>
      </c>
      <c r="B701" s="3" t="inlineStr">
        <is>
          <t>005315</t>
        </is>
      </c>
      <c r="C701" s="3" t="inlineStr">
        <is>
          <t>004261</t>
        </is>
      </c>
      <c r="D701" s="4" t="n">
        <v>45381</v>
      </c>
      <c r="E701" s="2" t="inlineStr">
        <is>
          <t>15:02</t>
        </is>
      </c>
      <c r="F701" s="5" t="n">
        <v>822.5</v>
      </c>
      <c r="G701" s="5" t="n"/>
      <c r="H701" s="5" t="n"/>
      <c r="I701" s="5" t="n"/>
      <c r="J701" s="5" t="n">
        <v>164.5</v>
      </c>
      <c r="K701" s="5" t="n"/>
      <c r="L701" s="5" t="n"/>
      <c r="M701" s="5" t="n"/>
      <c r="N701" s="5" t="n"/>
      <c r="O701" s="5" t="n">
        <v>987</v>
      </c>
      <c r="P701" s="5" t="n"/>
      <c r="Q701" s="5" t="n">
        <v>987</v>
      </c>
      <c r="R701" s="5" t="n"/>
      <c r="S701" s="5">
        <f>F701*20%</f>
        <v/>
      </c>
      <c r="T701" s="5">
        <f>J701-S701</f>
        <v/>
      </c>
      <c r="U701" s="5">
        <f>F701+J701</f>
        <v/>
      </c>
      <c r="V701" s="5">
        <f>O701-U701</f>
        <v/>
      </c>
      <c r="W701" s="5">
        <f>O701-(P701+R701)</f>
        <v/>
      </c>
      <c r="X701" s="5">
        <f>O701-(P701+Q701+R701)</f>
        <v/>
      </c>
    </row>
    <row r="702">
      <c r="A702" s="2" t="inlineStr">
        <is>
          <t>EJ020424.TXT</t>
        </is>
      </c>
      <c r="B702" s="3" t="inlineStr">
        <is>
          <t>005316</t>
        </is>
      </c>
      <c r="C702" s="3" t="inlineStr">
        <is>
          <t>004262</t>
        </is>
      </c>
      <c r="D702" s="4" t="n">
        <v>45381</v>
      </c>
      <c r="E702" s="2" t="inlineStr">
        <is>
          <t>15:03</t>
        </is>
      </c>
      <c r="F702" s="5" t="n">
        <v>548.33</v>
      </c>
      <c r="G702" s="5" t="n"/>
      <c r="H702" s="5" t="n"/>
      <c r="I702" s="5" t="n"/>
      <c r="J702" s="5" t="n">
        <v>109.67</v>
      </c>
      <c r="K702" s="5" t="n"/>
      <c r="L702" s="5" t="n"/>
      <c r="M702" s="5" t="n"/>
      <c r="N702" s="5" t="n"/>
      <c r="O702" s="5" t="n">
        <v>658</v>
      </c>
      <c r="P702" s="5" t="n"/>
      <c r="Q702" s="5" t="n">
        <v>658</v>
      </c>
      <c r="R702" s="5" t="n"/>
      <c r="S702" s="5">
        <f>F702*20%</f>
        <v/>
      </c>
      <c r="T702" s="5">
        <f>J702-S702</f>
        <v/>
      </c>
      <c r="U702" s="5">
        <f>F702+J702</f>
        <v/>
      </c>
      <c r="V702" s="5">
        <f>O702-U702</f>
        <v/>
      </c>
      <c r="W702" s="5">
        <f>O702-(P702+R702)</f>
        <v/>
      </c>
      <c r="X702" s="5">
        <f>O702-(P702+Q702+R702)</f>
        <v/>
      </c>
    </row>
    <row r="703">
      <c r="A703" s="2" t="inlineStr">
        <is>
          <t>EJ020424.TXT</t>
        </is>
      </c>
      <c r="B703" s="3" t="inlineStr">
        <is>
          <t>005317</t>
        </is>
      </c>
      <c r="C703" s="3" t="inlineStr">
        <is>
          <t>004263</t>
        </is>
      </c>
      <c r="D703" s="4" t="n">
        <v>45381</v>
      </c>
      <c r="E703" s="2" t="inlineStr">
        <is>
          <t>15:03</t>
        </is>
      </c>
      <c r="F703" s="5" t="n">
        <v>274.17</v>
      </c>
      <c r="G703" s="5" t="n"/>
      <c r="H703" s="5" t="n"/>
      <c r="I703" s="5" t="n"/>
      <c r="J703" s="5" t="n">
        <v>54.83</v>
      </c>
      <c r="K703" s="5" t="n"/>
      <c r="L703" s="5" t="n"/>
      <c r="M703" s="5" t="n"/>
      <c r="N703" s="5" t="n"/>
      <c r="O703" s="5" t="n">
        <v>329</v>
      </c>
      <c r="P703" s="5" t="n"/>
      <c r="Q703" s="5" t="n">
        <v>329</v>
      </c>
      <c r="R703" s="5" t="n"/>
      <c r="S703" s="5">
        <f>F703*20%</f>
        <v/>
      </c>
      <c r="T703" s="5">
        <f>J703-S703</f>
        <v/>
      </c>
      <c r="U703" s="5">
        <f>F703+J703</f>
        <v/>
      </c>
      <c r="V703" s="5">
        <f>O703-U703</f>
        <v/>
      </c>
      <c r="W703" s="5">
        <f>O703-(P703+R703)</f>
        <v/>
      </c>
      <c r="X703" s="5">
        <f>O703-(P703+Q703+R703)</f>
        <v/>
      </c>
    </row>
    <row r="704">
      <c r="A704" s="2" t="inlineStr">
        <is>
          <t>EJ020424.TXT</t>
        </is>
      </c>
      <c r="B704" s="3" t="inlineStr">
        <is>
          <t>005318</t>
        </is>
      </c>
      <c r="C704" s="3" t="inlineStr">
        <is>
          <t>004264</t>
        </is>
      </c>
      <c r="D704" s="4" t="n">
        <v>45381</v>
      </c>
      <c r="E704" s="2" t="inlineStr">
        <is>
          <t>15:03</t>
        </is>
      </c>
      <c r="F704" s="5" t="n">
        <v>548.33</v>
      </c>
      <c r="G704" s="5" t="n"/>
      <c r="H704" s="5" t="n"/>
      <c r="I704" s="5" t="n"/>
      <c r="J704" s="5" t="n">
        <v>109.67</v>
      </c>
      <c r="K704" s="5" t="n"/>
      <c r="L704" s="5" t="n"/>
      <c r="M704" s="5" t="n"/>
      <c r="N704" s="5" t="n"/>
      <c r="O704" s="5" t="n">
        <v>658</v>
      </c>
      <c r="P704" s="5" t="n"/>
      <c r="Q704" s="5" t="n">
        <v>658</v>
      </c>
      <c r="R704" s="5" t="n"/>
      <c r="S704" s="5">
        <f>F704*20%</f>
        <v/>
      </c>
      <c r="T704" s="5">
        <f>J704-S704</f>
        <v/>
      </c>
      <c r="U704" s="5">
        <f>F704+J704</f>
        <v/>
      </c>
      <c r="V704" s="5">
        <f>O704-U704</f>
        <v/>
      </c>
      <c r="W704" s="5">
        <f>O704-(P704+R704)</f>
        <v/>
      </c>
      <c r="X704" s="5">
        <f>O704-(P704+Q704+R704)</f>
        <v/>
      </c>
    </row>
    <row r="705">
      <c r="A705" s="2" t="inlineStr">
        <is>
          <t>EJ020424.TXT</t>
        </is>
      </c>
      <c r="B705" s="3" t="inlineStr">
        <is>
          <t>005319</t>
        </is>
      </c>
      <c r="C705" s="3" t="inlineStr">
        <is>
          <t>004265</t>
        </is>
      </c>
      <c r="D705" s="4" t="n">
        <v>45381</v>
      </c>
      <c r="E705" s="2" t="inlineStr">
        <is>
          <t>15:04</t>
        </is>
      </c>
      <c r="F705" s="5" t="n">
        <v>274.17</v>
      </c>
      <c r="G705" s="5" t="n"/>
      <c r="H705" s="5" t="n"/>
      <c r="I705" s="5" t="n"/>
      <c r="J705" s="5" t="n">
        <v>54.83</v>
      </c>
      <c r="K705" s="5" t="n"/>
      <c r="L705" s="5" t="n"/>
      <c r="M705" s="5" t="n"/>
      <c r="N705" s="5" t="n"/>
      <c r="O705" s="5" t="n">
        <v>329</v>
      </c>
      <c r="P705" s="5" t="n"/>
      <c r="Q705" s="5" t="n">
        <v>329</v>
      </c>
      <c r="R705" s="5" t="n"/>
      <c r="S705" s="5">
        <f>F705*20%</f>
        <v/>
      </c>
      <c r="T705" s="5">
        <f>J705-S705</f>
        <v/>
      </c>
      <c r="U705" s="5">
        <f>F705+J705</f>
        <v/>
      </c>
      <c r="V705" s="5">
        <f>O705-U705</f>
        <v/>
      </c>
      <c r="W705" s="5">
        <f>O705-(P705+R705)</f>
        <v/>
      </c>
      <c r="X705" s="5">
        <f>O705-(P705+Q705+R705)</f>
        <v/>
      </c>
    </row>
    <row r="706">
      <c r="A706" s="2" t="inlineStr">
        <is>
          <t>EJ020424.TXT</t>
        </is>
      </c>
      <c r="B706" s="3" t="inlineStr">
        <is>
          <t>005320</t>
        </is>
      </c>
      <c r="C706" s="3" t="inlineStr">
        <is>
          <t>004266</t>
        </is>
      </c>
      <c r="D706" s="4" t="n">
        <v>45381</v>
      </c>
      <c r="E706" s="2" t="inlineStr">
        <is>
          <t>15:04</t>
        </is>
      </c>
      <c r="F706" s="5" t="n">
        <v>548.33</v>
      </c>
      <c r="G706" s="5" t="n"/>
      <c r="H706" s="5" t="n"/>
      <c r="I706" s="5" t="n"/>
      <c r="J706" s="5" t="n">
        <v>109.67</v>
      </c>
      <c r="K706" s="5" t="n"/>
      <c r="L706" s="5" t="n"/>
      <c r="M706" s="5" t="n"/>
      <c r="N706" s="5" t="n"/>
      <c r="O706" s="5" t="n">
        <v>658</v>
      </c>
      <c r="P706" s="5" t="n"/>
      <c r="Q706" s="5" t="n">
        <v>658</v>
      </c>
      <c r="R706" s="5" t="n"/>
      <c r="S706" s="5">
        <f>F706*20%</f>
        <v/>
      </c>
      <c r="T706" s="5">
        <f>J706-S706</f>
        <v/>
      </c>
      <c r="U706" s="5">
        <f>F706+J706</f>
        <v/>
      </c>
      <c r="V706" s="5">
        <f>O706-U706</f>
        <v/>
      </c>
      <c r="W706" s="5">
        <f>O706-(P706+R706)</f>
        <v/>
      </c>
      <c r="X706" s="5">
        <f>O706-(P706+Q706+R706)</f>
        <v/>
      </c>
    </row>
    <row r="707">
      <c r="A707" s="2" t="inlineStr">
        <is>
          <t>EJ020424.TXT</t>
        </is>
      </c>
      <c r="B707" s="3" t="inlineStr">
        <is>
          <t>005321</t>
        </is>
      </c>
      <c r="C707" s="3" t="inlineStr">
        <is>
          <t>004267</t>
        </is>
      </c>
      <c r="D707" s="4" t="n">
        <v>45381</v>
      </c>
      <c r="E707" s="2" t="inlineStr">
        <is>
          <t>15:04</t>
        </is>
      </c>
      <c r="F707" s="5" t="n">
        <v>274.17</v>
      </c>
      <c r="G707" s="5" t="n"/>
      <c r="H707" s="5" t="n"/>
      <c r="I707" s="5" t="n"/>
      <c r="J707" s="5" t="n">
        <v>54.83</v>
      </c>
      <c r="K707" s="5" t="n"/>
      <c r="L707" s="5" t="n"/>
      <c r="M707" s="5" t="n"/>
      <c r="N707" s="5" t="n"/>
      <c r="O707" s="5" t="n">
        <v>329</v>
      </c>
      <c r="P707" s="5" t="n"/>
      <c r="Q707" s="5" t="n">
        <v>329</v>
      </c>
      <c r="R707" s="5" t="n"/>
      <c r="S707" s="5">
        <f>F707*20%</f>
        <v/>
      </c>
      <c r="T707" s="5">
        <f>J707-S707</f>
        <v/>
      </c>
      <c r="U707" s="5">
        <f>F707+J707</f>
        <v/>
      </c>
      <c r="V707" s="5">
        <f>O707-U707</f>
        <v/>
      </c>
      <c r="W707" s="5">
        <f>O707-(P707+R707)</f>
        <v/>
      </c>
      <c r="X707" s="5">
        <f>O707-(P707+Q707+R707)</f>
        <v/>
      </c>
    </row>
    <row r="708">
      <c r="A708" s="2" t="inlineStr">
        <is>
          <t>EJ020424.TXT</t>
        </is>
      </c>
      <c r="B708" s="3" t="inlineStr">
        <is>
          <t>005322</t>
        </is>
      </c>
      <c r="C708" s="3" t="inlineStr">
        <is>
          <t>004268</t>
        </is>
      </c>
      <c r="D708" s="4" t="n">
        <v>45381</v>
      </c>
      <c r="E708" s="2" t="inlineStr">
        <is>
          <t>15:05</t>
        </is>
      </c>
      <c r="F708" s="5" t="n">
        <v>822.5</v>
      </c>
      <c r="G708" s="5" t="n"/>
      <c r="H708" s="5" t="n"/>
      <c r="I708" s="5" t="n"/>
      <c r="J708" s="5" t="n">
        <v>164.5</v>
      </c>
      <c r="K708" s="5" t="n"/>
      <c r="L708" s="5" t="n"/>
      <c r="M708" s="5" t="n"/>
      <c r="N708" s="5" t="n"/>
      <c r="O708" s="5" t="n">
        <v>987</v>
      </c>
      <c r="P708" s="5" t="n"/>
      <c r="Q708" s="5" t="n">
        <v>987</v>
      </c>
      <c r="R708" s="5" t="n"/>
      <c r="S708" s="5">
        <f>F708*20%</f>
        <v/>
      </c>
      <c r="T708" s="5">
        <f>J708-S708</f>
        <v/>
      </c>
      <c r="U708" s="5">
        <f>F708+J708</f>
        <v/>
      </c>
      <c r="V708" s="5">
        <f>O708-U708</f>
        <v/>
      </c>
      <c r="W708" s="5">
        <f>O708-(P708+R708)</f>
        <v/>
      </c>
      <c r="X708" s="5">
        <f>O708-(P708+Q708+R708)</f>
        <v/>
      </c>
    </row>
    <row r="709">
      <c r="A709" s="2" t="inlineStr">
        <is>
          <t>EJ020424.TXT</t>
        </is>
      </c>
      <c r="B709" s="3" t="inlineStr">
        <is>
          <t>005323</t>
        </is>
      </c>
      <c r="C709" s="3" t="inlineStr">
        <is>
          <t>004269</t>
        </is>
      </c>
      <c r="D709" s="4" t="n">
        <v>45381</v>
      </c>
      <c r="E709" s="2" t="inlineStr">
        <is>
          <t>15:05</t>
        </is>
      </c>
      <c r="F709" s="5" t="n">
        <v>822.5</v>
      </c>
      <c r="G709" s="5" t="n"/>
      <c r="H709" s="5" t="n"/>
      <c r="I709" s="5" t="n"/>
      <c r="J709" s="5" t="n">
        <v>164.5</v>
      </c>
      <c r="K709" s="5" t="n"/>
      <c r="L709" s="5" t="n"/>
      <c r="M709" s="5" t="n"/>
      <c r="N709" s="5" t="n"/>
      <c r="O709" s="5" t="n">
        <v>987</v>
      </c>
      <c r="P709" s="5" t="n"/>
      <c r="Q709" s="5" t="n">
        <v>987</v>
      </c>
      <c r="R709" s="5" t="n"/>
      <c r="S709" s="5">
        <f>F709*20%</f>
        <v/>
      </c>
      <c r="T709" s="5">
        <f>J709-S709</f>
        <v/>
      </c>
      <c r="U709" s="5">
        <f>F709+J709</f>
        <v/>
      </c>
      <c r="V709" s="5">
        <f>O709-U709</f>
        <v/>
      </c>
      <c r="W709" s="5">
        <f>O709-(P709+R709)</f>
        <v/>
      </c>
      <c r="X709" s="5">
        <f>O709-(P709+Q709+R709)</f>
        <v/>
      </c>
    </row>
    <row r="710">
      <c r="A710" s="2" t="inlineStr">
        <is>
          <t>EJ020424.TXT</t>
        </is>
      </c>
      <c r="B710" s="3" t="inlineStr">
        <is>
          <t>005324</t>
        </is>
      </c>
      <c r="C710" s="3" t="inlineStr">
        <is>
          <t>004270</t>
        </is>
      </c>
      <c r="D710" s="4" t="n">
        <v>45381</v>
      </c>
      <c r="E710" s="2" t="inlineStr">
        <is>
          <t>17:42</t>
        </is>
      </c>
      <c r="F710" s="5" t="n">
        <v>58.25</v>
      </c>
      <c r="G710" s="5" t="n"/>
      <c r="H710" s="5" t="n"/>
      <c r="I710" s="5" t="n"/>
      <c r="J710" s="5" t="n">
        <v>11.65</v>
      </c>
      <c r="K710" s="5" t="n"/>
      <c r="L710" s="5" t="n"/>
      <c r="M710" s="5" t="n"/>
      <c r="N710" s="5" t="n"/>
      <c r="O710" s="5" t="n">
        <v>69.90000000000001</v>
      </c>
      <c r="P710" s="5" t="n"/>
      <c r="Q710" s="5" t="n">
        <v>69.90000000000001</v>
      </c>
      <c r="R710" s="5" t="n"/>
      <c r="S710" s="5">
        <f>F710*20%</f>
        <v/>
      </c>
      <c r="T710" s="5">
        <f>J710-S710</f>
        <v/>
      </c>
      <c r="U710" s="5">
        <f>F710+J710</f>
        <v/>
      </c>
      <c r="V710" s="5">
        <f>O710-U710</f>
        <v/>
      </c>
      <c r="W710" s="5">
        <f>O710-(P710+R710)</f>
        <v/>
      </c>
      <c r="X710" s="5">
        <f>O710-(P710+Q710+R710)</f>
        <v/>
      </c>
    </row>
    <row r="711">
      <c r="A711" s="2" t="inlineStr">
        <is>
          <t>EJ020424.TXT</t>
        </is>
      </c>
      <c r="B711" s="3" t="inlineStr">
        <is>
          <t>005325</t>
        </is>
      </c>
      <c r="C711" s="3" t="inlineStr">
        <is>
          <t>004271</t>
        </is>
      </c>
      <c r="D711" s="4" t="n">
        <v>45381</v>
      </c>
      <c r="E711" s="2" t="inlineStr">
        <is>
          <t>17:47</t>
        </is>
      </c>
      <c r="F711" s="5" t="n">
        <v>94.92</v>
      </c>
      <c r="G711" s="5" t="n"/>
      <c r="H711" s="5" t="n"/>
      <c r="I711" s="5" t="n"/>
      <c r="J711" s="5" t="n">
        <v>18.98</v>
      </c>
      <c r="K711" s="5" t="n"/>
      <c r="L711" s="5" t="n"/>
      <c r="M711" s="5" t="n"/>
      <c r="N711" s="5" t="n"/>
      <c r="O711" s="5" t="n">
        <v>113.9</v>
      </c>
      <c r="P711" s="5" t="n"/>
      <c r="Q711" s="5" t="n">
        <v>113.9</v>
      </c>
      <c r="R711" s="5" t="n"/>
      <c r="S711" s="5">
        <f>F711*20%</f>
        <v/>
      </c>
      <c r="T711" s="5">
        <f>J711-S711</f>
        <v/>
      </c>
      <c r="U711" s="5">
        <f>F711+J711</f>
        <v/>
      </c>
      <c r="V711" s="5">
        <f>O711-U711</f>
        <v/>
      </c>
      <c r="W711" s="5">
        <f>O711-(P711+R711)</f>
        <v/>
      </c>
      <c r="X711" s="5">
        <f>O711-(P711+Q711+R711)</f>
        <v/>
      </c>
    </row>
    <row r="712">
      <c r="A712" s="2" t="inlineStr">
        <is>
          <t>EJ300424.TXT</t>
        </is>
      </c>
      <c r="B712" s="3" t="inlineStr">
        <is>
          <t>005333</t>
        </is>
      </c>
      <c r="C712" s="3" t="inlineStr">
        <is>
          <t>004272</t>
        </is>
      </c>
      <c r="D712" s="4" t="n">
        <v>45385</v>
      </c>
      <c r="E712" s="2" t="inlineStr">
        <is>
          <t>09:59</t>
        </is>
      </c>
      <c r="F712" s="5" t="n">
        <v>582.5</v>
      </c>
      <c r="G712" s="5" t="n"/>
      <c r="H712" s="5" t="n"/>
      <c r="I712" s="5" t="n"/>
      <c r="J712" s="5" t="n">
        <v>116.5</v>
      </c>
      <c r="K712" s="5" t="n"/>
      <c r="L712" s="5" t="n"/>
      <c r="M712" s="5" t="n"/>
      <c r="N712" s="5" t="n"/>
      <c r="O712" s="5" t="n">
        <v>699</v>
      </c>
      <c r="P712" s="5" t="n">
        <v>699</v>
      </c>
      <c r="Q712" s="5" t="n"/>
      <c r="R712" s="5" t="n"/>
      <c r="S712" s="5">
        <f>F712*20%</f>
        <v/>
      </c>
      <c r="T712" s="5">
        <f>J712-S712</f>
        <v/>
      </c>
      <c r="U712" s="5">
        <f>F712+J712</f>
        <v/>
      </c>
      <c r="V712" s="5">
        <f>O712-U712</f>
        <v/>
      </c>
      <c r="W712" s="5">
        <f>O712-(P712+R712)</f>
        <v/>
      </c>
      <c r="X712" s="5">
        <f>O712-(P712+Q712+R712)</f>
        <v/>
      </c>
    </row>
    <row r="713">
      <c r="A713" s="2" t="inlineStr">
        <is>
          <t>EJ300424.TXT</t>
        </is>
      </c>
      <c r="B713" s="3" t="inlineStr">
        <is>
          <t>005334</t>
        </is>
      </c>
      <c r="C713" s="3" t="inlineStr">
        <is>
          <t>004273</t>
        </is>
      </c>
      <c r="D713" s="4" t="n">
        <v>45385</v>
      </c>
      <c r="E713" s="2" t="inlineStr">
        <is>
          <t>14:26</t>
        </is>
      </c>
      <c r="F713" s="5" t="n">
        <v>548.33</v>
      </c>
      <c r="G713" s="5" t="n"/>
      <c r="H713" s="5" t="n"/>
      <c r="I713" s="5" t="n"/>
      <c r="J713" s="5" t="n">
        <v>109.67</v>
      </c>
      <c r="K713" s="5" t="n"/>
      <c r="L713" s="5" t="n"/>
      <c r="M713" s="5" t="n"/>
      <c r="N713" s="5" t="n"/>
      <c r="O713" s="5" t="n">
        <v>658</v>
      </c>
      <c r="P713" s="5" t="n">
        <v>658</v>
      </c>
      <c r="Q713" s="5" t="n"/>
      <c r="R713" s="5" t="n"/>
      <c r="S713" s="5">
        <f>F713*20%</f>
        <v/>
      </c>
      <c r="T713" s="5">
        <f>J713-S713</f>
        <v/>
      </c>
      <c r="U713" s="5">
        <f>F713+J713</f>
        <v/>
      </c>
      <c r="V713" s="5">
        <f>O713-U713</f>
        <v/>
      </c>
      <c r="W713" s="5">
        <f>O713-(P713+R713)</f>
        <v/>
      </c>
      <c r="X713" s="5">
        <f>O713-(P713+Q713+R713)</f>
        <v/>
      </c>
    </row>
    <row r="714">
      <c r="A714" s="2" t="inlineStr">
        <is>
          <t>EJ300424.TXT</t>
        </is>
      </c>
      <c r="B714" s="3" t="inlineStr">
        <is>
          <t>005335</t>
        </is>
      </c>
      <c r="C714" s="3" t="inlineStr">
        <is>
          <t>004274</t>
        </is>
      </c>
      <c r="D714" s="4" t="n">
        <v>45386</v>
      </c>
      <c r="E714" s="2" t="inlineStr">
        <is>
          <t>15:16</t>
        </is>
      </c>
      <c r="F714" s="5" t="n">
        <v>41.58</v>
      </c>
      <c r="G714" s="5" t="n"/>
      <c r="H714" s="5" t="n"/>
      <c r="I714" s="5" t="n"/>
      <c r="J714" s="5" t="n">
        <v>8.32</v>
      </c>
      <c r="K714" s="5" t="n"/>
      <c r="L714" s="5" t="n"/>
      <c r="M714" s="5" t="n"/>
      <c r="N714" s="5" t="n"/>
      <c r="O714" s="5" t="n">
        <v>49.9</v>
      </c>
      <c r="P714" s="5" t="n">
        <v>49.9</v>
      </c>
      <c r="Q714" s="5" t="n"/>
      <c r="R714" s="5" t="n"/>
      <c r="S714" s="5">
        <f>F714*20%</f>
        <v/>
      </c>
      <c r="T714" s="5">
        <f>J714-S714</f>
        <v/>
      </c>
      <c r="U714" s="5">
        <f>F714+J714</f>
        <v/>
      </c>
      <c r="V714" s="5">
        <f>O714-U714</f>
        <v/>
      </c>
      <c r="W714" s="5">
        <f>O714-(P714+R714)</f>
        <v/>
      </c>
      <c r="X714" s="5">
        <f>O714-(P714+Q714+R714)</f>
        <v/>
      </c>
    </row>
    <row r="715">
      <c r="A715" s="2" t="inlineStr">
        <is>
          <t>EJ300424.TXT</t>
        </is>
      </c>
      <c r="B715" s="3" t="inlineStr">
        <is>
          <t>005336</t>
        </is>
      </c>
      <c r="C715" s="3" t="inlineStr">
        <is>
          <t>004275</t>
        </is>
      </c>
      <c r="D715" s="4" t="n">
        <v>45387</v>
      </c>
      <c r="E715" s="2" t="inlineStr">
        <is>
          <t>15:45</t>
        </is>
      </c>
      <c r="F715" s="5" t="n">
        <v>208.33</v>
      </c>
      <c r="G715" s="5" t="n"/>
      <c r="H715" s="5" t="n"/>
      <c r="I715" s="5" t="n"/>
      <c r="J715" s="5" t="n">
        <v>41.67</v>
      </c>
      <c r="K715" s="5" t="n"/>
      <c r="L715" s="5" t="n"/>
      <c r="M715" s="5" t="n"/>
      <c r="N715" s="5" t="n"/>
      <c r="O715" s="5" t="n">
        <v>250</v>
      </c>
      <c r="P715" s="5" t="n"/>
      <c r="Q715" s="5" t="n">
        <v>250</v>
      </c>
      <c r="R715" s="5" t="n"/>
      <c r="S715" s="5">
        <f>F715*20%</f>
        <v/>
      </c>
      <c r="T715" s="5">
        <f>J715-S715</f>
        <v/>
      </c>
      <c r="U715" s="5">
        <f>F715+J715</f>
        <v/>
      </c>
      <c r="V715" s="5">
        <f>O715-U715</f>
        <v/>
      </c>
      <c r="W715" s="5">
        <f>O715-(P715+R715)</f>
        <v/>
      </c>
      <c r="X715" s="5">
        <f>O715-(P715+Q715+R715)</f>
        <v/>
      </c>
    </row>
    <row r="716">
      <c r="A716" s="2" t="inlineStr">
        <is>
          <t>EJ300424.TXT</t>
        </is>
      </c>
      <c r="B716" s="3" t="inlineStr">
        <is>
          <t>005337</t>
        </is>
      </c>
      <c r="C716" s="3" t="inlineStr">
        <is>
          <t>004276</t>
        </is>
      </c>
      <c r="D716" s="4" t="n">
        <v>45388</v>
      </c>
      <c r="E716" s="2" t="inlineStr">
        <is>
          <t>15:32</t>
        </is>
      </c>
      <c r="F716" s="5" t="n">
        <v>274.17</v>
      </c>
      <c r="G716" s="5" t="n"/>
      <c r="H716" s="5" t="n"/>
      <c r="I716" s="5" t="n"/>
      <c r="J716" s="5" t="n">
        <v>54.83</v>
      </c>
      <c r="K716" s="5" t="n"/>
      <c r="L716" s="5" t="n"/>
      <c r="M716" s="5" t="n"/>
      <c r="N716" s="5" t="n"/>
      <c r="O716" s="5" t="n">
        <v>329</v>
      </c>
      <c r="P716" s="5" t="n"/>
      <c r="Q716" s="5" t="n">
        <v>329</v>
      </c>
      <c r="R716" s="5" t="n"/>
      <c r="S716" s="5">
        <f>F716*20%</f>
        <v/>
      </c>
      <c r="T716" s="5">
        <f>J716-S716</f>
        <v/>
      </c>
      <c r="U716" s="5">
        <f>F716+J716</f>
        <v/>
      </c>
      <c r="V716" s="5">
        <f>O716-U716</f>
        <v/>
      </c>
      <c r="W716" s="5">
        <f>O716-(P716+R716)</f>
        <v/>
      </c>
      <c r="X716" s="5">
        <f>O716-(P716+Q716+R716)</f>
        <v/>
      </c>
    </row>
    <row r="717">
      <c r="A717" s="2" t="inlineStr">
        <is>
          <t>EJ300424.TXT</t>
        </is>
      </c>
      <c r="B717" s="3" t="inlineStr">
        <is>
          <t>005338</t>
        </is>
      </c>
      <c r="C717" s="3" t="inlineStr">
        <is>
          <t>004277</t>
        </is>
      </c>
      <c r="D717" s="4" t="n">
        <v>45390</v>
      </c>
      <c r="E717" s="2" t="inlineStr">
        <is>
          <t>11:59</t>
        </is>
      </c>
      <c r="F717" s="5" t="n">
        <v>465</v>
      </c>
      <c r="G717" s="5" t="n"/>
      <c r="H717" s="5" t="n"/>
      <c r="I717" s="5" t="n"/>
      <c r="J717" s="5" t="n">
        <v>93</v>
      </c>
      <c r="K717" s="5" t="n"/>
      <c r="L717" s="5" t="n"/>
      <c r="M717" s="5" t="n"/>
      <c r="N717" s="5" t="n"/>
      <c r="O717" s="5" t="n">
        <v>558</v>
      </c>
      <c r="P717" s="5" t="n"/>
      <c r="Q717" s="5" t="n">
        <v>558</v>
      </c>
      <c r="R717" s="5" t="n"/>
      <c r="S717" s="5">
        <f>F717*20%</f>
        <v/>
      </c>
      <c r="T717" s="5">
        <f>J717-S717</f>
        <v/>
      </c>
      <c r="U717" s="5">
        <f>F717+J717</f>
        <v/>
      </c>
      <c r="V717" s="5">
        <f>O717-U717</f>
        <v/>
      </c>
      <c r="W717" s="5">
        <f>O717-(P717+R717)</f>
        <v/>
      </c>
      <c r="X717" s="5">
        <f>O717-(P717+Q717+R717)</f>
        <v/>
      </c>
    </row>
    <row r="718">
      <c r="A718" s="2" t="inlineStr">
        <is>
          <t>EJ300424.TXT</t>
        </is>
      </c>
      <c r="B718" s="3" t="inlineStr">
        <is>
          <t>005339</t>
        </is>
      </c>
      <c r="C718" s="3" t="inlineStr">
        <is>
          <t>004278</t>
        </is>
      </c>
      <c r="D718" s="4" t="n">
        <v>45392</v>
      </c>
      <c r="E718" s="2" t="inlineStr">
        <is>
          <t>09:38</t>
        </is>
      </c>
      <c r="F718" s="5" t="n">
        <v>548.33</v>
      </c>
      <c r="G718" s="5" t="n"/>
      <c r="H718" s="5" t="n"/>
      <c r="I718" s="5" t="n"/>
      <c r="J718" s="5" t="n">
        <v>109.67</v>
      </c>
      <c r="K718" s="5" t="n"/>
      <c r="L718" s="5" t="n"/>
      <c r="M718" s="5" t="n"/>
      <c r="N718" s="5" t="n"/>
      <c r="O718" s="5" t="n">
        <v>658</v>
      </c>
      <c r="P718" s="5" t="n">
        <v>658</v>
      </c>
      <c r="Q718" s="5" t="n"/>
      <c r="R718" s="5" t="n"/>
      <c r="S718" s="5">
        <f>F718*20%</f>
        <v/>
      </c>
      <c r="T718" s="5">
        <f>J718-S718</f>
        <v/>
      </c>
      <c r="U718" s="5">
        <f>F718+J718</f>
        <v/>
      </c>
      <c r="V718" s="5">
        <f>O718-U718</f>
        <v/>
      </c>
      <c r="W718" s="5">
        <f>O718-(P718+R718)</f>
        <v/>
      </c>
      <c r="X718" s="5">
        <f>O718-(P718+Q718+R718)</f>
        <v/>
      </c>
    </row>
    <row r="719">
      <c r="A719" s="2" t="inlineStr">
        <is>
          <t>EJ300424.TXT</t>
        </is>
      </c>
      <c r="B719" s="3" t="inlineStr">
        <is>
          <t>005340</t>
        </is>
      </c>
      <c r="C719" s="3" t="inlineStr">
        <is>
          <t>004279</t>
        </is>
      </c>
      <c r="D719" s="4" t="n">
        <v>45394</v>
      </c>
      <c r="E719" s="2" t="inlineStr">
        <is>
          <t>16:47</t>
        </is>
      </c>
      <c r="F719" s="5" t="n">
        <v>199.17</v>
      </c>
      <c r="G719" s="5" t="n"/>
      <c r="H719" s="5" t="n"/>
      <c r="I719" s="5" t="n"/>
      <c r="J719" s="5" t="n">
        <v>39.83</v>
      </c>
      <c r="K719" s="5" t="n"/>
      <c r="L719" s="5" t="n"/>
      <c r="M719" s="5" t="n"/>
      <c r="N719" s="5" t="n"/>
      <c r="O719" s="5" t="n">
        <v>239</v>
      </c>
      <c r="P719" s="5" t="n"/>
      <c r="Q719" s="5" t="n">
        <v>239</v>
      </c>
      <c r="R719" s="5" t="n"/>
      <c r="S719" s="5">
        <f>F719*20%</f>
        <v/>
      </c>
      <c r="T719" s="5">
        <f>J719-S719</f>
        <v/>
      </c>
      <c r="U719" s="5">
        <f>F719+J719</f>
        <v/>
      </c>
      <c r="V719" s="5">
        <f>O719-U719</f>
        <v/>
      </c>
      <c r="W719" s="5">
        <f>O719-(P719+R719)</f>
        <v/>
      </c>
      <c r="X719" s="5">
        <f>O719-(P719+Q719+R719)</f>
        <v/>
      </c>
    </row>
    <row r="720">
      <c r="A720" s="2" t="inlineStr">
        <is>
          <t>EJ300424.TXT</t>
        </is>
      </c>
      <c r="B720" s="3" t="inlineStr">
        <is>
          <t>005341</t>
        </is>
      </c>
      <c r="C720" s="3" t="inlineStr">
        <is>
          <t>004280</t>
        </is>
      </c>
      <c r="D720" s="4" t="n">
        <v>45395</v>
      </c>
      <c r="E720" s="2" t="inlineStr">
        <is>
          <t>13:46</t>
        </is>
      </c>
      <c r="F720" s="5" t="n">
        <v>274.17</v>
      </c>
      <c r="G720" s="5" t="n"/>
      <c r="H720" s="5" t="n"/>
      <c r="I720" s="5" t="n"/>
      <c r="J720" s="5" t="n">
        <v>54.83</v>
      </c>
      <c r="K720" s="5" t="n"/>
      <c r="L720" s="5" t="n"/>
      <c r="M720" s="5" t="n"/>
      <c r="N720" s="5" t="n"/>
      <c r="O720" s="5" t="n">
        <v>329</v>
      </c>
      <c r="P720" s="5" t="n"/>
      <c r="Q720" s="5" t="n">
        <v>329</v>
      </c>
      <c r="R720" s="5" t="n"/>
      <c r="S720" s="5">
        <f>F720*20%</f>
        <v/>
      </c>
      <c r="T720" s="5">
        <f>J720-S720</f>
        <v/>
      </c>
      <c r="U720" s="5">
        <f>F720+J720</f>
        <v/>
      </c>
      <c r="V720" s="5">
        <f>O720-U720</f>
        <v/>
      </c>
      <c r="W720" s="5">
        <f>O720-(P720+R720)</f>
        <v/>
      </c>
      <c r="X720" s="5">
        <f>O720-(P720+Q720+R720)</f>
        <v/>
      </c>
    </row>
    <row r="721">
      <c r="A721" s="2" t="inlineStr">
        <is>
          <t>EJ300424.TXT</t>
        </is>
      </c>
      <c r="B721" s="3" t="inlineStr">
        <is>
          <t>005342</t>
        </is>
      </c>
      <c r="C721" s="3" t="inlineStr">
        <is>
          <t>004281</t>
        </is>
      </c>
      <c r="D721" s="4" t="n">
        <v>45395</v>
      </c>
      <c r="E721" s="2" t="inlineStr">
        <is>
          <t>13:47</t>
        </is>
      </c>
      <c r="F721" s="5" t="n">
        <v>274.17</v>
      </c>
      <c r="G721" s="5" t="n"/>
      <c r="H721" s="5" t="n"/>
      <c r="I721" s="5" t="n"/>
      <c r="J721" s="5" t="n">
        <v>54.83</v>
      </c>
      <c r="K721" s="5" t="n"/>
      <c r="L721" s="5" t="n"/>
      <c r="M721" s="5" t="n"/>
      <c r="N721" s="5" t="n"/>
      <c r="O721" s="5" t="n">
        <v>329</v>
      </c>
      <c r="P721" s="5" t="n">
        <v>329</v>
      </c>
      <c r="Q721" s="5" t="n"/>
      <c r="R721" s="5" t="n"/>
      <c r="S721" s="5">
        <f>F721*20%</f>
        <v/>
      </c>
      <c r="T721" s="5">
        <f>J721-S721</f>
        <v/>
      </c>
      <c r="U721" s="5">
        <f>F721+J721</f>
        <v/>
      </c>
      <c r="V721" s="5">
        <f>O721-U721</f>
        <v/>
      </c>
      <c r="W721" s="5">
        <f>O721-(P721+R721)</f>
        <v/>
      </c>
      <c r="X721" s="5">
        <f>O721-(P721+Q721+R721)</f>
        <v/>
      </c>
    </row>
    <row r="722">
      <c r="A722" s="2" t="inlineStr">
        <is>
          <t>EJ300424.TXT</t>
        </is>
      </c>
      <c r="B722" s="3" t="inlineStr">
        <is>
          <t>005343</t>
        </is>
      </c>
      <c r="C722" s="3" t="inlineStr">
        <is>
          <t>004282</t>
        </is>
      </c>
      <c r="D722" s="4" t="n">
        <v>45395</v>
      </c>
      <c r="E722" s="2" t="inlineStr">
        <is>
          <t>16:11</t>
        </is>
      </c>
      <c r="F722" s="5" t="n">
        <v>2390</v>
      </c>
      <c r="G722" s="5" t="n"/>
      <c r="H722" s="5" t="n"/>
      <c r="I722" s="5" t="n"/>
      <c r="J722" s="5" t="n">
        <v>478</v>
      </c>
      <c r="K722" s="5" t="n"/>
      <c r="L722" s="5" t="n"/>
      <c r="M722" s="5" t="n"/>
      <c r="N722" s="5" t="n"/>
      <c r="O722" s="5" t="n">
        <v>2868</v>
      </c>
      <c r="P722" s="5" t="n">
        <v>2868</v>
      </c>
      <c r="Q722" s="5" t="n"/>
      <c r="R722" s="5" t="n"/>
      <c r="S722" s="5">
        <f>F722*20%</f>
        <v/>
      </c>
      <c r="T722" s="5">
        <f>J722-S722</f>
        <v/>
      </c>
      <c r="U722" s="5">
        <f>F722+J722</f>
        <v/>
      </c>
      <c r="V722" s="5">
        <f>O722-U722</f>
        <v/>
      </c>
      <c r="W722" s="5">
        <f>O722-(P722+R722)</f>
        <v/>
      </c>
      <c r="X722" s="5">
        <f>O722-(P722+Q722+R722)</f>
        <v/>
      </c>
    </row>
    <row r="723">
      <c r="A723" s="2" t="inlineStr">
        <is>
          <t>EJ300424.TXT</t>
        </is>
      </c>
      <c r="B723" s="3" t="inlineStr">
        <is>
          <t>005344</t>
        </is>
      </c>
      <c r="C723" s="3" t="inlineStr">
        <is>
          <t>004283</t>
        </is>
      </c>
      <c r="D723" s="4" t="n">
        <v>45398</v>
      </c>
      <c r="E723" s="2" t="inlineStr">
        <is>
          <t>17:19</t>
        </is>
      </c>
      <c r="F723" s="5" t="n">
        <v>41.58</v>
      </c>
      <c r="G723" s="5" t="n"/>
      <c r="H723" s="5" t="n"/>
      <c r="I723" s="5" t="n"/>
      <c r="J723" s="5" t="n">
        <v>8.32</v>
      </c>
      <c r="K723" s="5" t="n"/>
      <c r="L723" s="5" t="n"/>
      <c r="M723" s="5" t="n"/>
      <c r="N723" s="5" t="n"/>
      <c r="O723" s="5" t="n">
        <v>49.9</v>
      </c>
      <c r="P723" s="5" t="n">
        <v>49.9</v>
      </c>
      <c r="Q723" s="5" t="n"/>
      <c r="R723" s="5" t="n"/>
      <c r="S723" s="5">
        <f>F723*20%</f>
        <v/>
      </c>
      <c r="T723" s="5">
        <f>J723-S723</f>
        <v/>
      </c>
      <c r="U723" s="5">
        <f>F723+J723</f>
        <v/>
      </c>
      <c r="V723" s="5">
        <f>O723-U723</f>
        <v/>
      </c>
      <c r="W723" s="5">
        <f>O723-(P723+R723)</f>
        <v/>
      </c>
      <c r="X723" s="5">
        <f>O723-(P723+Q723+R723)</f>
        <v/>
      </c>
    </row>
    <row r="724">
      <c r="A724" s="2" t="inlineStr">
        <is>
          <t>EJ300424.TXT</t>
        </is>
      </c>
      <c r="B724" s="3" t="inlineStr">
        <is>
          <t>005345</t>
        </is>
      </c>
      <c r="C724" s="3" t="inlineStr">
        <is>
          <t>004284</t>
        </is>
      </c>
      <c r="D724" s="4" t="n">
        <v>45399</v>
      </c>
      <c r="E724" s="2" t="inlineStr">
        <is>
          <t>16:19</t>
        </is>
      </c>
      <c r="F724" s="5" t="n">
        <v>548.33</v>
      </c>
      <c r="G724" s="5" t="n"/>
      <c r="H724" s="5" t="n"/>
      <c r="I724" s="5" t="n"/>
      <c r="J724" s="5" t="n">
        <v>109.67</v>
      </c>
      <c r="K724" s="5" t="n"/>
      <c r="L724" s="5" t="n"/>
      <c r="M724" s="5" t="n"/>
      <c r="N724" s="5" t="n"/>
      <c r="O724" s="5" t="n">
        <v>658</v>
      </c>
      <c r="P724" s="5" t="n">
        <v>658</v>
      </c>
      <c r="Q724" s="5" t="n"/>
      <c r="R724" s="5" t="n"/>
      <c r="S724" s="5">
        <f>F724*20%</f>
        <v/>
      </c>
      <c r="T724" s="5">
        <f>J724-S724</f>
        <v/>
      </c>
      <c r="U724" s="5">
        <f>F724+J724</f>
        <v/>
      </c>
      <c r="V724" s="5">
        <f>O724-U724</f>
        <v/>
      </c>
      <c r="W724" s="5">
        <f>O724-(P724+R724)</f>
        <v/>
      </c>
      <c r="X724" s="5">
        <f>O724-(P724+Q724+R724)</f>
        <v/>
      </c>
    </row>
    <row r="725">
      <c r="A725" s="2" t="inlineStr">
        <is>
          <t>EJ300424.TXT</t>
        </is>
      </c>
      <c r="B725" s="3" t="inlineStr">
        <is>
          <t>005347</t>
        </is>
      </c>
      <c r="C725" s="3" t="inlineStr">
        <is>
          <t>004285</t>
        </is>
      </c>
      <c r="D725" s="4" t="n">
        <v>45402</v>
      </c>
      <c r="E725" s="2" t="inlineStr">
        <is>
          <t>13:49</t>
        </is>
      </c>
      <c r="F725" s="5" t="n">
        <v>190.83</v>
      </c>
      <c r="G725" s="5" t="n"/>
      <c r="H725" s="5" t="n"/>
      <c r="I725" s="5" t="n"/>
      <c r="J725" s="5" t="n">
        <v>38.17</v>
      </c>
      <c r="K725" s="5" t="n"/>
      <c r="L725" s="5" t="n"/>
      <c r="M725" s="5" t="n"/>
      <c r="N725" s="5" t="n"/>
      <c r="O725" s="5" t="n">
        <v>229</v>
      </c>
      <c r="P725" s="5" t="n"/>
      <c r="Q725" s="5" t="n">
        <v>229</v>
      </c>
      <c r="R725" s="5" t="n"/>
      <c r="S725" s="5">
        <f>F725*20%</f>
        <v/>
      </c>
      <c r="T725" s="5">
        <f>J725-S725</f>
        <v/>
      </c>
      <c r="U725" s="5">
        <f>F725+J725</f>
        <v/>
      </c>
      <c r="V725" s="5">
        <f>O725-U725</f>
        <v/>
      </c>
      <c r="W725" s="5">
        <f>O725-(P725+R725)</f>
        <v/>
      </c>
      <c r="X725" s="5">
        <f>O725-(P725+Q725+R725)</f>
        <v/>
      </c>
    </row>
    <row r="726">
      <c r="A726" s="2" t="inlineStr">
        <is>
          <t>EJ300424.TXT</t>
        </is>
      </c>
      <c r="B726" s="3" t="inlineStr">
        <is>
          <t>005348</t>
        </is>
      </c>
      <c r="C726" s="3" t="inlineStr">
        <is>
          <t>004286</t>
        </is>
      </c>
      <c r="D726" s="4" t="n">
        <v>45402</v>
      </c>
      <c r="E726" s="2" t="inlineStr">
        <is>
          <t>14:32</t>
        </is>
      </c>
      <c r="F726" s="5" t="n">
        <v>199.17</v>
      </c>
      <c r="G726" s="5" t="n"/>
      <c r="H726" s="5" t="n"/>
      <c r="I726" s="5" t="n"/>
      <c r="J726" s="5" t="n">
        <v>39.83</v>
      </c>
      <c r="K726" s="5" t="n"/>
      <c r="L726" s="5" t="n"/>
      <c r="M726" s="5" t="n"/>
      <c r="N726" s="5" t="n"/>
      <c r="O726" s="5" t="n">
        <v>239</v>
      </c>
      <c r="P726" s="5" t="n"/>
      <c r="Q726" s="5" t="n">
        <v>239</v>
      </c>
      <c r="R726" s="5" t="n"/>
      <c r="S726" s="5">
        <f>F726*20%</f>
        <v/>
      </c>
      <c r="T726" s="5">
        <f>J726-S726</f>
        <v/>
      </c>
      <c r="U726" s="5">
        <f>F726+J726</f>
        <v/>
      </c>
      <c r="V726" s="5">
        <f>O726-U726</f>
        <v/>
      </c>
      <c r="W726" s="5">
        <f>O726-(P726+R726)</f>
        <v/>
      </c>
      <c r="X726" s="5">
        <f>O726-(P726+Q726+R726)</f>
        <v/>
      </c>
    </row>
    <row r="727">
      <c r="A727" s="2" t="inlineStr">
        <is>
          <t>EJ300424.TXT</t>
        </is>
      </c>
      <c r="B727" s="3" t="inlineStr">
        <is>
          <t>005349</t>
        </is>
      </c>
      <c r="C727" s="3" t="inlineStr">
        <is>
          <t>004287</t>
        </is>
      </c>
      <c r="D727" s="4" t="n">
        <v>45402</v>
      </c>
      <c r="E727" s="2" t="inlineStr">
        <is>
          <t>14:37</t>
        </is>
      </c>
      <c r="F727" s="5" t="n">
        <v>124.17</v>
      </c>
      <c r="G727" s="5" t="n"/>
      <c r="H727" s="5" t="n"/>
      <c r="I727" s="5" t="n"/>
      <c r="J727" s="5" t="n">
        <v>24.83</v>
      </c>
      <c r="K727" s="5" t="n"/>
      <c r="L727" s="5" t="n"/>
      <c r="M727" s="5" t="n"/>
      <c r="N727" s="5" t="n"/>
      <c r="O727" s="5" t="n">
        <v>149</v>
      </c>
      <c r="P727" s="5" t="n">
        <v>149</v>
      </c>
      <c r="Q727" s="5" t="n"/>
      <c r="R727" s="5" t="n"/>
      <c r="S727" s="5">
        <f>F727*20%</f>
        <v/>
      </c>
      <c r="T727" s="5">
        <f>J727-S727</f>
        <v/>
      </c>
      <c r="U727" s="5">
        <f>F727+J727</f>
        <v/>
      </c>
      <c r="V727" s="5">
        <f>O727-U727</f>
        <v/>
      </c>
      <c r="W727" s="5">
        <f>O727-(P727+R727)</f>
        <v/>
      </c>
      <c r="X727" s="5">
        <f>O727-(P727+Q727+R727)</f>
        <v/>
      </c>
    </row>
    <row r="728">
      <c r="A728" s="2" t="inlineStr">
        <is>
          <t>EJ300424.TXT</t>
        </is>
      </c>
      <c r="B728" s="3" t="inlineStr">
        <is>
          <t>005350</t>
        </is>
      </c>
      <c r="C728" s="3" t="inlineStr">
        <is>
          <t>004288</t>
        </is>
      </c>
      <c r="D728" s="4" t="n">
        <v>45402</v>
      </c>
      <c r="E728" s="2" t="inlineStr">
        <is>
          <t>16:46</t>
        </is>
      </c>
      <c r="F728" s="5" t="n">
        <v>274.17</v>
      </c>
      <c r="G728" s="5" t="n"/>
      <c r="H728" s="5" t="n"/>
      <c r="I728" s="5" t="n"/>
      <c r="J728" s="5" t="n">
        <v>54.83</v>
      </c>
      <c r="K728" s="5" t="n"/>
      <c r="L728" s="5" t="n"/>
      <c r="M728" s="5" t="n"/>
      <c r="N728" s="5" t="n"/>
      <c r="O728" s="5" t="n">
        <v>329</v>
      </c>
      <c r="P728" s="5" t="n">
        <v>329</v>
      </c>
      <c r="Q728" s="5" t="n"/>
      <c r="R728" s="5" t="n"/>
      <c r="S728" s="5">
        <f>F728*20%</f>
        <v/>
      </c>
      <c r="T728" s="5">
        <f>J728-S728</f>
        <v/>
      </c>
      <c r="U728" s="5">
        <f>F728+J728</f>
        <v/>
      </c>
      <c r="V728" s="5">
        <f>O728-U728</f>
        <v/>
      </c>
      <c r="W728" s="5">
        <f>O728-(P728+R728)</f>
        <v/>
      </c>
      <c r="X728" s="5">
        <f>O728-(P728+Q728+R728)</f>
        <v/>
      </c>
    </row>
    <row r="729">
      <c r="A729" s="2" t="inlineStr">
        <is>
          <t>EJ300424.TXT</t>
        </is>
      </c>
      <c r="B729" s="3" t="inlineStr">
        <is>
          <t>005351</t>
        </is>
      </c>
      <c r="C729" s="3" t="inlineStr">
        <is>
          <t>004289</t>
        </is>
      </c>
      <c r="D729" s="4" t="n">
        <v>45404</v>
      </c>
      <c r="E729" s="2" t="inlineStr">
        <is>
          <t>15:43</t>
        </is>
      </c>
      <c r="F729" s="5" t="n">
        <v>208.33</v>
      </c>
      <c r="G729" s="5" t="n"/>
      <c r="H729" s="5" t="n"/>
      <c r="I729" s="5" t="n"/>
      <c r="J729" s="5" t="n">
        <v>41.67</v>
      </c>
      <c r="K729" s="5" t="n"/>
      <c r="L729" s="5" t="n"/>
      <c r="M729" s="5" t="n"/>
      <c r="N729" s="5" t="n"/>
      <c r="O729" s="5" t="n">
        <v>250</v>
      </c>
      <c r="P729" s="5" t="n"/>
      <c r="Q729" s="5" t="n">
        <v>250</v>
      </c>
      <c r="R729" s="5" t="n"/>
      <c r="S729" s="5">
        <f>F729*20%</f>
        <v/>
      </c>
      <c r="T729" s="5">
        <f>J729-S729</f>
        <v/>
      </c>
      <c r="U729" s="5">
        <f>F729+J729</f>
        <v/>
      </c>
      <c r="V729" s="5">
        <f>O729-U729</f>
        <v/>
      </c>
      <c r="W729" s="5">
        <f>O729-(P729+R729)</f>
        <v/>
      </c>
      <c r="X729" s="5">
        <f>O729-(P729+Q729+R729)</f>
        <v/>
      </c>
    </row>
    <row r="730">
      <c r="A730" s="2" t="inlineStr">
        <is>
          <t>EJ300424.TXT</t>
        </is>
      </c>
      <c r="B730" s="3" t="inlineStr">
        <is>
          <t>005352</t>
        </is>
      </c>
      <c r="C730" s="3" t="inlineStr">
        <is>
          <t>004290</t>
        </is>
      </c>
      <c r="D730" s="4" t="n">
        <v>45407</v>
      </c>
      <c r="E730" s="2" t="inlineStr">
        <is>
          <t>15:00</t>
        </is>
      </c>
      <c r="F730" s="5" t="n">
        <v>1096.67</v>
      </c>
      <c r="G730" s="5" t="n"/>
      <c r="H730" s="5" t="n"/>
      <c r="I730" s="5" t="n"/>
      <c r="J730" s="5" t="n">
        <v>219.33</v>
      </c>
      <c r="K730" s="5" t="n"/>
      <c r="L730" s="5" t="n"/>
      <c r="M730" s="5" t="n"/>
      <c r="N730" s="5" t="n"/>
      <c r="O730" s="5" t="n">
        <v>1316</v>
      </c>
      <c r="P730" s="5" t="n">
        <v>1316</v>
      </c>
      <c r="Q730" s="5" t="n"/>
      <c r="R730" s="5" t="n"/>
      <c r="S730" s="5">
        <f>F730*20%</f>
        <v/>
      </c>
      <c r="T730" s="5">
        <f>J730-S730</f>
        <v/>
      </c>
      <c r="U730" s="5">
        <f>F730+J730</f>
        <v/>
      </c>
      <c r="V730" s="5">
        <f>O730-U730</f>
        <v/>
      </c>
      <c r="W730" s="5">
        <f>O730-(P730+R730)</f>
        <v/>
      </c>
      <c r="X730" s="5">
        <f>O730-(P730+Q730+R730)</f>
        <v/>
      </c>
    </row>
    <row r="731">
      <c r="A731" s="2" t="inlineStr">
        <is>
          <t>EJ300424.TXT</t>
        </is>
      </c>
      <c r="B731" s="3" t="inlineStr">
        <is>
          <t>005353</t>
        </is>
      </c>
      <c r="C731" s="3" t="inlineStr">
        <is>
          <t>004291</t>
        </is>
      </c>
      <c r="D731" s="4" t="n">
        <v>45407</v>
      </c>
      <c r="E731" s="2" t="inlineStr">
        <is>
          <t>15:07</t>
        </is>
      </c>
      <c r="F731" s="5" t="n">
        <v>548.33</v>
      </c>
      <c r="G731" s="5" t="n"/>
      <c r="H731" s="5" t="n"/>
      <c r="I731" s="5" t="n"/>
      <c r="J731" s="5" t="n">
        <v>109.67</v>
      </c>
      <c r="K731" s="5" t="n"/>
      <c r="L731" s="5" t="n"/>
      <c r="M731" s="5" t="n"/>
      <c r="N731" s="5" t="n"/>
      <c r="O731" s="5" t="n">
        <v>658</v>
      </c>
      <c r="P731" s="5" t="n">
        <v>658</v>
      </c>
      <c r="Q731" s="5" t="n"/>
      <c r="R731" s="5" t="n"/>
      <c r="S731" s="5">
        <f>F731*20%</f>
        <v/>
      </c>
      <c r="T731" s="5">
        <f>J731-S731</f>
        <v/>
      </c>
      <c r="U731" s="5">
        <f>F731+J731</f>
        <v/>
      </c>
      <c r="V731" s="5">
        <f>O731-U731</f>
        <v/>
      </c>
      <c r="W731" s="5">
        <f>O731-(P731+R731)</f>
        <v/>
      </c>
      <c r="X731" s="5">
        <f>O731-(P731+Q731+R731)</f>
        <v/>
      </c>
    </row>
    <row r="732">
      <c r="A732" s="2" t="inlineStr">
        <is>
          <t>EJ300424.TXT</t>
        </is>
      </c>
      <c r="B732" s="3" t="inlineStr">
        <is>
          <t>005354</t>
        </is>
      </c>
      <c r="C732" s="3" t="inlineStr">
        <is>
          <t>004292</t>
        </is>
      </c>
      <c r="D732" s="4" t="n">
        <v>45407</v>
      </c>
      <c r="E732" s="2" t="inlineStr">
        <is>
          <t>15:27</t>
        </is>
      </c>
      <c r="F732" s="5" t="n">
        <v>124.17</v>
      </c>
      <c r="G732" s="5" t="n"/>
      <c r="H732" s="5" t="n"/>
      <c r="I732" s="5" t="n"/>
      <c r="J732" s="5" t="n">
        <v>24.83</v>
      </c>
      <c r="K732" s="5" t="n"/>
      <c r="L732" s="5" t="n"/>
      <c r="M732" s="5" t="n"/>
      <c r="N732" s="5" t="n"/>
      <c r="O732" s="5" t="n">
        <v>149</v>
      </c>
      <c r="P732" s="5" t="n">
        <v>149</v>
      </c>
      <c r="Q732" s="5" t="n"/>
      <c r="R732" s="5" t="n"/>
      <c r="S732" s="5">
        <f>F732*20%</f>
        <v/>
      </c>
      <c r="T732" s="5">
        <f>J732-S732</f>
        <v/>
      </c>
      <c r="U732" s="5">
        <f>F732+J732</f>
        <v/>
      </c>
      <c r="V732" s="5">
        <f>O732-U732</f>
        <v/>
      </c>
      <c r="W732" s="5">
        <f>O732-(P732+R732)</f>
        <v/>
      </c>
      <c r="X732" s="5">
        <f>O732-(P732+Q732+R732)</f>
        <v/>
      </c>
    </row>
    <row r="733">
      <c r="A733" s="2" t="inlineStr">
        <is>
          <t>EJ300424.TXT</t>
        </is>
      </c>
      <c r="B733" s="3" t="inlineStr">
        <is>
          <t>005355</t>
        </is>
      </c>
      <c r="C733" s="3" t="inlineStr">
        <is>
          <t>004293</t>
        </is>
      </c>
      <c r="D733" s="4" t="n">
        <v>45409</v>
      </c>
      <c r="E733" s="2" t="inlineStr">
        <is>
          <t>14:51</t>
        </is>
      </c>
      <c r="F733" s="5" t="n">
        <v>82.5</v>
      </c>
      <c r="G733" s="5" t="n"/>
      <c r="H733" s="5" t="n"/>
      <c r="I733" s="5" t="n"/>
      <c r="J733" s="5" t="n">
        <v>16.5</v>
      </c>
      <c r="K733" s="5" t="n"/>
      <c r="L733" s="5" t="n"/>
      <c r="M733" s="5" t="n"/>
      <c r="N733" s="5" t="n"/>
      <c r="O733" s="5" t="n">
        <v>99</v>
      </c>
      <c r="P733" s="5" t="n"/>
      <c r="Q733" s="5" t="n">
        <v>99</v>
      </c>
      <c r="R733" s="5" t="n"/>
      <c r="S733" s="5">
        <f>F733*20%</f>
        <v/>
      </c>
      <c r="T733" s="5">
        <f>J733-S733</f>
        <v/>
      </c>
      <c r="U733" s="5">
        <f>F733+J733</f>
        <v/>
      </c>
      <c r="V733" s="5">
        <f>O733-U733</f>
        <v/>
      </c>
      <c r="W733" s="5">
        <f>O733-(P733+R733)</f>
        <v/>
      </c>
      <c r="X733" s="5">
        <f>O733-(P733+Q733+R733)</f>
        <v/>
      </c>
    </row>
    <row r="734">
      <c r="A734" s="2" t="inlineStr">
        <is>
          <t>EJ300424.TXT</t>
        </is>
      </c>
      <c r="B734" s="3" t="inlineStr">
        <is>
          <t>005356</t>
        </is>
      </c>
      <c r="C734" s="3" t="inlineStr">
        <is>
          <t>004294</t>
        </is>
      </c>
      <c r="D734" s="4" t="n">
        <v>45411</v>
      </c>
      <c r="E734" s="2" t="inlineStr">
        <is>
          <t>11:22</t>
        </is>
      </c>
      <c r="F734" s="5" t="n">
        <v>41.58</v>
      </c>
      <c r="G734" s="5" t="n"/>
      <c r="H734" s="5" t="n"/>
      <c r="I734" s="5" t="n"/>
      <c r="J734" s="5" t="n">
        <v>8.32</v>
      </c>
      <c r="K734" s="5" t="n"/>
      <c r="L734" s="5" t="n"/>
      <c r="M734" s="5" t="n"/>
      <c r="N734" s="5" t="n"/>
      <c r="O734" s="5" t="n">
        <v>49.9</v>
      </c>
      <c r="P734" s="5" t="n"/>
      <c r="Q734" s="5" t="n">
        <v>49.9</v>
      </c>
      <c r="R734" s="5" t="n"/>
      <c r="S734" s="5">
        <f>F734*20%</f>
        <v/>
      </c>
      <c r="T734" s="5">
        <f>J734-S734</f>
        <v/>
      </c>
      <c r="U734" s="5">
        <f>F734+J734</f>
        <v/>
      </c>
      <c r="V734" s="5">
        <f>O734-U734</f>
        <v/>
      </c>
      <c r="W734" s="5">
        <f>O734-(P734+R734)</f>
        <v/>
      </c>
      <c r="X734" s="5">
        <f>O734-(P734+Q734+R734)</f>
        <v/>
      </c>
    </row>
    <row r="735">
      <c r="A735" s="2" t="inlineStr">
        <is>
          <t>EJ300424.TXT</t>
        </is>
      </c>
      <c r="B735" s="3" t="inlineStr">
        <is>
          <t>005357</t>
        </is>
      </c>
      <c r="C735" s="3" t="inlineStr">
        <is>
          <t>004295</t>
        </is>
      </c>
      <c r="D735" s="4" t="n">
        <v>45412</v>
      </c>
      <c r="E735" s="2" t="inlineStr">
        <is>
          <t>15:10</t>
        </is>
      </c>
      <c r="F735" s="5" t="n">
        <v>208.33</v>
      </c>
      <c r="G735" s="5" t="n"/>
      <c r="H735" s="5" t="n"/>
      <c r="I735" s="5" t="n"/>
      <c r="J735" s="5" t="n">
        <v>41.67</v>
      </c>
      <c r="K735" s="5" t="n"/>
      <c r="L735" s="5" t="n"/>
      <c r="M735" s="5" t="n"/>
      <c r="N735" s="5" t="n"/>
      <c r="O735" s="5" t="n">
        <v>250</v>
      </c>
      <c r="P735" s="5" t="n"/>
      <c r="Q735" s="5" t="n">
        <v>250</v>
      </c>
      <c r="R735" s="5" t="n"/>
      <c r="S735" s="5">
        <f>F735*20%</f>
        <v/>
      </c>
      <c r="T735" s="5">
        <f>J735-S735</f>
        <v/>
      </c>
      <c r="U735" s="5">
        <f>F735+J735</f>
        <v/>
      </c>
      <c r="V735" s="5">
        <f>O735-U735</f>
        <v/>
      </c>
      <c r="W735" s="5">
        <f>O735-(P735+R735)</f>
        <v/>
      </c>
      <c r="X735" s="5">
        <f>O735-(P735+Q735+R735)</f>
        <v/>
      </c>
    </row>
    <row r="736">
      <c r="A736" s="2" t="inlineStr">
        <is>
          <t>EJ300424.TXT</t>
        </is>
      </c>
      <c r="B736" s="3" t="inlineStr">
        <is>
          <t>005358</t>
        </is>
      </c>
      <c r="C736" s="3" t="inlineStr">
        <is>
          <t>004296</t>
        </is>
      </c>
      <c r="D736" s="4" t="n">
        <v>45412</v>
      </c>
      <c r="E736" s="2" t="inlineStr">
        <is>
          <t>17:08</t>
        </is>
      </c>
      <c r="F736" s="5" t="n">
        <v>82.5</v>
      </c>
      <c r="G736" s="5" t="n"/>
      <c r="H736" s="5" t="n"/>
      <c r="I736" s="5" t="n"/>
      <c r="J736" s="5" t="n">
        <v>16.5</v>
      </c>
      <c r="K736" s="5" t="n"/>
      <c r="L736" s="5" t="n"/>
      <c r="M736" s="5" t="n"/>
      <c r="N736" s="5" t="n"/>
      <c r="O736" s="5" t="n">
        <v>99</v>
      </c>
      <c r="P736" s="5" t="n">
        <v>99</v>
      </c>
      <c r="Q736" s="5" t="n"/>
      <c r="R736" s="5" t="n"/>
      <c r="S736" s="5">
        <f>F736*20%</f>
        <v/>
      </c>
      <c r="T736" s="5">
        <f>J736-S736</f>
        <v/>
      </c>
      <c r="U736" s="5">
        <f>F736+J736</f>
        <v/>
      </c>
      <c r="V736" s="5">
        <f>O736-U736</f>
        <v/>
      </c>
      <c r="W736" s="5">
        <f>O736-(P736+R736)</f>
        <v/>
      </c>
      <c r="X736" s="5">
        <f>O736-(P736+Q736+R736)</f>
        <v/>
      </c>
    </row>
    <row r="737">
      <c r="A737" s="2" t="inlineStr">
        <is>
          <t>EJ010624.TXT</t>
        </is>
      </c>
      <c r="B737" s="3" t="inlineStr">
        <is>
          <t>005367</t>
        </is>
      </c>
      <c r="C737" s="3" t="inlineStr">
        <is>
          <t>004297</t>
        </is>
      </c>
      <c r="D737" s="4" t="n">
        <v>45416</v>
      </c>
      <c r="E737" s="2" t="inlineStr">
        <is>
          <t>14:56</t>
        </is>
      </c>
      <c r="F737" s="5" t="n">
        <v>1480</v>
      </c>
      <c r="G737" s="5" t="n"/>
      <c r="H737" s="5" t="n"/>
      <c r="I737" s="5" t="n"/>
      <c r="J737" s="5" t="n">
        <v>296</v>
      </c>
      <c r="K737" s="5" t="n"/>
      <c r="L737" s="5" t="n"/>
      <c r="M737" s="5" t="n"/>
      <c r="N737" s="5" t="n"/>
      <c r="O737" s="5" t="n">
        <v>1776</v>
      </c>
      <c r="P737" s="5" t="n">
        <v>1776</v>
      </c>
      <c r="Q737" s="5" t="n"/>
      <c r="R737" s="5" t="n"/>
      <c r="S737" s="5">
        <f>F737*20%</f>
        <v/>
      </c>
      <c r="T737" s="5">
        <f>J737-S737</f>
        <v/>
      </c>
      <c r="U737" s="5">
        <f>F737+J737</f>
        <v/>
      </c>
      <c r="V737" s="5">
        <f>O737-U737</f>
        <v/>
      </c>
      <c r="W737" s="5">
        <f>O737-(P737+R737)</f>
        <v/>
      </c>
      <c r="X737" s="5">
        <f>O737-(P737+Q737+R737)</f>
        <v/>
      </c>
    </row>
    <row r="738">
      <c r="A738" s="2" t="inlineStr">
        <is>
          <t>EJ010624.TXT</t>
        </is>
      </c>
      <c r="B738" s="3" t="inlineStr">
        <is>
          <t>005368</t>
        </is>
      </c>
      <c r="C738" s="3" t="inlineStr">
        <is>
          <t>004298</t>
        </is>
      </c>
      <c r="D738" s="4" t="n">
        <v>45416</v>
      </c>
      <c r="E738" s="2" t="inlineStr">
        <is>
          <t>16:33</t>
        </is>
      </c>
      <c r="F738" s="5" t="n">
        <v>822.5</v>
      </c>
      <c r="G738" s="5" t="n"/>
      <c r="H738" s="5" t="n"/>
      <c r="I738" s="5" t="n"/>
      <c r="J738" s="5" t="n">
        <v>164.5</v>
      </c>
      <c r="K738" s="5" t="n"/>
      <c r="L738" s="5" t="n"/>
      <c r="M738" s="5" t="n"/>
      <c r="N738" s="5" t="n"/>
      <c r="O738" s="5" t="n">
        <v>987</v>
      </c>
      <c r="P738" s="5" t="n"/>
      <c r="Q738" s="5" t="n">
        <v>987</v>
      </c>
      <c r="R738" s="5" t="n"/>
      <c r="S738" s="5">
        <f>F738*20%</f>
        <v/>
      </c>
      <c r="T738" s="5">
        <f>J738-S738</f>
        <v/>
      </c>
      <c r="U738" s="5">
        <f>F738+J738</f>
        <v/>
      </c>
      <c r="V738" s="5">
        <f>O738-U738</f>
        <v/>
      </c>
      <c r="W738" s="5">
        <f>O738-(P738+R738)</f>
        <v/>
      </c>
      <c r="X738" s="5">
        <f>O738-(P738+Q738+R738)</f>
        <v/>
      </c>
    </row>
    <row r="739">
      <c r="A739" s="2" t="inlineStr">
        <is>
          <t>EJ010624.TXT</t>
        </is>
      </c>
      <c r="B739" s="3" t="inlineStr">
        <is>
          <t>005369</t>
        </is>
      </c>
      <c r="C739" s="3" t="inlineStr">
        <is>
          <t>004299</t>
        </is>
      </c>
      <c r="D739" s="4" t="n">
        <v>45416</v>
      </c>
      <c r="E739" s="2" t="inlineStr">
        <is>
          <t>16:34</t>
        </is>
      </c>
      <c r="F739" s="5" t="n">
        <v>548.33</v>
      </c>
      <c r="G739" s="5" t="n"/>
      <c r="H739" s="5" t="n"/>
      <c r="I739" s="5" t="n"/>
      <c r="J739" s="5" t="n">
        <v>109.67</v>
      </c>
      <c r="K739" s="5" t="n"/>
      <c r="L739" s="5" t="n"/>
      <c r="M739" s="5" t="n"/>
      <c r="N739" s="5" t="n"/>
      <c r="O739" s="5" t="n">
        <v>658</v>
      </c>
      <c r="P739" s="5" t="n"/>
      <c r="Q739" s="5" t="n">
        <v>658</v>
      </c>
      <c r="R739" s="5" t="n"/>
      <c r="S739" s="5">
        <f>F739*20%</f>
        <v/>
      </c>
      <c r="T739" s="5">
        <f>J739-S739</f>
        <v/>
      </c>
      <c r="U739" s="5">
        <f>F739+J739</f>
        <v/>
      </c>
      <c r="V739" s="5">
        <f>O739-U739</f>
        <v/>
      </c>
      <c r="W739" s="5">
        <f>O739-(P739+R739)</f>
        <v/>
      </c>
      <c r="X739" s="5">
        <f>O739-(P739+Q739+R739)</f>
        <v/>
      </c>
    </row>
    <row r="740">
      <c r="A740" s="2" t="inlineStr">
        <is>
          <t>EJ010624.TXT</t>
        </is>
      </c>
      <c r="B740" s="3" t="inlineStr">
        <is>
          <t>005370</t>
        </is>
      </c>
      <c r="C740" s="3" t="inlineStr">
        <is>
          <t>004300</t>
        </is>
      </c>
      <c r="D740" s="4" t="n">
        <v>45416</v>
      </c>
      <c r="E740" s="2" t="inlineStr">
        <is>
          <t>16:34</t>
        </is>
      </c>
      <c r="F740" s="5" t="n">
        <v>540</v>
      </c>
      <c r="G740" s="5" t="n"/>
      <c r="H740" s="5" t="n"/>
      <c r="I740" s="5" t="n"/>
      <c r="J740" s="5" t="n">
        <v>108</v>
      </c>
      <c r="K740" s="5" t="n"/>
      <c r="L740" s="5" t="n"/>
      <c r="M740" s="5" t="n"/>
      <c r="N740" s="5" t="n"/>
      <c r="O740" s="5" t="n">
        <v>648</v>
      </c>
      <c r="P740" s="5" t="n"/>
      <c r="Q740" s="5" t="n">
        <v>648</v>
      </c>
      <c r="R740" s="5" t="n"/>
      <c r="S740" s="5">
        <f>F740*20%</f>
        <v/>
      </c>
      <c r="T740" s="5">
        <f>J740-S740</f>
        <v/>
      </c>
      <c r="U740" s="5">
        <f>F740+J740</f>
        <v/>
      </c>
      <c r="V740" s="5">
        <f>O740-U740</f>
        <v/>
      </c>
      <c r="W740" s="5">
        <f>O740-(P740+R740)</f>
        <v/>
      </c>
      <c r="X740" s="5">
        <f>O740-(P740+Q740+R740)</f>
        <v/>
      </c>
    </row>
    <row r="741">
      <c r="A741" s="2" t="inlineStr">
        <is>
          <t>EJ010624.TXT</t>
        </is>
      </c>
      <c r="B741" s="3" t="inlineStr">
        <is>
          <t>005371</t>
        </is>
      </c>
      <c r="C741" s="3" t="inlineStr">
        <is>
          <t>004301</t>
        </is>
      </c>
      <c r="D741" s="4" t="n">
        <v>45419</v>
      </c>
      <c r="E741" s="2" t="inlineStr">
        <is>
          <t>18:01</t>
        </is>
      </c>
      <c r="F741" s="5" t="n">
        <v>548.33</v>
      </c>
      <c r="G741" s="5" t="n"/>
      <c r="H741" s="5" t="n"/>
      <c r="I741" s="5" t="n"/>
      <c r="J741" s="5" t="n">
        <v>109.67</v>
      </c>
      <c r="K741" s="5" t="n"/>
      <c r="L741" s="5" t="n"/>
      <c r="M741" s="5" t="n"/>
      <c r="N741" s="5" t="n"/>
      <c r="O741" s="5" t="n">
        <v>658</v>
      </c>
      <c r="P741" s="5" t="n">
        <v>658</v>
      </c>
      <c r="Q741" s="5" t="n"/>
      <c r="R741" s="5" t="n"/>
      <c r="S741" s="5">
        <f>F741*20%</f>
        <v/>
      </c>
      <c r="T741" s="5">
        <f>J741-S741</f>
        <v/>
      </c>
      <c r="U741" s="5">
        <f>F741+J741</f>
        <v/>
      </c>
      <c r="V741" s="5">
        <f>O741-U741</f>
        <v/>
      </c>
      <c r="W741" s="5">
        <f>O741-(P741+R741)</f>
        <v/>
      </c>
      <c r="X741" s="5">
        <f>O741-(P741+Q741+R741)</f>
        <v/>
      </c>
    </row>
    <row r="742">
      <c r="A742" s="2" t="inlineStr">
        <is>
          <t>EJ010624.TXT</t>
        </is>
      </c>
      <c r="B742" s="3" t="inlineStr">
        <is>
          <t>005372</t>
        </is>
      </c>
      <c r="C742" s="3" t="inlineStr">
        <is>
          <t>004302</t>
        </is>
      </c>
      <c r="D742" s="4" t="n">
        <v>45423</v>
      </c>
      <c r="E742" s="2" t="inlineStr">
        <is>
          <t>16:04</t>
        </is>
      </c>
      <c r="F742" s="5" t="n">
        <v>548.33</v>
      </c>
      <c r="G742" s="5" t="n"/>
      <c r="H742" s="5" t="n"/>
      <c r="I742" s="5" t="n"/>
      <c r="J742" s="5" t="n">
        <v>109.67</v>
      </c>
      <c r="K742" s="5" t="n"/>
      <c r="L742" s="5" t="n"/>
      <c r="M742" s="5" t="n"/>
      <c r="N742" s="5" t="n"/>
      <c r="O742" s="5" t="n">
        <v>658</v>
      </c>
      <c r="P742" s="5" t="n">
        <v>658</v>
      </c>
      <c r="Q742" s="5" t="n"/>
      <c r="R742" s="5" t="n"/>
      <c r="S742" s="5">
        <f>F742*20%</f>
        <v/>
      </c>
      <c r="T742" s="5">
        <f>J742-S742</f>
        <v/>
      </c>
      <c r="U742" s="5">
        <f>F742+J742</f>
        <v/>
      </c>
      <c r="V742" s="5">
        <f>O742-U742</f>
        <v/>
      </c>
      <c r="W742" s="5">
        <f>O742-(P742+R742)</f>
        <v/>
      </c>
      <c r="X742" s="5">
        <f>O742-(P742+Q742+R742)</f>
        <v/>
      </c>
    </row>
    <row r="743">
      <c r="A743" s="2" t="inlineStr">
        <is>
          <t>EJ010624.TXT</t>
        </is>
      </c>
      <c r="B743" s="3" t="inlineStr">
        <is>
          <t>005373</t>
        </is>
      </c>
      <c r="C743" s="3" t="inlineStr">
        <is>
          <t>004303</t>
        </is>
      </c>
      <c r="D743" s="4" t="n">
        <v>45423</v>
      </c>
      <c r="E743" s="2" t="inlineStr">
        <is>
          <t>17:03</t>
        </is>
      </c>
      <c r="F743" s="5" t="n">
        <v>350</v>
      </c>
      <c r="G743" s="5" t="n"/>
      <c r="H743" s="5" t="n"/>
      <c r="I743" s="5" t="n"/>
      <c r="J743" s="5" t="n">
        <v>70</v>
      </c>
      <c r="K743" s="5" t="n"/>
      <c r="L743" s="5" t="n"/>
      <c r="M743" s="5" t="n"/>
      <c r="N743" s="5" t="n"/>
      <c r="O743" s="5" t="n">
        <v>420</v>
      </c>
      <c r="P743" s="5" t="n">
        <v>420</v>
      </c>
      <c r="Q743" s="5" t="n"/>
      <c r="R743" s="5" t="n"/>
      <c r="S743" s="5">
        <f>F743*20%</f>
        <v/>
      </c>
      <c r="T743" s="5">
        <f>J743-S743</f>
        <v/>
      </c>
      <c r="U743" s="5">
        <f>F743+J743</f>
        <v/>
      </c>
      <c r="V743" s="5">
        <f>O743-U743</f>
        <v/>
      </c>
      <c r="W743" s="5">
        <f>O743-(P743+R743)</f>
        <v/>
      </c>
      <c r="X743" s="5">
        <f>O743-(P743+Q743+R743)</f>
        <v/>
      </c>
    </row>
    <row r="744">
      <c r="A744" s="2" t="inlineStr">
        <is>
          <t>EJ010624.TXT</t>
        </is>
      </c>
      <c r="B744" s="3" t="inlineStr">
        <is>
          <t>005374</t>
        </is>
      </c>
      <c r="C744" s="3" t="inlineStr">
        <is>
          <t>004304</t>
        </is>
      </c>
      <c r="D744" s="4" t="n">
        <v>45423</v>
      </c>
      <c r="E744" s="2" t="inlineStr">
        <is>
          <t>17:04</t>
        </is>
      </c>
      <c r="F744" s="5" t="n">
        <v>175</v>
      </c>
      <c r="G744" s="5" t="n"/>
      <c r="H744" s="5" t="n"/>
      <c r="I744" s="5" t="n"/>
      <c r="J744" s="5" t="n">
        <v>35</v>
      </c>
      <c r="K744" s="5" t="n"/>
      <c r="L744" s="5" t="n"/>
      <c r="M744" s="5" t="n"/>
      <c r="N744" s="5" t="n"/>
      <c r="O744" s="5" t="n">
        <v>210</v>
      </c>
      <c r="P744" s="5" t="n">
        <v>210</v>
      </c>
      <c r="Q744" s="5" t="n"/>
      <c r="R744" s="5" t="n"/>
      <c r="S744" s="5">
        <f>F744*20%</f>
        <v/>
      </c>
      <c r="T744" s="5">
        <f>J744-S744</f>
        <v/>
      </c>
      <c r="U744" s="5">
        <f>F744+J744</f>
        <v/>
      </c>
      <c r="V744" s="5">
        <f>O744-U744</f>
        <v/>
      </c>
      <c r="W744" s="5">
        <f>O744-(P744+R744)</f>
        <v/>
      </c>
      <c r="X744" s="5">
        <f>O744-(P744+Q744+R744)</f>
        <v/>
      </c>
    </row>
    <row r="745">
      <c r="A745" s="2" t="inlineStr">
        <is>
          <t>EJ010624.TXT</t>
        </is>
      </c>
      <c r="B745" s="3" t="inlineStr">
        <is>
          <t>005375</t>
        </is>
      </c>
      <c r="C745" s="3" t="inlineStr">
        <is>
          <t>004305</t>
        </is>
      </c>
      <c r="D745" s="4" t="n">
        <v>45423</v>
      </c>
      <c r="E745" s="2" t="inlineStr">
        <is>
          <t>17:08</t>
        </is>
      </c>
      <c r="F745" s="5" t="n">
        <v>548.33</v>
      </c>
      <c r="G745" s="5" t="n"/>
      <c r="H745" s="5" t="n"/>
      <c r="I745" s="5" t="n"/>
      <c r="J745" s="5" t="n">
        <v>109.67</v>
      </c>
      <c r="K745" s="5" t="n"/>
      <c r="L745" s="5" t="n"/>
      <c r="M745" s="5" t="n"/>
      <c r="N745" s="5" t="n"/>
      <c r="O745" s="5" t="n">
        <v>658</v>
      </c>
      <c r="P745" s="5" t="n"/>
      <c r="Q745" s="5" t="n">
        <v>658</v>
      </c>
      <c r="R745" s="5" t="n"/>
      <c r="S745" s="5">
        <f>F745*20%</f>
        <v/>
      </c>
      <c r="T745" s="5">
        <f>J745-S745</f>
        <v/>
      </c>
      <c r="U745" s="5">
        <f>F745+J745</f>
        <v/>
      </c>
      <c r="V745" s="5">
        <f>O745-U745</f>
        <v/>
      </c>
      <c r="W745" s="5">
        <f>O745-(P745+R745)</f>
        <v/>
      </c>
      <c r="X745" s="5">
        <f>O745-(P745+Q745+R745)</f>
        <v/>
      </c>
    </row>
    <row r="746">
      <c r="A746" s="2" t="inlineStr">
        <is>
          <t>EJ010624.TXT</t>
        </is>
      </c>
      <c r="B746" s="3" t="inlineStr">
        <is>
          <t>005376</t>
        </is>
      </c>
      <c r="C746" s="3" t="inlineStr">
        <is>
          <t>004306</t>
        </is>
      </c>
      <c r="D746" s="4" t="n">
        <v>45429</v>
      </c>
      <c r="E746" s="2" t="inlineStr">
        <is>
          <t>16:22</t>
        </is>
      </c>
      <c r="F746" s="5" t="n">
        <v>274.17</v>
      </c>
      <c r="G746" s="5" t="n"/>
      <c r="H746" s="5" t="n"/>
      <c r="I746" s="5" t="n"/>
      <c r="J746" s="5" t="n">
        <v>54.83</v>
      </c>
      <c r="K746" s="5" t="n"/>
      <c r="L746" s="5" t="n"/>
      <c r="M746" s="5" t="n"/>
      <c r="N746" s="5" t="n"/>
      <c r="O746" s="5" t="n">
        <v>329</v>
      </c>
      <c r="P746" s="5" t="n">
        <v>329</v>
      </c>
      <c r="Q746" s="5" t="n"/>
      <c r="R746" s="5" t="n"/>
      <c r="S746" s="5">
        <f>F746*20%</f>
        <v/>
      </c>
      <c r="T746" s="5">
        <f>J746-S746</f>
        <v/>
      </c>
      <c r="U746" s="5">
        <f>F746+J746</f>
        <v/>
      </c>
      <c r="V746" s="5">
        <f>O746-U746</f>
        <v/>
      </c>
      <c r="W746" s="5">
        <f>O746-(P746+R746)</f>
        <v/>
      </c>
      <c r="X746" s="5">
        <f>O746-(P746+Q746+R746)</f>
        <v/>
      </c>
    </row>
    <row r="747">
      <c r="A747" s="2" t="inlineStr">
        <is>
          <t>EJ010624.TXT</t>
        </is>
      </c>
      <c r="B747" s="3" t="inlineStr">
        <is>
          <t>005377</t>
        </is>
      </c>
      <c r="C747" s="3" t="inlineStr">
        <is>
          <t>004307</t>
        </is>
      </c>
      <c r="D747" s="4" t="n">
        <v>45429</v>
      </c>
      <c r="E747" s="2" t="inlineStr">
        <is>
          <t>16:26</t>
        </is>
      </c>
      <c r="F747" s="5" t="n">
        <v>208.33</v>
      </c>
      <c r="G747" s="5" t="n"/>
      <c r="H747" s="5" t="n"/>
      <c r="I747" s="5" t="n"/>
      <c r="J747" s="5" t="n">
        <v>41.67</v>
      </c>
      <c r="K747" s="5" t="n"/>
      <c r="L747" s="5" t="n"/>
      <c r="M747" s="5" t="n"/>
      <c r="N747" s="5" t="n"/>
      <c r="O747" s="5" t="n">
        <v>250</v>
      </c>
      <c r="P747" s="5" t="n"/>
      <c r="Q747" s="5" t="n">
        <v>250</v>
      </c>
      <c r="R747" s="5" t="n"/>
      <c r="S747" s="5">
        <f>F747*20%</f>
        <v/>
      </c>
      <c r="T747" s="5">
        <f>J747-S747</f>
        <v/>
      </c>
      <c r="U747" s="5">
        <f>F747+J747</f>
        <v/>
      </c>
      <c r="V747" s="5">
        <f>O747-U747</f>
        <v/>
      </c>
      <c r="W747" s="5">
        <f>O747-(P747+R747)</f>
        <v/>
      </c>
      <c r="X747" s="5">
        <f>O747-(P747+Q747+R747)</f>
        <v/>
      </c>
    </row>
    <row r="748">
      <c r="A748" s="2" t="inlineStr">
        <is>
          <t>EJ010624.TXT</t>
        </is>
      </c>
      <c r="B748" s="3" t="inlineStr">
        <is>
          <t>005378</t>
        </is>
      </c>
      <c r="C748" s="3" t="inlineStr">
        <is>
          <t>004308</t>
        </is>
      </c>
      <c r="D748" s="4" t="n">
        <v>45433</v>
      </c>
      <c r="E748" s="2" t="inlineStr">
        <is>
          <t>14:25</t>
        </is>
      </c>
      <c r="F748" s="5" t="n">
        <v>208.33</v>
      </c>
      <c r="G748" s="5" t="n"/>
      <c r="H748" s="5" t="n"/>
      <c r="I748" s="5" t="n"/>
      <c r="J748" s="5" t="n">
        <v>41.67</v>
      </c>
      <c r="K748" s="5" t="n"/>
      <c r="L748" s="5" t="n"/>
      <c r="M748" s="5" t="n"/>
      <c r="N748" s="5" t="n"/>
      <c r="O748" s="5" t="n">
        <v>250</v>
      </c>
      <c r="P748" s="5" t="n"/>
      <c r="Q748" s="5" t="n">
        <v>250</v>
      </c>
      <c r="R748" s="5" t="n"/>
      <c r="S748" s="5">
        <f>F748*20%</f>
        <v/>
      </c>
      <c r="T748" s="5">
        <f>J748-S748</f>
        <v/>
      </c>
      <c r="U748" s="5">
        <f>F748+J748</f>
        <v/>
      </c>
      <c r="V748" s="5">
        <f>O748-U748</f>
        <v/>
      </c>
      <c r="W748" s="5">
        <f>O748-(P748+R748)</f>
        <v/>
      </c>
      <c r="X748" s="5">
        <f>O748-(P748+Q748+R748)</f>
        <v/>
      </c>
    </row>
    <row r="749">
      <c r="A749" s="2" t="inlineStr">
        <is>
          <t>EJ010624.TXT</t>
        </is>
      </c>
      <c r="B749" s="3" t="inlineStr">
        <is>
          <t>005379</t>
        </is>
      </c>
      <c r="C749" s="3" t="inlineStr">
        <is>
          <t>004309</t>
        </is>
      </c>
      <c r="D749" s="4" t="n">
        <v>45434</v>
      </c>
      <c r="E749" s="2" t="inlineStr">
        <is>
          <t>09:57</t>
        </is>
      </c>
      <c r="F749" s="5" t="n">
        <v>548.33</v>
      </c>
      <c r="G749" s="5" t="n"/>
      <c r="H749" s="5" t="n"/>
      <c r="I749" s="5" t="n"/>
      <c r="J749" s="5" t="n">
        <v>109.67</v>
      </c>
      <c r="K749" s="5" t="n"/>
      <c r="L749" s="5" t="n"/>
      <c r="M749" s="5" t="n"/>
      <c r="N749" s="5" t="n"/>
      <c r="O749" s="5" t="n">
        <v>658</v>
      </c>
      <c r="P749" s="5" t="n"/>
      <c r="Q749" s="5" t="n">
        <v>658</v>
      </c>
      <c r="R749" s="5" t="n"/>
      <c r="S749" s="5">
        <f>F749*20%</f>
        <v/>
      </c>
      <c r="T749" s="5">
        <f>J749-S749</f>
        <v/>
      </c>
      <c r="U749" s="5">
        <f>F749+J749</f>
        <v/>
      </c>
      <c r="V749" s="5">
        <f>O749-U749</f>
        <v/>
      </c>
      <c r="W749" s="5">
        <f>O749-(P749+R749)</f>
        <v/>
      </c>
      <c r="X749" s="5">
        <f>O749-(P749+Q749+R749)</f>
        <v/>
      </c>
    </row>
    <row r="750">
      <c r="A750" s="2" t="inlineStr">
        <is>
          <t>EJ010624.TXT</t>
        </is>
      </c>
      <c r="B750" s="3" t="inlineStr">
        <is>
          <t>005380</t>
        </is>
      </c>
      <c r="C750" s="3" t="inlineStr">
        <is>
          <t>004310</t>
        </is>
      </c>
      <c r="D750" s="4" t="n">
        <v>45434</v>
      </c>
      <c r="E750" s="2" t="inlineStr">
        <is>
          <t>10:00</t>
        </is>
      </c>
      <c r="F750" s="5" t="n">
        <v>208.33</v>
      </c>
      <c r="G750" s="5" t="n"/>
      <c r="H750" s="5" t="n"/>
      <c r="I750" s="5" t="n"/>
      <c r="J750" s="5" t="n">
        <v>41.67</v>
      </c>
      <c r="K750" s="5" t="n"/>
      <c r="L750" s="5" t="n"/>
      <c r="M750" s="5" t="n"/>
      <c r="N750" s="5" t="n"/>
      <c r="O750" s="5" t="n">
        <v>250</v>
      </c>
      <c r="P750" s="5" t="n"/>
      <c r="Q750" s="5" t="n">
        <v>250</v>
      </c>
      <c r="R750" s="5" t="n"/>
      <c r="S750" s="5">
        <f>F750*20%</f>
        <v/>
      </c>
      <c r="T750" s="5">
        <f>J750-S750</f>
        <v/>
      </c>
      <c r="U750" s="5">
        <f>F750+J750</f>
        <v/>
      </c>
      <c r="V750" s="5">
        <f>O750-U750</f>
        <v/>
      </c>
      <c r="W750" s="5">
        <f>O750-(P750+R750)</f>
        <v/>
      </c>
      <c r="X750" s="5">
        <f>O750-(P750+Q750+R750)</f>
        <v/>
      </c>
    </row>
    <row r="751">
      <c r="A751" s="2" t="inlineStr">
        <is>
          <t>EJ010624.TXT</t>
        </is>
      </c>
      <c r="B751" s="3" t="inlineStr">
        <is>
          <t>005381</t>
        </is>
      </c>
      <c r="C751" s="3" t="inlineStr">
        <is>
          <t>004311</t>
        </is>
      </c>
      <c r="D751" s="4" t="n">
        <v>45435</v>
      </c>
      <c r="E751" s="2" t="inlineStr">
        <is>
          <t>14:27</t>
        </is>
      </c>
      <c r="F751" s="5" t="n">
        <v>797.5</v>
      </c>
      <c r="G751" s="5" t="n"/>
      <c r="H751" s="5" t="n"/>
      <c r="I751" s="5" t="n"/>
      <c r="J751" s="5" t="n">
        <v>159.5</v>
      </c>
      <c r="K751" s="5" t="n"/>
      <c r="L751" s="5" t="n"/>
      <c r="M751" s="5" t="n"/>
      <c r="N751" s="5" t="n"/>
      <c r="O751" s="5" t="n">
        <v>957</v>
      </c>
      <c r="P751" s="5" t="n"/>
      <c r="Q751" s="5" t="n">
        <v>957</v>
      </c>
      <c r="R751" s="5" t="n"/>
      <c r="S751" s="5">
        <f>F751*20%</f>
        <v/>
      </c>
      <c r="T751" s="5">
        <f>J751-S751</f>
        <v/>
      </c>
      <c r="U751" s="5">
        <f>F751+J751</f>
        <v/>
      </c>
      <c r="V751" s="5">
        <f>O751-U751</f>
        <v/>
      </c>
      <c r="W751" s="5">
        <f>O751-(P751+R751)</f>
        <v/>
      </c>
      <c r="X751" s="5">
        <f>O751-(P751+Q751+R751)</f>
        <v/>
      </c>
    </row>
    <row r="752">
      <c r="A752" s="2" t="inlineStr">
        <is>
          <t>EJ010624.TXT</t>
        </is>
      </c>
      <c r="B752" s="3" t="inlineStr">
        <is>
          <t>005382</t>
        </is>
      </c>
      <c r="C752" s="3" t="inlineStr">
        <is>
          <t>004312</t>
        </is>
      </c>
      <c r="D752" s="4" t="n">
        <v>45435</v>
      </c>
      <c r="E752" s="2" t="inlineStr">
        <is>
          <t>14:27</t>
        </is>
      </c>
      <c r="F752" s="5" t="n">
        <v>797.5</v>
      </c>
      <c r="G752" s="5" t="n"/>
      <c r="H752" s="5" t="n"/>
      <c r="I752" s="5" t="n"/>
      <c r="J752" s="5" t="n">
        <v>159.5</v>
      </c>
      <c r="K752" s="5" t="n"/>
      <c r="L752" s="5" t="n"/>
      <c r="M752" s="5" t="n"/>
      <c r="N752" s="5" t="n"/>
      <c r="O752" s="5" t="n">
        <v>957</v>
      </c>
      <c r="P752" s="5" t="n"/>
      <c r="Q752" s="5" t="n">
        <v>957</v>
      </c>
      <c r="R752" s="5" t="n"/>
      <c r="S752" s="5">
        <f>F752*20%</f>
        <v/>
      </c>
      <c r="T752" s="5">
        <f>J752-S752</f>
        <v/>
      </c>
      <c r="U752" s="5">
        <f>F752+J752</f>
        <v/>
      </c>
      <c r="V752" s="5">
        <f>O752-U752</f>
        <v/>
      </c>
      <c r="W752" s="5">
        <f>O752-(P752+R752)</f>
        <v/>
      </c>
      <c r="X752" s="5">
        <f>O752-(P752+Q752+R752)</f>
        <v/>
      </c>
    </row>
    <row r="753">
      <c r="A753" s="2" t="inlineStr">
        <is>
          <t>EJ010624.TXT</t>
        </is>
      </c>
      <c r="B753" s="3" t="inlineStr">
        <is>
          <t>005383</t>
        </is>
      </c>
      <c r="C753" s="3" t="inlineStr">
        <is>
          <t>004313</t>
        </is>
      </c>
      <c r="D753" s="4" t="n">
        <v>45436</v>
      </c>
      <c r="E753" s="2" t="inlineStr">
        <is>
          <t>10:00</t>
        </is>
      </c>
      <c r="F753" s="5" t="n">
        <v>822.5</v>
      </c>
      <c r="G753" s="5" t="n"/>
      <c r="H753" s="5" t="n"/>
      <c r="I753" s="5" t="n"/>
      <c r="J753" s="5" t="n">
        <v>164.5</v>
      </c>
      <c r="K753" s="5" t="n"/>
      <c r="L753" s="5" t="n"/>
      <c r="M753" s="5" t="n"/>
      <c r="N753" s="5" t="n"/>
      <c r="O753" s="5" t="n">
        <v>987</v>
      </c>
      <c r="P753" s="5" t="n"/>
      <c r="Q753" s="5" t="n">
        <v>987</v>
      </c>
      <c r="R753" s="5" t="n"/>
      <c r="S753" s="5">
        <f>F753*20%</f>
        <v/>
      </c>
      <c r="T753" s="5">
        <f>J753-S753</f>
        <v/>
      </c>
      <c r="U753" s="5">
        <f>F753+J753</f>
        <v/>
      </c>
      <c r="V753" s="5">
        <f>O753-U753</f>
        <v/>
      </c>
      <c r="W753" s="5">
        <f>O753-(P753+R753)</f>
        <v/>
      </c>
      <c r="X753" s="5">
        <f>O753-(P753+Q753+R753)</f>
        <v/>
      </c>
    </row>
    <row r="754">
      <c r="A754" s="2" t="inlineStr">
        <is>
          <t>EJ010624.TXT</t>
        </is>
      </c>
      <c r="B754" s="3" t="inlineStr">
        <is>
          <t>005384</t>
        </is>
      </c>
      <c r="C754" s="3" t="inlineStr">
        <is>
          <t>004314</t>
        </is>
      </c>
      <c r="D754" s="4" t="n">
        <v>45436</v>
      </c>
      <c r="E754" s="2" t="inlineStr">
        <is>
          <t>10:01</t>
        </is>
      </c>
      <c r="F754" s="5" t="n">
        <v>822.5</v>
      </c>
      <c r="G754" s="5" t="n"/>
      <c r="H754" s="5" t="n"/>
      <c r="I754" s="5" t="n"/>
      <c r="J754" s="5" t="n">
        <v>164.5</v>
      </c>
      <c r="K754" s="5" t="n"/>
      <c r="L754" s="5" t="n"/>
      <c r="M754" s="5" t="n"/>
      <c r="N754" s="5" t="n"/>
      <c r="O754" s="5" t="n">
        <v>987</v>
      </c>
      <c r="P754" s="5" t="n">
        <v>987</v>
      </c>
      <c r="Q754" s="5" t="n"/>
      <c r="R754" s="5" t="n"/>
      <c r="S754" s="5">
        <f>F754*20%</f>
        <v/>
      </c>
      <c r="T754" s="5">
        <f>J754-S754</f>
        <v/>
      </c>
      <c r="U754" s="5">
        <f>F754+J754</f>
        <v/>
      </c>
      <c r="V754" s="5">
        <f>O754-U754</f>
        <v/>
      </c>
      <c r="W754" s="5">
        <f>O754-(P754+R754)</f>
        <v/>
      </c>
      <c r="X754" s="5">
        <f>O754-(P754+Q754+R754)</f>
        <v/>
      </c>
    </row>
    <row r="755">
      <c r="A755" s="2" t="inlineStr">
        <is>
          <t>EJ010624.TXT</t>
        </is>
      </c>
      <c r="B755" s="3" t="inlineStr">
        <is>
          <t>005385</t>
        </is>
      </c>
      <c r="C755" s="3" t="inlineStr">
        <is>
          <t>004315</t>
        </is>
      </c>
      <c r="D755" s="4" t="n">
        <v>45436</v>
      </c>
      <c r="E755" s="2" t="inlineStr">
        <is>
          <t>14:16</t>
        </is>
      </c>
      <c r="F755" s="5" t="n">
        <v>3190</v>
      </c>
      <c r="G755" s="5" t="n"/>
      <c r="H755" s="5" t="n"/>
      <c r="I755" s="5" t="n"/>
      <c r="J755" s="5" t="n">
        <v>638</v>
      </c>
      <c r="K755" s="5" t="n"/>
      <c r="L755" s="5" t="n"/>
      <c r="M755" s="5" t="n"/>
      <c r="N755" s="5" t="n"/>
      <c r="O755" s="5" t="n">
        <v>3828</v>
      </c>
      <c r="P755" s="5" t="n">
        <v>3828</v>
      </c>
      <c r="Q755" s="5" t="n"/>
      <c r="R755" s="5" t="n"/>
      <c r="S755" s="5">
        <f>F755*20%</f>
        <v/>
      </c>
      <c r="T755" s="5">
        <f>J755-S755</f>
        <v/>
      </c>
      <c r="U755" s="5">
        <f>F755+J755</f>
        <v/>
      </c>
      <c r="V755" s="5">
        <f>O755-U755</f>
        <v/>
      </c>
      <c r="W755" s="5">
        <f>O755-(P755+R755)</f>
        <v/>
      </c>
      <c r="X755" s="5">
        <f>O755-(P755+Q755+R755)</f>
        <v/>
      </c>
    </row>
    <row r="756">
      <c r="A756" s="2" t="inlineStr">
        <is>
          <t>EJ010624.TXT</t>
        </is>
      </c>
      <c r="B756" s="3" t="inlineStr">
        <is>
          <t>005386</t>
        </is>
      </c>
      <c r="C756" s="3" t="inlineStr">
        <is>
          <t>004316</t>
        </is>
      </c>
      <c r="D756" s="4" t="n">
        <v>45436</v>
      </c>
      <c r="E756" s="2" t="inlineStr">
        <is>
          <t>16:29</t>
        </is>
      </c>
      <c r="F756" s="5" t="n">
        <v>208.33</v>
      </c>
      <c r="G756" s="5" t="n"/>
      <c r="H756" s="5" t="n"/>
      <c r="I756" s="5" t="n"/>
      <c r="J756" s="5" t="n">
        <v>41.67</v>
      </c>
      <c r="K756" s="5" t="n"/>
      <c r="L756" s="5" t="n"/>
      <c r="M756" s="5" t="n"/>
      <c r="N756" s="5" t="n"/>
      <c r="O756" s="5" t="n">
        <v>250</v>
      </c>
      <c r="P756" s="5" t="n"/>
      <c r="Q756" s="5" t="n">
        <v>250</v>
      </c>
      <c r="R756" s="5" t="n"/>
      <c r="S756" s="5">
        <f>F756*20%</f>
        <v/>
      </c>
      <c r="T756" s="5">
        <f>J756-S756</f>
        <v/>
      </c>
      <c r="U756" s="5">
        <f>F756+J756</f>
        <v/>
      </c>
      <c r="V756" s="5">
        <f>O756-U756</f>
        <v/>
      </c>
      <c r="W756" s="5">
        <f>O756-(P756+R756)</f>
        <v/>
      </c>
      <c r="X756" s="5">
        <f>O756-(P756+Q756+R756)</f>
        <v/>
      </c>
    </row>
    <row r="757">
      <c r="A757" s="2" t="inlineStr">
        <is>
          <t>EJ010624.TXT</t>
        </is>
      </c>
      <c r="B757" s="3" t="inlineStr">
        <is>
          <t>005387</t>
        </is>
      </c>
      <c r="C757" s="3" t="inlineStr">
        <is>
          <t>004317</t>
        </is>
      </c>
      <c r="D757" s="4" t="n">
        <v>45437</v>
      </c>
      <c r="E757" s="2" t="inlineStr">
        <is>
          <t>15:17</t>
        </is>
      </c>
      <c r="F757" s="5" t="n">
        <v>274.17</v>
      </c>
      <c r="G757" s="5" t="n"/>
      <c r="H757" s="5" t="n"/>
      <c r="I757" s="5" t="n"/>
      <c r="J757" s="5" t="n">
        <v>54.83</v>
      </c>
      <c r="K757" s="5" t="n"/>
      <c r="L757" s="5" t="n"/>
      <c r="M757" s="5" t="n"/>
      <c r="N757" s="5" t="n"/>
      <c r="O757" s="5" t="n">
        <v>329</v>
      </c>
      <c r="P757" s="5" t="n">
        <v>329</v>
      </c>
      <c r="Q757" s="5" t="n"/>
      <c r="R757" s="5" t="n"/>
      <c r="S757" s="5">
        <f>F757*20%</f>
        <v/>
      </c>
      <c r="T757" s="5">
        <f>J757-S757</f>
        <v/>
      </c>
      <c r="U757" s="5">
        <f>F757+J757</f>
        <v/>
      </c>
      <c r="V757" s="5">
        <f>O757-U757</f>
        <v/>
      </c>
      <c r="W757" s="5">
        <f>O757-(P757+R757)</f>
        <v/>
      </c>
      <c r="X757" s="5">
        <f>O757-(P757+Q757+R757)</f>
        <v/>
      </c>
    </row>
    <row r="758">
      <c r="A758" s="2" t="inlineStr">
        <is>
          <t>EJ010624.TXT</t>
        </is>
      </c>
      <c r="B758" s="3" t="inlineStr">
        <is>
          <t>005388</t>
        </is>
      </c>
      <c r="C758" s="3" t="inlineStr">
        <is>
          <t>004318</t>
        </is>
      </c>
      <c r="D758" s="4" t="n">
        <v>45437</v>
      </c>
      <c r="E758" s="2" t="inlineStr">
        <is>
          <t>15:25</t>
        </is>
      </c>
      <c r="F758" s="5" t="n">
        <v>316.08</v>
      </c>
      <c r="G758" s="5" t="n"/>
      <c r="H758" s="5" t="n"/>
      <c r="I758" s="5" t="n"/>
      <c r="J758" s="5" t="n">
        <v>63.22</v>
      </c>
      <c r="K758" s="5" t="n"/>
      <c r="L758" s="5" t="n"/>
      <c r="M758" s="5" t="n"/>
      <c r="N758" s="5" t="n"/>
      <c r="O758" s="5" t="n">
        <v>379.3</v>
      </c>
      <c r="P758" s="5" t="n">
        <v>379.3</v>
      </c>
      <c r="Q758" s="5" t="n"/>
      <c r="R758" s="5" t="n"/>
      <c r="S758" s="5">
        <f>F758*20%</f>
        <v/>
      </c>
      <c r="T758" s="5">
        <f>J758-S758</f>
        <v/>
      </c>
      <c r="U758" s="5">
        <f>F758+J758</f>
        <v/>
      </c>
      <c r="V758" s="5">
        <f>O758-U758</f>
        <v/>
      </c>
      <c r="W758" s="5">
        <f>O758-(P758+R758)</f>
        <v/>
      </c>
      <c r="X758" s="5">
        <f>O758-(P758+Q758+R758)</f>
        <v/>
      </c>
    </row>
    <row r="759">
      <c r="A759" s="2" t="inlineStr">
        <is>
          <t>EJ010624.TXT</t>
        </is>
      </c>
      <c r="B759" s="3" t="inlineStr">
        <is>
          <t>005389</t>
        </is>
      </c>
      <c r="C759" s="3" t="inlineStr">
        <is>
          <t>004319</t>
        </is>
      </c>
      <c r="D759" s="4" t="n">
        <v>45440</v>
      </c>
      <c r="E759" s="2" t="inlineStr">
        <is>
          <t>14:40</t>
        </is>
      </c>
      <c r="F759" s="5" t="n">
        <v>548.33</v>
      </c>
      <c r="G759" s="5" t="n"/>
      <c r="H759" s="5" t="n"/>
      <c r="I759" s="5" t="n"/>
      <c r="J759" s="5" t="n">
        <v>109.67</v>
      </c>
      <c r="K759" s="5" t="n"/>
      <c r="L759" s="5" t="n"/>
      <c r="M759" s="5" t="n"/>
      <c r="N759" s="5" t="n"/>
      <c r="O759" s="5" t="n">
        <v>658</v>
      </c>
      <c r="P759" s="5" t="n"/>
      <c r="Q759" s="5" t="n">
        <v>658</v>
      </c>
      <c r="R759" s="5" t="n"/>
      <c r="S759" s="5">
        <f>F759*20%</f>
        <v/>
      </c>
      <c r="T759" s="5">
        <f>J759-S759</f>
        <v/>
      </c>
      <c r="U759" s="5">
        <f>F759+J759</f>
        <v/>
      </c>
      <c r="V759" s="5">
        <f>O759-U759</f>
        <v/>
      </c>
      <c r="W759" s="5">
        <f>O759-(P759+R759)</f>
        <v/>
      </c>
      <c r="X759" s="5">
        <f>O759-(P759+Q759+R759)</f>
        <v/>
      </c>
    </row>
    <row r="760">
      <c r="A760" s="2" t="inlineStr">
        <is>
          <t>EJ010624.TXT</t>
        </is>
      </c>
      <c r="B760" s="3" t="inlineStr">
        <is>
          <t>005390</t>
        </is>
      </c>
      <c r="C760" s="3" t="inlineStr">
        <is>
          <t>004320</t>
        </is>
      </c>
      <c r="D760" s="4" t="n">
        <v>45440</v>
      </c>
      <c r="E760" s="2" t="inlineStr">
        <is>
          <t>14:42</t>
        </is>
      </c>
      <c r="F760" s="5" t="n">
        <v>548.33</v>
      </c>
      <c r="G760" s="5" t="n"/>
      <c r="H760" s="5" t="n"/>
      <c r="I760" s="5" t="n"/>
      <c r="J760" s="5" t="n">
        <v>109.67</v>
      </c>
      <c r="K760" s="5" t="n"/>
      <c r="L760" s="5" t="n"/>
      <c r="M760" s="5" t="n"/>
      <c r="N760" s="5" t="n"/>
      <c r="O760" s="5" t="n">
        <v>658</v>
      </c>
      <c r="P760" s="5" t="n">
        <v>658</v>
      </c>
      <c r="Q760" s="5" t="n"/>
      <c r="R760" s="5" t="n"/>
      <c r="S760" s="5">
        <f>F760*20%</f>
        <v/>
      </c>
      <c r="T760" s="5">
        <f>J760-S760</f>
        <v/>
      </c>
      <c r="U760" s="5">
        <f>F760+J760</f>
        <v/>
      </c>
      <c r="V760" s="5">
        <f>O760-U760</f>
        <v/>
      </c>
      <c r="W760" s="5">
        <f>O760-(P760+R760)</f>
        <v/>
      </c>
      <c r="X760" s="5">
        <f>O760-(P760+Q760+R760)</f>
        <v/>
      </c>
    </row>
    <row r="761">
      <c r="A761" s="2" t="inlineStr">
        <is>
          <t>EJ010624.TXT</t>
        </is>
      </c>
      <c r="B761" s="3" t="inlineStr">
        <is>
          <t>005391</t>
        </is>
      </c>
      <c r="C761" s="3" t="inlineStr">
        <is>
          <t>004321</t>
        </is>
      </c>
      <c r="D761" s="4" t="n">
        <v>45441</v>
      </c>
      <c r="E761" s="2" t="inlineStr">
        <is>
          <t>15:47</t>
        </is>
      </c>
      <c r="F761" s="5" t="n">
        <v>41.58</v>
      </c>
      <c r="G761" s="5" t="n"/>
      <c r="H761" s="5" t="n"/>
      <c r="I761" s="5" t="n"/>
      <c r="J761" s="5" t="n">
        <v>8.32</v>
      </c>
      <c r="K761" s="5" t="n"/>
      <c r="L761" s="5" t="n"/>
      <c r="M761" s="5" t="n"/>
      <c r="N761" s="5" t="n"/>
      <c r="O761" s="5" t="n">
        <v>49.9</v>
      </c>
      <c r="P761" s="5" t="n"/>
      <c r="Q761" s="5" t="n">
        <v>49.9</v>
      </c>
      <c r="R761" s="5" t="n"/>
      <c r="S761" s="5">
        <f>F761*20%</f>
        <v/>
      </c>
      <c r="T761" s="5">
        <f>J761-S761</f>
        <v/>
      </c>
      <c r="U761" s="5">
        <f>F761+J761</f>
        <v/>
      </c>
      <c r="V761" s="5">
        <f>O761-U761</f>
        <v/>
      </c>
      <c r="W761" s="5">
        <f>O761-(P761+R761)</f>
        <v/>
      </c>
      <c r="X761" s="5">
        <f>O761-(P761+Q761+R761)</f>
        <v/>
      </c>
    </row>
    <row r="762">
      <c r="A762" s="2" t="inlineStr">
        <is>
          <t>EJ010624.TXT</t>
        </is>
      </c>
      <c r="B762" s="3" t="inlineStr">
        <is>
          <t>005392</t>
        </is>
      </c>
      <c r="C762" s="3" t="inlineStr">
        <is>
          <t>004322</t>
        </is>
      </c>
      <c r="D762" s="4" t="n">
        <v>45441</v>
      </c>
      <c r="E762" s="2" t="inlineStr">
        <is>
          <t>15:47</t>
        </is>
      </c>
      <c r="F762" s="5" t="n">
        <v>208.33</v>
      </c>
      <c r="G762" s="5" t="n"/>
      <c r="H762" s="5" t="n"/>
      <c r="I762" s="5" t="n"/>
      <c r="J762" s="5" t="n">
        <v>41.67</v>
      </c>
      <c r="K762" s="5" t="n"/>
      <c r="L762" s="5" t="n"/>
      <c r="M762" s="5" t="n"/>
      <c r="N762" s="5" t="n"/>
      <c r="O762" s="5" t="n">
        <v>250</v>
      </c>
      <c r="P762" s="5" t="n"/>
      <c r="Q762" s="5" t="n">
        <v>250</v>
      </c>
      <c r="R762" s="5" t="n"/>
      <c r="S762" s="5">
        <f>F762*20%</f>
        <v/>
      </c>
      <c r="T762" s="5">
        <f>J762-S762</f>
        <v/>
      </c>
      <c r="U762" s="5">
        <f>F762+J762</f>
        <v/>
      </c>
      <c r="V762" s="5">
        <f>O762-U762</f>
        <v/>
      </c>
      <c r="W762" s="5">
        <f>O762-(P762+R762)</f>
        <v/>
      </c>
      <c r="X762" s="5">
        <f>O762-(P762+Q762+R762)</f>
        <v/>
      </c>
    </row>
    <row r="763">
      <c r="A763" s="2" t="inlineStr">
        <is>
          <t>EJ010624.TXT</t>
        </is>
      </c>
      <c r="B763" s="3" t="inlineStr">
        <is>
          <t>005393</t>
        </is>
      </c>
      <c r="C763" s="3" t="inlineStr">
        <is>
          <t>004323</t>
        </is>
      </c>
      <c r="D763" s="4" t="n">
        <v>45441</v>
      </c>
      <c r="E763" s="2" t="inlineStr">
        <is>
          <t>15:51</t>
        </is>
      </c>
      <c r="F763" s="5" t="n">
        <v>208.33</v>
      </c>
      <c r="G763" s="5" t="n"/>
      <c r="H763" s="5" t="n"/>
      <c r="I763" s="5" t="n"/>
      <c r="J763" s="5" t="n">
        <v>41.67</v>
      </c>
      <c r="K763" s="5" t="n"/>
      <c r="L763" s="5" t="n"/>
      <c r="M763" s="5" t="n"/>
      <c r="N763" s="5" t="n"/>
      <c r="O763" s="5" t="n">
        <v>250</v>
      </c>
      <c r="P763" s="5" t="n"/>
      <c r="Q763" s="5" t="n">
        <v>250</v>
      </c>
      <c r="R763" s="5" t="n"/>
      <c r="S763" s="5">
        <f>F763*20%</f>
        <v/>
      </c>
      <c r="T763" s="5">
        <f>J763-S763</f>
        <v/>
      </c>
      <c r="U763" s="5">
        <f>F763+J763</f>
        <v/>
      </c>
      <c r="V763" s="5">
        <f>O763-U763</f>
        <v/>
      </c>
      <c r="W763" s="5">
        <f>O763-(P763+R763)</f>
        <v/>
      </c>
      <c r="X763" s="5">
        <f>O763-(P763+Q763+R763)</f>
        <v/>
      </c>
    </row>
    <row r="764">
      <c r="A764" s="2" t="inlineStr">
        <is>
          <t>EJ010624.TXT</t>
        </is>
      </c>
      <c r="B764" s="3" t="inlineStr">
        <is>
          <t>005394</t>
        </is>
      </c>
      <c r="C764" s="3" t="inlineStr">
        <is>
          <t>004324</t>
        </is>
      </c>
      <c r="D764" s="4" t="n">
        <v>45443</v>
      </c>
      <c r="E764" s="2" t="inlineStr">
        <is>
          <t>16:07</t>
        </is>
      </c>
      <c r="F764" s="5" t="n">
        <v>208.33</v>
      </c>
      <c r="G764" s="5" t="n"/>
      <c r="H764" s="5" t="n"/>
      <c r="I764" s="5" t="n"/>
      <c r="J764" s="5" t="n">
        <v>41.67</v>
      </c>
      <c r="K764" s="5" t="n"/>
      <c r="L764" s="5" t="n"/>
      <c r="M764" s="5" t="n"/>
      <c r="N764" s="5" t="n"/>
      <c r="O764" s="5" t="n">
        <v>250</v>
      </c>
      <c r="P764" s="5" t="n"/>
      <c r="Q764" s="5" t="n">
        <v>250</v>
      </c>
      <c r="R764" s="5" t="n"/>
      <c r="S764" s="5">
        <f>F764*20%</f>
        <v/>
      </c>
      <c r="T764" s="5">
        <f>J764-S764</f>
        <v/>
      </c>
      <c r="U764" s="5">
        <f>F764+J764</f>
        <v/>
      </c>
      <c r="V764" s="5">
        <f>O764-U764</f>
        <v/>
      </c>
      <c r="W764" s="5">
        <f>O764-(P764+R764)</f>
        <v/>
      </c>
      <c r="X764" s="5">
        <f>O764-(P764+Q764+R764)</f>
        <v/>
      </c>
    </row>
    <row r="765">
      <c r="A765" s="2" t="inlineStr">
        <is>
          <t>EJ010724.TXT</t>
        </is>
      </c>
      <c r="B765" s="3" t="inlineStr">
        <is>
          <t>005401</t>
        </is>
      </c>
      <c r="C765" s="3" t="inlineStr">
        <is>
          <t>004325</t>
        </is>
      </c>
      <c r="D765" s="4" t="n">
        <v>45444</v>
      </c>
      <c r="E765" s="2" t="inlineStr">
        <is>
          <t>16:18</t>
        </is>
      </c>
      <c r="F765" s="5" t="n">
        <v>830</v>
      </c>
      <c r="G765" s="5" t="n"/>
      <c r="H765" s="5" t="n"/>
      <c r="I765" s="5" t="n"/>
      <c r="J765" s="5" t="n">
        <v>166</v>
      </c>
      <c r="K765" s="5" t="n"/>
      <c r="L765" s="5" t="n"/>
      <c r="M765" s="5" t="n"/>
      <c r="N765" s="5" t="n"/>
      <c r="O765" s="5" t="n">
        <v>996</v>
      </c>
      <c r="P765" s="5" t="n"/>
      <c r="Q765" s="5" t="n">
        <v>996</v>
      </c>
      <c r="R765" s="5" t="n"/>
      <c r="S765" s="5">
        <f>F765*20%</f>
        <v/>
      </c>
      <c r="T765" s="5">
        <f>J765-S765</f>
        <v/>
      </c>
      <c r="U765" s="5">
        <f>F765+J765</f>
        <v/>
      </c>
      <c r="V765" s="5">
        <f>O765-U765</f>
        <v/>
      </c>
      <c r="W765" s="5">
        <f>O765-(P765+R765)</f>
        <v/>
      </c>
      <c r="X765" s="5">
        <f>O765-(P765+Q765+R765)</f>
        <v/>
      </c>
    </row>
    <row r="766">
      <c r="A766" s="2" t="inlineStr">
        <is>
          <t>EJ010724.TXT</t>
        </is>
      </c>
      <c r="B766" s="3" t="inlineStr">
        <is>
          <t>005402</t>
        </is>
      </c>
      <c r="C766" s="3" t="inlineStr">
        <is>
          <t>004326</t>
        </is>
      </c>
      <c r="D766" s="4" t="n">
        <v>45445</v>
      </c>
      <c r="E766" s="2" t="inlineStr">
        <is>
          <t>12:42</t>
        </is>
      </c>
      <c r="F766" s="5" t="n">
        <v>1063.33</v>
      </c>
      <c r="G766" s="5" t="n"/>
      <c r="H766" s="5" t="n"/>
      <c r="I766" s="5" t="n"/>
      <c r="J766" s="5" t="n">
        <v>212.67</v>
      </c>
      <c r="K766" s="5" t="n"/>
      <c r="L766" s="5" t="n"/>
      <c r="M766" s="5" t="n"/>
      <c r="N766" s="5" t="n"/>
      <c r="O766" s="5" t="n">
        <v>1276</v>
      </c>
      <c r="P766" s="5" t="n">
        <v>1276</v>
      </c>
      <c r="Q766" s="5" t="n"/>
      <c r="R766" s="5" t="n"/>
      <c r="S766" s="5">
        <f>F766*20%</f>
        <v/>
      </c>
      <c r="T766" s="5">
        <f>J766-S766</f>
        <v/>
      </c>
      <c r="U766" s="5">
        <f>F766+J766</f>
        <v/>
      </c>
      <c r="V766" s="5">
        <f>O766-U766</f>
        <v/>
      </c>
      <c r="W766" s="5">
        <f>O766-(P766+R766)</f>
        <v/>
      </c>
      <c r="X766" s="5">
        <f>O766-(P766+Q766+R766)</f>
        <v/>
      </c>
    </row>
    <row r="767">
      <c r="A767" s="2" t="inlineStr">
        <is>
          <t>EJ010724.TXT</t>
        </is>
      </c>
      <c r="B767" s="3" t="inlineStr">
        <is>
          <t>005403</t>
        </is>
      </c>
      <c r="C767" s="3" t="inlineStr">
        <is>
          <t>004327</t>
        </is>
      </c>
      <c r="D767" s="4" t="n">
        <v>45446</v>
      </c>
      <c r="E767" s="2" t="inlineStr">
        <is>
          <t>10:47</t>
        </is>
      </c>
      <c r="F767" s="5" t="n">
        <v>582.5</v>
      </c>
      <c r="G767" s="5" t="n"/>
      <c r="H767" s="5" t="n"/>
      <c r="I767" s="5" t="n"/>
      <c r="J767" s="5" t="n">
        <v>116.5</v>
      </c>
      <c r="K767" s="5" t="n"/>
      <c r="L767" s="5" t="n"/>
      <c r="M767" s="5" t="n"/>
      <c r="N767" s="5" t="n"/>
      <c r="O767" s="5" t="n">
        <v>699</v>
      </c>
      <c r="P767" s="5" t="n">
        <v>699</v>
      </c>
      <c r="Q767" s="5" t="n"/>
      <c r="R767" s="5" t="n"/>
      <c r="S767" s="5">
        <f>F767*20%</f>
        <v/>
      </c>
      <c r="T767" s="5">
        <f>J767-S767</f>
        <v/>
      </c>
      <c r="U767" s="5">
        <f>F767+J767</f>
        <v/>
      </c>
      <c r="V767" s="5">
        <f>O767-U767</f>
        <v/>
      </c>
      <c r="W767" s="5">
        <f>O767-(P767+R767)</f>
        <v/>
      </c>
      <c r="X767" s="5">
        <f>O767-(P767+Q767+R767)</f>
        <v/>
      </c>
    </row>
    <row r="768">
      <c r="A768" s="2" t="inlineStr">
        <is>
          <t>EJ010724.TXT</t>
        </is>
      </c>
      <c r="B768" s="3" t="inlineStr">
        <is>
          <t>005404</t>
        </is>
      </c>
      <c r="C768" s="3" t="inlineStr">
        <is>
          <t>004328</t>
        </is>
      </c>
      <c r="D768" s="4" t="n">
        <v>45446</v>
      </c>
      <c r="E768" s="2" t="inlineStr">
        <is>
          <t>10:47</t>
        </is>
      </c>
      <c r="F768" s="5" t="n">
        <v>582.5</v>
      </c>
      <c r="G768" s="5" t="n"/>
      <c r="H768" s="5" t="n"/>
      <c r="I768" s="5" t="n"/>
      <c r="J768" s="5" t="n">
        <v>116.5</v>
      </c>
      <c r="K768" s="5" t="n"/>
      <c r="L768" s="5" t="n"/>
      <c r="M768" s="5" t="n"/>
      <c r="N768" s="5" t="n"/>
      <c r="O768" s="5" t="n">
        <v>699</v>
      </c>
      <c r="P768" s="5" t="n">
        <v>699</v>
      </c>
      <c r="Q768" s="5" t="n"/>
      <c r="R768" s="5" t="n"/>
      <c r="S768" s="5">
        <f>F768*20%</f>
        <v/>
      </c>
      <c r="T768" s="5">
        <f>J768-S768</f>
        <v/>
      </c>
      <c r="U768" s="5">
        <f>F768+J768</f>
        <v/>
      </c>
      <c r="V768" s="5">
        <f>O768-U768</f>
        <v/>
      </c>
      <c r="W768" s="5">
        <f>O768-(P768+R768)</f>
        <v/>
      </c>
      <c r="X768" s="5">
        <f>O768-(P768+Q768+R768)</f>
        <v/>
      </c>
    </row>
    <row r="769">
      <c r="A769" s="2" t="inlineStr">
        <is>
          <t>EJ010724.TXT</t>
        </is>
      </c>
      <c r="B769" s="3" t="inlineStr">
        <is>
          <t>005405</t>
        </is>
      </c>
      <c r="C769" s="3" t="inlineStr">
        <is>
          <t>004329</t>
        </is>
      </c>
      <c r="D769" s="4" t="n">
        <v>45447</v>
      </c>
      <c r="E769" s="2" t="inlineStr">
        <is>
          <t>10:49</t>
        </is>
      </c>
      <c r="F769" s="5" t="n">
        <v>797.5</v>
      </c>
      <c r="G769" s="5" t="n"/>
      <c r="H769" s="5" t="n"/>
      <c r="I769" s="5" t="n"/>
      <c r="J769" s="5" t="n">
        <v>159.5</v>
      </c>
      <c r="K769" s="5" t="n"/>
      <c r="L769" s="5" t="n"/>
      <c r="M769" s="5" t="n"/>
      <c r="N769" s="5" t="n"/>
      <c r="O769" s="5" t="n">
        <v>957</v>
      </c>
      <c r="P769" s="5" t="n"/>
      <c r="Q769" s="5" t="n">
        <v>957</v>
      </c>
      <c r="R769" s="5" t="n"/>
      <c r="S769" s="5">
        <f>F769*20%</f>
        <v/>
      </c>
      <c r="T769" s="5">
        <f>J769-S769</f>
        <v/>
      </c>
      <c r="U769" s="5">
        <f>F769+J769</f>
        <v/>
      </c>
      <c r="V769" s="5">
        <f>O769-U769</f>
        <v/>
      </c>
      <c r="W769" s="5">
        <f>O769-(P769+R769)</f>
        <v/>
      </c>
      <c r="X769" s="5">
        <f>O769-(P769+Q769+R769)</f>
        <v/>
      </c>
    </row>
    <row r="770">
      <c r="A770" s="2" t="inlineStr">
        <is>
          <t>EJ010724.TXT</t>
        </is>
      </c>
      <c r="B770" s="3" t="inlineStr">
        <is>
          <t>005406</t>
        </is>
      </c>
      <c r="C770" s="3" t="inlineStr">
        <is>
          <t>004330</t>
        </is>
      </c>
      <c r="D770" s="4" t="n">
        <v>45447</v>
      </c>
      <c r="E770" s="2" t="inlineStr">
        <is>
          <t>10:50</t>
        </is>
      </c>
      <c r="F770" s="5" t="n">
        <v>2356.67</v>
      </c>
      <c r="G770" s="5" t="n"/>
      <c r="H770" s="5" t="n"/>
      <c r="I770" s="5" t="n"/>
      <c r="J770" s="5" t="n">
        <v>471.33</v>
      </c>
      <c r="K770" s="5" t="n"/>
      <c r="L770" s="5" t="n"/>
      <c r="M770" s="5" t="n"/>
      <c r="N770" s="5" t="n"/>
      <c r="O770" s="5" t="n">
        <v>2828</v>
      </c>
      <c r="P770" s="5" t="n">
        <v>2828</v>
      </c>
      <c r="Q770" s="5" t="n"/>
      <c r="R770" s="5" t="n"/>
      <c r="S770" s="5">
        <f>F770*20%</f>
        <v/>
      </c>
      <c r="T770" s="5">
        <f>J770-S770</f>
        <v/>
      </c>
      <c r="U770" s="5">
        <f>F770+J770</f>
        <v/>
      </c>
      <c r="V770" s="5">
        <f>O770-U770</f>
        <v/>
      </c>
      <c r="W770" s="5">
        <f>O770-(P770+R770)</f>
        <v/>
      </c>
      <c r="X770" s="5">
        <f>O770-(P770+Q770+R770)</f>
        <v/>
      </c>
    </row>
    <row r="771">
      <c r="A771" s="2" t="inlineStr">
        <is>
          <t>EJ010724.TXT</t>
        </is>
      </c>
      <c r="B771" s="3" t="inlineStr">
        <is>
          <t>005407</t>
        </is>
      </c>
      <c r="C771" s="3" t="inlineStr">
        <is>
          <t>004331</t>
        </is>
      </c>
      <c r="D771" s="4" t="n">
        <v>45447</v>
      </c>
      <c r="E771" s="2" t="inlineStr">
        <is>
          <t>10:52</t>
        </is>
      </c>
      <c r="F771" s="5" t="n">
        <v>35.83</v>
      </c>
      <c r="G771" s="5" t="n"/>
      <c r="H771" s="5" t="n"/>
      <c r="I771" s="5" t="n"/>
      <c r="J771" s="5" t="n">
        <v>7.17</v>
      </c>
      <c r="K771" s="5" t="n"/>
      <c r="L771" s="5" t="n"/>
      <c r="M771" s="5" t="n"/>
      <c r="N771" s="5" t="n"/>
      <c r="O771" s="5" t="n">
        <v>43</v>
      </c>
      <c r="P771" s="5" t="n"/>
      <c r="Q771" s="5" t="n">
        <v>43</v>
      </c>
      <c r="R771" s="5" t="n"/>
      <c r="S771" s="5">
        <f>F771*20%</f>
        <v/>
      </c>
      <c r="T771" s="5">
        <f>J771-S771</f>
        <v/>
      </c>
      <c r="U771" s="5">
        <f>F771+J771</f>
        <v/>
      </c>
      <c r="V771" s="5">
        <f>O771-U771</f>
        <v/>
      </c>
      <c r="W771" s="5">
        <f>O771-(P771+R771)</f>
        <v/>
      </c>
      <c r="X771" s="5">
        <f>O771-(P771+Q771+R771)</f>
        <v/>
      </c>
    </row>
    <row r="772">
      <c r="A772" s="2" t="inlineStr">
        <is>
          <t>EJ010724.TXT</t>
        </is>
      </c>
      <c r="B772" s="3" t="inlineStr">
        <is>
          <t>005408</t>
        </is>
      </c>
      <c r="C772" s="3" t="inlineStr">
        <is>
          <t>004332</t>
        </is>
      </c>
      <c r="D772" s="4" t="n">
        <v>45447</v>
      </c>
      <c r="E772" s="2" t="inlineStr">
        <is>
          <t>10:53</t>
        </is>
      </c>
      <c r="F772" s="5" t="n">
        <v>625</v>
      </c>
      <c r="G772" s="5" t="n"/>
      <c r="H772" s="5" t="n"/>
      <c r="I772" s="5" t="n"/>
      <c r="J772" s="5" t="n">
        <v>125</v>
      </c>
      <c r="K772" s="5" t="n"/>
      <c r="L772" s="5" t="n"/>
      <c r="M772" s="5" t="n"/>
      <c r="N772" s="5" t="n"/>
      <c r="O772" s="5" t="n">
        <v>750</v>
      </c>
      <c r="P772" s="5" t="n"/>
      <c r="Q772" s="5" t="n">
        <v>750</v>
      </c>
      <c r="R772" s="5" t="n"/>
      <c r="S772" s="5">
        <f>F772*20%</f>
        <v/>
      </c>
      <c r="T772" s="5">
        <f>J772-S772</f>
        <v/>
      </c>
      <c r="U772" s="5">
        <f>F772+J772</f>
        <v/>
      </c>
      <c r="V772" s="5">
        <f>O772-U772</f>
        <v/>
      </c>
      <c r="W772" s="5">
        <f>O772-(P772+R772)</f>
        <v/>
      </c>
      <c r="X772" s="5">
        <f>O772-(P772+Q772+R772)</f>
        <v/>
      </c>
    </row>
    <row r="773">
      <c r="A773" s="2" t="inlineStr">
        <is>
          <t>EJ010724.TXT</t>
        </is>
      </c>
      <c r="B773" s="3" t="inlineStr">
        <is>
          <t>005409</t>
        </is>
      </c>
      <c r="C773" s="3" t="inlineStr">
        <is>
          <t>004333</t>
        </is>
      </c>
      <c r="D773" s="4" t="n">
        <v>45447</v>
      </c>
      <c r="E773" s="2" t="inlineStr">
        <is>
          <t>11:00</t>
        </is>
      </c>
      <c r="F773" s="5" t="n">
        <v>172.5</v>
      </c>
      <c r="G773" s="5" t="n"/>
      <c r="H773" s="5" t="n"/>
      <c r="I773" s="5" t="n"/>
      <c r="J773" s="5" t="n">
        <v>34.5</v>
      </c>
      <c r="K773" s="5" t="n"/>
      <c r="L773" s="5" t="n"/>
      <c r="M773" s="5" t="n"/>
      <c r="N773" s="5" t="n"/>
      <c r="O773" s="5" t="n">
        <v>207</v>
      </c>
      <c r="P773" s="5" t="n"/>
      <c r="Q773" s="5" t="n">
        <v>207</v>
      </c>
      <c r="R773" s="5" t="n"/>
      <c r="S773" s="5">
        <f>F773*20%</f>
        <v/>
      </c>
      <c r="T773" s="5">
        <f>J773-S773</f>
        <v/>
      </c>
      <c r="U773" s="5">
        <f>F773+J773</f>
        <v/>
      </c>
      <c r="V773" s="5">
        <f>O773-U773</f>
        <v/>
      </c>
      <c r="W773" s="5">
        <f>O773-(P773+R773)</f>
        <v/>
      </c>
      <c r="X773" s="5">
        <f>O773-(P773+Q773+R773)</f>
        <v/>
      </c>
    </row>
    <row r="774">
      <c r="A774" s="2" t="inlineStr">
        <is>
          <t>EJ010724.TXT</t>
        </is>
      </c>
      <c r="B774" s="3" t="inlineStr">
        <is>
          <t>005410</t>
        </is>
      </c>
      <c r="C774" s="3" t="inlineStr">
        <is>
          <t>004334</t>
        </is>
      </c>
      <c r="D774" s="4" t="n">
        <v>45447</v>
      </c>
      <c r="E774" s="2" t="inlineStr">
        <is>
          <t>11:01</t>
        </is>
      </c>
      <c r="F774" s="5" t="n">
        <v>265.83</v>
      </c>
      <c r="G774" s="5" t="n"/>
      <c r="H774" s="5" t="n"/>
      <c r="I774" s="5" t="n"/>
      <c r="J774" s="5" t="n">
        <v>53.17</v>
      </c>
      <c r="K774" s="5" t="n"/>
      <c r="L774" s="5" t="n"/>
      <c r="M774" s="5" t="n"/>
      <c r="N774" s="5" t="n"/>
      <c r="O774" s="5" t="n">
        <v>319</v>
      </c>
      <c r="P774" s="5" t="n"/>
      <c r="Q774" s="5" t="n">
        <v>319</v>
      </c>
      <c r="R774" s="5" t="n"/>
      <c r="S774" s="5">
        <f>F774*20%</f>
        <v/>
      </c>
      <c r="T774" s="5">
        <f>J774-S774</f>
        <v/>
      </c>
      <c r="U774" s="5">
        <f>F774+J774</f>
        <v/>
      </c>
      <c r="V774" s="5">
        <f>O774-U774</f>
        <v/>
      </c>
      <c r="W774" s="5">
        <f>O774-(P774+R774)</f>
        <v/>
      </c>
      <c r="X774" s="5">
        <f>O774-(P774+Q774+R774)</f>
        <v/>
      </c>
    </row>
    <row r="775">
      <c r="A775" s="2" t="inlineStr">
        <is>
          <t>EJ010724.TXT</t>
        </is>
      </c>
      <c r="B775" s="3" t="inlineStr">
        <is>
          <t>005411</t>
        </is>
      </c>
      <c r="C775" s="3" t="inlineStr">
        <is>
          <t>004335</t>
        </is>
      </c>
      <c r="D775" s="4" t="n">
        <v>45447</v>
      </c>
      <c r="E775" s="2" t="inlineStr">
        <is>
          <t>14:46</t>
        </is>
      </c>
      <c r="F775" s="5" t="n">
        <v>833.33</v>
      </c>
      <c r="G775" s="5" t="n"/>
      <c r="H775" s="5" t="n"/>
      <c r="I775" s="5" t="n"/>
      <c r="J775" s="5" t="n">
        <v>166.67</v>
      </c>
      <c r="K775" s="5" t="n"/>
      <c r="L775" s="5" t="n"/>
      <c r="M775" s="5" t="n"/>
      <c r="N775" s="5" t="n"/>
      <c r="O775" s="5" t="n">
        <v>1000</v>
      </c>
      <c r="P775" s="5" t="n"/>
      <c r="Q775" s="5" t="n">
        <v>1000</v>
      </c>
      <c r="R775" s="5" t="n"/>
      <c r="S775" s="5">
        <f>F775*20%</f>
        <v/>
      </c>
      <c r="T775" s="5">
        <f>J775-S775</f>
        <v/>
      </c>
      <c r="U775" s="5">
        <f>F775+J775</f>
        <v/>
      </c>
      <c r="V775" s="5">
        <f>O775-U775</f>
        <v/>
      </c>
      <c r="W775" s="5">
        <f>O775-(P775+R775)</f>
        <v/>
      </c>
      <c r="X775" s="5">
        <f>O775-(P775+Q775+R775)</f>
        <v/>
      </c>
    </row>
    <row r="776">
      <c r="A776" s="2" t="inlineStr">
        <is>
          <t>EJ010724.TXT</t>
        </is>
      </c>
      <c r="B776" s="3" t="inlineStr">
        <is>
          <t>005412</t>
        </is>
      </c>
      <c r="C776" s="3" t="inlineStr">
        <is>
          <t>004336</t>
        </is>
      </c>
      <c r="D776" s="4" t="n">
        <v>45447</v>
      </c>
      <c r="E776" s="2" t="inlineStr">
        <is>
          <t>14:48</t>
        </is>
      </c>
      <c r="F776" s="5" t="n">
        <v>2356.67</v>
      </c>
      <c r="G776" s="5" t="n"/>
      <c r="H776" s="5" t="n"/>
      <c r="I776" s="5" t="n"/>
      <c r="J776" s="5" t="n">
        <v>471.33</v>
      </c>
      <c r="K776" s="5" t="n"/>
      <c r="L776" s="5" t="n"/>
      <c r="M776" s="5" t="n"/>
      <c r="N776" s="5" t="n"/>
      <c r="O776" s="5" t="n">
        <v>2828</v>
      </c>
      <c r="P776" s="5" t="n">
        <v>2828</v>
      </c>
      <c r="Q776" s="5" t="n"/>
      <c r="R776" s="5" t="n"/>
      <c r="S776" s="5">
        <f>F776*20%</f>
        <v/>
      </c>
      <c r="T776" s="5">
        <f>J776-S776</f>
        <v/>
      </c>
      <c r="U776" s="5">
        <f>F776+J776</f>
        <v/>
      </c>
      <c r="V776" s="5">
        <f>O776-U776</f>
        <v/>
      </c>
      <c r="W776" s="5">
        <f>O776-(P776+R776)</f>
        <v/>
      </c>
      <c r="X776" s="5">
        <f>O776-(P776+Q776+R776)</f>
        <v/>
      </c>
    </row>
    <row r="777">
      <c r="A777" s="2" t="inlineStr">
        <is>
          <t>EJ010724.TXT</t>
        </is>
      </c>
      <c r="B777" s="3" t="inlineStr">
        <is>
          <t>005413</t>
        </is>
      </c>
      <c r="C777" s="3" t="inlineStr">
        <is>
          <t>004337</t>
        </is>
      </c>
      <c r="D777" s="4" t="n">
        <v>45448</v>
      </c>
      <c r="E777" s="2" t="inlineStr">
        <is>
          <t>14:14</t>
        </is>
      </c>
      <c r="F777" s="5" t="n">
        <v>274.17</v>
      </c>
      <c r="G777" s="5" t="n"/>
      <c r="H777" s="5" t="n"/>
      <c r="I777" s="5" t="n"/>
      <c r="J777" s="5" t="n">
        <v>54.83</v>
      </c>
      <c r="K777" s="5" t="n"/>
      <c r="L777" s="5" t="n"/>
      <c r="M777" s="5" t="n"/>
      <c r="N777" s="5" t="n"/>
      <c r="O777" s="5" t="n">
        <v>329</v>
      </c>
      <c r="P777" s="5" t="n"/>
      <c r="Q777" s="5" t="n">
        <v>329</v>
      </c>
      <c r="R777" s="5" t="n"/>
      <c r="S777" s="5">
        <f>F777*20%</f>
        <v/>
      </c>
      <c r="T777" s="5">
        <f>J777-S777</f>
        <v/>
      </c>
      <c r="U777" s="5">
        <f>F777+J777</f>
        <v/>
      </c>
      <c r="V777" s="5">
        <f>O777-U777</f>
        <v/>
      </c>
      <c r="W777" s="5">
        <f>O777-(P777+R777)</f>
        <v/>
      </c>
      <c r="X777" s="5">
        <f>O777-(P777+Q777+R777)</f>
        <v/>
      </c>
    </row>
    <row r="778">
      <c r="A778" s="2" t="inlineStr">
        <is>
          <t>EJ010724.TXT</t>
        </is>
      </c>
      <c r="B778" s="3" t="inlineStr">
        <is>
          <t>005414</t>
        </is>
      </c>
      <c r="C778" s="3" t="inlineStr">
        <is>
          <t>004338</t>
        </is>
      </c>
      <c r="D778" s="4" t="n">
        <v>45448</v>
      </c>
      <c r="E778" s="2" t="inlineStr">
        <is>
          <t>15:47</t>
        </is>
      </c>
      <c r="F778" s="5" t="n">
        <v>208.33</v>
      </c>
      <c r="G778" s="5" t="n"/>
      <c r="H778" s="5" t="n"/>
      <c r="I778" s="5" t="n"/>
      <c r="J778" s="5" t="n">
        <v>41.67</v>
      </c>
      <c r="K778" s="5" t="n"/>
      <c r="L778" s="5" t="n"/>
      <c r="M778" s="5" t="n"/>
      <c r="N778" s="5" t="n"/>
      <c r="O778" s="5" t="n">
        <v>250</v>
      </c>
      <c r="P778" s="5" t="n"/>
      <c r="Q778" s="5" t="n">
        <v>250</v>
      </c>
      <c r="R778" s="5" t="n"/>
      <c r="S778" s="5">
        <f>F778*20%</f>
        <v/>
      </c>
      <c r="T778" s="5">
        <f>J778-S778</f>
        <v/>
      </c>
      <c r="U778" s="5">
        <f>F778+J778</f>
        <v/>
      </c>
      <c r="V778" s="5">
        <f>O778-U778</f>
        <v/>
      </c>
      <c r="W778" s="5">
        <f>O778-(P778+R778)</f>
        <v/>
      </c>
      <c r="X778" s="5">
        <f>O778-(P778+Q778+R778)</f>
        <v/>
      </c>
    </row>
    <row r="779">
      <c r="A779" s="2" t="inlineStr">
        <is>
          <t>EJ010724.TXT</t>
        </is>
      </c>
      <c r="B779" s="3" t="inlineStr">
        <is>
          <t>005415</t>
        </is>
      </c>
      <c r="C779" s="3" t="inlineStr">
        <is>
          <t>004339</t>
        </is>
      </c>
      <c r="D779" s="4" t="n">
        <v>45449</v>
      </c>
      <c r="E779" s="2" t="inlineStr">
        <is>
          <t>16:36</t>
        </is>
      </c>
      <c r="F779" s="5" t="n">
        <v>175</v>
      </c>
      <c r="G779" s="5" t="n"/>
      <c r="H779" s="5" t="n"/>
      <c r="I779" s="5" t="n"/>
      <c r="J779" s="5" t="n">
        <v>35</v>
      </c>
      <c r="K779" s="5" t="n"/>
      <c r="L779" s="5" t="n"/>
      <c r="M779" s="5" t="n"/>
      <c r="N779" s="5" t="n"/>
      <c r="O779" s="5" t="n">
        <v>210</v>
      </c>
      <c r="P779" s="5" t="n">
        <v>210</v>
      </c>
      <c r="Q779" s="5" t="n"/>
      <c r="R779" s="5" t="n"/>
      <c r="S779" s="5">
        <f>F779*20%</f>
        <v/>
      </c>
      <c r="T779" s="5">
        <f>J779-S779</f>
        <v/>
      </c>
      <c r="U779" s="5">
        <f>F779+J779</f>
        <v/>
      </c>
      <c r="V779" s="5">
        <f>O779-U779</f>
        <v/>
      </c>
      <c r="W779" s="5">
        <f>O779-(P779+R779)</f>
        <v/>
      </c>
      <c r="X779" s="5">
        <f>O779-(P779+Q779+R779)</f>
        <v/>
      </c>
    </row>
    <row r="780">
      <c r="A780" s="2" t="inlineStr">
        <is>
          <t>EJ010724.TXT</t>
        </is>
      </c>
      <c r="B780" s="3" t="inlineStr">
        <is>
          <t>005416</t>
        </is>
      </c>
      <c r="C780" s="3" t="inlineStr">
        <is>
          <t>004340</t>
        </is>
      </c>
      <c r="D780" s="4" t="n">
        <v>45449</v>
      </c>
      <c r="E780" s="2" t="inlineStr">
        <is>
          <t>16:48</t>
        </is>
      </c>
      <c r="F780" s="5" t="n">
        <v>1096.67</v>
      </c>
      <c r="G780" s="5" t="n"/>
      <c r="H780" s="5" t="n"/>
      <c r="I780" s="5" t="n"/>
      <c r="J780" s="5" t="n">
        <v>219.33</v>
      </c>
      <c r="K780" s="5" t="n"/>
      <c r="L780" s="5" t="n"/>
      <c r="M780" s="5" t="n"/>
      <c r="N780" s="5" t="n"/>
      <c r="O780" s="5" t="n">
        <v>1316</v>
      </c>
      <c r="P780" s="5" t="n">
        <v>1316</v>
      </c>
      <c r="Q780" s="5" t="n"/>
      <c r="R780" s="5" t="n"/>
      <c r="S780" s="5">
        <f>F780*20%</f>
        <v/>
      </c>
      <c r="T780" s="5">
        <f>J780-S780</f>
        <v/>
      </c>
      <c r="U780" s="5">
        <f>F780+J780</f>
        <v/>
      </c>
      <c r="V780" s="5">
        <f>O780-U780</f>
        <v/>
      </c>
      <c r="W780" s="5">
        <f>O780-(P780+R780)</f>
        <v/>
      </c>
      <c r="X780" s="5">
        <f>O780-(P780+Q780+R780)</f>
        <v/>
      </c>
    </row>
    <row r="781">
      <c r="A781" s="2" t="inlineStr">
        <is>
          <t>EJ010724.TXT</t>
        </is>
      </c>
      <c r="B781" s="3" t="inlineStr">
        <is>
          <t>005417</t>
        </is>
      </c>
      <c r="C781" s="3" t="inlineStr">
        <is>
          <t>004341</t>
        </is>
      </c>
      <c r="D781" s="4" t="n">
        <v>45450</v>
      </c>
      <c r="E781" s="2" t="inlineStr">
        <is>
          <t>16:36</t>
        </is>
      </c>
      <c r="F781" s="5" t="n">
        <v>208.33</v>
      </c>
      <c r="G781" s="5" t="n"/>
      <c r="H781" s="5" t="n"/>
      <c r="I781" s="5" t="n"/>
      <c r="J781" s="5" t="n">
        <v>41.67</v>
      </c>
      <c r="K781" s="5" t="n"/>
      <c r="L781" s="5" t="n"/>
      <c r="M781" s="5" t="n"/>
      <c r="N781" s="5" t="n"/>
      <c r="O781" s="5" t="n">
        <v>250</v>
      </c>
      <c r="P781" s="5" t="n"/>
      <c r="Q781" s="5" t="n">
        <v>250</v>
      </c>
      <c r="R781" s="5" t="n"/>
      <c r="S781" s="5">
        <f>F781*20%</f>
        <v/>
      </c>
      <c r="T781" s="5">
        <f>J781-S781</f>
        <v/>
      </c>
      <c r="U781" s="5">
        <f>F781+J781</f>
        <v/>
      </c>
      <c r="V781" s="5">
        <f>O781-U781</f>
        <v/>
      </c>
      <c r="W781" s="5">
        <f>O781-(P781+R781)</f>
        <v/>
      </c>
      <c r="X781" s="5">
        <f>O781-(P781+Q781+R781)</f>
        <v/>
      </c>
    </row>
    <row r="782">
      <c r="A782" s="2" t="inlineStr">
        <is>
          <t>EJ010724.TXT</t>
        </is>
      </c>
      <c r="B782" s="3" t="inlineStr">
        <is>
          <t>005418</t>
        </is>
      </c>
      <c r="C782" s="3" t="inlineStr">
        <is>
          <t>004342</t>
        </is>
      </c>
      <c r="D782" s="4" t="n">
        <v>45451</v>
      </c>
      <c r="E782" s="2" t="inlineStr">
        <is>
          <t>17:58</t>
        </is>
      </c>
      <c r="F782" s="5" t="n">
        <v>208.33</v>
      </c>
      <c r="G782" s="5" t="n"/>
      <c r="H782" s="5" t="n"/>
      <c r="I782" s="5" t="n"/>
      <c r="J782" s="5" t="n">
        <v>41.67</v>
      </c>
      <c r="K782" s="5" t="n"/>
      <c r="L782" s="5" t="n"/>
      <c r="M782" s="5" t="n"/>
      <c r="N782" s="5" t="n"/>
      <c r="O782" s="5" t="n">
        <v>250</v>
      </c>
      <c r="P782" s="5" t="n"/>
      <c r="Q782" s="5" t="n">
        <v>250</v>
      </c>
      <c r="R782" s="5" t="n"/>
      <c r="S782" s="5">
        <f>F782*20%</f>
        <v/>
      </c>
      <c r="T782" s="5">
        <f>J782-S782</f>
        <v/>
      </c>
      <c r="U782" s="5">
        <f>F782+J782</f>
        <v/>
      </c>
      <c r="V782" s="5">
        <f>O782-U782</f>
        <v/>
      </c>
      <c r="W782" s="5">
        <f>O782-(P782+R782)</f>
        <v/>
      </c>
      <c r="X782" s="5">
        <f>O782-(P782+Q782+R782)</f>
        <v/>
      </c>
    </row>
    <row r="783">
      <c r="A783" s="2" t="inlineStr">
        <is>
          <t>EJ010724.TXT</t>
        </is>
      </c>
      <c r="B783" s="3" t="inlineStr">
        <is>
          <t>005419</t>
        </is>
      </c>
      <c r="C783" s="3" t="inlineStr">
        <is>
          <t>004343</t>
        </is>
      </c>
      <c r="D783" s="4" t="n">
        <v>45453</v>
      </c>
      <c r="E783" s="2" t="inlineStr">
        <is>
          <t>15:35</t>
        </is>
      </c>
      <c r="F783" s="5" t="n">
        <v>208.33</v>
      </c>
      <c r="G783" s="5" t="n"/>
      <c r="H783" s="5" t="n"/>
      <c r="I783" s="5" t="n"/>
      <c r="J783" s="5" t="n">
        <v>41.67</v>
      </c>
      <c r="K783" s="5" t="n"/>
      <c r="L783" s="5" t="n"/>
      <c r="M783" s="5" t="n"/>
      <c r="N783" s="5" t="n"/>
      <c r="O783" s="5" t="n">
        <v>250</v>
      </c>
      <c r="P783" s="5" t="n"/>
      <c r="Q783" s="5" t="n">
        <v>250</v>
      </c>
      <c r="R783" s="5" t="n"/>
      <c r="S783" s="5">
        <f>F783*20%</f>
        <v/>
      </c>
      <c r="T783" s="5">
        <f>J783-S783</f>
        <v/>
      </c>
      <c r="U783" s="5">
        <f>F783+J783</f>
        <v/>
      </c>
      <c r="V783" s="5">
        <f>O783-U783</f>
        <v/>
      </c>
      <c r="W783" s="5">
        <f>O783-(P783+R783)</f>
        <v/>
      </c>
      <c r="X783" s="5">
        <f>O783-(P783+Q783+R783)</f>
        <v/>
      </c>
    </row>
    <row r="784">
      <c r="A784" s="2" t="inlineStr">
        <is>
          <t>EJ010724.TXT</t>
        </is>
      </c>
      <c r="B784" s="3" t="inlineStr">
        <is>
          <t>005420</t>
        </is>
      </c>
      <c r="C784" s="3" t="inlineStr">
        <is>
          <t>004344</t>
        </is>
      </c>
      <c r="D784" s="4" t="n">
        <v>45455</v>
      </c>
      <c r="E784" s="2" t="inlineStr">
        <is>
          <t>10:47</t>
        </is>
      </c>
      <c r="F784" s="5" t="n">
        <v>548.33</v>
      </c>
      <c r="G784" s="5" t="n"/>
      <c r="H784" s="5" t="n"/>
      <c r="I784" s="5" t="n"/>
      <c r="J784" s="5" t="n">
        <v>109.67</v>
      </c>
      <c r="K784" s="5" t="n"/>
      <c r="L784" s="5" t="n"/>
      <c r="M784" s="5" t="n"/>
      <c r="N784" s="5" t="n"/>
      <c r="O784" s="5" t="n">
        <v>658</v>
      </c>
      <c r="P784" s="5" t="n"/>
      <c r="Q784" s="5" t="n">
        <v>658</v>
      </c>
      <c r="R784" s="5" t="n"/>
      <c r="S784" s="5">
        <f>F784*20%</f>
        <v/>
      </c>
      <c r="T784" s="5">
        <f>J784-S784</f>
        <v/>
      </c>
      <c r="U784" s="5">
        <f>F784+J784</f>
        <v/>
      </c>
      <c r="V784" s="5">
        <f>O784-U784</f>
        <v/>
      </c>
      <c r="W784" s="5">
        <f>O784-(P784+R784)</f>
        <v/>
      </c>
      <c r="X784" s="5">
        <f>O784-(P784+Q784+R784)</f>
        <v/>
      </c>
    </row>
    <row r="785">
      <c r="A785" s="2" t="inlineStr">
        <is>
          <t>EJ010724.TXT</t>
        </is>
      </c>
      <c r="B785" s="3" t="inlineStr">
        <is>
          <t>005421</t>
        </is>
      </c>
      <c r="C785" s="3" t="inlineStr">
        <is>
          <t>004345</t>
        </is>
      </c>
      <c r="D785" s="4" t="n">
        <v>45456</v>
      </c>
      <c r="E785" s="2" t="inlineStr">
        <is>
          <t>14:01</t>
        </is>
      </c>
      <c r="F785" s="5" t="n">
        <v>45.75</v>
      </c>
      <c r="G785" s="5" t="n"/>
      <c r="H785" s="5" t="n"/>
      <c r="I785" s="5" t="n"/>
      <c r="J785" s="5" t="n">
        <v>9.15</v>
      </c>
      <c r="K785" s="5" t="n"/>
      <c r="L785" s="5" t="n"/>
      <c r="M785" s="5" t="n"/>
      <c r="N785" s="5" t="n"/>
      <c r="O785" s="5" t="n">
        <v>54.9</v>
      </c>
      <c r="P785" s="5" t="n"/>
      <c r="Q785" s="5" t="n">
        <v>54.9</v>
      </c>
      <c r="R785" s="5" t="n"/>
      <c r="S785" s="5">
        <f>F785*20%</f>
        <v/>
      </c>
      <c r="T785" s="5">
        <f>J785-S785</f>
        <v/>
      </c>
      <c r="U785" s="5">
        <f>F785+J785</f>
        <v/>
      </c>
      <c r="V785" s="5">
        <f>O785-U785</f>
        <v/>
      </c>
      <c r="W785" s="5">
        <f>O785-(P785+R785)</f>
        <v/>
      </c>
      <c r="X785" s="5">
        <f>O785-(P785+Q785+R785)</f>
        <v/>
      </c>
    </row>
    <row r="786">
      <c r="A786" s="2" t="inlineStr">
        <is>
          <t>EJ010724.TXT</t>
        </is>
      </c>
      <c r="B786" s="3" t="inlineStr">
        <is>
          <t>005422</t>
        </is>
      </c>
      <c r="C786" s="3" t="inlineStr">
        <is>
          <t>004346</t>
        </is>
      </c>
      <c r="D786" s="4" t="n">
        <v>45457</v>
      </c>
      <c r="E786" s="2" t="inlineStr">
        <is>
          <t>15:03</t>
        </is>
      </c>
      <c r="F786" s="5" t="n">
        <v>208.33</v>
      </c>
      <c r="G786" s="5" t="n"/>
      <c r="H786" s="5" t="n"/>
      <c r="I786" s="5" t="n"/>
      <c r="J786" s="5" t="n">
        <v>41.67</v>
      </c>
      <c r="K786" s="5" t="n"/>
      <c r="L786" s="5" t="n"/>
      <c r="M786" s="5" t="n"/>
      <c r="N786" s="5" t="n"/>
      <c r="O786" s="5" t="n">
        <v>250</v>
      </c>
      <c r="P786" s="5" t="n"/>
      <c r="Q786" s="5" t="n">
        <v>250</v>
      </c>
      <c r="R786" s="5" t="n"/>
      <c r="S786" s="5">
        <f>F786*20%</f>
        <v/>
      </c>
      <c r="T786" s="5">
        <f>J786-S786</f>
        <v/>
      </c>
      <c r="U786" s="5">
        <f>F786+J786</f>
        <v/>
      </c>
      <c r="V786" s="5">
        <f>O786-U786</f>
        <v/>
      </c>
      <c r="W786" s="5">
        <f>O786-(P786+R786)</f>
        <v/>
      </c>
      <c r="X786" s="5">
        <f>O786-(P786+Q786+R786)</f>
        <v/>
      </c>
    </row>
    <row r="787">
      <c r="A787" s="2" t="inlineStr">
        <is>
          <t>EJ010724.TXT</t>
        </is>
      </c>
      <c r="B787" s="3" t="inlineStr">
        <is>
          <t>005423</t>
        </is>
      </c>
      <c r="C787" s="3" t="inlineStr">
        <is>
          <t>004347</t>
        </is>
      </c>
      <c r="D787" s="4" t="n">
        <v>45457</v>
      </c>
      <c r="E787" s="2" t="inlineStr">
        <is>
          <t>15:44</t>
        </is>
      </c>
      <c r="F787" s="5" t="n">
        <v>329.17</v>
      </c>
      <c r="G787" s="5" t="n"/>
      <c r="H787" s="5" t="n"/>
      <c r="I787" s="5" t="n"/>
      <c r="J787" s="5" t="n">
        <v>65.83</v>
      </c>
      <c r="K787" s="5" t="n"/>
      <c r="L787" s="5" t="n"/>
      <c r="M787" s="5" t="n"/>
      <c r="N787" s="5" t="n"/>
      <c r="O787" s="5" t="n">
        <v>395</v>
      </c>
      <c r="P787" s="5" t="n"/>
      <c r="Q787" s="5" t="n">
        <v>395</v>
      </c>
      <c r="R787" s="5" t="n"/>
      <c r="S787" s="5">
        <f>F787*20%</f>
        <v/>
      </c>
      <c r="T787" s="5">
        <f>J787-S787</f>
        <v/>
      </c>
      <c r="U787" s="5">
        <f>F787+J787</f>
        <v/>
      </c>
      <c r="V787" s="5">
        <f>O787-U787</f>
        <v/>
      </c>
      <c r="W787" s="5">
        <f>O787-(P787+R787)</f>
        <v/>
      </c>
      <c r="X787" s="5">
        <f>O787-(P787+Q787+R787)</f>
        <v/>
      </c>
    </row>
    <row r="788">
      <c r="A788" s="2" t="inlineStr">
        <is>
          <t>EJ010724.TXT</t>
        </is>
      </c>
      <c r="B788" s="3" t="inlineStr">
        <is>
          <t>005424</t>
        </is>
      </c>
      <c r="C788" s="3" t="inlineStr">
        <is>
          <t>004348</t>
        </is>
      </c>
      <c r="D788" s="4" t="n">
        <v>45461</v>
      </c>
      <c r="E788" s="2" t="inlineStr">
        <is>
          <t>15:13</t>
        </is>
      </c>
      <c r="F788" s="5" t="n">
        <v>797.5</v>
      </c>
      <c r="G788" s="5" t="n"/>
      <c r="H788" s="5" t="n"/>
      <c r="I788" s="5" t="n"/>
      <c r="J788" s="5" t="n">
        <v>159.5</v>
      </c>
      <c r="K788" s="5" t="n"/>
      <c r="L788" s="5" t="n"/>
      <c r="M788" s="5" t="n"/>
      <c r="N788" s="5" t="n"/>
      <c r="O788" s="5" t="n">
        <v>957</v>
      </c>
      <c r="P788" s="5" t="n"/>
      <c r="Q788" s="5" t="n">
        <v>957</v>
      </c>
      <c r="R788" s="5" t="n"/>
      <c r="S788" s="5">
        <f>F788*20%</f>
        <v/>
      </c>
      <c r="T788" s="5">
        <f>J788-S788</f>
        <v/>
      </c>
      <c r="U788" s="5">
        <f>F788+J788</f>
        <v/>
      </c>
      <c r="V788" s="5">
        <f>O788-U788</f>
        <v/>
      </c>
      <c r="W788" s="5">
        <f>O788-(P788+R788)</f>
        <v/>
      </c>
      <c r="X788" s="5">
        <f>O788-(P788+Q788+R788)</f>
        <v/>
      </c>
    </row>
    <row r="789">
      <c r="A789" s="2" t="inlineStr">
        <is>
          <t>EJ010724.TXT</t>
        </is>
      </c>
      <c r="B789" s="3" t="inlineStr">
        <is>
          <t>005425</t>
        </is>
      </c>
      <c r="C789" s="3" t="inlineStr">
        <is>
          <t>004349</t>
        </is>
      </c>
      <c r="D789" s="4" t="n">
        <v>45461</v>
      </c>
      <c r="E789" s="2" t="inlineStr">
        <is>
          <t>15:16</t>
        </is>
      </c>
      <c r="F789" s="5" t="n">
        <v>797.5</v>
      </c>
      <c r="G789" s="5" t="n"/>
      <c r="H789" s="5" t="n"/>
      <c r="I789" s="5" t="n"/>
      <c r="J789" s="5" t="n">
        <v>159.5</v>
      </c>
      <c r="K789" s="5" t="n"/>
      <c r="L789" s="5" t="n"/>
      <c r="M789" s="5" t="n"/>
      <c r="N789" s="5" t="n"/>
      <c r="O789" s="5" t="n">
        <v>957</v>
      </c>
      <c r="P789" s="5" t="n"/>
      <c r="Q789" s="5" t="n">
        <v>957</v>
      </c>
      <c r="R789" s="5" t="n"/>
      <c r="S789" s="5">
        <f>F789*20%</f>
        <v/>
      </c>
      <c r="T789" s="5">
        <f>J789-S789</f>
        <v/>
      </c>
      <c r="U789" s="5">
        <f>F789+J789</f>
        <v/>
      </c>
      <c r="V789" s="5">
        <f>O789-U789</f>
        <v/>
      </c>
      <c r="W789" s="5">
        <f>O789-(P789+R789)</f>
        <v/>
      </c>
      <c r="X789" s="5">
        <f>O789-(P789+Q789+R789)</f>
        <v/>
      </c>
    </row>
    <row r="790">
      <c r="A790" s="2" t="inlineStr">
        <is>
          <t>EJ010724.TXT</t>
        </is>
      </c>
      <c r="B790" s="3" t="inlineStr">
        <is>
          <t>005426</t>
        </is>
      </c>
      <c r="C790" s="3" t="inlineStr">
        <is>
          <t>004350</t>
        </is>
      </c>
      <c r="D790" s="4" t="n">
        <v>45461</v>
      </c>
      <c r="E790" s="2" t="inlineStr">
        <is>
          <t>16:00</t>
        </is>
      </c>
      <c r="F790" s="5" t="n">
        <v>548.33</v>
      </c>
      <c r="G790" s="5" t="n"/>
      <c r="H790" s="5" t="n"/>
      <c r="I790" s="5" t="n"/>
      <c r="J790" s="5" t="n">
        <v>109.67</v>
      </c>
      <c r="K790" s="5" t="n"/>
      <c r="L790" s="5" t="n"/>
      <c r="M790" s="5" t="n"/>
      <c r="N790" s="5" t="n"/>
      <c r="O790" s="5" t="n">
        <v>658</v>
      </c>
      <c r="P790" s="5" t="n">
        <v>658</v>
      </c>
      <c r="Q790" s="5" t="n"/>
      <c r="R790" s="5" t="n"/>
      <c r="S790" s="5">
        <f>F790*20%</f>
        <v/>
      </c>
      <c r="T790" s="5">
        <f>J790-S790</f>
        <v/>
      </c>
      <c r="U790" s="5">
        <f>F790+J790</f>
        <v/>
      </c>
      <c r="V790" s="5">
        <f>O790-U790</f>
        <v/>
      </c>
      <c r="W790" s="5">
        <f>O790-(P790+R790)</f>
        <v/>
      </c>
      <c r="X790" s="5">
        <f>O790-(P790+Q790+R790)</f>
        <v/>
      </c>
    </row>
    <row r="791">
      <c r="A791" s="2" t="inlineStr">
        <is>
          <t>EJ010724.TXT</t>
        </is>
      </c>
      <c r="B791" s="3" t="inlineStr">
        <is>
          <t>005427</t>
        </is>
      </c>
      <c r="C791" s="3" t="inlineStr">
        <is>
          <t>004351</t>
        </is>
      </c>
      <c r="D791" s="4" t="n">
        <v>45461</v>
      </c>
      <c r="E791" s="2" t="inlineStr">
        <is>
          <t>16:00</t>
        </is>
      </c>
      <c r="F791" s="5" t="n">
        <v>548.33</v>
      </c>
      <c r="G791" s="5" t="n"/>
      <c r="H791" s="5" t="n"/>
      <c r="I791" s="5" t="n"/>
      <c r="J791" s="5" t="n">
        <v>109.67</v>
      </c>
      <c r="K791" s="5" t="n"/>
      <c r="L791" s="5" t="n"/>
      <c r="M791" s="5" t="n"/>
      <c r="N791" s="5" t="n"/>
      <c r="O791" s="5" t="n">
        <v>658</v>
      </c>
      <c r="P791" s="5" t="n">
        <v>658</v>
      </c>
      <c r="Q791" s="5" t="n"/>
      <c r="R791" s="5" t="n"/>
      <c r="S791" s="5">
        <f>F791*20%</f>
        <v/>
      </c>
      <c r="T791" s="5">
        <f>J791-S791</f>
        <v/>
      </c>
      <c r="U791" s="5">
        <f>F791+J791</f>
        <v/>
      </c>
      <c r="V791" s="5">
        <f>O791-U791</f>
        <v/>
      </c>
      <c r="W791" s="5">
        <f>O791-(P791+R791)</f>
        <v/>
      </c>
      <c r="X791" s="5">
        <f>O791-(P791+Q791+R791)</f>
        <v/>
      </c>
    </row>
    <row r="792">
      <c r="A792" s="2" t="inlineStr">
        <is>
          <t>EJ010724.TXT</t>
        </is>
      </c>
      <c r="B792" s="3" t="inlineStr">
        <is>
          <t>005428</t>
        </is>
      </c>
      <c r="C792" s="3" t="inlineStr">
        <is>
          <t>004352</t>
        </is>
      </c>
      <c r="D792" s="4" t="n">
        <v>45462</v>
      </c>
      <c r="E792" s="2" t="inlineStr">
        <is>
          <t>14:06</t>
        </is>
      </c>
      <c r="F792" s="5" t="n">
        <v>548.33</v>
      </c>
      <c r="G792" s="5" t="n"/>
      <c r="H792" s="5" t="n"/>
      <c r="I792" s="5" t="n"/>
      <c r="J792" s="5" t="n">
        <v>109.67</v>
      </c>
      <c r="K792" s="5" t="n"/>
      <c r="L792" s="5" t="n"/>
      <c r="M792" s="5" t="n"/>
      <c r="N792" s="5" t="n"/>
      <c r="O792" s="5" t="n">
        <v>658</v>
      </c>
      <c r="P792" s="5" t="n">
        <v>658</v>
      </c>
      <c r="Q792" s="5" t="n"/>
      <c r="R792" s="5" t="n"/>
      <c r="S792" s="5">
        <f>F792*20%</f>
        <v/>
      </c>
      <c r="T792" s="5">
        <f>J792-S792</f>
        <v/>
      </c>
      <c r="U792" s="5">
        <f>F792+J792</f>
        <v/>
      </c>
      <c r="V792" s="5">
        <f>O792-U792</f>
        <v/>
      </c>
      <c r="W792" s="5">
        <f>O792-(P792+R792)</f>
        <v/>
      </c>
      <c r="X792" s="5">
        <f>O792-(P792+Q792+R792)</f>
        <v/>
      </c>
    </row>
    <row r="793">
      <c r="A793" s="2" t="inlineStr">
        <is>
          <t>EJ010724.TXT</t>
        </is>
      </c>
      <c r="B793" s="3" t="inlineStr">
        <is>
          <t>005429</t>
        </is>
      </c>
      <c r="C793" s="3" t="inlineStr">
        <is>
          <t>004353</t>
        </is>
      </c>
      <c r="D793" s="4" t="n">
        <v>45463</v>
      </c>
      <c r="E793" s="2" t="inlineStr">
        <is>
          <t>11:19</t>
        </is>
      </c>
      <c r="F793" s="5" t="n">
        <v>381.67</v>
      </c>
      <c r="G793" s="5" t="n"/>
      <c r="H793" s="5" t="n"/>
      <c r="I793" s="5" t="n"/>
      <c r="J793" s="5" t="n">
        <v>76.33</v>
      </c>
      <c r="K793" s="5" t="n"/>
      <c r="L793" s="5" t="n"/>
      <c r="M793" s="5" t="n"/>
      <c r="N793" s="5" t="n"/>
      <c r="O793" s="5" t="n">
        <v>458</v>
      </c>
      <c r="P793" s="5" t="n">
        <v>458</v>
      </c>
      <c r="Q793" s="5" t="n"/>
      <c r="R793" s="5" t="n"/>
      <c r="S793" s="5">
        <f>F793*20%</f>
        <v/>
      </c>
      <c r="T793" s="5">
        <f>J793-S793</f>
        <v/>
      </c>
      <c r="U793" s="5">
        <f>F793+J793</f>
        <v/>
      </c>
      <c r="V793" s="5">
        <f>O793-U793</f>
        <v/>
      </c>
      <c r="W793" s="5">
        <f>O793-(P793+R793)</f>
        <v/>
      </c>
      <c r="X793" s="5">
        <f>O793-(P793+Q793+R793)</f>
        <v/>
      </c>
    </row>
    <row r="794">
      <c r="A794" s="2" t="inlineStr">
        <is>
          <t>EJ010724.TXT</t>
        </is>
      </c>
      <c r="B794" s="3" t="inlineStr">
        <is>
          <t>005430</t>
        </is>
      </c>
      <c r="C794" s="3" t="inlineStr">
        <is>
          <t>004354</t>
        </is>
      </c>
      <c r="D794" s="4" t="n">
        <v>45464</v>
      </c>
      <c r="E794" s="2" t="inlineStr">
        <is>
          <t>16:13</t>
        </is>
      </c>
      <c r="F794" s="5" t="n">
        <v>208.33</v>
      </c>
      <c r="G794" s="5" t="n"/>
      <c r="H794" s="5" t="n"/>
      <c r="I794" s="5" t="n"/>
      <c r="J794" s="5" t="n">
        <v>41.67</v>
      </c>
      <c r="K794" s="5" t="n"/>
      <c r="L794" s="5" t="n"/>
      <c r="M794" s="5" t="n"/>
      <c r="N794" s="5" t="n"/>
      <c r="O794" s="5" t="n">
        <v>250</v>
      </c>
      <c r="P794" s="5" t="n"/>
      <c r="Q794" s="5" t="n">
        <v>250</v>
      </c>
      <c r="R794" s="5" t="n"/>
      <c r="S794" s="5">
        <f>F794*20%</f>
        <v/>
      </c>
      <c r="T794" s="5">
        <f>J794-S794</f>
        <v/>
      </c>
      <c r="U794" s="5">
        <f>F794+J794</f>
        <v/>
      </c>
      <c r="V794" s="5">
        <f>O794-U794</f>
        <v/>
      </c>
      <c r="W794" s="5">
        <f>O794-(P794+R794)</f>
        <v/>
      </c>
      <c r="X794" s="5">
        <f>O794-(P794+Q794+R794)</f>
        <v/>
      </c>
    </row>
    <row r="795">
      <c r="A795" s="2" t="inlineStr">
        <is>
          <t>EJ010724.TXT</t>
        </is>
      </c>
      <c r="B795" s="3" t="inlineStr">
        <is>
          <t>005431</t>
        </is>
      </c>
      <c r="C795" s="3" t="inlineStr">
        <is>
          <t>004355</t>
        </is>
      </c>
      <c r="D795" s="4" t="n">
        <v>45464</v>
      </c>
      <c r="E795" s="2" t="inlineStr">
        <is>
          <t>17:41</t>
        </is>
      </c>
      <c r="F795" s="5" t="n">
        <v>822.5</v>
      </c>
      <c r="G795" s="5" t="n"/>
      <c r="H795" s="5" t="n"/>
      <c r="I795" s="5" t="n"/>
      <c r="J795" s="5" t="n">
        <v>164.5</v>
      </c>
      <c r="K795" s="5" t="n"/>
      <c r="L795" s="5" t="n"/>
      <c r="M795" s="5" t="n"/>
      <c r="N795" s="5" t="n"/>
      <c r="O795" s="5" t="n">
        <v>987</v>
      </c>
      <c r="P795" s="5" t="n"/>
      <c r="Q795" s="5" t="n">
        <v>987</v>
      </c>
      <c r="R795" s="5" t="n"/>
      <c r="S795" s="5">
        <f>F795*20%</f>
        <v/>
      </c>
      <c r="T795" s="5">
        <f>J795-S795</f>
        <v/>
      </c>
      <c r="U795" s="5">
        <f>F795+J795</f>
        <v/>
      </c>
      <c r="V795" s="5">
        <f>O795-U795</f>
        <v/>
      </c>
      <c r="W795" s="5">
        <f>O795-(P795+R795)</f>
        <v/>
      </c>
      <c r="X795" s="5">
        <f>O795-(P795+Q795+R795)</f>
        <v/>
      </c>
    </row>
    <row r="796">
      <c r="A796" s="2" t="inlineStr">
        <is>
          <t>EJ010724.TXT</t>
        </is>
      </c>
      <c r="B796" s="3" t="inlineStr">
        <is>
          <t>005432</t>
        </is>
      </c>
      <c r="C796" s="3" t="inlineStr">
        <is>
          <t>004356</t>
        </is>
      </c>
      <c r="D796" s="4" t="n">
        <v>45464</v>
      </c>
      <c r="E796" s="2" t="inlineStr">
        <is>
          <t>17:42</t>
        </is>
      </c>
      <c r="F796" s="5" t="n">
        <v>797.5</v>
      </c>
      <c r="G796" s="5" t="n"/>
      <c r="H796" s="5" t="n"/>
      <c r="I796" s="5" t="n"/>
      <c r="J796" s="5" t="n">
        <v>159.5</v>
      </c>
      <c r="K796" s="5" t="n"/>
      <c r="L796" s="5" t="n"/>
      <c r="M796" s="5" t="n"/>
      <c r="N796" s="5" t="n"/>
      <c r="O796" s="5" t="n">
        <v>957</v>
      </c>
      <c r="P796" s="5" t="n"/>
      <c r="Q796" s="5" t="n">
        <v>957</v>
      </c>
      <c r="R796" s="5" t="n"/>
      <c r="S796" s="5">
        <f>F796*20%</f>
        <v/>
      </c>
      <c r="T796" s="5">
        <f>J796-S796</f>
        <v/>
      </c>
      <c r="U796" s="5">
        <f>F796+J796</f>
        <v/>
      </c>
      <c r="V796" s="5">
        <f>O796-U796</f>
        <v/>
      </c>
      <c r="W796" s="5">
        <f>O796-(P796+R796)</f>
        <v/>
      </c>
      <c r="X796" s="5">
        <f>O796-(P796+Q796+R796)</f>
        <v/>
      </c>
    </row>
    <row r="797">
      <c r="A797" s="2" t="inlineStr">
        <is>
          <t>EJ010724.TXT</t>
        </is>
      </c>
      <c r="B797" s="3" t="inlineStr">
        <is>
          <t>005433</t>
        </is>
      </c>
      <c r="C797" s="3" t="inlineStr">
        <is>
          <t>004357</t>
        </is>
      </c>
      <c r="D797" s="4" t="n">
        <v>45464</v>
      </c>
      <c r="E797" s="2" t="inlineStr">
        <is>
          <t>17:43</t>
        </is>
      </c>
      <c r="F797" s="5" t="n">
        <v>822.5</v>
      </c>
      <c r="G797" s="5" t="n"/>
      <c r="H797" s="5" t="n"/>
      <c r="I797" s="5" t="n"/>
      <c r="J797" s="5" t="n">
        <v>164.5</v>
      </c>
      <c r="K797" s="5" t="n"/>
      <c r="L797" s="5" t="n"/>
      <c r="M797" s="5" t="n"/>
      <c r="N797" s="5" t="n"/>
      <c r="O797" s="5" t="n">
        <v>987</v>
      </c>
      <c r="P797" s="5" t="n"/>
      <c r="Q797" s="5" t="n">
        <v>987</v>
      </c>
      <c r="R797" s="5" t="n"/>
      <c r="S797" s="5">
        <f>F797*20%</f>
        <v/>
      </c>
      <c r="T797" s="5">
        <f>J797-S797</f>
        <v/>
      </c>
      <c r="U797" s="5">
        <f>F797+J797</f>
        <v/>
      </c>
      <c r="V797" s="5">
        <f>O797-U797</f>
        <v/>
      </c>
      <c r="W797" s="5">
        <f>O797-(P797+R797)</f>
        <v/>
      </c>
      <c r="X797" s="5">
        <f>O797-(P797+Q797+R797)</f>
        <v/>
      </c>
    </row>
    <row r="798">
      <c r="A798" s="2" t="inlineStr">
        <is>
          <t>EJ010724.TXT</t>
        </is>
      </c>
      <c r="B798" s="3" t="inlineStr">
        <is>
          <t>005434</t>
        </is>
      </c>
      <c r="C798" s="3" t="inlineStr">
        <is>
          <t>004358</t>
        </is>
      </c>
      <c r="D798" s="4" t="n">
        <v>45464</v>
      </c>
      <c r="E798" s="2" t="inlineStr">
        <is>
          <t>17:43</t>
        </is>
      </c>
      <c r="F798" s="5" t="n">
        <v>265.83</v>
      </c>
      <c r="G798" s="5" t="n"/>
      <c r="H798" s="5" t="n"/>
      <c r="I798" s="5" t="n"/>
      <c r="J798" s="5" t="n">
        <v>53.17</v>
      </c>
      <c r="K798" s="5" t="n"/>
      <c r="L798" s="5" t="n"/>
      <c r="M798" s="5" t="n"/>
      <c r="N798" s="5" t="n"/>
      <c r="O798" s="5" t="n">
        <v>319</v>
      </c>
      <c r="P798" s="5" t="n"/>
      <c r="Q798" s="5" t="n">
        <v>319</v>
      </c>
      <c r="R798" s="5" t="n"/>
      <c r="S798" s="5">
        <f>F798*20%</f>
        <v/>
      </c>
      <c r="T798" s="5">
        <f>J798-S798</f>
        <v/>
      </c>
      <c r="U798" s="5">
        <f>F798+J798</f>
        <v/>
      </c>
      <c r="V798" s="5">
        <f>O798-U798</f>
        <v/>
      </c>
      <c r="W798" s="5">
        <f>O798-(P798+R798)</f>
        <v/>
      </c>
      <c r="X798" s="5">
        <f>O798-(P798+Q798+R798)</f>
        <v/>
      </c>
    </row>
    <row r="799">
      <c r="A799" s="2" t="inlineStr">
        <is>
          <t>EJ010724.TXT</t>
        </is>
      </c>
      <c r="B799" s="3" t="inlineStr">
        <is>
          <t>005435</t>
        </is>
      </c>
      <c r="C799" s="3" t="inlineStr">
        <is>
          <t>004359</t>
        </is>
      </c>
      <c r="D799" s="4" t="n">
        <v>45464</v>
      </c>
      <c r="E799" s="2" t="inlineStr">
        <is>
          <t>17:43</t>
        </is>
      </c>
      <c r="F799" s="5" t="n">
        <v>531.67</v>
      </c>
      <c r="G799" s="5" t="n"/>
      <c r="H799" s="5" t="n"/>
      <c r="I799" s="5" t="n"/>
      <c r="J799" s="5" t="n">
        <v>106.33</v>
      </c>
      <c r="K799" s="5" t="n"/>
      <c r="L799" s="5" t="n"/>
      <c r="M799" s="5" t="n"/>
      <c r="N799" s="5" t="n"/>
      <c r="O799" s="5" t="n">
        <v>638</v>
      </c>
      <c r="P799" s="5" t="n"/>
      <c r="Q799" s="5" t="n">
        <v>638</v>
      </c>
      <c r="R799" s="5" t="n"/>
      <c r="S799" s="5">
        <f>F799*20%</f>
        <v/>
      </c>
      <c r="T799" s="5">
        <f>J799-S799</f>
        <v/>
      </c>
      <c r="U799" s="5">
        <f>F799+J799</f>
        <v/>
      </c>
      <c r="V799" s="5">
        <f>O799-U799</f>
        <v/>
      </c>
      <c r="W799" s="5">
        <f>O799-(P799+R799)</f>
        <v/>
      </c>
      <c r="X799" s="5">
        <f>O799-(P799+Q799+R799)</f>
        <v/>
      </c>
    </row>
    <row r="800">
      <c r="A800" s="2" t="inlineStr">
        <is>
          <t>EJ010724.TXT</t>
        </is>
      </c>
      <c r="B800" s="3" t="inlineStr">
        <is>
          <t>005436</t>
        </is>
      </c>
      <c r="C800" s="3" t="inlineStr">
        <is>
          <t>004360</t>
        </is>
      </c>
      <c r="D800" s="4" t="n">
        <v>45465</v>
      </c>
      <c r="E800" s="2" t="inlineStr">
        <is>
          <t>12:58</t>
        </is>
      </c>
      <c r="F800" s="5" t="n">
        <v>1595</v>
      </c>
      <c r="G800" s="5" t="n"/>
      <c r="H800" s="5" t="n"/>
      <c r="I800" s="5" t="n"/>
      <c r="J800" s="5" t="n">
        <v>319</v>
      </c>
      <c r="K800" s="5" t="n"/>
      <c r="L800" s="5" t="n"/>
      <c r="M800" s="5" t="n"/>
      <c r="N800" s="5" t="n"/>
      <c r="O800" s="5" t="n">
        <v>1914</v>
      </c>
      <c r="P800" s="5" t="n">
        <v>1914</v>
      </c>
      <c r="Q800" s="5" t="n"/>
      <c r="R800" s="5" t="n"/>
      <c r="S800" s="5">
        <f>F800*20%</f>
        <v/>
      </c>
      <c r="T800" s="5">
        <f>J800-S800</f>
        <v/>
      </c>
      <c r="U800" s="5">
        <f>F800+J800</f>
        <v/>
      </c>
      <c r="V800" s="5">
        <f>O800-U800</f>
        <v/>
      </c>
      <c r="W800" s="5">
        <f>O800-(P800+R800)</f>
        <v/>
      </c>
      <c r="X800" s="5">
        <f>O800-(P800+Q800+R800)</f>
        <v/>
      </c>
    </row>
    <row r="801">
      <c r="A801" s="2" t="inlineStr">
        <is>
          <t>EJ010724.TXT</t>
        </is>
      </c>
      <c r="B801" s="3" t="inlineStr">
        <is>
          <t>005437</t>
        </is>
      </c>
      <c r="C801" s="3" t="inlineStr">
        <is>
          <t>004361</t>
        </is>
      </c>
      <c r="D801" s="4" t="n">
        <v>45467</v>
      </c>
      <c r="E801" s="2" t="inlineStr">
        <is>
          <t>15:37</t>
        </is>
      </c>
      <c r="F801" s="5" t="n">
        <v>797.5</v>
      </c>
      <c r="G801" s="5" t="n"/>
      <c r="H801" s="5" t="n"/>
      <c r="I801" s="5" t="n"/>
      <c r="J801" s="5" t="n">
        <v>159.5</v>
      </c>
      <c r="K801" s="5" t="n"/>
      <c r="L801" s="5" t="n"/>
      <c r="M801" s="5" t="n"/>
      <c r="N801" s="5" t="n"/>
      <c r="O801" s="5" t="n">
        <v>957</v>
      </c>
      <c r="P801" s="5" t="n"/>
      <c r="Q801" s="5" t="n">
        <v>957</v>
      </c>
      <c r="R801" s="5" t="n"/>
      <c r="S801" s="5">
        <f>F801*20%</f>
        <v/>
      </c>
      <c r="T801" s="5">
        <f>J801-S801</f>
        <v/>
      </c>
      <c r="U801" s="5">
        <f>F801+J801</f>
        <v/>
      </c>
      <c r="V801" s="5">
        <f>O801-U801</f>
        <v/>
      </c>
      <c r="W801" s="5">
        <f>O801-(P801+R801)</f>
        <v/>
      </c>
      <c r="X801" s="5">
        <f>O801-(P801+Q801+R801)</f>
        <v/>
      </c>
    </row>
    <row r="802">
      <c r="A802" s="2" t="inlineStr">
        <is>
          <t>EJ010724.TXT</t>
        </is>
      </c>
      <c r="B802" s="3" t="inlineStr">
        <is>
          <t>005438</t>
        </is>
      </c>
      <c r="C802" s="3" t="inlineStr">
        <is>
          <t>004362</t>
        </is>
      </c>
      <c r="D802" s="4" t="n">
        <v>45467</v>
      </c>
      <c r="E802" s="2" t="inlineStr">
        <is>
          <t>15:38</t>
        </is>
      </c>
      <c r="F802" s="5" t="n">
        <v>797.5</v>
      </c>
      <c r="G802" s="5" t="n"/>
      <c r="H802" s="5" t="n"/>
      <c r="I802" s="5" t="n"/>
      <c r="J802" s="5" t="n">
        <v>159.5</v>
      </c>
      <c r="K802" s="5" t="n"/>
      <c r="L802" s="5" t="n"/>
      <c r="M802" s="5" t="n"/>
      <c r="N802" s="5" t="n"/>
      <c r="O802" s="5" t="n">
        <v>957</v>
      </c>
      <c r="P802" s="5" t="n"/>
      <c r="Q802" s="5" t="n">
        <v>957</v>
      </c>
      <c r="R802" s="5" t="n"/>
      <c r="S802" s="5">
        <f>F802*20%</f>
        <v/>
      </c>
      <c r="T802" s="5">
        <f>J802-S802</f>
        <v/>
      </c>
      <c r="U802" s="5">
        <f>F802+J802</f>
        <v/>
      </c>
      <c r="V802" s="5">
        <f>O802-U802</f>
        <v/>
      </c>
      <c r="W802" s="5">
        <f>O802-(P802+R802)</f>
        <v/>
      </c>
      <c r="X802" s="5">
        <f>O802-(P802+Q802+R802)</f>
        <v/>
      </c>
    </row>
    <row r="803">
      <c r="A803" s="2" t="inlineStr">
        <is>
          <t>EJ010724.TXT</t>
        </is>
      </c>
      <c r="B803" s="3" t="inlineStr">
        <is>
          <t>005439</t>
        </is>
      </c>
      <c r="C803" s="3" t="inlineStr">
        <is>
          <t>004363</t>
        </is>
      </c>
      <c r="D803" s="4" t="n">
        <v>45467</v>
      </c>
      <c r="E803" s="2" t="inlineStr">
        <is>
          <t>15:38</t>
        </is>
      </c>
      <c r="F803" s="5" t="n">
        <v>797.5</v>
      </c>
      <c r="G803" s="5" t="n"/>
      <c r="H803" s="5" t="n"/>
      <c r="I803" s="5" t="n"/>
      <c r="J803" s="5" t="n">
        <v>159.5</v>
      </c>
      <c r="K803" s="5" t="n"/>
      <c r="L803" s="5" t="n"/>
      <c r="M803" s="5" t="n"/>
      <c r="N803" s="5" t="n"/>
      <c r="O803" s="5" t="n">
        <v>957</v>
      </c>
      <c r="P803" s="5" t="n"/>
      <c r="Q803" s="5" t="n">
        <v>957</v>
      </c>
      <c r="R803" s="5" t="n"/>
      <c r="S803" s="5">
        <f>F803*20%</f>
        <v/>
      </c>
      <c r="T803" s="5">
        <f>J803-S803</f>
        <v/>
      </c>
      <c r="U803" s="5">
        <f>F803+J803</f>
        <v/>
      </c>
      <c r="V803" s="5">
        <f>O803-U803</f>
        <v/>
      </c>
      <c r="W803" s="5">
        <f>O803-(P803+R803)</f>
        <v/>
      </c>
      <c r="X803" s="5">
        <f>O803-(P803+Q803+R803)</f>
        <v/>
      </c>
    </row>
    <row r="804">
      <c r="A804" s="2" t="inlineStr">
        <is>
          <t>EJ010724.TXT</t>
        </is>
      </c>
      <c r="B804" s="3" t="inlineStr">
        <is>
          <t>005440</t>
        </is>
      </c>
      <c r="C804" s="3" t="inlineStr">
        <is>
          <t>004364</t>
        </is>
      </c>
      <c r="D804" s="4" t="n">
        <v>45467</v>
      </c>
      <c r="E804" s="2" t="inlineStr">
        <is>
          <t>17:02</t>
        </is>
      </c>
      <c r="F804" s="5" t="n">
        <v>208.33</v>
      </c>
      <c r="G804" s="5" t="n"/>
      <c r="H804" s="5" t="n"/>
      <c r="I804" s="5" t="n"/>
      <c r="J804" s="5" t="n">
        <v>41.67</v>
      </c>
      <c r="K804" s="5" t="n"/>
      <c r="L804" s="5" t="n"/>
      <c r="M804" s="5" t="n"/>
      <c r="N804" s="5" t="n"/>
      <c r="O804" s="5" t="n">
        <v>250</v>
      </c>
      <c r="P804" s="5" t="n"/>
      <c r="Q804" s="5" t="n">
        <v>250</v>
      </c>
      <c r="R804" s="5" t="n"/>
      <c r="S804" s="5">
        <f>F804*20%</f>
        <v/>
      </c>
      <c r="T804" s="5">
        <f>J804-S804</f>
        <v/>
      </c>
      <c r="U804" s="5">
        <f>F804+J804</f>
        <v/>
      </c>
      <c r="V804" s="5">
        <f>O804-U804</f>
        <v/>
      </c>
      <c r="W804" s="5">
        <f>O804-(P804+R804)</f>
        <v/>
      </c>
      <c r="X804" s="5">
        <f>O804-(P804+Q804+R804)</f>
        <v/>
      </c>
    </row>
    <row r="805">
      <c r="A805" s="2" t="inlineStr">
        <is>
          <t>EJ010724.TXT</t>
        </is>
      </c>
      <c r="B805" s="3" t="inlineStr">
        <is>
          <t>005441</t>
        </is>
      </c>
      <c r="C805" s="3" t="inlineStr">
        <is>
          <t>004365</t>
        </is>
      </c>
      <c r="D805" s="4" t="n">
        <v>45468</v>
      </c>
      <c r="E805" s="2" t="inlineStr">
        <is>
          <t>11:01</t>
        </is>
      </c>
      <c r="F805" s="5" t="n">
        <v>190.83</v>
      </c>
      <c r="G805" s="5" t="n"/>
      <c r="H805" s="5" t="n"/>
      <c r="I805" s="5" t="n"/>
      <c r="J805" s="5" t="n">
        <v>38.17</v>
      </c>
      <c r="K805" s="5" t="n"/>
      <c r="L805" s="5" t="n"/>
      <c r="M805" s="5" t="n"/>
      <c r="N805" s="5" t="n"/>
      <c r="O805" s="5" t="n">
        <v>229</v>
      </c>
      <c r="P805" s="5" t="n">
        <v>229</v>
      </c>
      <c r="Q805" s="5" t="n"/>
      <c r="R805" s="5" t="n"/>
      <c r="S805" s="5">
        <f>F805*20%</f>
        <v/>
      </c>
      <c r="T805" s="5">
        <f>J805-S805</f>
        <v/>
      </c>
      <c r="U805" s="5">
        <f>F805+J805</f>
        <v/>
      </c>
      <c r="V805" s="5">
        <f>O805-U805</f>
        <v/>
      </c>
      <c r="W805" s="5">
        <f>O805-(P805+R805)</f>
        <v/>
      </c>
      <c r="X805" s="5">
        <f>O805-(P805+Q805+R805)</f>
        <v/>
      </c>
    </row>
    <row r="806">
      <c r="A806" s="2" t="inlineStr">
        <is>
          <t>EJ010724.TXT</t>
        </is>
      </c>
      <c r="B806" s="3" t="inlineStr">
        <is>
          <t>005442</t>
        </is>
      </c>
      <c r="C806" s="3" t="inlineStr">
        <is>
          <t>004366</t>
        </is>
      </c>
      <c r="D806" s="4" t="n">
        <v>45469</v>
      </c>
      <c r="E806" s="2" t="inlineStr">
        <is>
          <t>09:31</t>
        </is>
      </c>
      <c r="F806" s="5" t="n">
        <v>548.33</v>
      </c>
      <c r="G806" s="5" t="n"/>
      <c r="H806" s="5" t="n"/>
      <c r="I806" s="5" t="n"/>
      <c r="J806" s="5" t="n">
        <v>109.67</v>
      </c>
      <c r="K806" s="5" t="n"/>
      <c r="L806" s="5" t="n"/>
      <c r="M806" s="5" t="n"/>
      <c r="N806" s="5" t="n"/>
      <c r="O806" s="5" t="n">
        <v>658</v>
      </c>
      <c r="P806" s="5" t="n">
        <v>658</v>
      </c>
      <c r="Q806" s="5" t="n"/>
      <c r="R806" s="5" t="n"/>
      <c r="S806" s="5">
        <f>F806*20%</f>
        <v/>
      </c>
      <c r="T806" s="5">
        <f>J806-S806</f>
        <v/>
      </c>
      <c r="U806" s="5">
        <f>F806+J806</f>
        <v/>
      </c>
      <c r="V806" s="5">
        <f>O806-U806</f>
        <v/>
      </c>
      <c r="W806" s="5">
        <f>O806-(P806+R806)</f>
        <v/>
      </c>
      <c r="X806" s="5">
        <f>O806-(P806+Q806+R806)</f>
        <v/>
      </c>
    </row>
    <row r="807">
      <c r="A807" s="2" t="inlineStr">
        <is>
          <t>EJ010724.TXT</t>
        </is>
      </c>
      <c r="B807" s="3" t="inlineStr">
        <is>
          <t>005443</t>
        </is>
      </c>
      <c r="C807" s="3" t="inlineStr">
        <is>
          <t>004367</t>
        </is>
      </c>
      <c r="D807" s="4" t="n">
        <v>45469</v>
      </c>
      <c r="E807" s="2" t="inlineStr">
        <is>
          <t>13:43</t>
        </is>
      </c>
      <c r="F807" s="5" t="n">
        <v>190.83</v>
      </c>
      <c r="G807" s="5" t="n"/>
      <c r="H807" s="5" t="n"/>
      <c r="I807" s="5" t="n"/>
      <c r="J807" s="5" t="n">
        <v>38.17</v>
      </c>
      <c r="K807" s="5" t="n"/>
      <c r="L807" s="5" t="n"/>
      <c r="M807" s="5" t="n"/>
      <c r="N807" s="5" t="n"/>
      <c r="O807" s="5" t="n">
        <v>229</v>
      </c>
      <c r="P807" s="5" t="n">
        <v>229</v>
      </c>
      <c r="Q807" s="5" t="n"/>
      <c r="R807" s="5" t="n"/>
      <c r="S807" s="5">
        <f>F807*20%</f>
        <v/>
      </c>
      <c r="T807" s="5">
        <f>J807-S807</f>
        <v/>
      </c>
      <c r="U807" s="5">
        <f>F807+J807</f>
        <v/>
      </c>
      <c r="V807" s="5">
        <f>O807-U807</f>
        <v/>
      </c>
      <c r="W807" s="5">
        <f>O807-(P807+R807)</f>
        <v/>
      </c>
      <c r="X807" s="5">
        <f>O807-(P807+Q807+R807)</f>
        <v/>
      </c>
    </row>
    <row r="808">
      <c r="A808" s="2" t="inlineStr">
        <is>
          <t>EJ010724.TXT</t>
        </is>
      </c>
      <c r="B808" s="3" t="inlineStr">
        <is>
          <t>005444</t>
        </is>
      </c>
      <c r="C808" s="3" t="inlineStr">
        <is>
          <t>004368</t>
        </is>
      </c>
      <c r="D808" s="4" t="n">
        <v>45471</v>
      </c>
      <c r="E808" s="2" t="inlineStr">
        <is>
          <t>16:15</t>
        </is>
      </c>
      <c r="F808" s="5" t="n">
        <v>208.33</v>
      </c>
      <c r="G808" s="5" t="n"/>
      <c r="H808" s="5" t="n"/>
      <c r="I808" s="5" t="n"/>
      <c r="J808" s="5" t="n">
        <v>41.67</v>
      </c>
      <c r="K808" s="5" t="n"/>
      <c r="L808" s="5" t="n"/>
      <c r="M808" s="5" t="n"/>
      <c r="N808" s="5" t="n"/>
      <c r="O808" s="5" t="n">
        <v>250</v>
      </c>
      <c r="P808" s="5" t="n"/>
      <c r="Q808" s="5" t="n">
        <v>250</v>
      </c>
      <c r="R808" s="5" t="n"/>
      <c r="S808" s="5">
        <f>F808*20%</f>
        <v/>
      </c>
      <c r="T808" s="5">
        <f>J808-S808</f>
        <v/>
      </c>
      <c r="U808" s="5">
        <f>F808+J808</f>
        <v/>
      </c>
      <c r="V808" s="5">
        <f>O808-U808</f>
        <v/>
      </c>
      <c r="W808" s="5">
        <f>O808-(P808+R808)</f>
        <v/>
      </c>
      <c r="X808" s="5">
        <f>O808-(P808+Q808+R808)</f>
        <v/>
      </c>
    </row>
    <row r="809">
      <c r="A809" s="2" t="inlineStr">
        <is>
          <t>EJ010724.TXT</t>
        </is>
      </c>
      <c r="B809" s="3" t="inlineStr">
        <is>
          <t>005445</t>
        </is>
      </c>
      <c r="C809" s="3" t="inlineStr">
        <is>
          <t>004369</t>
        </is>
      </c>
      <c r="D809" s="4" t="n">
        <v>45472</v>
      </c>
      <c r="E809" s="2" t="inlineStr">
        <is>
          <t>16:53</t>
        </is>
      </c>
      <c r="F809" s="5" t="n">
        <v>797.5</v>
      </c>
      <c r="G809" s="5" t="n"/>
      <c r="H809" s="5" t="n"/>
      <c r="I809" s="5" t="n"/>
      <c r="J809" s="5" t="n">
        <v>159.5</v>
      </c>
      <c r="K809" s="5" t="n"/>
      <c r="L809" s="5" t="n"/>
      <c r="M809" s="5" t="n"/>
      <c r="N809" s="5" t="n"/>
      <c r="O809" s="5" t="n">
        <v>957</v>
      </c>
      <c r="P809" s="5" t="n"/>
      <c r="Q809" s="5" t="n">
        <v>957</v>
      </c>
      <c r="R809" s="5" t="n"/>
      <c r="S809" s="5">
        <f>F809*20%</f>
        <v/>
      </c>
      <c r="T809" s="5">
        <f>J809-S809</f>
        <v/>
      </c>
      <c r="U809" s="5">
        <f>F809+J809</f>
        <v/>
      </c>
      <c r="V809" s="5">
        <f>O809-U809</f>
        <v/>
      </c>
      <c r="W809" s="5">
        <f>O809-(P809+R809)</f>
        <v/>
      </c>
      <c r="X809" s="5">
        <f>O809-(P809+Q809+R809)</f>
        <v/>
      </c>
    </row>
    <row r="810">
      <c r="A810" s="2" t="inlineStr">
        <is>
          <t>EJ010724.TXT</t>
        </is>
      </c>
      <c r="B810" s="3" t="inlineStr">
        <is>
          <t>005446</t>
        </is>
      </c>
      <c r="C810" s="3" t="inlineStr">
        <is>
          <t>004370</t>
        </is>
      </c>
      <c r="D810" s="4" t="n">
        <v>45472</v>
      </c>
      <c r="E810" s="2" t="inlineStr">
        <is>
          <t>16:53</t>
        </is>
      </c>
      <c r="F810" s="5" t="n">
        <v>797.5</v>
      </c>
      <c r="G810" s="5" t="n"/>
      <c r="H810" s="5" t="n"/>
      <c r="I810" s="5" t="n"/>
      <c r="J810" s="5" t="n">
        <v>159.5</v>
      </c>
      <c r="K810" s="5" t="n"/>
      <c r="L810" s="5" t="n"/>
      <c r="M810" s="5" t="n"/>
      <c r="N810" s="5" t="n"/>
      <c r="O810" s="5" t="n">
        <v>957</v>
      </c>
      <c r="P810" s="5" t="n"/>
      <c r="Q810" s="5" t="n">
        <v>957</v>
      </c>
      <c r="R810" s="5" t="n"/>
      <c r="S810" s="5">
        <f>F810*20%</f>
        <v/>
      </c>
      <c r="T810" s="5">
        <f>J810-S810</f>
        <v/>
      </c>
      <c r="U810" s="5">
        <f>F810+J810</f>
        <v/>
      </c>
      <c r="V810" s="5">
        <f>O810-U810</f>
        <v/>
      </c>
      <c r="W810" s="5">
        <f>O810-(P810+R810)</f>
        <v/>
      </c>
      <c r="X810" s="5">
        <f>O810-(P810+Q810+R810)</f>
        <v/>
      </c>
    </row>
    <row r="811">
      <c r="A811" s="2" t="inlineStr">
        <is>
          <t>EJ010724.TXT</t>
        </is>
      </c>
      <c r="B811" s="3" t="inlineStr">
        <is>
          <t>005447</t>
        </is>
      </c>
      <c r="C811" s="3" t="inlineStr">
        <is>
          <t>004371</t>
        </is>
      </c>
      <c r="D811" s="4" t="n">
        <v>45472</v>
      </c>
      <c r="E811" s="2" t="inlineStr">
        <is>
          <t>16:57</t>
        </is>
      </c>
      <c r="F811" s="5" t="n">
        <v>53.33</v>
      </c>
      <c r="G811" s="5" t="n"/>
      <c r="H811" s="5" t="n"/>
      <c r="I811" s="5" t="n"/>
      <c r="J811" s="5" t="n">
        <v>10.67</v>
      </c>
      <c r="K811" s="5" t="n"/>
      <c r="L811" s="5" t="n"/>
      <c r="M811" s="5" t="n"/>
      <c r="N811" s="5" t="n"/>
      <c r="O811" s="5" t="n">
        <v>64</v>
      </c>
      <c r="P811" s="5" t="n">
        <v>64</v>
      </c>
      <c r="Q811" s="5" t="n"/>
      <c r="R811" s="5" t="n"/>
      <c r="S811" s="5">
        <f>F811*20%</f>
        <v/>
      </c>
      <c r="T811" s="5">
        <f>J811-S811</f>
        <v/>
      </c>
      <c r="U811" s="5">
        <f>F811+J811</f>
        <v/>
      </c>
      <c r="V811" s="5">
        <f>O811-U811</f>
        <v/>
      </c>
      <c r="W811" s="5">
        <f>O811-(P811+R811)</f>
        <v/>
      </c>
      <c r="X811" s="5">
        <f>O811-(P811+Q811+R811)</f>
        <v/>
      </c>
    </row>
    <row r="812">
      <c r="A812" s="2" t="inlineStr">
        <is>
          <t>EJ030824.TXT</t>
        </is>
      </c>
      <c r="B812" s="3" t="inlineStr">
        <is>
          <t>005455</t>
        </is>
      </c>
      <c r="C812" s="3" t="inlineStr">
        <is>
          <t>004372</t>
        </is>
      </c>
      <c r="D812" s="4" t="n">
        <v>45478</v>
      </c>
      <c r="E812" s="2" t="inlineStr">
        <is>
          <t>16:53</t>
        </is>
      </c>
      <c r="F812" s="5" t="n">
        <v>208.33</v>
      </c>
      <c r="G812" s="5" t="n"/>
      <c r="H812" s="5" t="n"/>
      <c r="I812" s="5" t="n"/>
      <c r="J812" s="5" t="n">
        <v>41.67</v>
      </c>
      <c r="K812" s="5" t="n"/>
      <c r="L812" s="5" t="n"/>
      <c r="M812" s="5" t="n"/>
      <c r="N812" s="5" t="n"/>
      <c r="O812" s="5" t="n">
        <v>250</v>
      </c>
      <c r="P812" s="5" t="n"/>
      <c r="Q812" s="5" t="n">
        <v>250</v>
      </c>
      <c r="R812" s="5" t="n"/>
      <c r="S812" s="5">
        <f>F812*20%</f>
        <v/>
      </c>
      <c r="T812" s="5">
        <f>J812-S812</f>
        <v/>
      </c>
      <c r="U812" s="5">
        <f>F812+J812</f>
        <v/>
      </c>
      <c r="V812" s="5">
        <f>O812-U812</f>
        <v/>
      </c>
      <c r="W812" s="5">
        <f>O812-(P812+R812)</f>
        <v/>
      </c>
      <c r="X812" s="5">
        <f>O812-(P812+Q812+R812)</f>
        <v/>
      </c>
    </row>
    <row r="813">
      <c r="A813" s="2" t="inlineStr">
        <is>
          <t>EJ030824.TXT</t>
        </is>
      </c>
      <c r="B813" s="3" t="inlineStr">
        <is>
          <t>005456</t>
        </is>
      </c>
      <c r="C813" s="3" t="inlineStr">
        <is>
          <t>004373</t>
        </is>
      </c>
      <c r="D813" s="4" t="n">
        <v>45482</v>
      </c>
      <c r="E813" s="2" t="inlineStr">
        <is>
          <t>13:35</t>
        </is>
      </c>
      <c r="F813" s="5" t="n">
        <v>415</v>
      </c>
      <c r="G813" s="5" t="n"/>
      <c r="H813" s="5" t="n"/>
      <c r="I813" s="5" t="n"/>
      <c r="J813" s="5" t="n">
        <v>83</v>
      </c>
      <c r="K813" s="5" t="n"/>
      <c r="L813" s="5" t="n"/>
      <c r="M813" s="5" t="n"/>
      <c r="N813" s="5" t="n"/>
      <c r="O813" s="5" t="n">
        <v>498</v>
      </c>
      <c r="P813" s="5" t="n"/>
      <c r="Q813" s="5" t="n">
        <v>498</v>
      </c>
      <c r="R813" s="5" t="n"/>
      <c r="S813" s="5">
        <f>F813*20%</f>
        <v/>
      </c>
      <c r="T813" s="5">
        <f>J813-S813</f>
        <v/>
      </c>
      <c r="U813" s="5">
        <f>F813+J813</f>
        <v/>
      </c>
      <c r="V813" s="5">
        <f>O813-U813</f>
        <v/>
      </c>
      <c r="W813" s="5">
        <f>O813-(P813+R813)</f>
        <v/>
      </c>
      <c r="X813" s="5">
        <f>O813-(P813+Q813+R813)</f>
        <v/>
      </c>
    </row>
    <row r="814">
      <c r="A814" s="2" t="inlineStr">
        <is>
          <t>EJ030824.TXT</t>
        </is>
      </c>
      <c r="B814" s="3" t="inlineStr">
        <is>
          <t>005457</t>
        </is>
      </c>
      <c r="C814" s="3" t="inlineStr">
        <is>
          <t>004374</t>
        </is>
      </c>
      <c r="D814" s="4" t="n">
        <v>45482</v>
      </c>
      <c r="E814" s="2" t="inlineStr">
        <is>
          <t>15:21</t>
        </is>
      </c>
      <c r="F814" s="5" t="n">
        <v>822.5</v>
      </c>
      <c r="G814" s="5" t="n"/>
      <c r="H814" s="5" t="n"/>
      <c r="I814" s="5" t="n"/>
      <c r="J814" s="5" t="n">
        <v>164.5</v>
      </c>
      <c r="K814" s="5" t="n"/>
      <c r="L814" s="5" t="n"/>
      <c r="M814" s="5" t="n"/>
      <c r="N814" s="5" t="n"/>
      <c r="O814" s="5" t="n">
        <v>987</v>
      </c>
      <c r="P814" s="5" t="n">
        <v>987</v>
      </c>
      <c r="Q814" s="5" t="n"/>
      <c r="R814" s="5" t="n"/>
      <c r="S814" s="5">
        <f>F814*20%</f>
        <v/>
      </c>
      <c r="T814" s="5">
        <f>J814-S814</f>
        <v/>
      </c>
      <c r="U814" s="5">
        <f>F814+J814</f>
        <v/>
      </c>
      <c r="V814" s="5">
        <f>O814-U814</f>
        <v/>
      </c>
      <c r="W814" s="5">
        <f>O814-(P814+R814)</f>
        <v/>
      </c>
      <c r="X814" s="5">
        <f>O814-(P814+Q814+R814)</f>
        <v/>
      </c>
    </row>
    <row r="815">
      <c r="A815" s="2" t="inlineStr">
        <is>
          <t>EJ030824.TXT</t>
        </is>
      </c>
      <c r="B815" s="3" t="inlineStr">
        <is>
          <t>005458</t>
        </is>
      </c>
      <c r="C815" s="3" t="inlineStr">
        <is>
          <t>004375</t>
        </is>
      </c>
      <c r="D815" s="4" t="n">
        <v>45484</v>
      </c>
      <c r="E815" s="2" t="inlineStr">
        <is>
          <t>11:07</t>
        </is>
      </c>
      <c r="F815" s="5" t="n">
        <v>791.67</v>
      </c>
      <c r="G815" s="5" t="n"/>
      <c r="H815" s="5" t="n"/>
      <c r="I815" s="5" t="n"/>
      <c r="J815" s="5" t="n">
        <v>158.33</v>
      </c>
      <c r="K815" s="5" t="n"/>
      <c r="L815" s="5" t="n"/>
      <c r="M815" s="5" t="n"/>
      <c r="N815" s="5" t="n"/>
      <c r="O815" s="5" t="n">
        <v>950</v>
      </c>
      <c r="P815" s="5" t="n"/>
      <c r="Q815" s="5" t="n">
        <v>950</v>
      </c>
      <c r="R815" s="5" t="n"/>
      <c r="S815" s="5">
        <f>F815*20%</f>
        <v/>
      </c>
      <c r="T815" s="5">
        <f>J815-S815</f>
        <v/>
      </c>
      <c r="U815" s="5">
        <f>F815+J815</f>
        <v/>
      </c>
      <c r="V815" s="5">
        <f>O815-U815</f>
        <v/>
      </c>
      <c r="W815" s="5">
        <f>O815-(P815+R815)</f>
        <v/>
      </c>
      <c r="X815" s="5">
        <f>O815-(P815+Q815+R815)</f>
        <v/>
      </c>
    </row>
    <row r="816">
      <c r="A816" s="2" t="inlineStr">
        <is>
          <t>EJ030824.TXT</t>
        </is>
      </c>
      <c r="B816" s="3" t="inlineStr">
        <is>
          <t>005459</t>
        </is>
      </c>
      <c r="C816" s="3" t="inlineStr">
        <is>
          <t>004376</t>
        </is>
      </c>
      <c r="D816" s="4" t="n">
        <v>45484</v>
      </c>
      <c r="E816" s="2" t="inlineStr">
        <is>
          <t>11:07</t>
        </is>
      </c>
      <c r="F816" s="5" t="n">
        <v>791.67</v>
      </c>
      <c r="G816" s="5" t="n"/>
      <c r="H816" s="5" t="n"/>
      <c r="I816" s="5" t="n"/>
      <c r="J816" s="5" t="n">
        <v>158.33</v>
      </c>
      <c r="K816" s="5" t="n"/>
      <c r="L816" s="5" t="n"/>
      <c r="M816" s="5" t="n"/>
      <c r="N816" s="5" t="n"/>
      <c r="O816" s="5" t="n">
        <v>950</v>
      </c>
      <c r="P816" s="5" t="n"/>
      <c r="Q816" s="5" t="n">
        <v>950</v>
      </c>
      <c r="R816" s="5" t="n"/>
      <c r="S816" s="5">
        <f>F816*20%</f>
        <v/>
      </c>
      <c r="T816" s="5">
        <f>J816-S816</f>
        <v/>
      </c>
      <c r="U816" s="5">
        <f>F816+J816</f>
        <v/>
      </c>
      <c r="V816" s="5">
        <f>O816-U816</f>
        <v/>
      </c>
      <c r="W816" s="5">
        <f>O816-(P816+R816)</f>
        <v/>
      </c>
      <c r="X816" s="5">
        <f>O816-(P816+Q816+R816)</f>
        <v/>
      </c>
    </row>
    <row r="817">
      <c r="A817" s="2" t="inlineStr">
        <is>
          <t>EJ030824.TXT</t>
        </is>
      </c>
      <c r="B817" s="3" t="inlineStr">
        <is>
          <t>005460</t>
        </is>
      </c>
      <c r="C817" s="3" t="inlineStr">
        <is>
          <t>004377</t>
        </is>
      </c>
      <c r="D817" s="4" t="n">
        <v>45484</v>
      </c>
      <c r="E817" s="2" t="inlineStr">
        <is>
          <t>11:07</t>
        </is>
      </c>
      <c r="F817" s="5" t="n">
        <v>791.67</v>
      </c>
      <c r="G817" s="5" t="n"/>
      <c r="H817" s="5" t="n"/>
      <c r="I817" s="5" t="n"/>
      <c r="J817" s="5" t="n">
        <v>158.33</v>
      </c>
      <c r="K817" s="5" t="n"/>
      <c r="L817" s="5" t="n"/>
      <c r="M817" s="5" t="n"/>
      <c r="N817" s="5" t="n"/>
      <c r="O817" s="5" t="n">
        <v>950</v>
      </c>
      <c r="P817" s="5" t="n"/>
      <c r="Q817" s="5" t="n">
        <v>950</v>
      </c>
      <c r="R817" s="5" t="n"/>
      <c r="S817" s="5">
        <f>F817*20%</f>
        <v/>
      </c>
      <c r="T817" s="5">
        <f>J817-S817</f>
        <v/>
      </c>
      <c r="U817" s="5">
        <f>F817+J817</f>
        <v/>
      </c>
      <c r="V817" s="5">
        <f>O817-U817</f>
        <v/>
      </c>
      <c r="W817" s="5">
        <f>O817-(P817+R817)</f>
        <v/>
      </c>
      <c r="X817" s="5">
        <f>O817-(P817+Q817+R817)</f>
        <v/>
      </c>
    </row>
    <row r="818">
      <c r="A818" s="2" t="inlineStr">
        <is>
          <t>EJ030824.TXT</t>
        </is>
      </c>
      <c r="B818" s="3" t="inlineStr">
        <is>
          <t>005461</t>
        </is>
      </c>
      <c r="C818" s="3" t="inlineStr">
        <is>
          <t>004378</t>
        </is>
      </c>
      <c r="D818" s="4" t="n">
        <v>45484</v>
      </c>
      <c r="E818" s="2" t="inlineStr">
        <is>
          <t>11:07</t>
        </is>
      </c>
      <c r="F818" s="5" t="n">
        <v>791.67</v>
      </c>
      <c r="G818" s="5" t="n"/>
      <c r="H818" s="5" t="n"/>
      <c r="I818" s="5" t="n"/>
      <c r="J818" s="5" t="n">
        <v>158.33</v>
      </c>
      <c r="K818" s="5" t="n"/>
      <c r="L818" s="5" t="n"/>
      <c r="M818" s="5" t="n"/>
      <c r="N818" s="5" t="n"/>
      <c r="O818" s="5" t="n">
        <v>950</v>
      </c>
      <c r="P818" s="5" t="n"/>
      <c r="Q818" s="5" t="n">
        <v>950</v>
      </c>
      <c r="R818" s="5" t="n"/>
      <c r="S818" s="5">
        <f>F818*20%</f>
        <v/>
      </c>
      <c r="T818" s="5">
        <f>J818-S818</f>
        <v/>
      </c>
      <c r="U818" s="5">
        <f>F818+J818</f>
        <v/>
      </c>
      <c r="V818" s="5">
        <f>O818-U818</f>
        <v/>
      </c>
      <c r="W818" s="5">
        <f>O818-(P818+R818)</f>
        <v/>
      </c>
      <c r="X818" s="5">
        <f>O818-(P818+Q818+R818)</f>
        <v/>
      </c>
    </row>
    <row r="819">
      <c r="A819" s="2" t="inlineStr">
        <is>
          <t>EJ030824.TXT</t>
        </is>
      </c>
      <c r="B819" s="3" t="inlineStr">
        <is>
          <t>005462</t>
        </is>
      </c>
      <c r="C819" s="3" t="inlineStr">
        <is>
          <t>004379</t>
        </is>
      </c>
      <c r="D819" s="4" t="n">
        <v>45484</v>
      </c>
      <c r="E819" s="2" t="inlineStr">
        <is>
          <t>11:08</t>
        </is>
      </c>
      <c r="F819" s="5" t="n">
        <v>791.67</v>
      </c>
      <c r="G819" s="5" t="n"/>
      <c r="H819" s="5" t="n"/>
      <c r="I819" s="5" t="n"/>
      <c r="J819" s="5" t="n">
        <v>158.33</v>
      </c>
      <c r="K819" s="5" t="n"/>
      <c r="L819" s="5" t="n"/>
      <c r="M819" s="5" t="n"/>
      <c r="N819" s="5" t="n"/>
      <c r="O819" s="5" t="n">
        <v>950</v>
      </c>
      <c r="P819" s="5" t="n"/>
      <c r="Q819" s="5" t="n">
        <v>950</v>
      </c>
      <c r="R819" s="5" t="n"/>
      <c r="S819" s="5">
        <f>F819*20%</f>
        <v/>
      </c>
      <c r="T819" s="5">
        <f>J819-S819</f>
        <v/>
      </c>
      <c r="U819" s="5">
        <f>F819+J819</f>
        <v/>
      </c>
      <c r="V819" s="5">
        <f>O819-U819</f>
        <v/>
      </c>
      <c r="W819" s="5">
        <f>O819-(P819+R819)</f>
        <v/>
      </c>
      <c r="X819" s="5">
        <f>O819-(P819+Q819+R819)</f>
        <v/>
      </c>
    </row>
    <row r="820">
      <c r="A820" s="2" t="inlineStr">
        <is>
          <t>EJ030824.TXT</t>
        </is>
      </c>
      <c r="B820" s="3" t="inlineStr">
        <is>
          <t>005463</t>
        </is>
      </c>
      <c r="C820" s="3" t="inlineStr">
        <is>
          <t>004380</t>
        </is>
      </c>
      <c r="D820" s="4" t="n">
        <v>45484</v>
      </c>
      <c r="E820" s="2" t="inlineStr">
        <is>
          <t>11:08</t>
        </is>
      </c>
      <c r="F820" s="5" t="n">
        <v>791.67</v>
      </c>
      <c r="G820" s="5" t="n"/>
      <c r="H820" s="5" t="n"/>
      <c r="I820" s="5" t="n"/>
      <c r="J820" s="5" t="n">
        <v>158.33</v>
      </c>
      <c r="K820" s="5" t="n"/>
      <c r="L820" s="5" t="n"/>
      <c r="M820" s="5" t="n"/>
      <c r="N820" s="5" t="n"/>
      <c r="O820" s="5" t="n">
        <v>950</v>
      </c>
      <c r="P820" s="5" t="n"/>
      <c r="Q820" s="5" t="n">
        <v>950</v>
      </c>
      <c r="R820" s="5" t="n"/>
      <c r="S820" s="5">
        <f>F820*20%</f>
        <v/>
      </c>
      <c r="T820" s="5">
        <f>J820-S820</f>
        <v/>
      </c>
      <c r="U820" s="5">
        <f>F820+J820</f>
        <v/>
      </c>
      <c r="V820" s="5">
        <f>O820-U820</f>
        <v/>
      </c>
      <c r="W820" s="5">
        <f>O820-(P820+R820)</f>
        <v/>
      </c>
      <c r="X820" s="5">
        <f>O820-(P820+Q820+R820)</f>
        <v/>
      </c>
    </row>
    <row r="821">
      <c r="A821" s="2" t="inlineStr">
        <is>
          <t>EJ030824.TXT</t>
        </is>
      </c>
      <c r="B821" s="3" t="inlineStr">
        <is>
          <t>005464</t>
        </is>
      </c>
      <c r="C821" s="3" t="inlineStr">
        <is>
          <t>004381</t>
        </is>
      </c>
      <c r="D821" s="4" t="n">
        <v>45485</v>
      </c>
      <c r="E821" s="2" t="inlineStr">
        <is>
          <t>11:48</t>
        </is>
      </c>
      <c r="F821" s="5" t="n">
        <v>2173.33</v>
      </c>
      <c r="G821" s="5" t="n"/>
      <c r="H821" s="5" t="n"/>
      <c r="I821" s="5" t="n"/>
      <c r="J821" s="5" t="n">
        <v>434.67</v>
      </c>
      <c r="K821" s="5" t="n"/>
      <c r="L821" s="5" t="n"/>
      <c r="M821" s="5" t="n"/>
      <c r="N821" s="5" t="n"/>
      <c r="O821" s="5" t="n">
        <v>2608</v>
      </c>
      <c r="P821" s="5" t="n">
        <v>2608</v>
      </c>
      <c r="Q821" s="5" t="n"/>
      <c r="R821" s="5" t="n"/>
      <c r="S821" s="5">
        <f>F821*20%</f>
        <v/>
      </c>
      <c r="T821" s="5">
        <f>J821-S821</f>
        <v/>
      </c>
      <c r="U821" s="5">
        <f>F821+J821</f>
        <v/>
      </c>
      <c r="V821" s="5">
        <f>O821-U821</f>
        <v/>
      </c>
      <c r="W821" s="5">
        <f>O821-(P821+R821)</f>
        <v/>
      </c>
      <c r="X821" s="5">
        <f>O821-(P821+Q821+R821)</f>
        <v/>
      </c>
    </row>
    <row r="822">
      <c r="A822" s="2" t="inlineStr">
        <is>
          <t>EJ030824.TXT</t>
        </is>
      </c>
      <c r="B822" s="3" t="inlineStr">
        <is>
          <t>005465</t>
        </is>
      </c>
      <c r="C822" s="3" t="inlineStr">
        <is>
          <t>004382</t>
        </is>
      </c>
      <c r="D822" s="4" t="n">
        <v>45486</v>
      </c>
      <c r="E822" s="2" t="inlineStr">
        <is>
          <t>15:20</t>
        </is>
      </c>
      <c r="F822" s="5" t="n">
        <v>548.33</v>
      </c>
      <c r="G822" s="5" t="n"/>
      <c r="H822" s="5" t="n"/>
      <c r="I822" s="5" t="n"/>
      <c r="J822" s="5" t="n">
        <v>109.67</v>
      </c>
      <c r="K822" s="5" t="n"/>
      <c r="L822" s="5" t="n"/>
      <c r="M822" s="5" t="n"/>
      <c r="N822" s="5" t="n"/>
      <c r="O822" s="5" t="n">
        <v>658</v>
      </c>
      <c r="P822" s="5" t="n"/>
      <c r="Q822" s="5" t="n">
        <v>658</v>
      </c>
      <c r="R822" s="5" t="n"/>
      <c r="S822" s="5">
        <f>F822*20%</f>
        <v/>
      </c>
      <c r="T822" s="5">
        <f>J822-S822</f>
        <v/>
      </c>
      <c r="U822" s="5">
        <f>F822+J822</f>
        <v/>
      </c>
      <c r="V822" s="5">
        <f>O822-U822</f>
        <v/>
      </c>
      <c r="W822" s="5">
        <f>O822-(P822+R822)</f>
        <v/>
      </c>
      <c r="X822" s="5">
        <f>O822-(P822+Q822+R822)</f>
        <v/>
      </c>
    </row>
    <row r="823">
      <c r="A823" s="2" t="inlineStr">
        <is>
          <t>EJ030824.TXT</t>
        </is>
      </c>
      <c r="B823" s="3" t="inlineStr">
        <is>
          <t>005466</t>
        </is>
      </c>
      <c r="C823" s="3" t="inlineStr">
        <is>
          <t>004383</t>
        </is>
      </c>
      <c r="D823" s="4" t="n">
        <v>45486</v>
      </c>
      <c r="E823" s="2" t="inlineStr">
        <is>
          <t>15:20</t>
        </is>
      </c>
      <c r="F823" s="5" t="n">
        <v>548.33</v>
      </c>
      <c r="G823" s="5" t="n"/>
      <c r="H823" s="5" t="n"/>
      <c r="I823" s="5" t="n"/>
      <c r="J823" s="5" t="n">
        <v>109.67</v>
      </c>
      <c r="K823" s="5" t="n"/>
      <c r="L823" s="5" t="n"/>
      <c r="M823" s="5" t="n"/>
      <c r="N823" s="5" t="n"/>
      <c r="O823" s="5" t="n">
        <v>658</v>
      </c>
      <c r="P823" s="5" t="n"/>
      <c r="Q823" s="5" t="n">
        <v>658</v>
      </c>
      <c r="R823" s="5" t="n"/>
      <c r="S823" s="5">
        <f>F823*20%</f>
        <v/>
      </c>
      <c r="T823" s="5">
        <f>J823-S823</f>
        <v/>
      </c>
      <c r="U823" s="5">
        <f>F823+J823</f>
        <v/>
      </c>
      <c r="V823" s="5">
        <f>O823-U823</f>
        <v/>
      </c>
      <c r="W823" s="5">
        <f>O823-(P823+R823)</f>
        <v/>
      </c>
      <c r="X823" s="5">
        <f>O823-(P823+Q823+R823)</f>
        <v/>
      </c>
    </row>
    <row r="824">
      <c r="A824" s="2" t="inlineStr">
        <is>
          <t>EJ030824.TXT</t>
        </is>
      </c>
      <c r="B824" s="3" t="inlineStr">
        <is>
          <t>005467</t>
        </is>
      </c>
      <c r="C824" s="3" t="inlineStr">
        <is>
          <t>004384</t>
        </is>
      </c>
      <c r="D824" s="4" t="n">
        <v>45488</v>
      </c>
      <c r="E824" s="2" t="inlineStr">
        <is>
          <t>10:15</t>
        </is>
      </c>
      <c r="F824" s="5" t="n">
        <v>208.33</v>
      </c>
      <c r="G824" s="5" t="n"/>
      <c r="H824" s="5" t="n"/>
      <c r="I824" s="5" t="n"/>
      <c r="J824" s="5" t="n">
        <v>41.67</v>
      </c>
      <c r="K824" s="5" t="n"/>
      <c r="L824" s="5" t="n"/>
      <c r="M824" s="5" t="n"/>
      <c r="N824" s="5" t="n"/>
      <c r="O824" s="5" t="n">
        <v>250</v>
      </c>
      <c r="P824" s="5" t="n"/>
      <c r="Q824" s="5" t="n">
        <v>250</v>
      </c>
      <c r="R824" s="5" t="n"/>
      <c r="S824" s="5">
        <f>F824*20%</f>
        <v/>
      </c>
      <c r="T824" s="5">
        <f>J824-S824</f>
        <v/>
      </c>
      <c r="U824" s="5">
        <f>F824+J824</f>
        <v/>
      </c>
      <c r="V824" s="5">
        <f>O824-U824</f>
        <v/>
      </c>
      <c r="W824" s="5">
        <f>O824-(P824+R824)</f>
        <v/>
      </c>
      <c r="X824" s="5">
        <f>O824-(P824+Q824+R824)</f>
        <v/>
      </c>
    </row>
    <row r="825">
      <c r="A825" s="2" t="inlineStr">
        <is>
          <t>EJ030824.TXT</t>
        </is>
      </c>
      <c r="B825" s="3" t="inlineStr">
        <is>
          <t>005468</t>
        </is>
      </c>
      <c r="C825" s="3" t="inlineStr">
        <is>
          <t>004385</t>
        </is>
      </c>
      <c r="D825" s="4" t="n">
        <v>45488</v>
      </c>
      <c r="E825" s="2" t="inlineStr">
        <is>
          <t>10:36</t>
        </is>
      </c>
      <c r="F825" s="5" t="n">
        <v>208.33</v>
      </c>
      <c r="G825" s="5" t="n"/>
      <c r="H825" s="5" t="n"/>
      <c r="I825" s="5" t="n"/>
      <c r="J825" s="5" t="n">
        <v>41.67</v>
      </c>
      <c r="K825" s="5" t="n"/>
      <c r="L825" s="5" t="n"/>
      <c r="M825" s="5" t="n"/>
      <c r="N825" s="5" t="n"/>
      <c r="O825" s="5" t="n">
        <v>250</v>
      </c>
      <c r="P825" s="5" t="n"/>
      <c r="Q825" s="5" t="n">
        <v>250</v>
      </c>
      <c r="R825" s="5" t="n"/>
      <c r="S825" s="5">
        <f>F825*20%</f>
        <v/>
      </c>
      <c r="T825" s="5">
        <f>J825-S825</f>
        <v/>
      </c>
      <c r="U825" s="5">
        <f>F825+J825</f>
        <v/>
      </c>
      <c r="V825" s="5">
        <f>O825-U825</f>
        <v/>
      </c>
      <c r="W825" s="5">
        <f>O825-(P825+R825)</f>
        <v/>
      </c>
      <c r="X825" s="5">
        <f>O825-(P825+Q825+R825)</f>
        <v/>
      </c>
    </row>
    <row r="826">
      <c r="A826" s="2" t="inlineStr">
        <is>
          <t>EJ030824.TXT</t>
        </is>
      </c>
      <c r="B826" s="3" t="inlineStr">
        <is>
          <t>005469</t>
        </is>
      </c>
      <c r="C826" s="3" t="inlineStr">
        <is>
          <t>004386</t>
        </is>
      </c>
      <c r="D826" s="4" t="n">
        <v>45492</v>
      </c>
      <c r="E826" s="2" t="inlineStr">
        <is>
          <t>15:06</t>
        </is>
      </c>
      <c r="F826" s="5" t="n">
        <v>208.33</v>
      </c>
      <c r="G826" s="5" t="n"/>
      <c r="H826" s="5" t="n"/>
      <c r="I826" s="5" t="n"/>
      <c r="J826" s="5" t="n">
        <v>41.67</v>
      </c>
      <c r="K826" s="5" t="n"/>
      <c r="L826" s="5" t="n"/>
      <c r="M826" s="5" t="n"/>
      <c r="N826" s="5" t="n"/>
      <c r="O826" s="5" t="n">
        <v>250</v>
      </c>
      <c r="P826" s="5" t="n"/>
      <c r="Q826" s="5" t="n">
        <v>250</v>
      </c>
      <c r="R826" s="5" t="n"/>
      <c r="S826" s="5">
        <f>F826*20%</f>
        <v/>
      </c>
      <c r="T826" s="5">
        <f>J826-S826</f>
        <v/>
      </c>
      <c r="U826" s="5">
        <f>F826+J826</f>
        <v/>
      </c>
      <c r="V826" s="5">
        <f>O826-U826</f>
        <v/>
      </c>
      <c r="W826" s="5">
        <f>O826-(P826+R826)</f>
        <v/>
      </c>
      <c r="X826" s="5">
        <f>O826-(P826+Q826+R826)</f>
        <v/>
      </c>
    </row>
    <row r="827">
      <c r="A827" s="2" t="inlineStr">
        <is>
          <t>EJ030824.TXT</t>
        </is>
      </c>
      <c r="B827" s="3" t="inlineStr">
        <is>
          <t>005470</t>
        </is>
      </c>
      <c r="C827" s="3" t="inlineStr">
        <is>
          <t>004387</t>
        </is>
      </c>
      <c r="D827" s="4" t="n">
        <v>45495</v>
      </c>
      <c r="E827" s="2" t="inlineStr">
        <is>
          <t>16:15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/>
      <c r="Q827" s="5" t="n">
        <v>658</v>
      </c>
      <c r="R827" s="5" t="n"/>
      <c r="S827" s="5">
        <f>F827*20%</f>
        <v/>
      </c>
      <c r="T827" s="5">
        <f>J827-S827</f>
        <v/>
      </c>
      <c r="U827" s="5">
        <f>F827+J827</f>
        <v/>
      </c>
      <c r="V827" s="5">
        <f>O827-U827</f>
        <v/>
      </c>
      <c r="W827" s="5">
        <f>O827-(P827+R827)</f>
        <v/>
      </c>
      <c r="X827" s="5">
        <f>O827-(P827+Q827+R827)</f>
        <v/>
      </c>
    </row>
    <row r="828">
      <c r="A828" s="2" t="inlineStr">
        <is>
          <t>EJ030824.TXT</t>
        </is>
      </c>
      <c r="B828" s="3" t="inlineStr">
        <is>
          <t>005471</t>
        </is>
      </c>
      <c r="C828" s="3" t="inlineStr">
        <is>
          <t>004388</t>
        </is>
      </c>
      <c r="D828" s="4" t="n">
        <v>45496</v>
      </c>
      <c r="E828" s="2" t="inlineStr">
        <is>
          <t>10:43</t>
        </is>
      </c>
      <c r="F828" s="5" t="n">
        <v>1096.67</v>
      </c>
      <c r="G828" s="5" t="n"/>
      <c r="H828" s="5" t="n"/>
      <c r="I828" s="5" t="n"/>
      <c r="J828" s="5" t="n">
        <v>219.33</v>
      </c>
      <c r="K828" s="5" t="n"/>
      <c r="L828" s="5" t="n"/>
      <c r="M828" s="5" t="n"/>
      <c r="N828" s="5" t="n"/>
      <c r="O828" s="5" t="n">
        <v>1316</v>
      </c>
      <c r="P828" s="5" t="n">
        <v>1316</v>
      </c>
      <c r="Q828" s="5" t="n"/>
      <c r="R828" s="5" t="n"/>
      <c r="S828" s="5">
        <f>F828*20%</f>
        <v/>
      </c>
      <c r="T828" s="5">
        <f>J828-S828</f>
        <v/>
      </c>
      <c r="U828" s="5">
        <f>F828+J828</f>
        <v/>
      </c>
      <c r="V828" s="5">
        <f>O828-U828</f>
        <v/>
      </c>
      <c r="W828" s="5">
        <f>O828-(P828+R828)</f>
        <v/>
      </c>
      <c r="X828" s="5">
        <f>O828-(P828+Q828+R828)</f>
        <v/>
      </c>
    </row>
    <row r="829">
      <c r="A829" s="2" t="inlineStr">
        <is>
          <t>EJ030824.TXT</t>
        </is>
      </c>
      <c r="B829" s="3" t="inlineStr">
        <is>
          <t>005472</t>
        </is>
      </c>
      <c r="C829" s="3" t="inlineStr">
        <is>
          <t>004389</t>
        </is>
      </c>
      <c r="D829" s="4" t="n">
        <v>45497</v>
      </c>
      <c r="E829" s="2" t="inlineStr">
        <is>
          <t>09:59</t>
        </is>
      </c>
      <c r="F829" s="5" t="n">
        <v>797.5</v>
      </c>
      <c r="G829" s="5" t="n"/>
      <c r="H829" s="5" t="n"/>
      <c r="I829" s="5" t="n"/>
      <c r="J829" s="5" t="n">
        <v>159.5</v>
      </c>
      <c r="K829" s="5" t="n"/>
      <c r="L829" s="5" t="n"/>
      <c r="M829" s="5" t="n"/>
      <c r="N829" s="5" t="n"/>
      <c r="O829" s="5" t="n">
        <v>957</v>
      </c>
      <c r="P829" s="5" t="n"/>
      <c r="Q829" s="5" t="n">
        <v>957</v>
      </c>
      <c r="R829" s="5" t="n"/>
      <c r="S829" s="5">
        <f>F829*20%</f>
        <v/>
      </c>
      <c r="T829" s="5">
        <f>J829-S829</f>
        <v/>
      </c>
      <c r="U829" s="5">
        <f>F829+J829</f>
        <v/>
      </c>
      <c r="V829" s="5">
        <f>O829-U829</f>
        <v/>
      </c>
      <c r="W829" s="5">
        <f>O829-(P829+R829)</f>
        <v/>
      </c>
      <c r="X829" s="5">
        <f>O829-(P829+Q829+R829)</f>
        <v/>
      </c>
    </row>
    <row r="830">
      <c r="A830" s="2" t="inlineStr">
        <is>
          <t>EJ030824.TXT</t>
        </is>
      </c>
      <c r="B830" s="3" t="inlineStr">
        <is>
          <t>005473</t>
        </is>
      </c>
      <c r="C830" s="3" t="inlineStr">
        <is>
          <t>004390</t>
        </is>
      </c>
      <c r="D830" s="4" t="n">
        <v>45497</v>
      </c>
      <c r="E830" s="2" t="inlineStr">
        <is>
          <t>09:59</t>
        </is>
      </c>
      <c r="F830" s="5" t="n">
        <v>2392.5</v>
      </c>
      <c r="G830" s="5" t="n"/>
      <c r="H830" s="5" t="n"/>
      <c r="I830" s="5" t="n"/>
      <c r="J830" s="5" t="n">
        <v>478.5</v>
      </c>
      <c r="K830" s="5" t="n"/>
      <c r="L830" s="5" t="n"/>
      <c r="M830" s="5" t="n"/>
      <c r="N830" s="5" t="n"/>
      <c r="O830" s="5" t="n">
        <v>2871</v>
      </c>
      <c r="P830" s="5" t="n">
        <v>2871</v>
      </c>
      <c r="Q830" s="5" t="n"/>
      <c r="R830" s="5" t="n"/>
      <c r="S830" s="5">
        <f>F830*20%</f>
        <v/>
      </c>
      <c r="T830" s="5">
        <f>J830-S830</f>
        <v/>
      </c>
      <c r="U830" s="5">
        <f>F830+J830</f>
        <v/>
      </c>
      <c r="V830" s="5">
        <f>O830-U830</f>
        <v/>
      </c>
      <c r="W830" s="5">
        <f>O830-(P830+R830)</f>
        <v/>
      </c>
      <c r="X830" s="5">
        <f>O830-(P830+Q830+R830)</f>
        <v/>
      </c>
    </row>
    <row r="831">
      <c r="A831" s="2" t="inlineStr">
        <is>
          <t>EJ030824.TXT</t>
        </is>
      </c>
      <c r="B831" s="3" t="inlineStr">
        <is>
          <t>005474</t>
        </is>
      </c>
      <c r="C831" s="3" t="inlineStr">
        <is>
          <t>004391</t>
        </is>
      </c>
      <c r="D831" s="4" t="n">
        <v>45497</v>
      </c>
      <c r="E831" s="2" t="inlineStr">
        <is>
          <t>10:01</t>
        </is>
      </c>
      <c r="F831" s="5" t="n">
        <v>531.67</v>
      </c>
      <c r="G831" s="5" t="n"/>
      <c r="H831" s="5" t="n"/>
      <c r="I831" s="5" t="n"/>
      <c r="J831" s="5" t="n">
        <v>106.33</v>
      </c>
      <c r="K831" s="5" t="n"/>
      <c r="L831" s="5" t="n"/>
      <c r="M831" s="5" t="n"/>
      <c r="N831" s="5" t="n"/>
      <c r="O831" s="5" t="n">
        <v>638</v>
      </c>
      <c r="P831" s="5" t="n"/>
      <c r="Q831" s="5" t="n">
        <v>638</v>
      </c>
      <c r="R831" s="5" t="n"/>
      <c r="S831" s="5">
        <f>F831*20%</f>
        <v/>
      </c>
      <c r="T831" s="5">
        <f>J831-S831</f>
        <v/>
      </c>
      <c r="U831" s="5">
        <f>F831+J831</f>
        <v/>
      </c>
      <c r="V831" s="5">
        <f>O831-U831</f>
        <v/>
      </c>
      <c r="W831" s="5">
        <f>O831-(P831+R831)</f>
        <v/>
      </c>
      <c r="X831" s="5">
        <f>O831-(P831+Q831+R831)</f>
        <v/>
      </c>
    </row>
    <row r="832">
      <c r="A832" s="2" t="inlineStr">
        <is>
          <t>EJ030824.TXT</t>
        </is>
      </c>
      <c r="B832" s="3" t="inlineStr">
        <is>
          <t>005475</t>
        </is>
      </c>
      <c r="C832" s="3" t="inlineStr">
        <is>
          <t>004392</t>
        </is>
      </c>
      <c r="D832" s="4" t="n">
        <v>45498</v>
      </c>
      <c r="E832" s="2" t="inlineStr">
        <is>
          <t>17:44</t>
        </is>
      </c>
      <c r="F832" s="5" t="n">
        <v>548.33</v>
      </c>
      <c r="G832" s="5" t="n"/>
      <c r="H832" s="5" t="n"/>
      <c r="I832" s="5" t="n"/>
      <c r="J832" s="5" t="n">
        <v>109.67</v>
      </c>
      <c r="K832" s="5" t="n"/>
      <c r="L832" s="5" t="n"/>
      <c r="M832" s="5" t="n"/>
      <c r="N832" s="5" t="n"/>
      <c r="O832" s="5" t="n">
        <v>658</v>
      </c>
      <c r="P832" s="5" t="n"/>
      <c r="Q832" s="5" t="n">
        <v>658</v>
      </c>
      <c r="R832" s="5" t="n"/>
      <c r="S832" s="5">
        <f>F832*20%</f>
        <v/>
      </c>
      <c r="T832" s="5">
        <f>J832-S832</f>
        <v/>
      </c>
      <c r="U832" s="5">
        <f>F832+J832</f>
        <v/>
      </c>
      <c r="V832" s="5">
        <f>O832-U832</f>
        <v/>
      </c>
      <c r="W832" s="5">
        <f>O832-(P832+R832)</f>
        <v/>
      </c>
      <c r="X832" s="5">
        <f>O832-(P832+Q832+R832)</f>
        <v/>
      </c>
    </row>
    <row r="833">
      <c r="A833" s="2" t="inlineStr">
        <is>
          <t>EJ030824.TXT</t>
        </is>
      </c>
      <c r="B833" s="3" t="inlineStr">
        <is>
          <t>005476</t>
        </is>
      </c>
      <c r="C833" s="3" t="inlineStr">
        <is>
          <t>004393</t>
        </is>
      </c>
      <c r="D833" s="4" t="n">
        <v>45499</v>
      </c>
      <c r="E833" s="2" t="inlineStr">
        <is>
          <t>10:46</t>
        </is>
      </c>
      <c r="F833" s="5" t="n">
        <v>156.67</v>
      </c>
      <c r="G833" s="5" t="n"/>
      <c r="H833" s="5" t="n"/>
      <c r="I833" s="5" t="n"/>
      <c r="J833" s="5" t="n">
        <v>31.33</v>
      </c>
      <c r="K833" s="5" t="n"/>
      <c r="L833" s="5" t="n"/>
      <c r="M833" s="5" t="n"/>
      <c r="N833" s="5" t="n"/>
      <c r="O833" s="5" t="n">
        <v>188</v>
      </c>
      <c r="P833" s="5" t="n"/>
      <c r="Q833" s="5" t="n">
        <v>188</v>
      </c>
      <c r="R833" s="5" t="n"/>
      <c r="S833" s="5">
        <f>F833*20%</f>
        <v/>
      </c>
      <c r="T833" s="5">
        <f>J833-S833</f>
        <v/>
      </c>
      <c r="U833" s="5">
        <f>F833+J833</f>
        <v/>
      </c>
      <c r="V833" s="5">
        <f>O833-U833</f>
        <v/>
      </c>
      <c r="W833" s="5">
        <f>O833-(P833+R833)</f>
        <v/>
      </c>
      <c r="X833" s="5">
        <f>O833-(P833+Q833+R833)</f>
        <v/>
      </c>
    </row>
    <row r="834">
      <c r="A834" s="2" t="inlineStr">
        <is>
          <t>EJ030824.TXT</t>
        </is>
      </c>
      <c r="B834" s="3" t="inlineStr">
        <is>
          <t>005477</t>
        </is>
      </c>
      <c r="C834" s="3" t="inlineStr">
        <is>
          <t>004394</t>
        </is>
      </c>
      <c r="D834" s="4" t="n">
        <v>45500</v>
      </c>
      <c r="E834" s="2" t="inlineStr">
        <is>
          <t>15:42</t>
        </is>
      </c>
      <c r="F834" s="5" t="n">
        <v>36.67</v>
      </c>
      <c r="G834" s="5" t="n"/>
      <c r="H834" s="5" t="n"/>
      <c r="I834" s="5" t="n"/>
      <c r="J834" s="5" t="n">
        <v>7.33</v>
      </c>
      <c r="K834" s="5" t="n"/>
      <c r="L834" s="5" t="n"/>
      <c r="M834" s="5" t="n"/>
      <c r="N834" s="5" t="n"/>
      <c r="O834" s="5" t="n">
        <v>44</v>
      </c>
      <c r="P834" s="5" t="n"/>
      <c r="Q834" s="5" t="n">
        <v>44</v>
      </c>
      <c r="R834" s="5" t="n"/>
      <c r="S834" s="5">
        <f>F834*20%</f>
        <v/>
      </c>
      <c r="T834" s="5">
        <f>J834-S834</f>
        <v/>
      </c>
      <c r="U834" s="5">
        <f>F834+J834</f>
        <v/>
      </c>
      <c r="V834" s="5">
        <f>O834-U834</f>
        <v/>
      </c>
      <c r="W834" s="5">
        <f>O834-(P834+R834)</f>
        <v/>
      </c>
      <c r="X834" s="5">
        <f>O834-(P834+Q834+R834)</f>
        <v/>
      </c>
    </row>
    <row r="835">
      <c r="A835" s="2" t="inlineStr">
        <is>
          <t>EJ030824.TXT</t>
        </is>
      </c>
      <c r="B835" s="3" t="inlineStr">
        <is>
          <t>005478</t>
        </is>
      </c>
      <c r="C835" s="3" t="inlineStr">
        <is>
          <t>004395</t>
        </is>
      </c>
      <c r="D835" s="4" t="n">
        <v>45502</v>
      </c>
      <c r="E835" s="2" t="inlineStr">
        <is>
          <t>11:30</t>
        </is>
      </c>
      <c r="F835" s="5" t="n">
        <v>208.33</v>
      </c>
      <c r="G835" s="5" t="n"/>
      <c r="H835" s="5" t="n"/>
      <c r="I835" s="5" t="n"/>
      <c r="J835" s="5" t="n">
        <v>41.67</v>
      </c>
      <c r="K835" s="5" t="n"/>
      <c r="L835" s="5" t="n"/>
      <c r="M835" s="5" t="n"/>
      <c r="N835" s="5" t="n"/>
      <c r="O835" s="5" t="n">
        <v>250</v>
      </c>
      <c r="P835" s="5" t="n"/>
      <c r="Q835" s="5" t="n">
        <v>250</v>
      </c>
      <c r="R835" s="5" t="n"/>
      <c r="S835" s="5">
        <f>F835*20%</f>
        <v/>
      </c>
      <c r="T835" s="5">
        <f>J835-S835</f>
        <v/>
      </c>
      <c r="U835" s="5">
        <f>F835+J835</f>
        <v/>
      </c>
      <c r="V835" s="5">
        <f>O835-U835</f>
        <v/>
      </c>
      <c r="W835" s="5">
        <f>O835-(P835+R835)</f>
        <v/>
      </c>
      <c r="X835" s="5">
        <f>O835-(P835+Q835+R835)</f>
        <v/>
      </c>
    </row>
    <row r="836">
      <c r="A836" s="2" t="inlineStr">
        <is>
          <t>EJ030824.TXT</t>
        </is>
      </c>
      <c r="B836" s="3" t="inlineStr">
        <is>
          <t>005479</t>
        </is>
      </c>
      <c r="C836" s="3" t="inlineStr">
        <is>
          <t>004396</t>
        </is>
      </c>
      <c r="D836" s="4" t="n">
        <v>45502</v>
      </c>
      <c r="E836" s="2" t="inlineStr">
        <is>
          <t>12:07</t>
        </is>
      </c>
      <c r="F836" s="5" t="n">
        <v>582.5</v>
      </c>
      <c r="G836" s="5" t="n"/>
      <c r="H836" s="5" t="n"/>
      <c r="I836" s="5" t="n"/>
      <c r="J836" s="5" t="n">
        <v>116.5</v>
      </c>
      <c r="K836" s="5" t="n"/>
      <c r="L836" s="5" t="n"/>
      <c r="M836" s="5" t="n"/>
      <c r="N836" s="5" t="n"/>
      <c r="O836" s="5" t="n">
        <v>699</v>
      </c>
      <c r="P836" s="5" t="n">
        <v>699</v>
      </c>
      <c r="Q836" s="5" t="n"/>
      <c r="R836" s="5" t="n"/>
      <c r="S836" s="5">
        <f>F836*20%</f>
        <v/>
      </c>
      <c r="T836" s="5">
        <f>J836-S836</f>
        <v/>
      </c>
      <c r="U836" s="5">
        <f>F836+J836</f>
        <v/>
      </c>
      <c r="V836" s="5">
        <f>O836-U836</f>
        <v/>
      </c>
      <c r="W836" s="5">
        <f>O836-(P836+R836)</f>
        <v/>
      </c>
      <c r="X836" s="5">
        <f>O836-(P836+Q836+R836)</f>
        <v/>
      </c>
    </row>
    <row r="837">
      <c r="A837" s="2" t="inlineStr">
        <is>
          <t>EJ030824.TXT</t>
        </is>
      </c>
      <c r="B837" s="3" t="inlineStr">
        <is>
          <t>005480</t>
        </is>
      </c>
      <c r="C837" s="3" t="inlineStr">
        <is>
          <t>004397</t>
        </is>
      </c>
      <c r="D837" s="4" t="n">
        <v>45503</v>
      </c>
      <c r="E837" s="2" t="inlineStr">
        <is>
          <t>09:01</t>
        </is>
      </c>
      <c r="F837" s="5" t="n">
        <v>199.17</v>
      </c>
      <c r="G837" s="5" t="n"/>
      <c r="H837" s="5" t="n"/>
      <c r="I837" s="5" t="n"/>
      <c r="J837" s="5" t="n">
        <v>39.83</v>
      </c>
      <c r="K837" s="5" t="n"/>
      <c r="L837" s="5" t="n"/>
      <c r="M837" s="5" t="n"/>
      <c r="N837" s="5" t="n"/>
      <c r="O837" s="5" t="n">
        <v>239</v>
      </c>
      <c r="P837" s="5" t="n"/>
      <c r="Q837" s="5" t="n">
        <v>239</v>
      </c>
      <c r="R837" s="5" t="n"/>
      <c r="S837" s="5">
        <f>F837*20%</f>
        <v/>
      </c>
      <c r="T837" s="5">
        <f>J837-S837</f>
        <v/>
      </c>
      <c r="U837" s="5">
        <f>F837+J837</f>
        <v/>
      </c>
      <c r="V837" s="5">
        <f>O837-U837</f>
        <v/>
      </c>
      <c r="W837" s="5">
        <f>O837-(P837+R837)</f>
        <v/>
      </c>
      <c r="X837" s="5">
        <f>O837-(P837+Q837+R837)</f>
        <v/>
      </c>
    </row>
    <row r="838">
      <c r="A838" s="2" t="inlineStr">
        <is>
          <t>EJ030824.TXT</t>
        </is>
      </c>
      <c r="B838" s="3" t="inlineStr">
        <is>
          <t>005481</t>
        </is>
      </c>
      <c r="C838" s="3" t="inlineStr">
        <is>
          <t>004398</t>
        </is>
      </c>
      <c r="D838" s="4" t="n">
        <v>45505</v>
      </c>
      <c r="E838" s="2" t="inlineStr">
        <is>
          <t>11:03</t>
        </is>
      </c>
      <c r="F838" s="5" t="n">
        <v>274.17</v>
      </c>
      <c r="G838" s="5" t="n"/>
      <c r="H838" s="5" t="n"/>
      <c r="I838" s="5" t="n"/>
      <c r="J838" s="5" t="n">
        <v>54.83</v>
      </c>
      <c r="K838" s="5" t="n"/>
      <c r="L838" s="5" t="n"/>
      <c r="M838" s="5" t="n"/>
      <c r="N838" s="5" t="n"/>
      <c r="O838" s="5" t="n">
        <v>329</v>
      </c>
      <c r="P838" s="5" t="n"/>
      <c r="Q838" s="5" t="n">
        <v>329</v>
      </c>
      <c r="R838" s="5" t="n"/>
      <c r="S838" s="5">
        <f>F838*20%</f>
        <v/>
      </c>
      <c r="T838" s="5">
        <f>J838-S838</f>
        <v/>
      </c>
      <c r="U838" s="5">
        <f>F838+J838</f>
        <v/>
      </c>
      <c r="V838" s="5">
        <f>O838-U838</f>
        <v/>
      </c>
      <c r="W838" s="5">
        <f>O838-(P838+R838)</f>
        <v/>
      </c>
      <c r="X838" s="5">
        <f>O838-(P838+Q838+R838)</f>
        <v/>
      </c>
    </row>
    <row r="839">
      <c r="A839" s="2" t="inlineStr">
        <is>
          <t>EJ030824.TXT</t>
        </is>
      </c>
      <c r="B839" s="3" t="inlineStr">
        <is>
          <t>005482</t>
        </is>
      </c>
      <c r="C839" s="3" t="inlineStr">
        <is>
          <t>004399</t>
        </is>
      </c>
      <c r="D839" s="4" t="n">
        <v>45506</v>
      </c>
      <c r="E839" s="2" t="inlineStr">
        <is>
          <t>14:03</t>
        </is>
      </c>
      <c r="F839" s="5" t="n">
        <v>548.33</v>
      </c>
      <c r="G839" s="5" t="n"/>
      <c r="H839" s="5" t="n"/>
      <c r="I839" s="5" t="n"/>
      <c r="J839" s="5" t="n">
        <v>109.67</v>
      </c>
      <c r="K839" s="5" t="n"/>
      <c r="L839" s="5" t="n"/>
      <c r="M839" s="5" t="n"/>
      <c r="N839" s="5" t="n"/>
      <c r="O839" s="5" t="n">
        <v>658</v>
      </c>
      <c r="P839" s="5" t="n"/>
      <c r="Q839" s="5" t="n">
        <v>658</v>
      </c>
      <c r="R839" s="5" t="n"/>
      <c r="S839" s="5">
        <f>F839*20%</f>
        <v/>
      </c>
      <c r="T839" s="5">
        <f>J839-S839</f>
        <v/>
      </c>
      <c r="U839" s="5">
        <f>F839+J839</f>
        <v/>
      </c>
      <c r="V839" s="5">
        <f>O839-U839</f>
        <v/>
      </c>
      <c r="W839" s="5">
        <f>O839-(P839+R839)</f>
        <v/>
      </c>
      <c r="X839" s="5">
        <f>O839-(P839+Q839+R839)</f>
        <v/>
      </c>
    </row>
    <row r="840">
      <c r="A840" s="2" t="inlineStr">
        <is>
          <t>EJ030824.TXT</t>
        </is>
      </c>
      <c r="B840" s="3" t="inlineStr">
        <is>
          <t>005483</t>
        </is>
      </c>
      <c r="C840" s="3" t="inlineStr">
        <is>
          <t>004400</t>
        </is>
      </c>
      <c r="D840" s="4" t="n">
        <v>45506</v>
      </c>
      <c r="E840" s="2" t="inlineStr">
        <is>
          <t>14:05</t>
        </is>
      </c>
      <c r="F840" s="5" t="n">
        <v>548.33</v>
      </c>
      <c r="G840" s="5" t="n"/>
      <c r="H840" s="5" t="n"/>
      <c r="I840" s="5" t="n"/>
      <c r="J840" s="5" t="n">
        <v>109.67</v>
      </c>
      <c r="K840" s="5" t="n"/>
      <c r="L840" s="5" t="n"/>
      <c r="M840" s="5" t="n"/>
      <c r="N840" s="5" t="n"/>
      <c r="O840" s="5" t="n">
        <v>658</v>
      </c>
      <c r="P840" s="5" t="n">
        <v>658</v>
      </c>
      <c r="Q840" s="5" t="n"/>
      <c r="R840" s="5" t="n"/>
      <c r="S840" s="5">
        <f>F840*20%</f>
        <v/>
      </c>
      <c r="T840" s="5">
        <f>J840-S840</f>
        <v/>
      </c>
      <c r="U840" s="5">
        <f>F840+J840</f>
        <v/>
      </c>
      <c r="V840" s="5">
        <f>O840-U840</f>
        <v/>
      </c>
      <c r="W840" s="5">
        <f>O840-(P840+R840)</f>
        <v/>
      </c>
      <c r="X840" s="5">
        <f>O840-(P840+Q840+R840)</f>
        <v/>
      </c>
    </row>
    <row r="841">
      <c r="A841" s="2" t="inlineStr">
        <is>
          <t>EJ030824.TXT</t>
        </is>
      </c>
      <c r="B841" s="3" t="inlineStr">
        <is>
          <t>005484</t>
        </is>
      </c>
      <c r="C841" s="3" t="inlineStr">
        <is>
          <t>004401</t>
        </is>
      </c>
      <c r="D841" s="4" t="n">
        <v>45506</v>
      </c>
      <c r="E841" s="2" t="inlineStr">
        <is>
          <t>15:20</t>
        </is>
      </c>
      <c r="F841" s="5" t="n">
        <v>208.33</v>
      </c>
      <c r="G841" s="5" t="n"/>
      <c r="H841" s="5" t="n"/>
      <c r="I841" s="5" t="n"/>
      <c r="J841" s="5" t="n">
        <v>41.67</v>
      </c>
      <c r="K841" s="5" t="n"/>
      <c r="L841" s="5" t="n"/>
      <c r="M841" s="5" t="n"/>
      <c r="N841" s="5" t="n"/>
      <c r="O841" s="5" t="n">
        <v>250</v>
      </c>
      <c r="P841" s="5" t="n"/>
      <c r="Q841" s="5" t="n">
        <v>250</v>
      </c>
      <c r="R841" s="5" t="n"/>
      <c r="S841" s="5">
        <f>F841*20%</f>
        <v/>
      </c>
      <c r="T841" s="5">
        <f>J841-S841</f>
        <v/>
      </c>
      <c r="U841" s="5">
        <f>F841+J841</f>
        <v/>
      </c>
      <c r="V841" s="5">
        <f>O841-U841</f>
        <v/>
      </c>
      <c r="W841" s="5">
        <f>O841-(P841+R841)</f>
        <v/>
      </c>
      <c r="X841" s="5">
        <f>O841-(P841+Q841+R841)</f>
        <v/>
      </c>
    </row>
    <row r="842">
      <c r="A842" s="2" t="inlineStr">
        <is>
          <t>EJ030824.TXT</t>
        </is>
      </c>
      <c r="B842" s="3" t="inlineStr">
        <is>
          <t>005485</t>
        </is>
      </c>
      <c r="C842" s="3" t="inlineStr">
        <is>
          <t>004402</t>
        </is>
      </c>
      <c r="D842" s="4" t="n">
        <v>45507</v>
      </c>
      <c r="E842" s="2" t="inlineStr">
        <is>
          <t>16:03</t>
        </is>
      </c>
      <c r="F842" s="5" t="n">
        <v>797.5</v>
      </c>
      <c r="G842" s="5" t="n"/>
      <c r="H842" s="5" t="n"/>
      <c r="I842" s="5" t="n"/>
      <c r="J842" s="5" t="n">
        <v>159.5</v>
      </c>
      <c r="K842" s="5" t="n"/>
      <c r="L842" s="5" t="n"/>
      <c r="M842" s="5" t="n"/>
      <c r="N842" s="5" t="n"/>
      <c r="O842" s="5" t="n">
        <v>957</v>
      </c>
      <c r="P842" s="5" t="n"/>
      <c r="Q842" s="5" t="n">
        <v>957</v>
      </c>
      <c r="R842" s="5" t="n"/>
      <c r="S842" s="5">
        <f>F842*20%</f>
        <v/>
      </c>
      <c r="T842" s="5">
        <f>J842-S842</f>
        <v/>
      </c>
      <c r="U842" s="5">
        <f>F842+J842</f>
        <v/>
      </c>
      <c r="V842" s="5">
        <f>O842-U842</f>
        <v/>
      </c>
      <c r="W842" s="5">
        <f>O842-(P842+R842)</f>
        <v/>
      </c>
      <c r="X842" s="5">
        <f>O842-(P842+Q842+R842)</f>
        <v/>
      </c>
    </row>
    <row r="843">
      <c r="A843" s="2" t="inlineStr">
        <is>
          <t>EJ030824.TXT</t>
        </is>
      </c>
      <c r="B843" s="3" t="inlineStr">
        <is>
          <t>005486</t>
        </is>
      </c>
      <c r="C843" s="3" t="inlineStr">
        <is>
          <t>004403</t>
        </is>
      </c>
      <c r="D843" s="4" t="n">
        <v>45507</v>
      </c>
      <c r="E843" s="2" t="inlineStr">
        <is>
          <t>16:03</t>
        </is>
      </c>
      <c r="F843" s="5" t="n">
        <v>566.67</v>
      </c>
      <c r="G843" s="5" t="n"/>
      <c r="H843" s="5" t="n"/>
      <c r="I843" s="5" t="n"/>
      <c r="J843" s="5" t="n">
        <v>113.33</v>
      </c>
      <c r="K843" s="5" t="n"/>
      <c r="L843" s="5" t="n"/>
      <c r="M843" s="5" t="n"/>
      <c r="N843" s="5" t="n"/>
      <c r="O843" s="5" t="n">
        <v>680</v>
      </c>
      <c r="P843" s="5" t="n"/>
      <c r="Q843" s="5" t="n">
        <v>680</v>
      </c>
      <c r="R843" s="5" t="n"/>
      <c r="S843" s="5">
        <f>F843*20%</f>
        <v/>
      </c>
      <c r="T843" s="5">
        <f>J843-S843</f>
        <v/>
      </c>
      <c r="U843" s="5">
        <f>F843+J843</f>
        <v/>
      </c>
      <c r="V843" s="5">
        <f>O843-U843</f>
        <v/>
      </c>
      <c r="W843" s="5">
        <f>O843-(P843+R843)</f>
        <v/>
      </c>
      <c r="X843" s="5">
        <f>O843-(P843+Q843+R843)</f>
        <v/>
      </c>
    </row>
    <row r="844">
      <c r="A844" s="2" t="inlineStr">
        <is>
          <t>EJ030824.TXT</t>
        </is>
      </c>
      <c r="B844" s="3" t="inlineStr">
        <is>
          <t>005487</t>
        </is>
      </c>
      <c r="C844" s="3" t="inlineStr">
        <is>
          <t>004404</t>
        </is>
      </c>
      <c r="D844" s="4" t="n">
        <v>45507</v>
      </c>
      <c r="E844" s="2" t="inlineStr">
        <is>
          <t>16:04</t>
        </is>
      </c>
      <c r="F844" s="5" t="n">
        <v>531.67</v>
      </c>
      <c r="G844" s="5" t="n"/>
      <c r="H844" s="5" t="n"/>
      <c r="I844" s="5" t="n"/>
      <c r="J844" s="5" t="n">
        <v>106.33</v>
      </c>
      <c r="K844" s="5" t="n"/>
      <c r="L844" s="5" t="n"/>
      <c r="M844" s="5" t="n"/>
      <c r="N844" s="5" t="n"/>
      <c r="O844" s="5" t="n">
        <v>638</v>
      </c>
      <c r="P844" s="5" t="n"/>
      <c r="Q844" s="5" t="n">
        <v>638</v>
      </c>
      <c r="R844" s="5" t="n"/>
      <c r="S844" s="5">
        <f>F844*20%</f>
        <v/>
      </c>
      <c r="T844" s="5">
        <f>J844-S844</f>
        <v/>
      </c>
      <c r="U844" s="5">
        <f>F844+J844</f>
        <v/>
      </c>
      <c r="V844" s="5">
        <f>O844-U844</f>
        <v/>
      </c>
      <c r="W844" s="5">
        <f>O844-(P844+R844)</f>
        <v/>
      </c>
      <c r="X844" s="5">
        <f>O844-(P844+Q844+R844)</f>
        <v/>
      </c>
    </row>
    <row r="845">
      <c r="A845" s="2" t="inlineStr">
        <is>
          <t>EJ030824.TXT</t>
        </is>
      </c>
      <c r="B845" s="3" t="inlineStr">
        <is>
          <t>005488</t>
        </is>
      </c>
      <c r="C845" s="3" t="inlineStr">
        <is>
          <t>004405</t>
        </is>
      </c>
      <c r="D845" s="4" t="n">
        <v>45507</v>
      </c>
      <c r="E845" s="2" t="inlineStr">
        <is>
          <t>16:04</t>
        </is>
      </c>
      <c r="F845" s="5" t="n">
        <v>531.67</v>
      </c>
      <c r="G845" s="5" t="n"/>
      <c r="H845" s="5" t="n"/>
      <c r="I845" s="5" t="n"/>
      <c r="J845" s="5" t="n">
        <v>106.33</v>
      </c>
      <c r="K845" s="5" t="n"/>
      <c r="L845" s="5" t="n"/>
      <c r="M845" s="5" t="n"/>
      <c r="N845" s="5" t="n"/>
      <c r="O845" s="5" t="n">
        <v>638</v>
      </c>
      <c r="P845" s="5" t="n"/>
      <c r="Q845" s="5" t="n">
        <v>638</v>
      </c>
      <c r="R845" s="5" t="n"/>
      <c r="S845" s="5">
        <f>F845*20%</f>
        <v/>
      </c>
      <c r="T845" s="5">
        <f>J845-S845</f>
        <v/>
      </c>
      <c r="U845" s="5">
        <f>F845+J845</f>
        <v/>
      </c>
      <c r="V845" s="5">
        <f>O845-U845</f>
        <v/>
      </c>
      <c r="W845" s="5">
        <f>O845-(P845+R845)</f>
        <v/>
      </c>
      <c r="X845" s="5">
        <f>O845-(P845+Q845+R845)</f>
        <v/>
      </c>
    </row>
    <row r="846">
      <c r="A846" s="2" t="inlineStr">
        <is>
          <t>EJ030824.TXT</t>
        </is>
      </c>
      <c r="B846" s="3" t="inlineStr">
        <is>
          <t>005489</t>
        </is>
      </c>
      <c r="C846" s="3" t="inlineStr">
        <is>
          <t>004406</t>
        </is>
      </c>
      <c r="D846" s="4" t="n">
        <v>45507</v>
      </c>
      <c r="E846" s="2" t="inlineStr">
        <is>
          <t>16:04</t>
        </is>
      </c>
      <c r="F846" s="5" t="n">
        <v>797.5</v>
      </c>
      <c r="G846" s="5" t="n"/>
      <c r="H846" s="5" t="n"/>
      <c r="I846" s="5" t="n"/>
      <c r="J846" s="5" t="n">
        <v>159.5</v>
      </c>
      <c r="K846" s="5" t="n"/>
      <c r="L846" s="5" t="n"/>
      <c r="M846" s="5" t="n"/>
      <c r="N846" s="5" t="n"/>
      <c r="O846" s="5" t="n">
        <v>957</v>
      </c>
      <c r="P846" s="5" t="n"/>
      <c r="Q846" s="5" t="n">
        <v>957</v>
      </c>
      <c r="R846" s="5" t="n"/>
      <c r="S846" s="5">
        <f>F846*20%</f>
        <v/>
      </c>
      <c r="T846" s="5">
        <f>J846-S846</f>
        <v/>
      </c>
      <c r="U846" s="5">
        <f>F846+J846</f>
        <v/>
      </c>
      <c r="V846" s="5">
        <f>O846-U846</f>
        <v/>
      </c>
      <c r="W846" s="5">
        <f>O846-(P846+R846)</f>
        <v/>
      </c>
      <c r="X846" s="5">
        <f>O846-(P846+Q846+R846)</f>
        <v/>
      </c>
    </row>
    <row r="847">
      <c r="A847" s="2" t="inlineStr">
        <is>
          <t>EJ030824.TXT</t>
        </is>
      </c>
      <c r="B847" s="3" t="inlineStr">
        <is>
          <t>005490</t>
        </is>
      </c>
      <c r="C847" s="3" t="inlineStr">
        <is>
          <t>004407</t>
        </is>
      </c>
      <c r="D847" s="4" t="n">
        <v>45507</v>
      </c>
      <c r="E847" s="2" t="inlineStr">
        <is>
          <t>16:05</t>
        </is>
      </c>
      <c r="F847" s="5" t="n">
        <v>797.5</v>
      </c>
      <c r="G847" s="5" t="n"/>
      <c r="H847" s="5" t="n"/>
      <c r="I847" s="5" t="n"/>
      <c r="J847" s="5" t="n">
        <v>159.5</v>
      </c>
      <c r="K847" s="5" t="n"/>
      <c r="L847" s="5" t="n"/>
      <c r="M847" s="5" t="n"/>
      <c r="N847" s="5" t="n"/>
      <c r="O847" s="5" t="n">
        <v>957</v>
      </c>
      <c r="P847" s="5" t="n"/>
      <c r="Q847" s="5" t="n">
        <v>957</v>
      </c>
      <c r="R847" s="5" t="n"/>
      <c r="S847" s="5">
        <f>F847*20%</f>
        <v/>
      </c>
      <c r="T847" s="5">
        <f>J847-S847</f>
        <v/>
      </c>
      <c r="U847" s="5">
        <f>F847+J847</f>
        <v/>
      </c>
      <c r="V847" s="5">
        <f>O847-U847</f>
        <v/>
      </c>
      <c r="W847" s="5">
        <f>O847-(P847+R847)</f>
        <v/>
      </c>
      <c r="X847" s="5">
        <f>O847-(P847+Q847+R847)</f>
        <v/>
      </c>
    </row>
    <row r="848">
      <c r="A848" s="2" t="inlineStr">
        <is>
          <t>EJ020924.TXT</t>
        </is>
      </c>
      <c r="B848" s="3" t="inlineStr">
        <is>
          <t>005499</t>
        </is>
      </c>
      <c r="C848" s="3" t="inlineStr">
        <is>
          <t>004408</t>
        </is>
      </c>
      <c r="D848" s="4" t="n">
        <v>45509</v>
      </c>
      <c r="E848" s="2" t="inlineStr">
        <is>
          <t>14:53</t>
        </is>
      </c>
      <c r="F848" s="5" t="n">
        <v>208.33</v>
      </c>
      <c r="G848" s="5" t="n"/>
      <c r="H848" s="5" t="n"/>
      <c r="I848" s="5" t="n"/>
      <c r="J848" s="5" t="n">
        <v>41.67</v>
      </c>
      <c r="K848" s="5" t="n"/>
      <c r="L848" s="5" t="n"/>
      <c r="M848" s="5" t="n"/>
      <c r="N848" s="5" t="n"/>
      <c r="O848" s="5" t="n">
        <v>250</v>
      </c>
      <c r="P848" s="5" t="n"/>
      <c r="Q848" s="5" t="n">
        <v>250</v>
      </c>
      <c r="R848" s="5" t="n"/>
      <c r="S848" s="5">
        <f>F848*20%</f>
        <v/>
      </c>
      <c r="T848" s="5">
        <f>J848-S848</f>
        <v/>
      </c>
      <c r="U848" s="5">
        <f>F848+J848</f>
        <v/>
      </c>
      <c r="V848" s="5">
        <f>O848-U848</f>
        <v/>
      </c>
      <c r="W848" s="5">
        <f>O848-(P848+R848)</f>
        <v/>
      </c>
      <c r="X848" s="5">
        <f>O848-(P848+Q848+R848)</f>
        <v/>
      </c>
    </row>
    <row r="849">
      <c r="A849" s="2" t="inlineStr">
        <is>
          <t>EJ020924.TXT</t>
        </is>
      </c>
      <c r="B849" s="3" t="inlineStr">
        <is>
          <t>005500</t>
        </is>
      </c>
      <c r="C849" s="3" t="inlineStr">
        <is>
          <t>004409</t>
        </is>
      </c>
      <c r="D849" s="4" t="n">
        <v>45510</v>
      </c>
      <c r="E849" s="2" t="inlineStr">
        <is>
          <t>11:41</t>
        </is>
      </c>
      <c r="F849" s="5" t="n">
        <v>208.33</v>
      </c>
      <c r="G849" s="5" t="n"/>
      <c r="H849" s="5" t="n"/>
      <c r="I849" s="5" t="n"/>
      <c r="J849" s="5" t="n">
        <v>41.67</v>
      </c>
      <c r="K849" s="5" t="n"/>
      <c r="L849" s="5" t="n"/>
      <c r="M849" s="5" t="n"/>
      <c r="N849" s="5" t="n"/>
      <c r="O849" s="5" t="n">
        <v>250</v>
      </c>
      <c r="P849" s="5" t="n"/>
      <c r="Q849" s="5" t="n">
        <v>250</v>
      </c>
      <c r="R849" s="5" t="n"/>
      <c r="S849" s="5">
        <f>F849*20%</f>
        <v/>
      </c>
      <c r="T849" s="5">
        <f>J849-S849</f>
        <v/>
      </c>
      <c r="U849" s="5">
        <f>F849+J849</f>
        <v/>
      </c>
      <c r="V849" s="5">
        <f>O849-U849</f>
        <v/>
      </c>
      <c r="W849" s="5">
        <f>O849-(P849+R849)</f>
        <v/>
      </c>
      <c r="X849" s="5">
        <f>O849-(P849+Q849+R849)</f>
        <v/>
      </c>
    </row>
    <row r="850">
      <c r="A850" s="2" t="inlineStr">
        <is>
          <t>EJ020924.TXT</t>
        </is>
      </c>
      <c r="B850" s="3" t="inlineStr">
        <is>
          <t>005501</t>
        </is>
      </c>
      <c r="C850" s="3" t="inlineStr">
        <is>
          <t>004410</t>
        </is>
      </c>
      <c r="D850" s="4" t="n">
        <v>45510</v>
      </c>
      <c r="E850" s="2" t="inlineStr">
        <is>
          <t>14:21</t>
        </is>
      </c>
      <c r="F850" s="5" t="n">
        <v>82.5</v>
      </c>
      <c r="G850" s="5" t="n"/>
      <c r="H850" s="5" t="n"/>
      <c r="I850" s="5" t="n"/>
      <c r="J850" s="5" t="n">
        <v>16.5</v>
      </c>
      <c r="K850" s="5" t="n"/>
      <c r="L850" s="5" t="n"/>
      <c r="M850" s="5" t="n"/>
      <c r="N850" s="5" t="n"/>
      <c r="O850" s="5" t="n">
        <v>99</v>
      </c>
      <c r="P850" s="5" t="n"/>
      <c r="Q850" s="5" t="n">
        <v>99</v>
      </c>
      <c r="R850" s="5" t="n"/>
      <c r="S850" s="5">
        <f>F850*20%</f>
        <v/>
      </c>
      <c r="T850" s="5">
        <f>J850-S850</f>
        <v/>
      </c>
      <c r="U850" s="5">
        <f>F850+J850</f>
        <v/>
      </c>
      <c r="V850" s="5">
        <f>O850-U850</f>
        <v/>
      </c>
      <c r="W850" s="5">
        <f>O850-(P850+R850)</f>
        <v/>
      </c>
      <c r="X850" s="5">
        <f>O850-(P850+Q850+R850)</f>
        <v/>
      </c>
    </row>
    <row r="851">
      <c r="A851" s="2" t="inlineStr">
        <is>
          <t>EJ020924.TXT</t>
        </is>
      </c>
      <c r="B851" s="3" t="inlineStr">
        <is>
          <t>005502</t>
        </is>
      </c>
      <c r="C851" s="3" t="inlineStr">
        <is>
          <t>004411</t>
        </is>
      </c>
      <c r="D851" s="4" t="n">
        <v>45510</v>
      </c>
      <c r="E851" s="2" t="inlineStr">
        <is>
          <t>14:36</t>
        </is>
      </c>
      <c r="F851" s="5" t="n">
        <v>274.17</v>
      </c>
      <c r="G851" s="5" t="n"/>
      <c r="H851" s="5" t="n"/>
      <c r="I851" s="5" t="n"/>
      <c r="J851" s="5" t="n">
        <v>54.83</v>
      </c>
      <c r="K851" s="5" t="n"/>
      <c r="L851" s="5" t="n"/>
      <c r="M851" s="5" t="n"/>
      <c r="N851" s="5" t="n"/>
      <c r="O851" s="5" t="n">
        <v>329</v>
      </c>
      <c r="P851" s="5" t="n"/>
      <c r="Q851" s="5" t="n">
        <v>329</v>
      </c>
      <c r="R851" s="5" t="n"/>
      <c r="S851" s="5">
        <f>F851*20%</f>
        <v/>
      </c>
      <c r="T851" s="5">
        <f>J851-S851</f>
        <v/>
      </c>
      <c r="U851" s="5">
        <f>F851+J851</f>
        <v/>
      </c>
      <c r="V851" s="5">
        <f>O851-U851</f>
        <v/>
      </c>
      <c r="W851" s="5">
        <f>O851-(P851+R851)</f>
        <v/>
      </c>
      <c r="X851" s="5">
        <f>O851-(P851+Q851+R851)</f>
        <v/>
      </c>
    </row>
    <row r="852">
      <c r="A852" s="2" t="inlineStr">
        <is>
          <t>EJ020924.TXT</t>
        </is>
      </c>
      <c r="B852" s="3" t="inlineStr">
        <is>
          <t>005503</t>
        </is>
      </c>
      <c r="C852" s="3" t="inlineStr">
        <is>
          <t>004412</t>
        </is>
      </c>
      <c r="D852" s="4" t="n">
        <v>45512</v>
      </c>
      <c r="E852" s="2" t="inlineStr">
        <is>
          <t>16:14</t>
        </is>
      </c>
      <c r="F852" s="5" t="n">
        <v>548.33</v>
      </c>
      <c r="G852" s="5" t="n"/>
      <c r="H852" s="5" t="n"/>
      <c r="I852" s="5" t="n"/>
      <c r="J852" s="5" t="n">
        <v>109.67</v>
      </c>
      <c r="K852" s="5" t="n"/>
      <c r="L852" s="5" t="n"/>
      <c r="M852" s="5" t="n"/>
      <c r="N852" s="5" t="n"/>
      <c r="O852" s="5" t="n">
        <v>658</v>
      </c>
      <c r="P852" s="5" t="n"/>
      <c r="Q852" s="5" t="n">
        <v>658</v>
      </c>
      <c r="R852" s="5" t="n"/>
      <c r="S852" s="5">
        <f>F852*20%</f>
        <v/>
      </c>
      <c r="T852" s="5">
        <f>J852-S852</f>
        <v/>
      </c>
      <c r="U852" s="5">
        <f>F852+J852</f>
        <v/>
      </c>
      <c r="V852" s="5">
        <f>O852-U852</f>
        <v/>
      </c>
      <c r="W852" s="5">
        <f>O852-(P852+R852)</f>
        <v/>
      </c>
      <c r="X852" s="5">
        <f>O852-(P852+Q852+R852)</f>
        <v/>
      </c>
    </row>
    <row r="853">
      <c r="A853" s="2" t="inlineStr">
        <is>
          <t>EJ020924.TXT</t>
        </is>
      </c>
      <c r="B853" s="3" t="inlineStr">
        <is>
          <t>005504</t>
        </is>
      </c>
      <c r="C853" s="3" t="inlineStr">
        <is>
          <t>004413</t>
        </is>
      </c>
      <c r="D853" s="4" t="n">
        <v>45513</v>
      </c>
      <c r="E853" s="2" t="inlineStr">
        <is>
          <t>16:20</t>
        </is>
      </c>
      <c r="F853" s="5" t="n">
        <v>208.33</v>
      </c>
      <c r="G853" s="5" t="n"/>
      <c r="H853" s="5" t="n"/>
      <c r="I853" s="5" t="n"/>
      <c r="J853" s="5" t="n">
        <v>41.67</v>
      </c>
      <c r="K853" s="5" t="n"/>
      <c r="L853" s="5" t="n"/>
      <c r="M853" s="5" t="n"/>
      <c r="N853" s="5" t="n"/>
      <c r="O853" s="5" t="n">
        <v>250</v>
      </c>
      <c r="P853" s="5" t="n"/>
      <c r="Q853" s="5" t="n">
        <v>250</v>
      </c>
      <c r="R853" s="5" t="n"/>
      <c r="S853" s="5">
        <f>F853*20%</f>
        <v/>
      </c>
      <c r="T853" s="5">
        <f>J853-S853</f>
        <v/>
      </c>
      <c r="U853" s="5">
        <f>F853+J853</f>
        <v/>
      </c>
      <c r="V853" s="5">
        <f>O853-U853</f>
        <v/>
      </c>
      <c r="W853" s="5">
        <f>O853-(P853+R853)</f>
        <v/>
      </c>
      <c r="X853" s="5">
        <f>O853-(P853+Q853+R853)</f>
        <v/>
      </c>
    </row>
    <row r="854">
      <c r="A854" s="2" t="inlineStr">
        <is>
          <t>EJ020924.TXT</t>
        </is>
      </c>
      <c r="B854" s="3" t="inlineStr">
        <is>
          <t>005505</t>
        </is>
      </c>
      <c r="C854" s="3" t="inlineStr">
        <is>
          <t>004414</t>
        </is>
      </c>
      <c r="D854" s="4" t="n">
        <v>45513</v>
      </c>
      <c r="E854" s="2" t="inlineStr">
        <is>
          <t>16:54</t>
        </is>
      </c>
      <c r="F854" s="5" t="n">
        <v>208.33</v>
      </c>
      <c r="G854" s="5" t="n"/>
      <c r="H854" s="5" t="n"/>
      <c r="I854" s="5" t="n"/>
      <c r="J854" s="5" t="n">
        <v>41.67</v>
      </c>
      <c r="K854" s="5" t="n"/>
      <c r="L854" s="5" t="n"/>
      <c r="M854" s="5" t="n"/>
      <c r="N854" s="5" t="n"/>
      <c r="O854" s="5" t="n">
        <v>250</v>
      </c>
      <c r="P854" s="5" t="n"/>
      <c r="Q854" s="5" t="n">
        <v>250</v>
      </c>
      <c r="R854" s="5" t="n"/>
      <c r="S854" s="5">
        <f>F854*20%</f>
        <v/>
      </c>
      <c r="T854" s="5">
        <f>J854-S854</f>
        <v/>
      </c>
      <c r="U854" s="5">
        <f>F854+J854</f>
        <v/>
      </c>
      <c r="V854" s="5">
        <f>O854-U854</f>
        <v/>
      </c>
      <c r="W854" s="5">
        <f>O854-(P854+R854)</f>
        <v/>
      </c>
      <c r="X854" s="5">
        <f>O854-(P854+Q854+R854)</f>
        <v/>
      </c>
    </row>
    <row r="855">
      <c r="A855" s="2" t="inlineStr">
        <is>
          <t>EJ020924.TXT</t>
        </is>
      </c>
      <c r="B855" s="3" t="inlineStr">
        <is>
          <t>005506</t>
        </is>
      </c>
      <c r="C855" s="3" t="inlineStr">
        <is>
          <t>004415</t>
        </is>
      </c>
      <c r="D855" s="4" t="n">
        <v>45514</v>
      </c>
      <c r="E855" s="2" t="inlineStr">
        <is>
          <t>13:58</t>
        </is>
      </c>
      <c r="F855" s="5" t="n">
        <v>689.17</v>
      </c>
      <c r="G855" s="5" t="n"/>
      <c r="H855" s="5" t="n"/>
      <c r="I855" s="5" t="n"/>
      <c r="J855" s="5" t="n">
        <v>137.83</v>
      </c>
      <c r="K855" s="5" t="n"/>
      <c r="L855" s="5" t="n"/>
      <c r="M855" s="5" t="n"/>
      <c r="N855" s="5" t="n"/>
      <c r="O855" s="5" t="n">
        <v>827</v>
      </c>
      <c r="P855" s="5" t="n"/>
      <c r="Q855" s="5" t="n">
        <v>827</v>
      </c>
      <c r="R855" s="5" t="n"/>
      <c r="S855" s="5">
        <f>F855*20%</f>
        <v/>
      </c>
      <c r="T855" s="5">
        <f>J855-S855</f>
        <v/>
      </c>
      <c r="U855" s="5">
        <f>F855+J855</f>
        <v/>
      </c>
      <c r="V855" s="5">
        <f>O855-U855</f>
        <v/>
      </c>
      <c r="W855" s="5">
        <f>O855-(P855+R855)</f>
        <v/>
      </c>
      <c r="X855" s="5">
        <f>O855-(P855+Q855+R855)</f>
        <v/>
      </c>
    </row>
    <row r="856">
      <c r="A856" s="2" t="inlineStr">
        <is>
          <t>EJ020924.TXT</t>
        </is>
      </c>
      <c r="B856" s="3" t="inlineStr">
        <is>
          <t>005507</t>
        </is>
      </c>
      <c r="C856" s="3" t="inlineStr">
        <is>
          <t>004416</t>
        </is>
      </c>
      <c r="D856" s="4" t="n">
        <v>45514</v>
      </c>
      <c r="E856" s="2" t="inlineStr">
        <is>
          <t>14:08</t>
        </is>
      </c>
      <c r="F856" s="5" t="n">
        <v>830</v>
      </c>
      <c r="G856" s="5" t="n"/>
      <c r="H856" s="5" t="n"/>
      <c r="I856" s="5" t="n"/>
      <c r="J856" s="5" t="n">
        <v>166</v>
      </c>
      <c r="K856" s="5" t="n"/>
      <c r="L856" s="5" t="n"/>
      <c r="M856" s="5" t="n"/>
      <c r="N856" s="5" t="n"/>
      <c r="O856" s="5" t="n">
        <v>996</v>
      </c>
      <c r="P856" s="5" t="n"/>
      <c r="Q856" s="5" t="n">
        <v>996</v>
      </c>
      <c r="R856" s="5" t="n"/>
      <c r="S856" s="5">
        <f>F856*20%</f>
        <v/>
      </c>
      <c r="T856" s="5">
        <f>J856-S856</f>
        <v/>
      </c>
      <c r="U856" s="5">
        <f>F856+J856</f>
        <v/>
      </c>
      <c r="V856" s="5">
        <f>O856-U856</f>
        <v/>
      </c>
      <c r="W856" s="5">
        <f>O856-(P856+R856)</f>
        <v/>
      </c>
      <c r="X856" s="5">
        <f>O856-(P856+Q856+R856)</f>
        <v/>
      </c>
    </row>
    <row r="857">
      <c r="A857" s="2" t="inlineStr">
        <is>
          <t>EJ020924.TXT</t>
        </is>
      </c>
      <c r="B857" s="3" t="inlineStr">
        <is>
          <t>005508</t>
        </is>
      </c>
      <c r="C857" s="3" t="inlineStr">
        <is>
          <t>004417</t>
        </is>
      </c>
      <c r="D857" s="4" t="n">
        <v>45514</v>
      </c>
      <c r="E857" s="2" t="inlineStr">
        <is>
          <t>14:08</t>
        </is>
      </c>
      <c r="F857" s="5" t="n">
        <v>614.17</v>
      </c>
      <c r="G857" s="5" t="n"/>
      <c r="H857" s="5" t="n"/>
      <c r="I857" s="5" t="n"/>
      <c r="J857" s="5" t="n">
        <v>122.83</v>
      </c>
      <c r="K857" s="5" t="n"/>
      <c r="L857" s="5" t="n"/>
      <c r="M857" s="5" t="n"/>
      <c r="N857" s="5" t="n"/>
      <c r="O857" s="5" t="n">
        <v>737</v>
      </c>
      <c r="P857" s="5" t="n"/>
      <c r="Q857" s="5" t="n">
        <v>737</v>
      </c>
      <c r="R857" s="5" t="n"/>
      <c r="S857" s="5">
        <f>F857*20%</f>
        <v/>
      </c>
      <c r="T857" s="5">
        <f>J857-S857</f>
        <v/>
      </c>
      <c r="U857" s="5">
        <f>F857+J857</f>
        <v/>
      </c>
      <c r="V857" s="5">
        <f>O857-U857</f>
        <v/>
      </c>
      <c r="W857" s="5">
        <f>O857-(P857+R857)</f>
        <v/>
      </c>
      <c r="X857" s="5">
        <f>O857-(P857+Q857+R857)</f>
        <v/>
      </c>
    </row>
    <row r="858">
      <c r="A858" s="2" t="inlineStr">
        <is>
          <t>EJ020924.TXT</t>
        </is>
      </c>
      <c r="B858" s="3" t="inlineStr">
        <is>
          <t>005509</t>
        </is>
      </c>
      <c r="C858" s="3" t="inlineStr">
        <is>
          <t>004418</t>
        </is>
      </c>
      <c r="D858" s="4" t="n">
        <v>45514</v>
      </c>
      <c r="E858" s="2" t="inlineStr">
        <is>
          <t>14:09</t>
        </is>
      </c>
      <c r="F858" s="5" t="n">
        <v>398.33</v>
      </c>
      <c r="G858" s="5" t="n"/>
      <c r="H858" s="5" t="n"/>
      <c r="I858" s="5" t="n"/>
      <c r="J858" s="5" t="n">
        <v>79.67</v>
      </c>
      <c r="K858" s="5" t="n"/>
      <c r="L858" s="5" t="n"/>
      <c r="M858" s="5" t="n"/>
      <c r="N858" s="5" t="n"/>
      <c r="O858" s="5" t="n">
        <v>478</v>
      </c>
      <c r="P858" s="5" t="n"/>
      <c r="Q858" s="5" t="n">
        <v>478</v>
      </c>
      <c r="R858" s="5" t="n"/>
      <c r="S858" s="5">
        <f>F858*20%</f>
        <v/>
      </c>
      <c r="T858" s="5">
        <f>J858-S858</f>
        <v/>
      </c>
      <c r="U858" s="5">
        <f>F858+J858</f>
        <v/>
      </c>
      <c r="V858" s="5">
        <f>O858-U858</f>
        <v/>
      </c>
      <c r="W858" s="5">
        <f>O858-(P858+R858)</f>
        <v/>
      </c>
      <c r="X858" s="5">
        <f>O858-(P858+Q858+R858)</f>
        <v/>
      </c>
    </row>
    <row r="859">
      <c r="A859" s="2" t="inlineStr">
        <is>
          <t>EJ020924.TXT</t>
        </is>
      </c>
      <c r="B859" s="3" t="inlineStr">
        <is>
          <t>005510</t>
        </is>
      </c>
      <c r="C859" s="3" t="inlineStr">
        <is>
          <t>004419</t>
        </is>
      </c>
      <c r="D859" s="4" t="n">
        <v>45514</v>
      </c>
      <c r="E859" s="2" t="inlineStr">
        <is>
          <t>14:12</t>
        </is>
      </c>
      <c r="F859" s="5" t="n">
        <v>173.33</v>
      </c>
      <c r="G859" s="5" t="n"/>
      <c r="H859" s="5" t="n"/>
      <c r="I859" s="5" t="n"/>
      <c r="J859" s="5" t="n">
        <v>34.67</v>
      </c>
      <c r="K859" s="5" t="n"/>
      <c r="L859" s="5" t="n"/>
      <c r="M859" s="5" t="n"/>
      <c r="N859" s="5" t="n"/>
      <c r="O859" s="5" t="n">
        <v>208</v>
      </c>
      <c r="P859" s="5" t="n"/>
      <c r="Q859" s="5" t="n">
        <v>208</v>
      </c>
      <c r="R859" s="5" t="n"/>
      <c r="S859" s="5">
        <f>F859*20%</f>
        <v/>
      </c>
      <c r="T859" s="5">
        <f>J859-S859</f>
        <v/>
      </c>
      <c r="U859" s="5">
        <f>F859+J859</f>
        <v/>
      </c>
      <c r="V859" s="5">
        <f>O859-U859</f>
        <v/>
      </c>
      <c r="W859" s="5">
        <f>O859-(P859+R859)</f>
        <v/>
      </c>
      <c r="X859" s="5">
        <f>O859-(P859+Q859+R859)</f>
        <v/>
      </c>
    </row>
    <row r="860">
      <c r="A860" s="2" t="inlineStr">
        <is>
          <t>EJ020924.TXT</t>
        </is>
      </c>
      <c r="B860" s="3" t="inlineStr">
        <is>
          <t>005511</t>
        </is>
      </c>
      <c r="C860" s="3" t="inlineStr">
        <is>
          <t>004420</t>
        </is>
      </c>
      <c r="D860" s="4" t="n">
        <v>45514</v>
      </c>
      <c r="E860" s="2" t="inlineStr">
        <is>
          <t>14:57</t>
        </is>
      </c>
      <c r="F860" s="5" t="n">
        <v>830</v>
      </c>
      <c r="G860" s="5" t="n"/>
      <c r="H860" s="5" t="n"/>
      <c r="I860" s="5" t="n"/>
      <c r="J860" s="5" t="n">
        <v>166</v>
      </c>
      <c r="K860" s="5" t="n"/>
      <c r="L860" s="5" t="n"/>
      <c r="M860" s="5" t="n"/>
      <c r="N860" s="5" t="n"/>
      <c r="O860" s="5" t="n">
        <v>996</v>
      </c>
      <c r="P860" s="5" t="n">
        <v>996</v>
      </c>
      <c r="Q860" s="5" t="n"/>
      <c r="R860" s="5" t="n"/>
      <c r="S860" s="5">
        <f>F860*20%</f>
        <v/>
      </c>
      <c r="T860" s="5">
        <f>J860-S860</f>
        <v/>
      </c>
      <c r="U860" s="5">
        <f>F860+J860</f>
        <v/>
      </c>
      <c r="V860" s="5">
        <f>O860-U860</f>
        <v/>
      </c>
      <c r="W860" s="5">
        <f>O860-(P860+R860)</f>
        <v/>
      </c>
      <c r="X860" s="5">
        <f>O860-(P860+Q860+R860)</f>
        <v/>
      </c>
    </row>
    <row r="861">
      <c r="A861" s="2" t="inlineStr">
        <is>
          <t>EJ020924.TXT</t>
        </is>
      </c>
      <c r="B861" s="3" t="inlineStr">
        <is>
          <t>005512</t>
        </is>
      </c>
      <c r="C861" s="3" t="inlineStr">
        <is>
          <t>004421</t>
        </is>
      </c>
      <c r="D861" s="4" t="n">
        <v>45516</v>
      </c>
      <c r="E861" s="2" t="inlineStr">
        <is>
          <t>15:07</t>
        </is>
      </c>
      <c r="F861" s="5" t="n">
        <v>548.33</v>
      </c>
      <c r="G861" s="5" t="n"/>
      <c r="H861" s="5" t="n"/>
      <c r="I861" s="5" t="n"/>
      <c r="J861" s="5" t="n">
        <v>109.67</v>
      </c>
      <c r="K861" s="5" t="n"/>
      <c r="L861" s="5" t="n"/>
      <c r="M861" s="5" t="n"/>
      <c r="N861" s="5" t="n"/>
      <c r="O861" s="5" t="n">
        <v>658</v>
      </c>
      <c r="P861" s="5" t="n"/>
      <c r="Q861" s="5" t="n">
        <v>658</v>
      </c>
      <c r="R861" s="5" t="n"/>
      <c r="S861" s="5">
        <f>F861*20%</f>
        <v/>
      </c>
      <c r="T861" s="5">
        <f>J861-S861</f>
        <v/>
      </c>
      <c r="U861" s="5">
        <f>F861+J861</f>
        <v/>
      </c>
      <c r="V861" s="5">
        <f>O861-U861</f>
        <v/>
      </c>
      <c r="W861" s="5">
        <f>O861-(P861+R861)</f>
        <v/>
      </c>
      <c r="X861" s="5">
        <f>O861-(P861+Q861+R861)</f>
        <v/>
      </c>
    </row>
    <row r="862">
      <c r="A862" s="2" t="inlineStr">
        <is>
          <t>EJ020924.TXT</t>
        </is>
      </c>
      <c r="B862" s="3" t="inlineStr">
        <is>
          <t>005513</t>
        </is>
      </c>
      <c r="C862" s="3" t="inlineStr">
        <is>
          <t>004422</t>
        </is>
      </c>
      <c r="D862" s="4" t="n">
        <v>45516</v>
      </c>
      <c r="E862" s="2" t="inlineStr">
        <is>
          <t>15:08</t>
        </is>
      </c>
      <c r="F862" s="5" t="n">
        <v>825</v>
      </c>
      <c r="G862" s="5" t="n"/>
      <c r="H862" s="5" t="n"/>
      <c r="I862" s="5" t="n"/>
      <c r="J862" s="5" t="n">
        <v>165</v>
      </c>
      <c r="K862" s="5" t="n"/>
      <c r="L862" s="5" t="n"/>
      <c r="M862" s="5" t="n"/>
      <c r="N862" s="5" t="n"/>
      <c r="O862" s="5" t="n">
        <v>990</v>
      </c>
      <c r="P862" s="5" t="n"/>
      <c r="Q862" s="5" t="n">
        <v>990</v>
      </c>
      <c r="R862" s="5" t="n"/>
      <c r="S862" s="5">
        <f>F862*20%</f>
        <v/>
      </c>
      <c r="T862" s="5">
        <f>J862-S862</f>
        <v/>
      </c>
      <c r="U862" s="5">
        <f>F862+J862</f>
        <v/>
      </c>
      <c r="V862" s="5">
        <f>O862-U862</f>
        <v/>
      </c>
      <c r="W862" s="5">
        <f>O862-(P862+R862)</f>
        <v/>
      </c>
      <c r="X862" s="5">
        <f>O862-(P862+Q862+R862)</f>
        <v/>
      </c>
    </row>
    <row r="863">
      <c r="A863" s="2" t="inlineStr">
        <is>
          <t>EJ020924.TXT</t>
        </is>
      </c>
      <c r="B863" s="3" t="inlineStr">
        <is>
          <t>005514</t>
        </is>
      </c>
      <c r="C863" s="3" t="inlineStr">
        <is>
          <t>004423</t>
        </is>
      </c>
      <c r="D863" s="4" t="n">
        <v>45516</v>
      </c>
      <c r="E863" s="2" t="inlineStr">
        <is>
          <t>15:32</t>
        </is>
      </c>
      <c r="F863" s="5" t="n">
        <v>875</v>
      </c>
      <c r="G863" s="5" t="n"/>
      <c r="H863" s="5" t="n"/>
      <c r="I863" s="5" t="n"/>
      <c r="J863" s="5" t="n">
        <v>175</v>
      </c>
      <c r="K863" s="5" t="n"/>
      <c r="L863" s="5" t="n"/>
      <c r="M863" s="5" t="n"/>
      <c r="N863" s="5" t="n"/>
      <c r="O863" s="5" t="n">
        <v>1050</v>
      </c>
      <c r="P863" s="5" t="n"/>
      <c r="Q863" s="5" t="n">
        <v>1050</v>
      </c>
      <c r="R863" s="5" t="n"/>
      <c r="S863" s="5">
        <f>F863*20%</f>
        <v/>
      </c>
      <c r="T863" s="5">
        <f>J863-S863</f>
        <v/>
      </c>
      <c r="U863" s="5">
        <f>F863+J863</f>
        <v/>
      </c>
      <c r="V863" s="5">
        <f>O863-U863</f>
        <v/>
      </c>
      <c r="W863" s="5">
        <f>O863-(P863+R863)</f>
        <v/>
      </c>
      <c r="X863" s="5">
        <f>O863-(P863+Q863+R863)</f>
        <v/>
      </c>
    </row>
    <row r="864">
      <c r="A864" s="2" t="inlineStr">
        <is>
          <t>EJ020924.TXT</t>
        </is>
      </c>
      <c r="B864" s="3" t="inlineStr">
        <is>
          <t>005515</t>
        </is>
      </c>
      <c r="C864" s="3" t="inlineStr">
        <is>
          <t>004424</t>
        </is>
      </c>
      <c r="D864" s="4" t="n">
        <v>45516</v>
      </c>
      <c r="E864" s="2" t="inlineStr">
        <is>
          <t>16:02</t>
        </is>
      </c>
      <c r="F864" s="5" t="n">
        <v>274.17</v>
      </c>
      <c r="G864" s="5" t="n"/>
      <c r="H864" s="5" t="n"/>
      <c r="I864" s="5" t="n"/>
      <c r="J864" s="5" t="n">
        <v>54.83</v>
      </c>
      <c r="K864" s="5" t="n"/>
      <c r="L864" s="5" t="n"/>
      <c r="M864" s="5" t="n"/>
      <c r="N864" s="5" t="n"/>
      <c r="O864" s="5" t="n">
        <v>329</v>
      </c>
      <c r="P864" s="5" t="n">
        <v>329</v>
      </c>
      <c r="Q864" s="5" t="n"/>
      <c r="R864" s="5" t="n"/>
      <c r="S864" s="5">
        <f>F864*20%</f>
        <v/>
      </c>
      <c r="T864" s="5">
        <f>J864-S864</f>
        <v/>
      </c>
      <c r="U864" s="5">
        <f>F864+J864</f>
        <v/>
      </c>
      <c r="V864" s="5">
        <f>O864-U864</f>
        <v/>
      </c>
      <c r="W864" s="5">
        <f>O864-(P864+R864)</f>
        <v/>
      </c>
      <c r="X864" s="5">
        <f>O864-(P864+Q864+R864)</f>
        <v/>
      </c>
    </row>
    <row r="865">
      <c r="A865" s="2" t="inlineStr">
        <is>
          <t>EJ020924.TXT</t>
        </is>
      </c>
      <c r="B865" s="3" t="inlineStr">
        <is>
          <t>005516</t>
        </is>
      </c>
      <c r="C865" s="3" t="inlineStr">
        <is>
          <t>004425</t>
        </is>
      </c>
      <c r="D865" s="4" t="n">
        <v>45517</v>
      </c>
      <c r="E865" s="2" t="inlineStr">
        <is>
          <t>14:16</t>
        </is>
      </c>
      <c r="F865" s="5" t="n">
        <v>583.33</v>
      </c>
      <c r="G865" s="5" t="n"/>
      <c r="H865" s="5" t="n"/>
      <c r="I865" s="5" t="n"/>
      <c r="J865" s="5" t="n">
        <v>116.67</v>
      </c>
      <c r="K865" s="5" t="n"/>
      <c r="L865" s="5" t="n"/>
      <c r="M865" s="5" t="n"/>
      <c r="N865" s="5" t="n"/>
      <c r="O865" s="5" t="n">
        <v>700</v>
      </c>
      <c r="P865" s="5" t="n"/>
      <c r="Q865" s="5" t="n">
        <v>700</v>
      </c>
      <c r="R865" s="5" t="n"/>
      <c r="S865" s="5">
        <f>F865*20%</f>
        <v/>
      </c>
      <c r="T865" s="5">
        <f>J865-S865</f>
        <v/>
      </c>
      <c r="U865" s="5">
        <f>F865+J865</f>
        <v/>
      </c>
      <c r="V865" s="5">
        <f>O865-U865</f>
        <v/>
      </c>
      <c r="W865" s="5">
        <f>O865-(P865+R865)</f>
        <v/>
      </c>
      <c r="X865" s="5">
        <f>O865-(P865+Q865+R865)</f>
        <v/>
      </c>
    </row>
    <row r="866">
      <c r="A866" s="2" t="inlineStr">
        <is>
          <t>EJ020924.TXT</t>
        </is>
      </c>
      <c r="B866" s="3" t="inlineStr">
        <is>
          <t>005517</t>
        </is>
      </c>
      <c r="C866" s="3" t="inlineStr">
        <is>
          <t>004426</t>
        </is>
      </c>
      <c r="D866" s="4" t="n">
        <v>45517</v>
      </c>
      <c r="E866" s="2" t="inlineStr">
        <is>
          <t>14:17</t>
        </is>
      </c>
      <c r="F866" s="5" t="n">
        <v>833.33</v>
      </c>
      <c r="G866" s="5" t="n"/>
      <c r="H866" s="5" t="n"/>
      <c r="I866" s="5" t="n"/>
      <c r="J866" s="5" t="n">
        <v>166.67</v>
      </c>
      <c r="K866" s="5" t="n"/>
      <c r="L866" s="5" t="n"/>
      <c r="M866" s="5" t="n"/>
      <c r="N866" s="5" t="n"/>
      <c r="O866" s="5" t="n">
        <v>1000</v>
      </c>
      <c r="P866" s="5" t="n"/>
      <c r="Q866" s="5" t="n">
        <v>1000</v>
      </c>
      <c r="R866" s="5" t="n"/>
      <c r="S866" s="5">
        <f>F866*20%</f>
        <v/>
      </c>
      <c r="T866" s="5">
        <f>J866-S866</f>
        <v/>
      </c>
      <c r="U866" s="5">
        <f>F866+J866</f>
        <v/>
      </c>
      <c r="V866" s="5">
        <f>O866-U866</f>
        <v/>
      </c>
      <c r="W866" s="5">
        <f>O866-(P866+R866)</f>
        <v/>
      </c>
      <c r="X866" s="5">
        <f>O866-(P866+Q866+R866)</f>
        <v/>
      </c>
    </row>
    <row r="867">
      <c r="A867" s="2" t="inlineStr">
        <is>
          <t>EJ020924.TXT</t>
        </is>
      </c>
      <c r="B867" s="3" t="inlineStr">
        <is>
          <t>005518</t>
        </is>
      </c>
      <c r="C867" s="3" t="inlineStr">
        <is>
          <t>004427</t>
        </is>
      </c>
      <c r="D867" s="4" t="n">
        <v>45517</v>
      </c>
      <c r="E867" s="2" t="inlineStr">
        <is>
          <t>14:17</t>
        </is>
      </c>
      <c r="F867" s="5" t="n">
        <v>625</v>
      </c>
      <c r="G867" s="5" t="n"/>
      <c r="H867" s="5" t="n"/>
      <c r="I867" s="5" t="n"/>
      <c r="J867" s="5" t="n">
        <v>125</v>
      </c>
      <c r="K867" s="5" t="n"/>
      <c r="L867" s="5" t="n"/>
      <c r="M867" s="5" t="n"/>
      <c r="N867" s="5" t="n"/>
      <c r="O867" s="5" t="n">
        <v>750</v>
      </c>
      <c r="P867" s="5" t="n"/>
      <c r="Q867" s="5" t="n">
        <v>750</v>
      </c>
      <c r="R867" s="5" t="n"/>
      <c r="S867" s="5">
        <f>F867*20%</f>
        <v/>
      </c>
      <c r="T867" s="5">
        <f>J867-S867</f>
        <v/>
      </c>
      <c r="U867" s="5">
        <f>F867+J867</f>
        <v/>
      </c>
      <c r="V867" s="5">
        <f>O867-U867</f>
        <v/>
      </c>
      <c r="W867" s="5">
        <f>O867-(P867+R867)</f>
        <v/>
      </c>
      <c r="X867" s="5">
        <f>O867-(P867+Q867+R867)</f>
        <v/>
      </c>
    </row>
    <row r="868">
      <c r="A868" s="2" t="inlineStr">
        <is>
          <t>EJ020924.TXT</t>
        </is>
      </c>
      <c r="B868" s="3" t="inlineStr">
        <is>
          <t>005519</t>
        </is>
      </c>
      <c r="C868" s="3" t="inlineStr">
        <is>
          <t>004428</t>
        </is>
      </c>
      <c r="D868" s="4" t="n">
        <v>45517</v>
      </c>
      <c r="E868" s="2" t="inlineStr">
        <is>
          <t>14:18</t>
        </is>
      </c>
      <c r="F868" s="5" t="n">
        <v>583.33</v>
      </c>
      <c r="G868" s="5" t="n"/>
      <c r="H868" s="5" t="n"/>
      <c r="I868" s="5" t="n"/>
      <c r="J868" s="5" t="n">
        <v>116.67</v>
      </c>
      <c r="K868" s="5" t="n"/>
      <c r="L868" s="5" t="n"/>
      <c r="M868" s="5" t="n"/>
      <c r="N868" s="5" t="n"/>
      <c r="O868" s="5" t="n">
        <v>700</v>
      </c>
      <c r="P868" s="5" t="n"/>
      <c r="Q868" s="5" t="n">
        <v>700</v>
      </c>
      <c r="R868" s="5" t="n"/>
      <c r="S868" s="5">
        <f>F868*20%</f>
        <v/>
      </c>
      <c r="T868" s="5">
        <f>J868-S868</f>
        <v/>
      </c>
      <c r="U868" s="5">
        <f>F868+J868</f>
        <v/>
      </c>
      <c r="V868" s="5">
        <f>O868-U868</f>
        <v/>
      </c>
      <c r="W868" s="5">
        <f>O868-(P868+R868)</f>
        <v/>
      </c>
      <c r="X868" s="5">
        <f>O868-(P868+Q868+R868)</f>
        <v/>
      </c>
    </row>
    <row r="869">
      <c r="A869" s="2" t="inlineStr">
        <is>
          <t>EJ020924.TXT</t>
        </is>
      </c>
      <c r="B869" s="3" t="inlineStr">
        <is>
          <t>005520</t>
        </is>
      </c>
      <c r="C869" s="3" t="inlineStr">
        <is>
          <t>004429</t>
        </is>
      </c>
      <c r="D869" s="4" t="n">
        <v>45517</v>
      </c>
      <c r="E869" s="2" t="inlineStr">
        <is>
          <t>14:19</t>
        </is>
      </c>
      <c r="F869" s="5" t="n">
        <v>291.67</v>
      </c>
      <c r="G869" s="5" t="n"/>
      <c r="H869" s="5" t="n"/>
      <c r="I869" s="5" t="n"/>
      <c r="J869" s="5" t="n">
        <v>58.33</v>
      </c>
      <c r="K869" s="5" t="n"/>
      <c r="L869" s="5" t="n"/>
      <c r="M869" s="5" t="n"/>
      <c r="N869" s="5" t="n"/>
      <c r="O869" s="5" t="n">
        <v>350</v>
      </c>
      <c r="P869" s="5" t="n"/>
      <c r="Q869" s="5" t="n">
        <v>350</v>
      </c>
      <c r="R869" s="5" t="n"/>
      <c r="S869" s="5">
        <f>F869*20%</f>
        <v/>
      </c>
      <c r="T869" s="5">
        <f>J869-S869</f>
        <v/>
      </c>
      <c r="U869" s="5">
        <f>F869+J869</f>
        <v/>
      </c>
      <c r="V869" s="5">
        <f>O869-U869</f>
        <v/>
      </c>
      <c r="W869" s="5">
        <f>O869-(P869+R869)</f>
        <v/>
      </c>
      <c r="X869" s="5">
        <f>O869-(P869+Q869+R869)</f>
        <v/>
      </c>
    </row>
    <row r="870">
      <c r="A870" s="2" t="inlineStr">
        <is>
          <t>EJ020924.TXT</t>
        </is>
      </c>
      <c r="B870" s="3" t="inlineStr">
        <is>
          <t>005521</t>
        </is>
      </c>
      <c r="C870" s="3" t="inlineStr">
        <is>
          <t>004430</t>
        </is>
      </c>
      <c r="D870" s="4" t="n">
        <v>45517</v>
      </c>
      <c r="E870" s="2" t="inlineStr">
        <is>
          <t>14:20</t>
        </is>
      </c>
      <c r="F870" s="5" t="n">
        <v>625</v>
      </c>
      <c r="G870" s="5" t="n"/>
      <c r="H870" s="5" t="n"/>
      <c r="I870" s="5" t="n"/>
      <c r="J870" s="5" t="n">
        <v>125</v>
      </c>
      <c r="K870" s="5" t="n"/>
      <c r="L870" s="5" t="n"/>
      <c r="M870" s="5" t="n"/>
      <c r="N870" s="5" t="n"/>
      <c r="O870" s="5" t="n">
        <v>750</v>
      </c>
      <c r="P870" s="5" t="n"/>
      <c r="Q870" s="5" t="n">
        <v>750</v>
      </c>
      <c r="R870" s="5" t="n"/>
      <c r="S870" s="5">
        <f>F870*20%</f>
        <v/>
      </c>
      <c r="T870" s="5">
        <f>J870-S870</f>
        <v/>
      </c>
      <c r="U870" s="5">
        <f>F870+J870</f>
        <v/>
      </c>
      <c r="V870" s="5">
        <f>O870-U870</f>
        <v/>
      </c>
      <c r="W870" s="5">
        <f>O870-(P870+R870)</f>
        <v/>
      </c>
      <c r="X870" s="5">
        <f>O870-(P870+Q870+R870)</f>
        <v/>
      </c>
    </row>
    <row r="871">
      <c r="A871" s="2" t="inlineStr">
        <is>
          <t>EJ020924.TXT</t>
        </is>
      </c>
      <c r="B871" s="3" t="inlineStr">
        <is>
          <t>005522</t>
        </is>
      </c>
      <c r="C871" s="3" t="inlineStr">
        <is>
          <t>004431</t>
        </is>
      </c>
      <c r="D871" s="4" t="n">
        <v>45517</v>
      </c>
      <c r="E871" s="2" t="inlineStr">
        <is>
          <t>14:33</t>
        </is>
      </c>
      <c r="F871" s="5" t="n">
        <v>780</v>
      </c>
      <c r="G871" s="5" t="n"/>
      <c r="H871" s="5" t="n"/>
      <c r="I871" s="5" t="n"/>
      <c r="J871" s="5" t="n">
        <v>156</v>
      </c>
      <c r="K871" s="5" t="n"/>
      <c r="L871" s="5" t="n"/>
      <c r="M871" s="5" t="n"/>
      <c r="N871" s="5" t="n"/>
      <c r="O871" s="5" t="n">
        <v>936</v>
      </c>
      <c r="P871" s="5" t="n"/>
      <c r="Q871" s="5" t="n">
        <v>936</v>
      </c>
      <c r="R871" s="5" t="n"/>
      <c r="S871" s="5">
        <f>F871*20%</f>
        <v/>
      </c>
      <c r="T871" s="5">
        <f>J871-S871</f>
        <v/>
      </c>
      <c r="U871" s="5">
        <f>F871+J871</f>
        <v/>
      </c>
      <c r="V871" s="5">
        <f>O871-U871</f>
        <v/>
      </c>
      <c r="W871" s="5">
        <f>O871-(P871+R871)</f>
        <v/>
      </c>
      <c r="X871" s="5">
        <f>O871-(P871+Q871+R871)</f>
        <v/>
      </c>
    </row>
    <row r="872">
      <c r="A872" s="2" t="inlineStr">
        <is>
          <t>EJ020924.TXT</t>
        </is>
      </c>
      <c r="B872" s="3" t="inlineStr">
        <is>
          <t>005523</t>
        </is>
      </c>
      <c r="C872" s="3" t="inlineStr">
        <is>
          <t>004432</t>
        </is>
      </c>
      <c r="D872" s="4" t="n">
        <v>45517</v>
      </c>
      <c r="E872" s="2" t="inlineStr">
        <is>
          <t>14:34</t>
        </is>
      </c>
      <c r="F872" s="5" t="n">
        <v>780</v>
      </c>
      <c r="G872" s="5" t="n"/>
      <c r="H872" s="5" t="n"/>
      <c r="I872" s="5" t="n"/>
      <c r="J872" s="5" t="n">
        <v>156</v>
      </c>
      <c r="K872" s="5" t="n"/>
      <c r="L872" s="5" t="n"/>
      <c r="M872" s="5" t="n"/>
      <c r="N872" s="5" t="n"/>
      <c r="O872" s="5" t="n">
        <v>936</v>
      </c>
      <c r="P872" s="5" t="n"/>
      <c r="Q872" s="5" t="n">
        <v>936</v>
      </c>
      <c r="R872" s="5" t="n"/>
      <c r="S872" s="5">
        <f>F872*20%</f>
        <v/>
      </c>
      <c r="T872" s="5">
        <f>J872-S872</f>
        <v/>
      </c>
      <c r="U872" s="5">
        <f>F872+J872</f>
        <v/>
      </c>
      <c r="V872" s="5">
        <f>O872-U872</f>
        <v/>
      </c>
      <c r="W872" s="5">
        <f>O872-(P872+R872)</f>
        <v/>
      </c>
      <c r="X872" s="5">
        <f>O872-(P872+Q872+R872)</f>
        <v/>
      </c>
    </row>
    <row r="873">
      <c r="A873" s="2" t="inlineStr">
        <is>
          <t>EJ020924.TXT</t>
        </is>
      </c>
      <c r="B873" s="3" t="inlineStr">
        <is>
          <t>005524</t>
        </is>
      </c>
      <c r="C873" s="3" t="inlineStr">
        <is>
          <t>004433</t>
        </is>
      </c>
      <c r="D873" s="4" t="n">
        <v>45517</v>
      </c>
      <c r="E873" s="2" t="inlineStr">
        <is>
          <t>14:34</t>
        </is>
      </c>
      <c r="F873" s="5" t="n">
        <v>745.83</v>
      </c>
      <c r="G873" s="5" t="n"/>
      <c r="H873" s="5" t="n"/>
      <c r="I873" s="5" t="n"/>
      <c r="J873" s="5" t="n">
        <v>149.17</v>
      </c>
      <c r="K873" s="5" t="n"/>
      <c r="L873" s="5" t="n"/>
      <c r="M873" s="5" t="n"/>
      <c r="N873" s="5" t="n"/>
      <c r="O873" s="5" t="n">
        <v>895</v>
      </c>
      <c r="P873" s="5" t="n"/>
      <c r="Q873" s="5" t="n">
        <v>895</v>
      </c>
      <c r="R873" s="5" t="n"/>
      <c r="S873" s="5">
        <f>F873*20%</f>
        <v/>
      </c>
      <c r="T873" s="5">
        <f>J873-S873</f>
        <v/>
      </c>
      <c r="U873" s="5">
        <f>F873+J873</f>
        <v/>
      </c>
      <c r="V873" s="5">
        <f>O873-U873</f>
        <v/>
      </c>
      <c r="W873" s="5">
        <f>O873-(P873+R873)</f>
        <v/>
      </c>
      <c r="X873" s="5">
        <f>O873-(P873+Q873+R873)</f>
        <v/>
      </c>
    </row>
    <row r="874">
      <c r="A874" s="2" t="inlineStr">
        <is>
          <t>EJ020924.TXT</t>
        </is>
      </c>
      <c r="B874" s="3" t="inlineStr">
        <is>
          <t>005525</t>
        </is>
      </c>
      <c r="C874" s="3" t="inlineStr">
        <is>
          <t>004434</t>
        </is>
      </c>
      <c r="D874" s="4" t="n">
        <v>45517</v>
      </c>
      <c r="E874" s="2" t="inlineStr">
        <is>
          <t>14:34</t>
        </is>
      </c>
      <c r="F874" s="5" t="n">
        <v>745</v>
      </c>
      <c r="G874" s="5" t="n"/>
      <c r="H874" s="5" t="n"/>
      <c r="I874" s="5" t="n"/>
      <c r="J874" s="5" t="n">
        <v>149</v>
      </c>
      <c r="K874" s="5" t="n"/>
      <c r="L874" s="5" t="n"/>
      <c r="M874" s="5" t="n"/>
      <c r="N874" s="5" t="n"/>
      <c r="O874" s="5" t="n">
        <v>894</v>
      </c>
      <c r="P874" s="5" t="n"/>
      <c r="Q874" s="5" t="n">
        <v>894</v>
      </c>
      <c r="R874" s="5" t="n"/>
      <c r="S874" s="5">
        <f>F874*20%</f>
        <v/>
      </c>
      <c r="T874" s="5">
        <f>J874-S874</f>
        <v/>
      </c>
      <c r="U874" s="5">
        <f>F874+J874</f>
        <v/>
      </c>
      <c r="V874" s="5">
        <f>O874-U874</f>
        <v/>
      </c>
      <c r="W874" s="5">
        <f>O874-(P874+R874)</f>
        <v/>
      </c>
      <c r="X874" s="5">
        <f>O874-(P874+Q874+R874)</f>
        <v/>
      </c>
    </row>
    <row r="875">
      <c r="A875" s="2" t="inlineStr">
        <is>
          <t>EJ020924.TXT</t>
        </is>
      </c>
      <c r="B875" s="3" t="inlineStr">
        <is>
          <t>005526</t>
        </is>
      </c>
      <c r="C875" s="3" t="inlineStr">
        <is>
          <t>004435</t>
        </is>
      </c>
      <c r="D875" s="4" t="n">
        <v>45517</v>
      </c>
      <c r="E875" s="2" t="inlineStr">
        <is>
          <t>14:34</t>
        </is>
      </c>
      <c r="F875" s="5" t="n">
        <v>822.5</v>
      </c>
      <c r="G875" s="5" t="n"/>
      <c r="H875" s="5" t="n"/>
      <c r="I875" s="5" t="n"/>
      <c r="J875" s="5" t="n">
        <v>164.5</v>
      </c>
      <c r="K875" s="5" t="n"/>
      <c r="L875" s="5" t="n"/>
      <c r="M875" s="5" t="n"/>
      <c r="N875" s="5" t="n"/>
      <c r="O875" s="5" t="n">
        <v>987</v>
      </c>
      <c r="P875" s="5" t="n"/>
      <c r="Q875" s="5" t="n">
        <v>987</v>
      </c>
      <c r="R875" s="5" t="n"/>
      <c r="S875" s="5">
        <f>F875*20%</f>
        <v/>
      </c>
      <c r="T875" s="5">
        <f>J875-S875</f>
        <v/>
      </c>
      <c r="U875" s="5">
        <f>F875+J875</f>
        <v/>
      </c>
      <c r="V875" s="5">
        <f>O875-U875</f>
        <v/>
      </c>
      <c r="W875" s="5">
        <f>O875-(P875+R875)</f>
        <v/>
      </c>
      <c r="X875" s="5">
        <f>O875-(P875+Q875+R875)</f>
        <v/>
      </c>
    </row>
    <row r="876">
      <c r="A876" s="2" t="inlineStr">
        <is>
          <t>EJ020924.TXT</t>
        </is>
      </c>
      <c r="B876" s="3" t="inlineStr">
        <is>
          <t>005527</t>
        </is>
      </c>
      <c r="C876" s="3" t="inlineStr">
        <is>
          <t>004436</t>
        </is>
      </c>
      <c r="D876" s="4" t="n">
        <v>45517</v>
      </c>
      <c r="E876" s="2" t="inlineStr">
        <is>
          <t>14:35</t>
        </is>
      </c>
      <c r="F876" s="5" t="n">
        <v>822.5</v>
      </c>
      <c r="G876" s="5" t="n"/>
      <c r="H876" s="5" t="n"/>
      <c r="I876" s="5" t="n"/>
      <c r="J876" s="5" t="n">
        <v>164.5</v>
      </c>
      <c r="K876" s="5" t="n"/>
      <c r="L876" s="5" t="n"/>
      <c r="M876" s="5" t="n"/>
      <c r="N876" s="5" t="n"/>
      <c r="O876" s="5" t="n">
        <v>987</v>
      </c>
      <c r="P876" s="5" t="n"/>
      <c r="Q876" s="5" t="n">
        <v>987</v>
      </c>
      <c r="R876" s="5" t="n"/>
      <c r="S876" s="5">
        <f>F876*20%</f>
        <v/>
      </c>
      <c r="T876" s="5">
        <f>J876-S876</f>
        <v/>
      </c>
      <c r="U876" s="5">
        <f>F876+J876</f>
        <v/>
      </c>
      <c r="V876" s="5">
        <f>O876-U876</f>
        <v/>
      </c>
      <c r="W876" s="5">
        <f>O876-(P876+R876)</f>
        <v/>
      </c>
      <c r="X876" s="5">
        <f>O876-(P876+Q876+R876)</f>
        <v/>
      </c>
    </row>
    <row r="877">
      <c r="A877" s="2" t="inlineStr">
        <is>
          <t>EJ020924.TXT</t>
        </is>
      </c>
      <c r="B877" s="3" t="inlineStr">
        <is>
          <t>005528</t>
        </is>
      </c>
      <c r="C877" s="3" t="inlineStr">
        <is>
          <t>004437</t>
        </is>
      </c>
      <c r="D877" s="4" t="n">
        <v>45517</v>
      </c>
      <c r="E877" s="2" t="inlineStr">
        <is>
          <t>14:35</t>
        </is>
      </c>
      <c r="F877" s="5" t="n">
        <v>822.5</v>
      </c>
      <c r="G877" s="5" t="n"/>
      <c r="H877" s="5" t="n"/>
      <c r="I877" s="5" t="n"/>
      <c r="J877" s="5" t="n">
        <v>164.5</v>
      </c>
      <c r="K877" s="5" t="n"/>
      <c r="L877" s="5" t="n"/>
      <c r="M877" s="5" t="n"/>
      <c r="N877" s="5" t="n"/>
      <c r="O877" s="5" t="n">
        <v>987</v>
      </c>
      <c r="P877" s="5" t="n"/>
      <c r="Q877" s="5" t="n">
        <v>987</v>
      </c>
      <c r="R877" s="5" t="n"/>
      <c r="S877" s="5">
        <f>F877*20%</f>
        <v/>
      </c>
      <c r="T877" s="5">
        <f>J877-S877</f>
        <v/>
      </c>
      <c r="U877" s="5">
        <f>F877+J877</f>
        <v/>
      </c>
      <c r="V877" s="5">
        <f>O877-U877</f>
        <v/>
      </c>
      <c r="W877" s="5">
        <f>O877-(P877+R877)</f>
        <v/>
      </c>
      <c r="X877" s="5">
        <f>O877-(P877+Q877+R877)</f>
        <v/>
      </c>
    </row>
    <row r="878">
      <c r="A878" s="2" t="inlineStr">
        <is>
          <t>EJ020924.TXT</t>
        </is>
      </c>
      <c r="B878" s="3" t="inlineStr">
        <is>
          <t>005529</t>
        </is>
      </c>
      <c r="C878" s="3" t="inlineStr">
        <is>
          <t>004438</t>
        </is>
      </c>
      <c r="D878" s="4" t="n">
        <v>45517</v>
      </c>
      <c r="E878" s="2" t="inlineStr">
        <is>
          <t>14:35</t>
        </is>
      </c>
      <c r="F878" s="5" t="n">
        <v>822.5</v>
      </c>
      <c r="G878" s="5" t="n"/>
      <c r="H878" s="5" t="n"/>
      <c r="I878" s="5" t="n"/>
      <c r="J878" s="5" t="n">
        <v>164.5</v>
      </c>
      <c r="K878" s="5" t="n"/>
      <c r="L878" s="5" t="n"/>
      <c r="M878" s="5" t="n"/>
      <c r="N878" s="5" t="n"/>
      <c r="O878" s="5" t="n">
        <v>987</v>
      </c>
      <c r="P878" s="5" t="n"/>
      <c r="Q878" s="5" t="n">
        <v>987</v>
      </c>
      <c r="R878" s="5" t="n"/>
      <c r="S878" s="5">
        <f>F878*20%</f>
        <v/>
      </c>
      <c r="T878" s="5">
        <f>J878-S878</f>
        <v/>
      </c>
      <c r="U878" s="5">
        <f>F878+J878</f>
        <v/>
      </c>
      <c r="V878" s="5">
        <f>O878-U878</f>
        <v/>
      </c>
      <c r="W878" s="5">
        <f>O878-(P878+R878)</f>
        <v/>
      </c>
      <c r="X878" s="5">
        <f>O878-(P878+Q878+R878)</f>
        <v/>
      </c>
    </row>
    <row r="879">
      <c r="A879" s="2" t="inlineStr">
        <is>
          <t>EJ020924.TXT</t>
        </is>
      </c>
      <c r="B879" s="3" t="inlineStr">
        <is>
          <t>005530</t>
        </is>
      </c>
      <c r="C879" s="3" t="inlineStr">
        <is>
          <t>004439</t>
        </is>
      </c>
      <c r="D879" s="4" t="n">
        <v>45517</v>
      </c>
      <c r="E879" s="2" t="inlineStr">
        <is>
          <t>14:36</t>
        </is>
      </c>
      <c r="F879" s="5" t="n">
        <v>815</v>
      </c>
      <c r="G879" s="5" t="n"/>
      <c r="H879" s="5" t="n"/>
      <c r="I879" s="5" t="n"/>
      <c r="J879" s="5" t="n">
        <v>163</v>
      </c>
      <c r="K879" s="5" t="n"/>
      <c r="L879" s="5" t="n"/>
      <c r="M879" s="5" t="n"/>
      <c r="N879" s="5" t="n"/>
      <c r="O879" s="5" t="n">
        <v>978</v>
      </c>
      <c r="P879" s="5" t="n"/>
      <c r="Q879" s="5" t="n">
        <v>978</v>
      </c>
      <c r="R879" s="5" t="n"/>
      <c r="S879" s="5">
        <f>F879*20%</f>
        <v/>
      </c>
      <c r="T879" s="5">
        <f>J879-S879</f>
        <v/>
      </c>
      <c r="U879" s="5">
        <f>F879+J879</f>
        <v/>
      </c>
      <c r="V879" s="5">
        <f>O879-U879</f>
        <v/>
      </c>
      <c r="W879" s="5">
        <f>O879-(P879+R879)</f>
        <v/>
      </c>
      <c r="X879" s="5">
        <f>O879-(P879+Q879+R879)</f>
        <v/>
      </c>
    </row>
    <row r="880">
      <c r="A880" s="2" t="inlineStr">
        <is>
          <t>EJ020924.TXT</t>
        </is>
      </c>
      <c r="B880" s="3" t="inlineStr">
        <is>
          <t>005531</t>
        </is>
      </c>
      <c r="C880" s="3" t="inlineStr">
        <is>
          <t>004440</t>
        </is>
      </c>
      <c r="D880" s="4" t="n">
        <v>45517</v>
      </c>
      <c r="E880" s="2" t="inlineStr">
        <is>
          <t>14:51</t>
        </is>
      </c>
      <c r="F880" s="5" t="n">
        <v>633.33</v>
      </c>
      <c r="G880" s="5" t="n"/>
      <c r="H880" s="5" t="n"/>
      <c r="I880" s="5" t="n"/>
      <c r="J880" s="5" t="n">
        <v>126.67</v>
      </c>
      <c r="K880" s="5" t="n"/>
      <c r="L880" s="5" t="n"/>
      <c r="M880" s="5" t="n"/>
      <c r="N880" s="5" t="n"/>
      <c r="O880" s="5" t="n">
        <v>760</v>
      </c>
      <c r="P880" s="5" t="n"/>
      <c r="Q880" s="5" t="n">
        <v>760</v>
      </c>
      <c r="R880" s="5" t="n"/>
      <c r="S880" s="5">
        <f>F880*20%</f>
        <v/>
      </c>
      <c r="T880" s="5">
        <f>J880-S880</f>
        <v/>
      </c>
      <c r="U880" s="5">
        <f>F880+J880</f>
        <v/>
      </c>
      <c r="V880" s="5">
        <f>O880-U880</f>
        <v/>
      </c>
      <c r="W880" s="5">
        <f>O880-(P880+R880)</f>
        <v/>
      </c>
      <c r="X880" s="5">
        <f>O880-(P880+Q880+R880)</f>
        <v/>
      </c>
    </row>
    <row r="881">
      <c r="A881" s="2" t="inlineStr">
        <is>
          <t>EJ020924.TXT</t>
        </is>
      </c>
      <c r="B881" s="3" t="inlineStr">
        <is>
          <t>005532</t>
        </is>
      </c>
      <c r="C881" s="3" t="inlineStr">
        <is>
          <t>004441</t>
        </is>
      </c>
      <c r="D881" s="4" t="n">
        <v>45517</v>
      </c>
      <c r="E881" s="2" t="inlineStr">
        <is>
          <t>15:33</t>
        </is>
      </c>
      <c r="F881" s="5" t="n">
        <v>208.33</v>
      </c>
      <c r="G881" s="5" t="n"/>
      <c r="H881" s="5" t="n"/>
      <c r="I881" s="5" t="n"/>
      <c r="J881" s="5" t="n">
        <v>41.67</v>
      </c>
      <c r="K881" s="5" t="n"/>
      <c r="L881" s="5" t="n"/>
      <c r="M881" s="5" t="n"/>
      <c r="N881" s="5" t="n"/>
      <c r="O881" s="5" t="n">
        <v>250</v>
      </c>
      <c r="P881" s="5" t="n"/>
      <c r="Q881" s="5" t="n">
        <v>250</v>
      </c>
      <c r="R881" s="5" t="n"/>
      <c r="S881" s="5">
        <f>F881*20%</f>
        <v/>
      </c>
      <c r="T881" s="5">
        <f>J881-S881</f>
        <v/>
      </c>
      <c r="U881" s="5">
        <f>F881+J881</f>
        <v/>
      </c>
      <c r="V881" s="5">
        <f>O881-U881</f>
        <v/>
      </c>
      <c r="W881" s="5">
        <f>O881-(P881+R881)</f>
        <v/>
      </c>
      <c r="X881" s="5">
        <f>O881-(P881+Q881+R881)</f>
        <v/>
      </c>
    </row>
    <row r="882">
      <c r="A882" s="2" t="inlineStr">
        <is>
          <t>EJ020924.TXT</t>
        </is>
      </c>
      <c r="B882" s="3" t="inlineStr">
        <is>
          <t>005533</t>
        </is>
      </c>
      <c r="C882" s="3" t="inlineStr">
        <is>
          <t>004442</t>
        </is>
      </c>
      <c r="D882" s="4" t="n">
        <v>45518</v>
      </c>
      <c r="E882" s="2" t="inlineStr">
        <is>
          <t>15:41</t>
        </is>
      </c>
      <c r="F882" s="5" t="n">
        <v>208.33</v>
      </c>
      <c r="G882" s="5" t="n"/>
      <c r="H882" s="5" t="n"/>
      <c r="I882" s="5" t="n"/>
      <c r="J882" s="5" t="n">
        <v>41.67</v>
      </c>
      <c r="K882" s="5" t="n"/>
      <c r="L882" s="5" t="n"/>
      <c r="M882" s="5" t="n"/>
      <c r="N882" s="5" t="n"/>
      <c r="O882" s="5" t="n">
        <v>250</v>
      </c>
      <c r="P882" s="5" t="n"/>
      <c r="Q882" s="5" t="n">
        <v>250</v>
      </c>
      <c r="R882" s="5" t="n"/>
      <c r="S882" s="5">
        <f>F882*20%</f>
        <v/>
      </c>
      <c r="T882" s="5">
        <f>J882-S882</f>
        <v/>
      </c>
      <c r="U882" s="5">
        <f>F882+J882</f>
        <v/>
      </c>
      <c r="V882" s="5">
        <f>O882-U882</f>
        <v/>
      </c>
      <c r="W882" s="5">
        <f>O882-(P882+R882)</f>
        <v/>
      </c>
      <c r="X882" s="5">
        <f>O882-(P882+Q882+R882)</f>
        <v/>
      </c>
    </row>
    <row r="883">
      <c r="A883" s="2" t="inlineStr">
        <is>
          <t>EJ020924.TXT</t>
        </is>
      </c>
      <c r="B883" s="3" t="inlineStr">
        <is>
          <t>005534</t>
        </is>
      </c>
      <c r="C883" s="3" t="inlineStr">
        <is>
          <t>004443</t>
        </is>
      </c>
      <c r="D883" s="4" t="n">
        <v>45520</v>
      </c>
      <c r="E883" s="2" t="inlineStr">
        <is>
          <t>15:32</t>
        </is>
      </c>
      <c r="F883" s="5" t="n">
        <v>190.83</v>
      </c>
      <c r="G883" s="5" t="n"/>
      <c r="H883" s="5" t="n"/>
      <c r="I883" s="5" t="n"/>
      <c r="J883" s="5" t="n">
        <v>38.17</v>
      </c>
      <c r="K883" s="5" t="n"/>
      <c r="L883" s="5" t="n"/>
      <c r="M883" s="5" t="n"/>
      <c r="N883" s="5" t="n"/>
      <c r="O883" s="5" t="n">
        <v>229</v>
      </c>
      <c r="P883" s="5" t="n"/>
      <c r="Q883" s="5" t="n">
        <v>229</v>
      </c>
      <c r="R883" s="5" t="n"/>
      <c r="S883" s="5">
        <f>F883*20%</f>
        <v/>
      </c>
      <c r="T883" s="5">
        <f>J883-S883</f>
        <v/>
      </c>
      <c r="U883" s="5">
        <f>F883+J883</f>
        <v/>
      </c>
      <c r="V883" s="5">
        <f>O883-U883</f>
        <v/>
      </c>
      <c r="W883" s="5">
        <f>O883-(P883+R883)</f>
        <v/>
      </c>
      <c r="X883" s="5">
        <f>O883-(P883+Q883+R883)</f>
        <v/>
      </c>
    </row>
    <row r="884">
      <c r="A884" s="2" t="inlineStr">
        <is>
          <t>EJ020924.TXT</t>
        </is>
      </c>
      <c r="B884" s="3" t="inlineStr">
        <is>
          <t>005535</t>
        </is>
      </c>
      <c r="C884" s="3" t="inlineStr">
        <is>
          <t>004444</t>
        </is>
      </c>
      <c r="D884" s="4" t="n">
        <v>45524</v>
      </c>
      <c r="E884" s="2" t="inlineStr">
        <is>
          <t>14:03</t>
        </is>
      </c>
      <c r="F884" s="5" t="n">
        <v>107.5</v>
      </c>
      <c r="G884" s="5" t="n"/>
      <c r="H884" s="5" t="n"/>
      <c r="I884" s="5" t="n"/>
      <c r="J884" s="5" t="n">
        <v>21.5</v>
      </c>
      <c r="K884" s="5" t="n"/>
      <c r="L884" s="5" t="n"/>
      <c r="M884" s="5" t="n"/>
      <c r="N884" s="5" t="n"/>
      <c r="O884" s="5" t="n">
        <v>129</v>
      </c>
      <c r="P884" s="5" t="n">
        <v>129</v>
      </c>
      <c r="Q884" s="5" t="n"/>
      <c r="R884" s="5" t="n"/>
      <c r="S884" s="5">
        <f>F884*20%</f>
        <v/>
      </c>
      <c r="T884" s="5">
        <f>J884-S884</f>
        <v/>
      </c>
      <c r="U884" s="5">
        <f>F884+J884</f>
        <v/>
      </c>
      <c r="V884" s="5">
        <f>O884-U884</f>
        <v/>
      </c>
      <c r="W884" s="5">
        <f>O884-(P884+R884)</f>
        <v/>
      </c>
      <c r="X884" s="5">
        <f>O884-(P884+Q884+R884)</f>
        <v/>
      </c>
    </row>
    <row r="885">
      <c r="A885" s="2" t="inlineStr">
        <is>
          <t>EJ020924.TXT</t>
        </is>
      </c>
      <c r="B885" s="3" t="inlineStr">
        <is>
          <t>005536</t>
        </is>
      </c>
      <c r="C885" s="3" t="inlineStr">
        <is>
          <t>004445</t>
        </is>
      </c>
      <c r="D885" s="4" t="n">
        <v>45524</v>
      </c>
      <c r="E885" s="2" t="inlineStr">
        <is>
          <t>14:03</t>
        </is>
      </c>
      <c r="F885" s="5" t="n">
        <v>166.67</v>
      </c>
      <c r="G885" s="5" t="n"/>
      <c r="H885" s="5" t="n"/>
      <c r="I885" s="5" t="n"/>
      <c r="J885" s="5" t="n">
        <v>33.33</v>
      </c>
      <c r="K885" s="5" t="n"/>
      <c r="L885" s="5" t="n"/>
      <c r="M885" s="5" t="n"/>
      <c r="N885" s="5" t="n"/>
      <c r="O885" s="5" t="n">
        <v>200</v>
      </c>
      <c r="P885" s="5" t="n"/>
      <c r="Q885" s="5" t="n">
        <v>200</v>
      </c>
      <c r="R885" s="5" t="n"/>
      <c r="S885" s="5">
        <f>F885*20%</f>
        <v/>
      </c>
      <c r="T885" s="5">
        <f>J885-S885</f>
        <v/>
      </c>
      <c r="U885" s="5">
        <f>F885+J885</f>
        <v/>
      </c>
      <c r="V885" s="5">
        <f>O885-U885</f>
        <v/>
      </c>
      <c r="W885" s="5">
        <f>O885-(P885+R885)</f>
        <v/>
      </c>
      <c r="X885" s="5">
        <f>O885-(P885+Q885+R885)</f>
        <v/>
      </c>
    </row>
    <row r="886">
      <c r="A886" s="2" t="inlineStr">
        <is>
          <t>EJ020924.TXT</t>
        </is>
      </c>
      <c r="B886" s="3" t="inlineStr">
        <is>
          <t>005537</t>
        </is>
      </c>
      <c r="C886" s="3" t="inlineStr">
        <is>
          <t>004446</t>
        </is>
      </c>
      <c r="D886" s="4" t="n">
        <v>45524</v>
      </c>
      <c r="E886" s="2" t="inlineStr">
        <is>
          <t>15:09</t>
        </is>
      </c>
      <c r="F886" s="5" t="n">
        <v>99.83</v>
      </c>
      <c r="G886" s="5" t="n"/>
      <c r="H886" s="5" t="n"/>
      <c r="I886" s="5" t="n"/>
      <c r="J886" s="5" t="n">
        <v>19.97</v>
      </c>
      <c r="K886" s="5" t="n"/>
      <c r="L886" s="5" t="n"/>
      <c r="M886" s="5" t="n"/>
      <c r="N886" s="5" t="n"/>
      <c r="O886" s="5" t="n">
        <v>119.8</v>
      </c>
      <c r="P886" s="5" t="n"/>
      <c r="Q886" s="5" t="n">
        <v>119.8</v>
      </c>
      <c r="R886" s="5" t="n"/>
      <c r="S886" s="5">
        <f>F886*20%</f>
        <v/>
      </c>
      <c r="T886" s="5">
        <f>J886-S886</f>
        <v/>
      </c>
      <c r="U886" s="5">
        <f>F886+J886</f>
        <v/>
      </c>
      <c r="V886" s="5">
        <f>O886-U886</f>
        <v/>
      </c>
      <c r="W886" s="5">
        <f>O886-(P886+R886)</f>
        <v/>
      </c>
      <c r="X886" s="5">
        <f>O886-(P886+Q886+R886)</f>
        <v/>
      </c>
    </row>
    <row r="887">
      <c r="A887" s="2" t="inlineStr">
        <is>
          <t>EJ020924.TXT</t>
        </is>
      </c>
      <c r="B887" s="3" t="inlineStr">
        <is>
          <t>005538</t>
        </is>
      </c>
      <c r="C887" s="3" t="inlineStr">
        <is>
          <t>004447</t>
        </is>
      </c>
      <c r="D887" s="4" t="n">
        <v>45524</v>
      </c>
      <c r="E887" s="2" t="inlineStr">
        <is>
          <t>15:43</t>
        </is>
      </c>
      <c r="F887" s="5" t="n">
        <v>208.33</v>
      </c>
      <c r="G887" s="5" t="n"/>
      <c r="H887" s="5" t="n"/>
      <c r="I887" s="5" t="n"/>
      <c r="J887" s="5" t="n">
        <v>41.67</v>
      </c>
      <c r="K887" s="5" t="n"/>
      <c r="L887" s="5" t="n"/>
      <c r="M887" s="5" t="n"/>
      <c r="N887" s="5" t="n"/>
      <c r="O887" s="5" t="n">
        <v>250</v>
      </c>
      <c r="P887" s="5" t="n"/>
      <c r="Q887" s="5" t="n">
        <v>250</v>
      </c>
      <c r="R887" s="5" t="n"/>
      <c r="S887" s="5">
        <f>F887*20%</f>
        <v/>
      </c>
      <c r="T887" s="5">
        <f>J887-S887</f>
        <v/>
      </c>
      <c r="U887" s="5">
        <f>F887+J887</f>
        <v/>
      </c>
      <c r="V887" s="5">
        <f>O887-U887</f>
        <v/>
      </c>
      <c r="W887" s="5">
        <f>O887-(P887+R887)</f>
        <v/>
      </c>
      <c r="X887" s="5">
        <f>O887-(P887+Q887+R887)</f>
        <v/>
      </c>
    </row>
    <row r="888">
      <c r="A888" s="2" t="inlineStr">
        <is>
          <t>EJ020924.TXT</t>
        </is>
      </c>
      <c r="B888" s="3" t="inlineStr">
        <is>
          <t>005539</t>
        </is>
      </c>
      <c r="C888" s="3" t="inlineStr">
        <is>
          <t>004448</t>
        </is>
      </c>
      <c r="D888" s="4" t="n">
        <v>45525</v>
      </c>
      <c r="E888" s="2" t="inlineStr">
        <is>
          <t>14:47</t>
        </is>
      </c>
      <c r="F888" s="5" t="n">
        <v>3610.33</v>
      </c>
      <c r="G888" s="5" t="n"/>
      <c r="H888" s="5" t="n"/>
      <c r="I888" s="5" t="n"/>
      <c r="J888" s="5" t="n">
        <v>722.0700000000001</v>
      </c>
      <c r="K888" s="5" t="n"/>
      <c r="L888" s="5" t="n"/>
      <c r="M888" s="5" t="n"/>
      <c r="N888" s="5" t="n"/>
      <c r="O888" s="5" t="n">
        <v>4332.4</v>
      </c>
      <c r="P888" s="5" t="n">
        <v>4332.4</v>
      </c>
      <c r="Q888" s="5" t="n"/>
      <c r="R888" s="5" t="n"/>
      <c r="S888" s="5">
        <f>F888*20%</f>
        <v/>
      </c>
      <c r="T888" s="5">
        <f>J888-S888</f>
        <v/>
      </c>
      <c r="U888" s="5">
        <f>F888+J888</f>
        <v/>
      </c>
      <c r="V888" s="5">
        <f>O888-U888</f>
        <v/>
      </c>
      <c r="W888" s="5">
        <f>O888-(P888+R888)</f>
        <v/>
      </c>
      <c r="X888" s="5">
        <f>O888-(P888+Q888+R888)</f>
        <v/>
      </c>
    </row>
    <row r="889">
      <c r="A889" s="2" t="inlineStr">
        <is>
          <t>EJ020924.TXT</t>
        </is>
      </c>
      <c r="B889" s="3" t="inlineStr">
        <is>
          <t>005540</t>
        </is>
      </c>
      <c r="C889" s="3" t="inlineStr">
        <is>
          <t>004449</t>
        </is>
      </c>
      <c r="D889" s="4" t="n">
        <v>45527</v>
      </c>
      <c r="E889" s="2" t="inlineStr">
        <is>
          <t>15:29</t>
        </is>
      </c>
      <c r="F889" s="5" t="n">
        <v>531.67</v>
      </c>
      <c r="G889" s="5" t="n"/>
      <c r="H889" s="5" t="n"/>
      <c r="I889" s="5" t="n"/>
      <c r="J889" s="5" t="n">
        <v>106.33</v>
      </c>
      <c r="K889" s="5" t="n"/>
      <c r="L889" s="5" t="n"/>
      <c r="M889" s="5" t="n"/>
      <c r="N889" s="5" t="n"/>
      <c r="O889" s="5" t="n">
        <v>638</v>
      </c>
      <c r="P889" s="5" t="n"/>
      <c r="Q889" s="5" t="n">
        <v>638</v>
      </c>
      <c r="R889" s="5" t="n"/>
      <c r="S889" s="5">
        <f>F889*20%</f>
        <v/>
      </c>
      <c r="T889" s="5">
        <f>J889-S889</f>
        <v/>
      </c>
      <c r="U889" s="5">
        <f>F889+J889</f>
        <v/>
      </c>
      <c r="V889" s="5">
        <f>O889-U889</f>
        <v/>
      </c>
      <c r="W889" s="5">
        <f>O889-(P889+R889)</f>
        <v/>
      </c>
      <c r="X889" s="5">
        <f>O889-(P889+Q889+R889)</f>
        <v/>
      </c>
    </row>
    <row r="890">
      <c r="A890" s="2" t="inlineStr">
        <is>
          <t>EJ020924.TXT</t>
        </is>
      </c>
      <c r="B890" s="3" t="inlineStr">
        <is>
          <t>005541</t>
        </is>
      </c>
      <c r="C890" s="3" t="inlineStr">
        <is>
          <t>004450</t>
        </is>
      </c>
      <c r="D890" s="4" t="n">
        <v>45528</v>
      </c>
      <c r="E890" s="2" t="inlineStr">
        <is>
          <t>16:10</t>
        </is>
      </c>
      <c r="F890" s="5" t="n">
        <v>531.67</v>
      </c>
      <c r="G890" s="5" t="n"/>
      <c r="H890" s="5" t="n"/>
      <c r="I890" s="5" t="n"/>
      <c r="J890" s="5" t="n">
        <v>106.33</v>
      </c>
      <c r="K890" s="5" t="n"/>
      <c r="L890" s="5" t="n"/>
      <c r="M890" s="5" t="n"/>
      <c r="N890" s="5" t="n"/>
      <c r="O890" s="5" t="n">
        <v>638</v>
      </c>
      <c r="P890" s="5" t="n"/>
      <c r="Q890" s="5" t="n">
        <v>638</v>
      </c>
      <c r="R890" s="5" t="n"/>
      <c r="S890" s="5">
        <f>F890*20%</f>
        <v/>
      </c>
      <c r="T890" s="5">
        <f>J890-S890</f>
        <v/>
      </c>
      <c r="U890" s="5">
        <f>F890+J890</f>
        <v/>
      </c>
      <c r="V890" s="5">
        <f>O890-U890</f>
        <v/>
      </c>
      <c r="W890" s="5">
        <f>O890-(P890+R890)</f>
        <v/>
      </c>
      <c r="X890" s="5">
        <f>O890-(P890+Q890+R890)</f>
        <v/>
      </c>
    </row>
    <row r="891">
      <c r="A891" s="2" t="inlineStr">
        <is>
          <t>EJ020924.TXT</t>
        </is>
      </c>
      <c r="B891" s="3" t="inlineStr">
        <is>
          <t>005542</t>
        </is>
      </c>
      <c r="C891" s="3" t="inlineStr">
        <is>
          <t>004451</t>
        </is>
      </c>
      <c r="D891" s="4" t="n">
        <v>45530</v>
      </c>
      <c r="E891" s="2" t="inlineStr">
        <is>
          <t>15:02</t>
        </is>
      </c>
      <c r="F891" s="5" t="n">
        <v>208.33</v>
      </c>
      <c r="G891" s="5" t="n"/>
      <c r="H891" s="5" t="n"/>
      <c r="I891" s="5" t="n"/>
      <c r="J891" s="5" t="n">
        <v>41.67</v>
      </c>
      <c r="K891" s="5" t="n"/>
      <c r="L891" s="5" t="n"/>
      <c r="M891" s="5" t="n"/>
      <c r="N891" s="5" t="n"/>
      <c r="O891" s="5" t="n">
        <v>250</v>
      </c>
      <c r="P891" s="5" t="n"/>
      <c r="Q891" s="5" t="n">
        <v>250</v>
      </c>
      <c r="R891" s="5" t="n"/>
      <c r="S891" s="5">
        <f>F891*20%</f>
        <v/>
      </c>
      <c r="T891" s="5">
        <f>J891-S891</f>
        <v/>
      </c>
      <c r="U891" s="5">
        <f>F891+J891</f>
        <v/>
      </c>
      <c r="V891" s="5">
        <f>O891-U891</f>
        <v/>
      </c>
      <c r="W891" s="5">
        <f>O891-(P891+R891)</f>
        <v/>
      </c>
      <c r="X891" s="5">
        <f>O891-(P891+Q891+R891)</f>
        <v/>
      </c>
    </row>
    <row r="892">
      <c r="A892" s="2" t="inlineStr">
        <is>
          <t>EJ020924.TXT</t>
        </is>
      </c>
      <c r="B892" s="3" t="inlineStr">
        <is>
          <t>005543</t>
        </is>
      </c>
      <c r="C892" s="3" t="inlineStr">
        <is>
          <t>004452</t>
        </is>
      </c>
      <c r="D892" s="4" t="n">
        <v>45530</v>
      </c>
      <c r="E892" s="2" t="inlineStr">
        <is>
          <t>15:13</t>
        </is>
      </c>
      <c r="F892" s="5" t="n">
        <v>274.17</v>
      </c>
      <c r="G892" s="5" t="n"/>
      <c r="H892" s="5" t="n"/>
      <c r="I892" s="5" t="n"/>
      <c r="J892" s="5" t="n">
        <v>54.83</v>
      </c>
      <c r="K892" s="5" t="n"/>
      <c r="L892" s="5" t="n"/>
      <c r="M892" s="5" t="n"/>
      <c r="N892" s="5" t="n"/>
      <c r="O892" s="5" t="n">
        <v>329</v>
      </c>
      <c r="P892" s="5" t="n">
        <v>329</v>
      </c>
      <c r="Q892" s="5" t="n"/>
      <c r="R892" s="5" t="n"/>
      <c r="S892" s="5">
        <f>F892*20%</f>
        <v/>
      </c>
      <c r="T892" s="5">
        <f>J892-S892</f>
        <v/>
      </c>
      <c r="U892" s="5">
        <f>F892+J892</f>
        <v/>
      </c>
      <c r="V892" s="5">
        <f>O892-U892</f>
        <v/>
      </c>
      <c r="W892" s="5">
        <f>O892-(P892+R892)</f>
        <v/>
      </c>
      <c r="X892" s="5">
        <f>O892-(P892+Q892+R892)</f>
        <v/>
      </c>
    </row>
    <row r="893">
      <c r="A893" s="2" t="inlineStr">
        <is>
          <t>EJ020924.TXT</t>
        </is>
      </c>
      <c r="B893" s="3" t="inlineStr">
        <is>
          <t>005544</t>
        </is>
      </c>
      <c r="C893" s="3" t="inlineStr">
        <is>
          <t>004453</t>
        </is>
      </c>
      <c r="D893" s="4" t="n">
        <v>45531</v>
      </c>
      <c r="E893" s="2" t="inlineStr">
        <is>
          <t>09:24</t>
        </is>
      </c>
      <c r="F893" s="5" t="n">
        <v>548.33</v>
      </c>
      <c r="G893" s="5" t="n"/>
      <c r="H893" s="5" t="n"/>
      <c r="I893" s="5" t="n"/>
      <c r="J893" s="5" t="n">
        <v>109.67</v>
      </c>
      <c r="K893" s="5" t="n"/>
      <c r="L893" s="5" t="n"/>
      <c r="M893" s="5" t="n"/>
      <c r="N893" s="5" t="n"/>
      <c r="O893" s="5" t="n">
        <v>658</v>
      </c>
      <c r="P893" s="5" t="n">
        <v>658</v>
      </c>
      <c r="Q893" s="5" t="n"/>
      <c r="R893" s="5" t="n"/>
      <c r="S893" s="5">
        <f>F893*20%</f>
        <v/>
      </c>
      <c r="T893" s="5">
        <f>J893-S893</f>
        <v/>
      </c>
      <c r="U893" s="5">
        <f>F893+J893</f>
        <v/>
      </c>
      <c r="V893" s="5">
        <f>O893-U893</f>
        <v/>
      </c>
      <c r="W893" s="5">
        <f>O893-(P893+R893)</f>
        <v/>
      </c>
      <c r="X893" s="5">
        <f>O893-(P893+Q893+R893)</f>
        <v/>
      </c>
    </row>
    <row r="894">
      <c r="A894" s="2" t="inlineStr">
        <is>
          <t>EJ020924.TXT</t>
        </is>
      </c>
      <c r="B894" s="3" t="inlineStr">
        <is>
          <t>005545</t>
        </is>
      </c>
      <c r="C894" s="3" t="inlineStr">
        <is>
          <t>004454</t>
        </is>
      </c>
      <c r="D894" s="4" t="n">
        <v>45533</v>
      </c>
      <c r="E894" s="2" t="inlineStr">
        <is>
          <t>09:36</t>
        </is>
      </c>
      <c r="F894" s="5" t="n">
        <v>3240</v>
      </c>
      <c r="G894" s="5" t="n"/>
      <c r="H894" s="5" t="n"/>
      <c r="I894" s="5" t="n"/>
      <c r="J894" s="5" t="n">
        <v>648</v>
      </c>
      <c r="K894" s="5" t="n"/>
      <c r="L894" s="5" t="n"/>
      <c r="M894" s="5" t="n"/>
      <c r="N894" s="5" t="n"/>
      <c r="O894" s="5" t="n">
        <v>3888</v>
      </c>
      <c r="P894" s="5" t="n">
        <v>3888</v>
      </c>
      <c r="Q894" s="5" t="n"/>
      <c r="R894" s="5" t="n"/>
      <c r="S894" s="5">
        <f>F894*20%</f>
        <v/>
      </c>
      <c r="T894" s="5">
        <f>J894-S894</f>
        <v/>
      </c>
      <c r="U894" s="5">
        <f>F894+J894</f>
        <v/>
      </c>
      <c r="V894" s="5">
        <f>O894-U894</f>
        <v/>
      </c>
      <c r="W894" s="5">
        <f>O894-(P894+R894)</f>
        <v/>
      </c>
      <c r="X894" s="5">
        <f>O894-(P894+Q894+R894)</f>
        <v/>
      </c>
    </row>
    <row r="895">
      <c r="A895" s="2" t="inlineStr">
        <is>
          <t>EJ020924.TXT</t>
        </is>
      </c>
      <c r="B895" s="3" t="inlineStr">
        <is>
          <t>005546</t>
        </is>
      </c>
      <c r="C895" s="3" t="inlineStr">
        <is>
          <t>004455</t>
        </is>
      </c>
      <c r="D895" s="4" t="n">
        <v>45533</v>
      </c>
      <c r="E895" s="2" t="inlineStr">
        <is>
          <t>14:49</t>
        </is>
      </c>
      <c r="F895" s="5" t="n">
        <v>946.67</v>
      </c>
      <c r="G895" s="5" t="n"/>
      <c r="H895" s="5" t="n"/>
      <c r="I895" s="5" t="n"/>
      <c r="J895" s="5" t="n">
        <v>189.33</v>
      </c>
      <c r="K895" s="5" t="n"/>
      <c r="L895" s="5" t="n"/>
      <c r="M895" s="5" t="n"/>
      <c r="N895" s="5" t="n"/>
      <c r="O895" s="5" t="n">
        <v>1136</v>
      </c>
      <c r="P895" s="5" t="n">
        <v>1136</v>
      </c>
      <c r="Q895" s="5" t="n"/>
      <c r="R895" s="5" t="n"/>
      <c r="S895" s="5">
        <f>F895*20%</f>
        <v/>
      </c>
      <c r="T895" s="5">
        <f>J895-S895</f>
        <v/>
      </c>
      <c r="U895" s="5">
        <f>F895+J895</f>
        <v/>
      </c>
      <c r="V895" s="5">
        <f>O895-U895</f>
        <v/>
      </c>
      <c r="W895" s="5">
        <f>O895-(P895+R895)</f>
        <v/>
      </c>
      <c r="X895" s="5">
        <f>O895-(P895+Q895+R895)</f>
        <v/>
      </c>
    </row>
    <row r="896">
      <c r="A896" s="2" t="inlineStr">
        <is>
          <t>EJ020924.TXT</t>
        </is>
      </c>
      <c r="B896" s="3" t="inlineStr">
        <is>
          <t>005547</t>
        </is>
      </c>
      <c r="C896" s="3" t="inlineStr">
        <is>
          <t>004456</t>
        </is>
      </c>
      <c r="D896" s="4" t="n">
        <v>45534</v>
      </c>
      <c r="E896" s="2" t="inlineStr">
        <is>
          <t>16:30</t>
        </is>
      </c>
      <c r="F896" s="5" t="n">
        <v>208.33</v>
      </c>
      <c r="G896" s="5" t="n"/>
      <c r="H896" s="5" t="n"/>
      <c r="I896" s="5" t="n"/>
      <c r="J896" s="5" t="n">
        <v>41.67</v>
      </c>
      <c r="K896" s="5" t="n"/>
      <c r="L896" s="5" t="n"/>
      <c r="M896" s="5" t="n"/>
      <c r="N896" s="5" t="n"/>
      <c r="O896" s="5" t="n">
        <v>250</v>
      </c>
      <c r="P896" s="5" t="n"/>
      <c r="Q896" s="5" t="n">
        <v>250</v>
      </c>
      <c r="R896" s="5" t="n"/>
      <c r="S896" s="5">
        <f>F896*20%</f>
        <v/>
      </c>
      <c r="T896" s="5">
        <f>J896-S896</f>
        <v/>
      </c>
      <c r="U896" s="5">
        <f>F896+J896</f>
        <v/>
      </c>
      <c r="V896" s="5">
        <f>O896-U896</f>
        <v/>
      </c>
      <c r="W896" s="5">
        <f>O896-(P896+R896)</f>
        <v/>
      </c>
      <c r="X896" s="5">
        <f>O896-(P896+Q896+R896)</f>
        <v/>
      </c>
    </row>
    <row r="897">
      <c r="A897" s="2" t="inlineStr">
        <is>
          <t>EJ011024.TXT</t>
        </is>
      </c>
      <c r="B897" s="3" t="inlineStr">
        <is>
          <t>005555</t>
        </is>
      </c>
      <c r="C897" s="3" t="inlineStr">
        <is>
          <t>004457</t>
        </is>
      </c>
      <c r="D897" s="4" t="n">
        <v>45537</v>
      </c>
      <c r="E897" s="2" t="inlineStr">
        <is>
          <t>15:08</t>
        </is>
      </c>
      <c r="F897" s="5" t="n">
        <v>208.33</v>
      </c>
      <c r="G897" s="5" t="n"/>
      <c r="H897" s="5" t="n"/>
      <c r="I897" s="5" t="n"/>
      <c r="J897" s="5" t="n">
        <v>41.67</v>
      </c>
      <c r="K897" s="5" t="n"/>
      <c r="L897" s="5" t="n"/>
      <c r="M897" s="5" t="n"/>
      <c r="N897" s="5" t="n"/>
      <c r="O897" s="5" t="n">
        <v>250</v>
      </c>
      <c r="P897" s="5" t="n"/>
      <c r="Q897" s="5" t="n">
        <v>250</v>
      </c>
      <c r="R897" s="5" t="n"/>
      <c r="S897" s="5">
        <f>F897*20%</f>
        <v/>
      </c>
      <c r="T897" s="5">
        <f>J897-S897</f>
        <v/>
      </c>
      <c r="U897" s="5">
        <f>F897+J897</f>
        <v/>
      </c>
      <c r="V897" s="5">
        <f>O897-U897</f>
        <v/>
      </c>
      <c r="W897" s="5">
        <f>O897-(P897+R897)</f>
        <v/>
      </c>
      <c r="X897" s="5">
        <f>O897-(P897+Q897+R897)</f>
        <v/>
      </c>
    </row>
    <row r="898">
      <c r="A898" s="2" t="inlineStr">
        <is>
          <t>EJ011024.TXT</t>
        </is>
      </c>
      <c r="B898" s="3" t="inlineStr">
        <is>
          <t>005556</t>
        </is>
      </c>
      <c r="C898" s="3" t="inlineStr">
        <is>
          <t>004458</t>
        </is>
      </c>
      <c r="D898" s="4" t="n">
        <v>45539</v>
      </c>
      <c r="E898" s="2" t="inlineStr">
        <is>
          <t>16:54</t>
        </is>
      </c>
      <c r="F898" s="5" t="n">
        <v>548.33</v>
      </c>
      <c r="G898" s="5" t="n"/>
      <c r="H898" s="5" t="n"/>
      <c r="I898" s="5" t="n"/>
      <c r="J898" s="5" t="n">
        <v>109.67</v>
      </c>
      <c r="K898" s="5" t="n"/>
      <c r="L898" s="5" t="n"/>
      <c r="M898" s="5" t="n"/>
      <c r="N898" s="5" t="n"/>
      <c r="O898" s="5" t="n">
        <v>658</v>
      </c>
      <c r="P898" s="5" t="n"/>
      <c r="Q898" s="5" t="n">
        <v>658</v>
      </c>
      <c r="R898" s="5" t="n"/>
      <c r="S898" s="5">
        <f>F898*20%</f>
        <v/>
      </c>
      <c r="T898" s="5">
        <f>J898-S898</f>
        <v/>
      </c>
      <c r="U898" s="5">
        <f>F898+J898</f>
        <v/>
      </c>
      <c r="V898" s="5">
        <f>O898-U898</f>
        <v/>
      </c>
      <c r="W898" s="5">
        <f>O898-(P898+R898)</f>
        <v/>
      </c>
      <c r="X898" s="5">
        <f>O898-(P898+Q898+R898)</f>
        <v/>
      </c>
    </row>
    <row r="899">
      <c r="A899" s="2" t="inlineStr">
        <is>
          <t>EJ011024.TXT</t>
        </is>
      </c>
      <c r="B899" s="3" t="inlineStr">
        <is>
          <t>005557</t>
        </is>
      </c>
      <c r="C899" s="3" t="inlineStr">
        <is>
          <t>004459</t>
        </is>
      </c>
      <c r="D899" s="4" t="n">
        <v>45541</v>
      </c>
      <c r="E899" s="2" t="inlineStr">
        <is>
          <t>15:42</t>
        </is>
      </c>
      <c r="F899" s="5" t="n">
        <v>208.33</v>
      </c>
      <c r="G899" s="5" t="n"/>
      <c r="H899" s="5" t="n"/>
      <c r="I899" s="5" t="n"/>
      <c r="J899" s="5" t="n">
        <v>41.67</v>
      </c>
      <c r="K899" s="5" t="n"/>
      <c r="L899" s="5" t="n"/>
      <c r="M899" s="5" t="n"/>
      <c r="N899" s="5" t="n"/>
      <c r="O899" s="5" t="n">
        <v>250</v>
      </c>
      <c r="P899" s="5" t="n"/>
      <c r="Q899" s="5" t="n">
        <v>250</v>
      </c>
      <c r="R899" s="5" t="n"/>
      <c r="S899" s="5">
        <f>F899*20%</f>
        <v/>
      </c>
      <c r="T899" s="5">
        <f>J899-S899</f>
        <v/>
      </c>
      <c r="U899" s="5">
        <f>F899+J899</f>
        <v/>
      </c>
      <c r="V899" s="5">
        <f>O899-U899</f>
        <v/>
      </c>
      <c r="W899" s="5">
        <f>O899-(P899+R899)</f>
        <v/>
      </c>
      <c r="X899" s="5">
        <f>O899-(P899+Q899+R899)</f>
        <v/>
      </c>
    </row>
    <row r="900">
      <c r="A900" s="2" t="inlineStr">
        <is>
          <t>EJ011024.TXT</t>
        </is>
      </c>
      <c r="B900" s="3" t="inlineStr">
        <is>
          <t>005558</t>
        </is>
      </c>
      <c r="C900" s="3" t="inlineStr">
        <is>
          <t>004460</t>
        </is>
      </c>
      <c r="D900" s="4" t="n">
        <v>45544</v>
      </c>
      <c r="E900" s="2" t="inlineStr">
        <is>
          <t>10:27</t>
        </is>
      </c>
      <c r="F900" s="5" t="n">
        <v>500</v>
      </c>
      <c r="G900" s="5" t="n"/>
      <c r="H900" s="5" t="n"/>
      <c r="I900" s="5" t="n"/>
      <c r="J900" s="5" t="n">
        <v>100</v>
      </c>
      <c r="K900" s="5" t="n"/>
      <c r="L900" s="5" t="n"/>
      <c r="M900" s="5" t="n"/>
      <c r="N900" s="5" t="n"/>
      <c r="O900" s="5" t="n">
        <v>600</v>
      </c>
      <c r="P900" s="5" t="n"/>
      <c r="Q900" s="5" t="n">
        <v>600</v>
      </c>
      <c r="R900" s="5" t="n"/>
      <c r="S900" s="5">
        <f>F900*20%</f>
        <v/>
      </c>
      <c r="T900" s="5">
        <f>J900-S900</f>
        <v/>
      </c>
      <c r="U900" s="5">
        <f>F900+J900</f>
        <v/>
      </c>
      <c r="V900" s="5">
        <f>O900-U900</f>
        <v/>
      </c>
      <c r="W900" s="5">
        <f>O900-(P900+R900)</f>
        <v/>
      </c>
      <c r="X900" s="5">
        <f>O900-(P900+Q900+R900)</f>
        <v/>
      </c>
    </row>
    <row r="901">
      <c r="A901" s="2" t="inlineStr">
        <is>
          <t>EJ011024.TXT</t>
        </is>
      </c>
      <c r="B901" s="3" t="inlineStr">
        <is>
          <t>005559</t>
        </is>
      </c>
      <c r="C901" s="3" t="inlineStr">
        <is>
          <t>004461</t>
        </is>
      </c>
      <c r="D901" s="4" t="n">
        <v>45544</v>
      </c>
      <c r="E901" s="2" t="inlineStr">
        <is>
          <t>10:27</t>
        </is>
      </c>
      <c r="F901" s="5" t="n">
        <v>48.33</v>
      </c>
      <c r="G901" s="5" t="n"/>
      <c r="H901" s="5" t="n"/>
      <c r="I901" s="5" t="n"/>
      <c r="J901" s="5" t="n">
        <v>9.67</v>
      </c>
      <c r="K901" s="5" t="n"/>
      <c r="L901" s="5" t="n"/>
      <c r="M901" s="5" t="n"/>
      <c r="N901" s="5" t="n"/>
      <c r="O901" s="5" t="n">
        <v>58</v>
      </c>
      <c r="P901" s="5" t="n">
        <v>58</v>
      </c>
      <c r="Q901" s="5" t="n"/>
      <c r="R901" s="5" t="n"/>
      <c r="S901" s="5">
        <f>F901*20%</f>
        <v/>
      </c>
      <c r="T901" s="5">
        <f>J901-S901</f>
        <v/>
      </c>
      <c r="U901" s="5">
        <f>F901+J901</f>
        <v/>
      </c>
      <c r="V901" s="5">
        <f>O901-U901</f>
        <v/>
      </c>
      <c r="W901" s="5">
        <f>O901-(P901+R901)</f>
        <v/>
      </c>
      <c r="X901" s="5">
        <f>O901-(P901+Q901+R901)</f>
        <v/>
      </c>
    </row>
    <row r="902">
      <c r="A902" s="2" t="inlineStr">
        <is>
          <t>EJ011024.TXT</t>
        </is>
      </c>
      <c r="B902" s="3" t="inlineStr">
        <is>
          <t>005560</t>
        </is>
      </c>
      <c r="C902" s="3" t="inlineStr">
        <is>
          <t>004462</t>
        </is>
      </c>
      <c r="D902" s="4" t="n">
        <v>45545</v>
      </c>
      <c r="E902" s="2" t="inlineStr">
        <is>
          <t>17:05</t>
        </is>
      </c>
      <c r="F902" s="5" t="n">
        <v>465.83</v>
      </c>
      <c r="G902" s="5" t="n"/>
      <c r="H902" s="5" t="n"/>
      <c r="I902" s="5" t="n"/>
      <c r="J902" s="5" t="n">
        <v>93.17</v>
      </c>
      <c r="K902" s="5" t="n"/>
      <c r="L902" s="5" t="n"/>
      <c r="M902" s="5" t="n"/>
      <c r="N902" s="5" t="n"/>
      <c r="O902" s="5" t="n">
        <v>559</v>
      </c>
      <c r="P902" s="5" t="n"/>
      <c r="Q902" s="5" t="n">
        <v>559</v>
      </c>
      <c r="R902" s="5" t="n"/>
      <c r="S902" s="5">
        <f>F902*20%</f>
        <v/>
      </c>
      <c r="T902" s="5">
        <f>J902-S902</f>
        <v/>
      </c>
      <c r="U902" s="5">
        <f>F902+J902</f>
        <v/>
      </c>
      <c r="V902" s="5">
        <f>O902-U902</f>
        <v/>
      </c>
      <c r="W902" s="5">
        <f>O902-(P902+R902)</f>
        <v/>
      </c>
      <c r="X902" s="5">
        <f>O902-(P902+Q902+R902)</f>
        <v/>
      </c>
    </row>
    <row r="903">
      <c r="A903" s="2" t="inlineStr">
        <is>
          <t>EJ011024.TXT</t>
        </is>
      </c>
      <c r="B903" s="3" t="inlineStr">
        <is>
          <t>005561</t>
        </is>
      </c>
      <c r="C903" s="3" t="inlineStr">
        <is>
          <t>004463</t>
        </is>
      </c>
      <c r="D903" s="4" t="n">
        <v>45546</v>
      </c>
      <c r="E903" s="2" t="inlineStr">
        <is>
          <t>10:22</t>
        </is>
      </c>
      <c r="F903" s="5" t="n">
        <v>733.33</v>
      </c>
      <c r="G903" s="5" t="n"/>
      <c r="H903" s="5" t="n"/>
      <c r="I903" s="5" t="n"/>
      <c r="J903" s="5" t="n">
        <v>146.67</v>
      </c>
      <c r="K903" s="5" t="n"/>
      <c r="L903" s="5" t="n"/>
      <c r="M903" s="5" t="n"/>
      <c r="N903" s="5" t="n"/>
      <c r="O903" s="5" t="n">
        <v>880</v>
      </c>
      <c r="P903" s="5" t="n"/>
      <c r="Q903" s="5" t="n">
        <v>880</v>
      </c>
      <c r="R903" s="5" t="n"/>
      <c r="S903" s="5">
        <f>F903*20%</f>
        <v/>
      </c>
      <c r="T903" s="5">
        <f>J903-S903</f>
        <v/>
      </c>
      <c r="U903" s="5">
        <f>F903+J903</f>
        <v/>
      </c>
      <c r="V903" s="5">
        <f>O903-U903</f>
        <v/>
      </c>
      <c r="W903" s="5">
        <f>O903-(P903+R903)</f>
        <v/>
      </c>
      <c r="X903" s="5">
        <f>O903-(P903+Q903+R903)</f>
        <v/>
      </c>
    </row>
    <row r="904">
      <c r="A904" s="2" t="inlineStr">
        <is>
          <t>EJ011024.TXT</t>
        </is>
      </c>
      <c r="B904" s="3" t="inlineStr">
        <is>
          <t>005562</t>
        </is>
      </c>
      <c r="C904" s="3" t="inlineStr">
        <is>
          <t>004464</t>
        </is>
      </c>
      <c r="D904" s="4" t="n">
        <v>45546</v>
      </c>
      <c r="E904" s="2" t="inlineStr">
        <is>
          <t>11:48</t>
        </is>
      </c>
      <c r="F904" s="5" t="n">
        <v>274.17</v>
      </c>
      <c r="G904" s="5" t="n"/>
      <c r="H904" s="5" t="n"/>
      <c r="I904" s="5" t="n"/>
      <c r="J904" s="5" t="n">
        <v>54.83</v>
      </c>
      <c r="K904" s="5" t="n"/>
      <c r="L904" s="5" t="n"/>
      <c r="M904" s="5" t="n"/>
      <c r="N904" s="5" t="n"/>
      <c r="O904" s="5" t="n">
        <v>329</v>
      </c>
      <c r="P904" s="5" t="n"/>
      <c r="Q904" s="5" t="n">
        <v>329</v>
      </c>
      <c r="R904" s="5" t="n"/>
      <c r="S904" s="5">
        <f>F904*20%</f>
        <v/>
      </c>
      <c r="T904" s="5">
        <f>J904-S904</f>
        <v/>
      </c>
      <c r="U904" s="5">
        <f>F904+J904</f>
        <v/>
      </c>
      <c r="V904" s="5">
        <f>O904-U904</f>
        <v/>
      </c>
      <c r="W904" s="5">
        <f>O904-(P904+R904)</f>
        <v/>
      </c>
      <c r="X904" s="5">
        <f>O904-(P904+Q904+R904)</f>
        <v/>
      </c>
    </row>
    <row r="905">
      <c r="A905" s="2" t="inlineStr">
        <is>
          <t>EJ011024.TXT</t>
        </is>
      </c>
      <c r="B905" s="3" t="inlineStr">
        <is>
          <t>005563</t>
        </is>
      </c>
      <c r="C905" s="3" t="inlineStr">
        <is>
          <t>004465</t>
        </is>
      </c>
      <c r="D905" s="4" t="n">
        <v>45546</v>
      </c>
      <c r="E905" s="2" t="inlineStr">
        <is>
          <t>11:50</t>
        </is>
      </c>
      <c r="F905" s="5" t="n">
        <v>208.33</v>
      </c>
      <c r="G905" s="5" t="n"/>
      <c r="H905" s="5" t="n"/>
      <c r="I905" s="5" t="n"/>
      <c r="J905" s="5" t="n">
        <v>41.67</v>
      </c>
      <c r="K905" s="5" t="n"/>
      <c r="L905" s="5" t="n"/>
      <c r="M905" s="5" t="n"/>
      <c r="N905" s="5" t="n"/>
      <c r="O905" s="5" t="n">
        <v>250</v>
      </c>
      <c r="P905" s="5" t="n"/>
      <c r="Q905" s="5" t="n">
        <v>250</v>
      </c>
      <c r="R905" s="5" t="n"/>
      <c r="S905" s="5">
        <f>F905*20%</f>
        <v/>
      </c>
      <c r="T905" s="5">
        <f>J905-S905</f>
        <v/>
      </c>
      <c r="U905" s="5">
        <f>F905+J905</f>
        <v/>
      </c>
      <c r="V905" s="5">
        <f>O905-U905</f>
        <v/>
      </c>
      <c r="W905" s="5">
        <f>O905-(P905+R905)</f>
        <v/>
      </c>
      <c r="X905" s="5">
        <f>O905-(P905+Q905+R905)</f>
        <v/>
      </c>
    </row>
    <row r="906">
      <c r="A906" s="2" t="inlineStr">
        <is>
          <t>EJ011024.TXT</t>
        </is>
      </c>
      <c r="B906" s="3" t="inlineStr">
        <is>
          <t>005564</t>
        </is>
      </c>
      <c r="C906" s="3" t="inlineStr">
        <is>
          <t>004466</t>
        </is>
      </c>
      <c r="D906" s="4" t="n">
        <v>45546</v>
      </c>
      <c r="E906" s="2" t="inlineStr">
        <is>
          <t>11:53</t>
        </is>
      </c>
      <c r="F906" s="5" t="n">
        <v>208.33</v>
      </c>
      <c r="G906" s="5" t="n"/>
      <c r="H906" s="5" t="n"/>
      <c r="I906" s="5" t="n"/>
      <c r="J906" s="5" t="n">
        <v>41.67</v>
      </c>
      <c r="K906" s="5" t="n"/>
      <c r="L906" s="5" t="n"/>
      <c r="M906" s="5" t="n"/>
      <c r="N906" s="5" t="n"/>
      <c r="O906" s="5" t="n">
        <v>250</v>
      </c>
      <c r="P906" s="5" t="n"/>
      <c r="Q906" s="5" t="n">
        <v>250</v>
      </c>
      <c r="R906" s="5" t="n"/>
      <c r="S906" s="5">
        <f>F906*20%</f>
        <v/>
      </c>
      <c r="T906" s="5">
        <f>J906-S906</f>
        <v/>
      </c>
      <c r="U906" s="5">
        <f>F906+J906</f>
        <v/>
      </c>
      <c r="V906" s="5">
        <f>O906-U906</f>
        <v/>
      </c>
      <c r="W906" s="5">
        <f>O906-(P906+R906)</f>
        <v/>
      </c>
      <c r="X906" s="5">
        <f>O906-(P906+Q906+R906)</f>
        <v/>
      </c>
    </row>
    <row r="907">
      <c r="A907" s="2" t="inlineStr">
        <is>
          <t>EJ011024.TXT</t>
        </is>
      </c>
      <c r="B907" s="3" t="inlineStr">
        <is>
          <t>005565</t>
        </is>
      </c>
      <c r="C907" s="3" t="inlineStr">
        <is>
          <t>004467</t>
        </is>
      </c>
      <c r="D907" s="4" t="n">
        <v>45546</v>
      </c>
      <c r="E907" s="2" t="inlineStr">
        <is>
          <t>12:00</t>
        </is>
      </c>
      <c r="F907" s="5" t="n">
        <v>208.33</v>
      </c>
      <c r="G907" s="5" t="n"/>
      <c r="H907" s="5" t="n"/>
      <c r="I907" s="5" t="n"/>
      <c r="J907" s="5" t="n">
        <v>41.67</v>
      </c>
      <c r="K907" s="5" t="n"/>
      <c r="L907" s="5" t="n"/>
      <c r="M907" s="5" t="n"/>
      <c r="N907" s="5" t="n"/>
      <c r="O907" s="5" t="n">
        <v>250</v>
      </c>
      <c r="P907" s="5" t="n"/>
      <c r="Q907" s="5" t="n">
        <v>250</v>
      </c>
      <c r="R907" s="5" t="n"/>
      <c r="S907" s="5">
        <f>F907*20%</f>
        <v/>
      </c>
      <c r="T907" s="5">
        <f>J907-S907</f>
        <v/>
      </c>
      <c r="U907" s="5">
        <f>F907+J907</f>
        <v/>
      </c>
      <c r="V907" s="5">
        <f>O907-U907</f>
        <v/>
      </c>
      <c r="W907" s="5">
        <f>O907-(P907+R907)</f>
        <v/>
      </c>
      <c r="X907" s="5">
        <f>O907-(P907+Q907+R907)</f>
        <v/>
      </c>
    </row>
    <row r="908">
      <c r="A908" s="2" t="inlineStr">
        <is>
          <t>EJ011024.TXT</t>
        </is>
      </c>
      <c r="B908" s="3" t="inlineStr">
        <is>
          <t>005566</t>
        </is>
      </c>
      <c r="C908" s="3" t="inlineStr">
        <is>
          <t>004468</t>
        </is>
      </c>
      <c r="D908" s="4" t="n">
        <v>45547</v>
      </c>
      <c r="E908" s="2" t="inlineStr">
        <is>
          <t>14:50</t>
        </is>
      </c>
      <c r="F908" s="5" t="n">
        <v>832.5</v>
      </c>
      <c r="G908" s="5" t="n"/>
      <c r="H908" s="5" t="n"/>
      <c r="I908" s="5" t="n"/>
      <c r="J908" s="5" t="n">
        <v>166.5</v>
      </c>
      <c r="K908" s="5" t="n"/>
      <c r="L908" s="5" t="n"/>
      <c r="M908" s="5" t="n"/>
      <c r="N908" s="5" t="n"/>
      <c r="O908" s="5" t="n">
        <v>999</v>
      </c>
      <c r="P908" s="5" t="n"/>
      <c r="Q908" s="5" t="n">
        <v>999</v>
      </c>
      <c r="R908" s="5" t="n"/>
      <c r="S908" s="5">
        <f>F908*20%</f>
        <v/>
      </c>
      <c r="T908" s="5">
        <f>J908-S908</f>
        <v/>
      </c>
      <c r="U908" s="5">
        <f>F908+J908</f>
        <v/>
      </c>
      <c r="V908" s="5">
        <f>O908-U908</f>
        <v/>
      </c>
      <c r="W908" s="5">
        <f>O908-(P908+R908)</f>
        <v/>
      </c>
      <c r="X908" s="5">
        <f>O908-(P908+Q908+R908)</f>
        <v/>
      </c>
    </row>
    <row r="909">
      <c r="A909" s="2" t="inlineStr">
        <is>
          <t>EJ011024.TXT</t>
        </is>
      </c>
      <c r="B909" s="3" t="inlineStr">
        <is>
          <t>005567</t>
        </is>
      </c>
      <c r="C909" s="3" t="inlineStr">
        <is>
          <t>004469</t>
        </is>
      </c>
      <c r="D909" s="4" t="n">
        <v>45547</v>
      </c>
      <c r="E909" s="2" t="inlineStr">
        <is>
          <t>14:54</t>
        </is>
      </c>
      <c r="F909" s="5" t="n">
        <v>40.75</v>
      </c>
      <c r="G909" s="5" t="n"/>
      <c r="H909" s="5" t="n"/>
      <c r="I909" s="5" t="n"/>
      <c r="J909" s="5" t="n">
        <v>8.15</v>
      </c>
      <c r="K909" s="5" t="n"/>
      <c r="L909" s="5" t="n"/>
      <c r="M909" s="5" t="n"/>
      <c r="N909" s="5" t="n"/>
      <c r="O909" s="5" t="n">
        <v>48.9</v>
      </c>
      <c r="P909" s="5" t="n"/>
      <c r="Q909" s="5" t="n">
        <v>48.9</v>
      </c>
      <c r="R909" s="5" t="n"/>
      <c r="S909" s="5">
        <f>F909*20%</f>
        <v/>
      </c>
      <c r="T909" s="5">
        <f>J909-S909</f>
        <v/>
      </c>
      <c r="U909" s="5">
        <f>F909+J909</f>
        <v/>
      </c>
      <c r="V909" s="5">
        <f>O909-U909</f>
        <v/>
      </c>
      <c r="W909" s="5">
        <f>O909-(P909+R909)</f>
        <v/>
      </c>
      <c r="X909" s="5">
        <f>O909-(P909+Q909+R909)</f>
        <v/>
      </c>
    </row>
    <row r="910">
      <c r="A910" s="2" t="inlineStr">
        <is>
          <t>EJ011024.TXT</t>
        </is>
      </c>
      <c r="B910" s="3" t="inlineStr">
        <is>
          <t>005568</t>
        </is>
      </c>
      <c r="C910" s="3" t="inlineStr">
        <is>
          <t>004470</t>
        </is>
      </c>
      <c r="D910" s="4" t="n">
        <v>45547</v>
      </c>
      <c r="E910" s="2" t="inlineStr">
        <is>
          <t>15:03</t>
        </is>
      </c>
      <c r="F910" s="5" t="n">
        <v>733.33</v>
      </c>
      <c r="G910" s="5" t="n"/>
      <c r="H910" s="5" t="n"/>
      <c r="I910" s="5" t="n"/>
      <c r="J910" s="5" t="n">
        <v>146.67</v>
      </c>
      <c r="K910" s="5" t="n"/>
      <c r="L910" s="5" t="n"/>
      <c r="M910" s="5" t="n"/>
      <c r="N910" s="5" t="n"/>
      <c r="O910" s="5" t="n">
        <v>880</v>
      </c>
      <c r="P910" s="5" t="n"/>
      <c r="Q910" s="5" t="n">
        <v>880</v>
      </c>
      <c r="R910" s="5" t="n"/>
      <c r="S910" s="5">
        <f>F910*20%</f>
        <v/>
      </c>
      <c r="T910" s="5">
        <f>J910-S910</f>
        <v/>
      </c>
      <c r="U910" s="5">
        <f>F910+J910</f>
        <v/>
      </c>
      <c r="V910" s="5">
        <f>O910-U910</f>
        <v/>
      </c>
      <c r="W910" s="5">
        <f>O910-(P910+R910)</f>
        <v/>
      </c>
      <c r="X910" s="5">
        <f>O910-(P910+Q910+R910)</f>
        <v/>
      </c>
    </row>
    <row r="911">
      <c r="A911" s="2" t="inlineStr">
        <is>
          <t>EJ011024.TXT</t>
        </is>
      </c>
      <c r="B911" s="3" t="inlineStr">
        <is>
          <t>005569</t>
        </is>
      </c>
      <c r="C911" s="3" t="inlineStr">
        <is>
          <t>004471</t>
        </is>
      </c>
      <c r="D911" s="4" t="n">
        <v>45548</v>
      </c>
      <c r="E911" s="2" t="inlineStr">
        <is>
          <t>14:59</t>
        </is>
      </c>
      <c r="F911" s="5" t="n">
        <v>274.17</v>
      </c>
      <c r="G911" s="5" t="n"/>
      <c r="H911" s="5" t="n"/>
      <c r="I911" s="5" t="n"/>
      <c r="J911" s="5" t="n">
        <v>54.83</v>
      </c>
      <c r="K911" s="5" t="n"/>
      <c r="L911" s="5" t="n"/>
      <c r="M911" s="5" t="n"/>
      <c r="N911" s="5" t="n"/>
      <c r="O911" s="5" t="n">
        <v>329</v>
      </c>
      <c r="P911" s="5" t="n"/>
      <c r="Q911" s="5" t="n">
        <v>329</v>
      </c>
      <c r="R911" s="5" t="n"/>
      <c r="S911" s="5">
        <f>F911*20%</f>
        <v/>
      </c>
      <c r="T911" s="5">
        <f>J911-S911</f>
        <v/>
      </c>
      <c r="U911" s="5">
        <f>F911+J911</f>
        <v/>
      </c>
      <c r="V911" s="5">
        <f>O911-U911</f>
        <v/>
      </c>
      <c r="W911" s="5">
        <f>O911-(P911+R911)</f>
        <v/>
      </c>
      <c r="X911" s="5">
        <f>O911-(P911+Q911+R911)</f>
        <v/>
      </c>
    </row>
    <row r="912">
      <c r="A912" s="2" t="inlineStr">
        <is>
          <t>EJ011024.TXT</t>
        </is>
      </c>
      <c r="B912" s="3" t="inlineStr">
        <is>
          <t>005570</t>
        </is>
      </c>
      <c r="C912" s="3" t="inlineStr">
        <is>
          <t>004472</t>
        </is>
      </c>
      <c r="D912" s="4" t="n">
        <v>45552</v>
      </c>
      <c r="E912" s="2" t="inlineStr">
        <is>
          <t>10:29</t>
        </is>
      </c>
      <c r="F912" s="5" t="n">
        <v>548.33</v>
      </c>
      <c r="G912" s="5" t="n"/>
      <c r="H912" s="5" t="n"/>
      <c r="I912" s="5" t="n"/>
      <c r="J912" s="5" t="n">
        <v>109.67</v>
      </c>
      <c r="K912" s="5" t="n"/>
      <c r="L912" s="5" t="n"/>
      <c r="M912" s="5" t="n"/>
      <c r="N912" s="5" t="n"/>
      <c r="O912" s="5" t="n">
        <v>658</v>
      </c>
      <c r="P912" s="5" t="n">
        <v>658</v>
      </c>
      <c r="Q912" s="5" t="n"/>
      <c r="R912" s="5" t="n"/>
      <c r="S912" s="5">
        <f>F912*20%</f>
        <v/>
      </c>
      <c r="T912" s="5">
        <f>J912-S912</f>
        <v/>
      </c>
      <c r="U912" s="5">
        <f>F912+J912</f>
        <v/>
      </c>
      <c r="V912" s="5">
        <f>O912-U912</f>
        <v/>
      </c>
      <c r="W912" s="5">
        <f>O912-(P912+R912)</f>
        <v/>
      </c>
      <c r="X912" s="5">
        <f>O912-(P912+Q912+R912)</f>
        <v/>
      </c>
    </row>
    <row r="913">
      <c r="A913" s="2" t="inlineStr">
        <is>
          <t>EJ011024.TXT</t>
        </is>
      </c>
      <c r="B913" s="3" t="inlineStr">
        <is>
          <t>005571</t>
        </is>
      </c>
      <c r="C913" s="3" t="inlineStr">
        <is>
          <t>004473</t>
        </is>
      </c>
      <c r="D913" s="4" t="n">
        <v>45552</v>
      </c>
      <c r="E913" s="2" t="inlineStr">
        <is>
          <t>14:34</t>
        </is>
      </c>
      <c r="F913" s="5" t="n">
        <v>313.33</v>
      </c>
      <c r="G913" s="5" t="n"/>
      <c r="H913" s="5" t="n"/>
      <c r="I913" s="5" t="n"/>
      <c r="J913" s="5" t="n">
        <v>62.67</v>
      </c>
      <c r="K913" s="5" t="n"/>
      <c r="L913" s="5" t="n"/>
      <c r="M913" s="5" t="n"/>
      <c r="N913" s="5" t="n"/>
      <c r="O913" s="5" t="n">
        <v>376</v>
      </c>
      <c r="P913" s="5" t="n"/>
      <c r="Q913" s="5" t="n">
        <v>376</v>
      </c>
      <c r="R913" s="5" t="n"/>
      <c r="S913" s="5">
        <f>F913*20%</f>
        <v/>
      </c>
      <c r="T913" s="5">
        <f>J913-S913</f>
        <v/>
      </c>
      <c r="U913" s="5">
        <f>F913+J913</f>
        <v/>
      </c>
      <c r="V913" s="5">
        <f>O913-U913</f>
        <v/>
      </c>
      <c r="W913" s="5">
        <f>O913-(P913+R913)</f>
        <v/>
      </c>
      <c r="X913" s="5">
        <f>O913-(P913+Q913+R913)</f>
        <v/>
      </c>
    </row>
    <row r="914">
      <c r="A914" s="2" t="inlineStr">
        <is>
          <t>EJ011024.TXT</t>
        </is>
      </c>
      <c r="B914" s="3" t="inlineStr">
        <is>
          <t>005572</t>
        </is>
      </c>
      <c r="C914" s="3" t="inlineStr">
        <is>
          <t>004474</t>
        </is>
      </c>
      <c r="D914" s="4" t="n">
        <v>45552</v>
      </c>
      <c r="E914" s="2" t="inlineStr">
        <is>
          <t>14:44</t>
        </is>
      </c>
      <c r="F914" s="5" t="n">
        <v>816.67</v>
      </c>
      <c r="G914" s="5" t="n"/>
      <c r="H914" s="5" t="n"/>
      <c r="I914" s="5" t="n"/>
      <c r="J914" s="5" t="n">
        <v>163.33</v>
      </c>
      <c r="K914" s="5" t="n"/>
      <c r="L914" s="5" t="n"/>
      <c r="M914" s="5" t="n"/>
      <c r="N914" s="5" t="n"/>
      <c r="O914" s="5" t="n">
        <v>980</v>
      </c>
      <c r="P914" s="5" t="n"/>
      <c r="Q914" s="5" t="n">
        <v>980</v>
      </c>
      <c r="R914" s="5" t="n"/>
      <c r="S914" s="5">
        <f>F914*20%</f>
        <v/>
      </c>
      <c r="T914" s="5">
        <f>J914-S914</f>
        <v/>
      </c>
      <c r="U914" s="5">
        <f>F914+J914</f>
        <v/>
      </c>
      <c r="V914" s="5">
        <f>O914-U914</f>
        <v/>
      </c>
      <c r="W914" s="5">
        <f>O914-(P914+R914)</f>
        <v/>
      </c>
      <c r="X914" s="5">
        <f>O914-(P914+Q914+R914)</f>
        <v/>
      </c>
    </row>
    <row r="915">
      <c r="A915" s="2" t="inlineStr">
        <is>
          <t>EJ011024.TXT</t>
        </is>
      </c>
      <c r="B915" s="3" t="inlineStr">
        <is>
          <t>005573</t>
        </is>
      </c>
      <c r="C915" s="3" t="inlineStr">
        <is>
          <t>004475</t>
        </is>
      </c>
      <c r="D915" s="4" t="n">
        <v>45553</v>
      </c>
      <c r="E915" s="2" t="inlineStr">
        <is>
          <t>10:41</t>
        </is>
      </c>
      <c r="F915" s="5" t="n">
        <v>548.33</v>
      </c>
      <c r="G915" s="5" t="n"/>
      <c r="H915" s="5" t="n"/>
      <c r="I915" s="5" t="n"/>
      <c r="J915" s="5" t="n">
        <v>109.67</v>
      </c>
      <c r="K915" s="5" t="n"/>
      <c r="L915" s="5" t="n"/>
      <c r="M915" s="5" t="n"/>
      <c r="N915" s="5" t="n"/>
      <c r="O915" s="5" t="n">
        <v>658</v>
      </c>
      <c r="P915" s="5" t="n"/>
      <c r="Q915" s="5" t="n">
        <v>658</v>
      </c>
      <c r="R915" s="5" t="n"/>
      <c r="S915" s="5">
        <f>F915*20%</f>
        <v/>
      </c>
      <c r="T915" s="5">
        <f>J915-S915</f>
        <v/>
      </c>
      <c r="U915" s="5">
        <f>F915+J915</f>
        <v/>
      </c>
      <c r="V915" s="5">
        <f>O915-U915</f>
        <v/>
      </c>
      <c r="W915" s="5">
        <f>O915-(P915+R915)</f>
        <v/>
      </c>
      <c r="X915" s="5">
        <f>O915-(P915+Q915+R915)</f>
        <v/>
      </c>
    </row>
    <row r="916">
      <c r="A916" s="2" t="inlineStr">
        <is>
          <t>EJ011024.TXT</t>
        </is>
      </c>
      <c r="B916" s="3" t="inlineStr">
        <is>
          <t>005574</t>
        </is>
      </c>
      <c r="C916" s="3" t="inlineStr">
        <is>
          <t>004476</t>
        </is>
      </c>
      <c r="D916" s="4" t="n">
        <v>45559</v>
      </c>
      <c r="E916" s="2" t="inlineStr">
        <is>
          <t>16:00</t>
        </is>
      </c>
      <c r="F916" s="5" t="n">
        <v>415</v>
      </c>
      <c r="G916" s="5" t="n"/>
      <c r="H916" s="5" t="n"/>
      <c r="I916" s="5" t="n"/>
      <c r="J916" s="5" t="n">
        <v>83</v>
      </c>
      <c r="K916" s="5" t="n"/>
      <c r="L916" s="5" t="n"/>
      <c r="M916" s="5" t="n"/>
      <c r="N916" s="5" t="n"/>
      <c r="O916" s="5" t="n">
        <v>498</v>
      </c>
      <c r="P916" s="5" t="n">
        <v>498</v>
      </c>
      <c r="Q916" s="5" t="n"/>
      <c r="R916" s="5" t="n"/>
      <c r="S916" s="5">
        <f>F916*20%</f>
        <v/>
      </c>
      <c r="T916" s="5">
        <f>J916-S916</f>
        <v/>
      </c>
      <c r="U916" s="5">
        <f>F916+J916</f>
        <v/>
      </c>
      <c r="V916" s="5">
        <f>O916-U916</f>
        <v/>
      </c>
      <c r="W916" s="5">
        <f>O916-(P916+R916)</f>
        <v/>
      </c>
      <c r="X916" s="5">
        <f>O916-(P916+Q916+R916)</f>
        <v/>
      </c>
    </row>
    <row r="917">
      <c r="A917" s="2" t="inlineStr">
        <is>
          <t>EJ011024.TXT</t>
        </is>
      </c>
      <c r="B917" s="3" t="inlineStr">
        <is>
          <t>005575</t>
        </is>
      </c>
      <c r="C917" s="3" t="inlineStr">
        <is>
          <t>004477</t>
        </is>
      </c>
      <c r="D917" s="4" t="n">
        <v>45559</v>
      </c>
      <c r="E917" s="2" t="inlineStr">
        <is>
          <t>16:08</t>
        </is>
      </c>
      <c r="F917" s="5" t="n">
        <v>816.67</v>
      </c>
      <c r="G917" s="5" t="n"/>
      <c r="H917" s="5" t="n"/>
      <c r="I917" s="5" t="n"/>
      <c r="J917" s="5" t="n">
        <v>163.33</v>
      </c>
      <c r="K917" s="5" t="n"/>
      <c r="L917" s="5" t="n"/>
      <c r="M917" s="5" t="n"/>
      <c r="N917" s="5" t="n"/>
      <c r="O917" s="5" t="n">
        <v>980</v>
      </c>
      <c r="P917" s="5" t="n"/>
      <c r="Q917" s="5" t="n">
        <v>980</v>
      </c>
      <c r="R917" s="5" t="n"/>
      <c r="S917" s="5">
        <f>F917*20%</f>
        <v/>
      </c>
      <c r="T917" s="5">
        <f>J917-S917</f>
        <v/>
      </c>
      <c r="U917" s="5">
        <f>F917+J917</f>
        <v/>
      </c>
      <c r="V917" s="5">
        <f>O917-U917</f>
        <v/>
      </c>
      <c r="W917" s="5">
        <f>O917-(P917+R917)</f>
        <v/>
      </c>
      <c r="X917" s="5">
        <f>O917-(P917+Q917+R917)</f>
        <v/>
      </c>
    </row>
    <row r="918">
      <c r="A918" s="2" t="inlineStr">
        <is>
          <t>EJ011024.TXT</t>
        </is>
      </c>
      <c r="B918" s="3" t="inlineStr">
        <is>
          <t>005576</t>
        </is>
      </c>
      <c r="C918" s="3" t="inlineStr">
        <is>
          <t>004478</t>
        </is>
      </c>
      <c r="D918" s="4" t="n">
        <v>45562</v>
      </c>
      <c r="E918" s="2" t="inlineStr">
        <is>
          <t>15:32</t>
        </is>
      </c>
      <c r="F918" s="5" t="n">
        <v>816.67</v>
      </c>
      <c r="G918" s="5" t="n"/>
      <c r="H918" s="5" t="n"/>
      <c r="I918" s="5" t="n"/>
      <c r="J918" s="5" t="n">
        <v>163.33</v>
      </c>
      <c r="K918" s="5" t="n"/>
      <c r="L918" s="5" t="n"/>
      <c r="M918" s="5" t="n"/>
      <c r="N918" s="5" t="n"/>
      <c r="O918" s="5" t="n">
        <v>980</v>
      </c>
      <c r="P918" s="5" t="n"/>
      <c r="Q918" s="5" t="n">
        <v>980</v>
      </c>
      <c r="R918" s="5" t="n"/>
      <c r="S918" s="5">
        <f>F918*20%</f>
        <v/>
      </c>
      <c r="T918" s="5">
        <f>J918-S918</f>
        <v/>
      </c>
      <c r="U918" s="5">
        <f>F918+J918</f>
        <v/>
      </c>
      <c r="V918" s="5">
        <f>O918-U918</f>
        <v/>
      </c>
      <c r="W918" s="5">
        <f>O918-(P918+R918)</f>
        <v/>
      </c>
      <c r="X918" s="5">
        <f>O918-(P918+Q918+R918)</f>
        <v/>
      </c>
    </row>
    <row r="919">
      <c r="A919" s="2" t="inlineStr">
        <is>
          <t>EJ011024.TXT</t>
        </is>
      </c>
      <c r="B919" s="3" t="inlineStr">
        <is>
          <t>005577</t>
        </is>
      </c>
      <c r="C919" s="3" t="inlineStr">
        <is>
          <t>004479</t>
        </is>
      </c>
      <c r="D919" s="4" t="n">
        <v>45565</v>
      </c>
      <c r="E919" s="2" t="inlineStr">
        <is>
          <t>09:13</t>
        </is>
      </c>
      <c r="F919" s="5" t="n">
        <v>816.67</v>
      </c>
      <c r="G919" s="5" t="n"/>
      <c r="H919" s="5" t="n"/>
      <c r="I919" s="5" t="n"/>
      <c r="J919" s="5" t="n">
        <v>163.33</v>
      </c>
      <c r="K919" s="5" t="n"/>
      <c r="L919" s="5" t="n"/>
      <c r="M919" s="5" t="n"/>
      <c r="N919" s="5" t="n"/>
      <c r="O919" s="5" t="n">
        <v>980</v>
      </c>
      <c r="P919" s="5" t="n"/>
      <c r="Q919" s="5" t="n">
        <v>980</v>
      </c>
      <c r="R919" s="5" t="n"/>
      <c r="S919" s="5">
        <f>F919*20%</f>
        <v/>
      </c>
      <c r="T919" s="5">
        <f>J919-S919</f>
        <v/>
      </c>
      <c r="U919" s="5">
        <f>F919+J919</f>
        <v/>
      </c>
      <c r="V919" s="5">
        <f>O919-U919</f>
        <v/>
      </c>
      <c r="W919" s="5">
        <f>O919-(P919+R919)</f>
        <v/>
      </c>
      <c r="X919" s="5">
        <f>O919-(P919+Q919+R919)</f>
        <v/>
      </c>
    </row>
    <row r="920">
      <c r="A920" s="2" t="inlineStr">
        <is>
          <t>EJ011024.TXT</t>
        </is>
      </c>
      <c r="B920" s="3" t="inlineStr">
        <is>
          <t>005578</t>
        </is>
      </c>
      <c r="C920" s="3" t="inlineStr">
        <is>
          <t>004480</t>
        </is>
      </c>
      <c r="D920" s="4" t="n">
        <v>45565</v>
      </c>
      <c r="E920" s="2" t="inlineStr">
        <is>
          <t>13:36</t>
        </is>
      </c>
      <c r="F920" s="5" t="n">
        <v>208.33</v>
      </c>
      <c r="G920" s="5" t="n"/>
      <c r="H920" s="5" t="n"/>
      <c r="I920" s="5" t="n"/>
      <c r="J920" s="5" t="n">
        <v>41.67</v>
      </c>
      <c r="K920" s="5" t="n"/>
      <c r="L920" s="5" t="n"/>
      <c r="M920" s="5" t="n"/>
      <c r="N920" s="5" t="n"/>
      <c r="O920" s="5" t="n">
        <v>250</v>
      </c>
      <c r="P920" s="5" t="n"/>
      <c r="Q920" s="5" t="n">
        <v>250</v>
      </c>
      <c r="R920" s="5" t="n"/>
      <c r="S920" s="5">
        <f>F920*20%</f>
        <v/>
      </c>
      <c r="T920" s="5">
        <f>J920-S920</f>
        <v/>
      </c>
      <c r="U920" s="5">
        <f>F920+J920</f>
        <v/>
      </c>
      <c r="V920" s="5">
        <f>O920-U920</f>
        <v/>
      </c>
      <c r="W920" s="5">
        <f>O920-(P920+R920)</f>
        <v/>
      </c>
      <c r="X920" s="5">
        <f>O920-(P920+Q920+R920)</f>
        <v/>
      </c>
    </row>
    <row r="921">
      <c r="A921" s="2" t="inlineStr">
        <is>
          <t>EJ011024.TXT</t>
        </is>
      </c>
      <c r="B921" s="3" t="inlineStr">
        <is>
          <t>005579</t>
        </is>
      </c>
      <c r="C921" s="3" t="inlineStr">
        <is>
          <t>004481</t>
        </is>
      </c>
      <c r="D921" s="4" t="n">
        <v>45565</v>
      </c>
      <c r="E921" s="2" t="inlineStr">
        <is>
          <t>16:24</t>
        </is>
      </c>
      <c r="F921" s="5" t="n">
        <v>415.83</v>
      </c>
      <c r="G921" s="5" t="n"/>
      <c r="H921" s="5" t="n"/>
      <c r="I921" s="5" t="n"/>
      <c r="J921" s="5" t="n">
        <v>83.17</v>
      </c>
      <c r="K921" s="5" t="n"/>
      <c r="L921" s="5" t="n"/>
      <c r="M921" s="5" t="n"/>
      <c r="N921" s="5" t="n"/>
      <c r="O921" s="5" t="n">
        <v>499</v>
      </c>
      <c r="P921" s="5" t="n"/>
      <c r="Q921" s="5" t="n">
        <v>499</v>
      </c>
      <c r="R921" s="5" t="n"/>
      <c r="S921" s="5">
        <f>F921*20%</f>
        <v/>
      </c>
      <c r="T921" s="5">
        <f>J921-S921</f>
        <v/>
      </c>
      <c r="U921" s="5">
        <f>F921+J921</f>
        <v/>
      </c>
      <c r="V921" s="5">
        <f>O921-U921</f>
        <v/>
      </c>
      <c r="W921" s="5">
        <f>O921-(P921+R921)</f>
        <v/>
      </c>
      <c r="X921" s="5">
        <f>O921-(P921+Q921+R921)</f>
        <v/>
      </c>
    </row>
    <row r="922">
      <c r="A922" s="2" t="inlineStr">
        <is>
          <t>EJ051124.TXT</t>
        </is>
      </c>
      <c r="B922" s="3" t="inlineStr">
        <is>
          <t>005587</t>
        </is>
      </c>
      <c r="C922" s="3" t="inlineStr">
        <is>
          <t>004482</t>
        </is>
      </c>
      <c r="D922" s="4" t="n">
        <v>45566</v>
      </c>
      <c r="E922" s="2" t="inlineStr">
        <is>
          <t>16:37</t>
        </is>
      </c>
      <c r="F922" s="5" t="n">
        <v>807.5</v>
      </c>
      <c r="G922" s="5" t="n"/>
      <c r="H922" s="5" t="n"/>
      <c r="I922" s="5" t="n"/>
      <c r="J922" s="5" t="n">
        <v>161.5</v>
      </c>
      <c r="K922" s="5" t="n"/>
      <c r="L922" s="5" t="n"/>
      <c r="M922" s="5" t="n"/>
      <c r="N922" s="5" t="n"/>
      <c r="O922" s="5" t="n">
        <v>969</v>
      </c>
      <c r="P922" s="5" t="n"/>
      <c r="Q922" s="5" t="n">
        <v>969</v>
      </c>
      <c r="R922" s="5" t="n"/>
      <c r="S922" s="5">
        <f>F922*20%</f>
        <v/>
      </c>
      <c r="T922" s="5">
        <f>J922-S922</f>
        <v/>
      </c>
      <c r="U922" s="5">
        <f>F922+J922</f>
        <v/>
      </c>
      <c r="V922" s="5">
        <f>O922-U922</f>
        <v/>
      </c>
      <c r="W922" s="5">
        <f>O922-(P922+R922)</f>
        <v/>
      </c>
      <c r="X922" s="5">
        <f>O922-(P922+Q922+R922)</f>
        <v/>
      </c>
    </row>
    <row r="923">
      <c r="A923" s="2" t="inlineStr">
        <is>
          <t>EJ051124.TXT</t>
        </is>
      </c>
      <c r="B923" s="3" t="inlineStr">
        <is>
          <t>005588</t>
        </is>
      </c>
      <c r="C923" s="3" t="inlineStr">
        <is>
          <t>004483</t>
        </is>
      </c>
      <c r="D923" s="4" t="n">
        <v>45566</v>
      </c>
      <c r="E923" s="2" t="inlineStr">
        <is>
          <t>16:37</t>
        </is>
      </c>
      <c r="F923" s="5" t="n">
        <v>807.5</v>
      </c>
      <c r="G923" s="5" t="n"/>
      <c r="H923" s="5" t="n"/>
      <c r="I923" s="5" t="n"/>
      <c r="J923" s="5" t="n">
        <v>161.5</v>
      </c>
      <c r="K923" s="5" t="n"/>
      <c r="L923" s="5" t="n"/>
      <c r="M923" s="5" t="n"/>
      <c r="N923" s="5" t="n"/>
      <c r="O923" s="5" t="n">
        <v>969</v>
      </c>
      <c r="P923" s="5" t="n"/>
      <c r="Q923" s="5" t="n">
        <v>969</v>
      </c>
      <c r="R923" s="5" t="n"/>
      <c r="S923" s="5">
        <f>F923*20%</f>
        <v/>
      </c>
      <c r="T923" s="5">
        <f>J923-S923</f>
        <v/>
      </c>
      <c r="U923" s="5">
        <f>F923+J923</f>
        <v/>
      </c>
      <c r="V923" s="5">
        <f>O923-U923</f>
        <v/>
      </c>
      <c r="W923" s="5">
        <f>O923-(P923+R923)</f>
        <v/>
      </c>
      <c r="X923" s="5">
        <f>O923-(P923+Q923+R923)</f>
        <v/>
      </c>
    </row>
    <row r="924">
      <c r="A924" s="2" t="inlineStr">
        <is>
          <t>EJ051124.TXT</t>
        </is>
      </c>
      <c r="B924" s="3" t="inlineStr">
        <is>
          <t>005589</t>
        </is>
      </c>
      <c r="C924" s="3" t="inlineStr">
        <is>
          <t>004484</t>
        </is>
      </c>
      <c r="D924" s="4" t="n">
        <v>45566</v>
      </c>
      <c r="E924" s="2" t="inlineStr">
        <is>
          <t>16:47</t>
        </is>
      </c>
      <c r="F924" s="5" t="n">
        <v>208.33</v>
      </c>
      <c r="G924" s="5" t="n"/>
      <c r="H924" s="5" t="n"/>
      <c r="I924" s="5" t="n"/>
      <c r="J924" s="5" t="n">
        <v>41.67</v>
      </c>
      <c r="K924" s="5" t="n"/>
      <c r="L924" s="5" t="n"/>
      <c r="M924" s="5" t="n"/>
      <c r="N924" s="5" t="n"/>
      <c r="O924" s="5" t="n">
        <v>250</v>
      </c>
      <c r="P924" s="5" t="n"/>
      <c r="Q924" s="5" t="n">
        <v>250</v>
      </c>
      <c r="R924" s="5" t="n"/>
      <c r="S924" s="5">
        <f>F924*20%</f>
        <v/>
      </c>
      <c r="T924" s="5">
        <f>J924-S924</f>
        <v/>
      </c>
      <c r="U924" s="5">
        <f>F924+J924</f>
        <v/>
      </c>
      <c r="V924" s="5">
        <f>O924-U924</f>
        <v/>
      </c>
      <c r="W924" s="5">
        <f>O924-(P924+R924)</f>
        <v/>
      </c>
      <c r="X924" s="5">
        <f>O924-(P924+Q924+R924)</f>
        <v/>
      </c>
    </row>
    <row r="925">
      <c r="A925" s="2" t="inlineStr">
        <is>
          <t>EJ051124.TXT</t>
        </is>
      </c>
      <c r="B925" s="3" t="inlineStr">
        <is>
          <t>005590</t>
        </is>
      </c>
      <c r="C925" s="3" t="inlineStr">
        <is>
          <t>004485</t>
        </is>
      </c>
      <c r="D925" s="4" t="n">
        <v>45568</v>
      </c>
      <c r="E925" s="2" t="inlineStr">
        <is>
          <t>14:51</t>
        </is>
      </c>
      <c r="F925" s="5" t="n">
        <v>208.33</v>
      </c>
      <c r="G925" s="5" t="n"/>
      <c r="H925" s="5" t="n"/>
      <c r="I925" s="5" t="n"/>
      <c r="J925" s="5" t="n">
        <v>41.67</v>
      </c>
      <c r="K925" s="5" t="n"/>
      <c r="L925" s="5" t="n"/>
      <c r="M925" s="5" t="n"/>
      <c r="N925" s="5" t="n"/>
      <c r="O925" s="5" t="n">
        <v>250</v>
      </c>
      <c r="P925" s="5" t="n"/>
      <c r="Q925" s="5" t="n">
        <v>250</v>
      </c>
      <c r="R925" s="5" t="n"/>
      <c r="S925" s="5">
        <f>F925*20%</f>
        <v/>
      </c>
      <c r="T925" s="5">
        <f>J925-S925</f>
        <v/>
      </c>
      <c r="U925" s="5">
        <f>F925+J925</f>
        <v/>
      </c>
      <c r="V925" s="5">
        <f>O925-U925</f>
        <v/>
      </c>
      <c r="W925" s="5">
        <f>O925-(P925+R925)</f>
        <v/>
      </c>
      <c r="X925" s="5">
        <f>O925-(P925+Q925+R925)</f>
        <v/>
      </c>
    </row>
    <row r="926">
      <c r="A926" s="2" t="inlineStr">
        <is>
          <t>EJ051124.TXT</t>
        </is>
      </c>
      <c r="B926" s="3" t="inlineStr">
        <is>
          <t>005591</t>
        </is>
      </c>
      <c r="C926" s="3" t="inlineStr">
        <is>
          <t>004486</t>
        </is>
      </c>
      <c r="D926" s="4" t="n">
        <v>45572</v>
      </c>
      <c r="E926" s="2" t="inlineStr">
        <is>
          <t>11:56</t>
        </is>
      </c>
      <c r="F926" s="5" t="n">
        <v>208.33</v>
      </c>
      <c r="G926" s="5" t="n"/>
      <c r="H926" s="5" t="n"/>
      <c r="I926" s="5" t="n"/>
      <c r="J926" s="5" t="n">
        <v>41.67</v>
      </c>
      <c r="K926" s="5" t="n"/>
      <c r="L926" s="5" t="n"/>
      <c r="M926" s="5" t="n"/>
      <c r="N926" s="5" t="n"/>
      <c r="O926" s="5" t="n">
        <v>250</v>
      </c>
      <c r="P926" s="5" t="n"/>
      <c r="Q926" s="5" t="n">
        <v>250</v>
      </c>
      <c r="R926" s="5" t="n"/>
      <c r="S926" s="5">
        <f>F926*20%</f>
        <v/>
      </c>
      <c r="T926" s="5">
        <f>J926-S926</f>
        <v/>
      </c>
      <c r="U926" s="5">
        <f>F926+J926</f>
        <v/>
      </c>
      <c r="V926" s="5">
        <f>O926-U926</f>
        <v/>
      </c>
      <c r="W926" s="5">
        <f>O926-(P926+R926)</f>
        <v/>
      </c>
      <c r="X926" s="5">
        <f>O926-(P926+Q926+R926)</f>
        <v/>
      </c>
    </row>
    <row r="927">
      <c r="A927" s="2" t="inlineStr">
        <is>
          <t>EJ051124.TXT</t>
        </is>
      </c>
      <c r="B927" s="3" t="inlineStr">
        <is>
          <t>005592</t>
        </is>
      </c>
      <c r="C927" s="3" t="inlineStr">
        <is>
          <t>004487</t>
        </is>
      </c>
      <c r="D927" s="4" t="n">
        <v>45576</v>
      </c>
      <c r="E927" s="2" t="inlineStr">
        <is>
          <t>15:56</t>
        </is>
      </c>
      <c r="F927" s="5" t="n">
        <v>208.33</v>
      </c>
      <c r="G927" s="5" t="n"/>
      <c r="H927" s="5" t="n"/>
      <c r="I927" s="5" t="n"/>
      <c r="J927" s="5" t="n">
        <v>41.67</v>
      </c>
      <c r="K927" s="5" t="n"/>
      <c r="L927" s="5" t="n"/>
      <c r="M927" s="5" t="n"/>
      <c r="N927" s="5" t="n"/>
      <c r="O927" s="5" t="n">
        <v>250</v>
      </c>
      <c r="P927" s="5" t="n"/>
      <c r="Q927" s="5" t="n">
        <v>250</v>
      </c>
      <c r="R927" s="5" t="n"/>
      <c r="S927" s="5">
        <f>F927*20%</f>
        <v/>
      </c>
      <c r="T927" s="5">
        <f>J927-S927</f>
        <v/>
      </c>
      <c r="U927" s="5">
        <f>F927+J927</f>
        <v/>
      </c>
      <c r="V927" s="5">
        <f>O927-U927</f>
        <v/>
      </c>
      <c r="W927" s="5">
        <f>O927-(P927+R927)</f>
        <v/>
      </c>
      <c r="X927" s="5">
        <f>O927-(P927+Q927+R927)</f>
        <v/>
      </c>
    </row>
    <row r="928">
      <c r="A928" s="2" t="inlineStr">
        <is>
          <t>EJ051124.TXT</t>
        </is>
      </c>
      <c r="B928" s="3" t="inlineStr">
        <is>
          <t>005593</t>
        </is>
      </c>
      <c r="C928" s="3" t="inlineStr">
        <is>
          <t>004488</t>
        </is>
      </c>
      <c r="D928" s="4" t="n">
        <v>45577</v>
      </c>
      <c r="E928" s="2" t="inlineStr">
        <is>
          <t>15:56</t>
        </is>
      </c>
      <c r="F928" s="5" t="n">
        <v>548.33</v>
      </c>
      <c r="G928" s="5" t="n"/>
      <c r="H928" s="5" t="n"/>
      <c r="I928" s="5" t="n"/>
      <c r="J928" s="5" t="n">
        <v>109.67</v>
      </c>
      <c r="K928" s="5" t="n"/>
      <c r="L928" s="5" t="n"/>
      <c r="M928" s="5" t="n"/>
      <c r="N928" s="5" t="n"/>
      <c r="O928" s="5" t="n">
        <v>658</v>
      </c>
      <c r="P928" s="5" t="n">
        <v>658</v>
      </c>
      <c r="Q928" s="5" t="n"/>
      <c r="R928" s="5" t="n"/>
      <c r="S928" s="5">
        <f>F928*20%</f>
        <v/>
      </c>
      <c r="T928" s="5">
        <f>J928-S928</f>
        <v/>
      </c>
      <c r="U928" s="5">
        <f>F928+J928</f>
        <v/>
      </c>
      <c r="V928" s="5">
        <f>O928-U928</f>
        <v/>
      </c>
      <c r="W928" s="5">
        <f>O928-(P928+R928)</f>
        <v/>
      </c>
      <c r="X928" s="5">
        <f>O928-(P928+Q928+R928)</f>
        <v/>
      </c>
    </row>
    <row r="929">
      <c r="A929" s="2" t="inlineStr">
        <is>
          <t>EJ051124.TXT</t>
        </is>
      </c>
      <c r="B929" s="3" t="inlineStr">
        <is>
          <t>005594</t>
        </is>
      </c>
      <c r="C929" s="3" t="inlineStr">
        <is>
          <t>004489</t>
        </is>
      </c>
      <c r="D929" s="4" t="n">
        <v>45577</v>
      </c>
      <c r="E929" s="2" t="inlineStr">
        <is>
          <t>18:23</t>
        </is>
      </c>
      <c r="F929" s="5" t="n">
        <v>800</v>
      </c>
      <c r="G929" s="5" t="n"/>
      <c r="H929" s="5" t="n"/>
      <c r="I929" s="5" t="n"/>
      <c r="J929" s="5" t="n">
        <v>160</v>
      </c>
      <c r="K929" s="5" t="n"/>
      <c r="L929" s="5" t="n"/>
      <c r="M929" s="5" t="n"/>
      <c r="N929" s="5" t="n"/>
      <c r="O929" s="5" t="n">
        <v>960</v>
      </c>
      <c r="P929" s="5" t="n"/>
      <c r="Q929" s="5" t="n">
        <v>960</v>
      </c>
      <c r="R929" s="5" t="n"/>
      <c r="S929" s="5">
        <f>F929*20%</f>
        <v/>
      </c>
      <c r="T929" s="5">
        <f>J929-S929</f>
        <v/>
      </c>
      <c r="U929" s="5">
        <f>F929+J929</f>
        <v/>
      </c>
      <c r="V929" s="5">
        <f>O929-U929</f>
        <v/>
      </c>
      <c r="W929" s="5">
        <f>O929-(P929+R929)</f>
        <v/>
      </c>
      <c r="X929" s="5">
        <f>O929-(P929+Q929+R929)</f>
        <v/>
      </c>
    </row>
    <row r="930">
      <c r="A930" s="2" t="inlineStr">
        <is>
          <t>EJ051124.TXT</t>
        </is>
      </c>
      <c r="B930" s="3" t="inlineStr">
        <is>
          <t>005595</t>
        </is>
      </c>
      <c r="C930" s="3" t="inlineStr">
        <is>
          <t>004490</t>
        </is>
      </c>
      <c r="D930" s="4" t="n">
        <v>45577</v>
      </c>
      <c r="E930" s="2" t="inlineStr">
        <is>
          <t>18:34</t>
        </is>
      </c>
      <c r="F930" s="5" t="n">
        <v>458.33</v>
      </c>
      <c r="G930" s="5" t="n"/>
      <c r="H930" s="5" t="n"/>
      <c r="I930" s="5" t="n"/>
      <c r="J930" s="5" t="n">
        <v>91.67</v>
      </c>
      <c r="K930" s="5" t="n"/>
      <c r="L930" s="5" t="n"/>
      <c r="M930" s="5" t="n"/>
      <c r="N930" s="5" t="n"/>
      <c r="O930" s="5" t="n">
        <v>550</v>
      </c>
      <c r="P930" s="5" t="n"/>
      <c r="Q930" s="5" t="n">
        <v>550</v>
      </c>
      <c r="R930" s="5" t="n"/>
      <c r="S930" s="5">
        <f>F930*20%</f>
        <v/>
      </c>
      <c r="T930" s="5">
        <f>J930-S930</f>
        <v/>
      </c>
      <c r="U930" s="5">
        <f>F930+J930</f>
        <v/>
      </c>
      <c r="V930" s="5">
        <f>O930-U930</f>
        <v/>
      </c>
      <c r="W930" s="5">
        <f>O930-(P930+R930)</f>
        <v/>
      </c>
      <c r="X930" s="5">
        <f>O930-(P930+Q930+R930)</f>
        <v/>
      </c>
    </row>
    <row r="931">
      <c r="A931" s="2" t="inlineStr">
        <is>
          <t>EJ051124.TXT</t>
        </is>
      </c>
      <c r="B931" s="3" t="inlineStr">
        <is>
          <t>005596</t>
        </is>
      </c>
      <c r="C931" s="3" t="inlineStr">
        <is>
          <t>004491</t>
        </is>
      </c>
      <c r="D931" s="4" t="n">
        <v>45579</v>
      </c>
      <c r="E931" s="2" t="inlineStr">
        <is>
          <t>09:58</t>
        </is>
      </c>
      <c r="F931" s="5" t="n">
        <v>208.33</v>
      </c>
      <c r="G931" s="5" t="n"/>
      <c r="H931" s="5" t="n"/>
      <c r="I931" s="5" t="n"/>
      <c r="J931" s="5" t="n">
        <v>41.67</v>
      </c>
      <c r="K931" s="5" t="n"/>
      <c r="L931" s="5" t="n"/>
      <c r="M931" s="5" t="n"/>
      <c r="N931" s="5" t="n"/>
      <c r="O931" s="5" t="n">
        <v>250</v>
      </c>
      <c r="P931" s="5" t="n"/>
      <c r="Q931" s="5" t="n">
        <v>250</v>
      </c>
      <c r="R931" s="5" t="n"/>
      <c r="S931" s="5">
        <f>F931*20%</f>
        <v/>
      </c>
      <c r="T931" s="5">
        <f>J931-S931</f>
        <v/>
      </c>
      <c r="U931" s="5">
        <f>F931+J931</f>
        <v/>
      </c>
      <c r="V931" s="5">
        <f>O931-U931</f>
        <v/>
      </c>
      <c r="W931" s="5">
        <f>O931-(P931+R931)</f>
        <v/>
      </c>
      <c r="X931" s="5">
        <f>O931-(P931+Q931+R931)</f>
        <v/>
      </c>
    </row>
    <row r="932">
      <c r="A932" s="2" t="inlineStr">
        <is>
          <t>EJ051124.TXT</t>
        </is>
      </c>
      <c r="B932" s="3" t="inlineStr">
        <is>
          <t>005597</t>
        </is>
      </c>
      <c r="C932" s="3" t="inlineStr">
        <is>
          <t>004492</t>
        </is>
      </c>
      <c r="D932" s="4" t="n">
        <v>45579</v>
      </c>
      <c r="E932" s="2" t="inlineStr">
        <is>
          <t>11:41</t>
        </is>
      </c>
      <c r="F932" s="5" t="n">
        <v>458.33</v>
      </c>
      <c r="G932" s="5" t="n"/>
      <c r="H932" s="5" t="n"/>
      <c r="I932" s="5" t="n"/>
      <c r="J932" s="5" t="n">
        <v>91.67</v>
      </c>
      <c r="K932" s="5" t="n"/>
      <c r="L932" s="5" t="n"/>
      <c r="M932" s="5" t="n"/>
      <c r="N932" s="5" t="n"/>
      <c r="O932" s="5" t="n">
        <v>550</v>
      </c>
      <c r="P932" s="5" t="n"/>
      <c r="Q932" s="5" t="n">
        <v>550</v>
      </c>
      <c r="R932" s="5" t="n"/>
      <c r="S932" s="5">
        <f>F932*20%</f>
        <v/>
      </c>
      <c r="T932" s="5">
        <f>J932-S932</f>
        <v/>
      </c>
      <c r="U932" s="5">
        <f>F932+J932</f>
        <v/>
      </c>
      <c r="V932" s="5">
        <f>O932-U932</f>
        <v/>
      </c>
      <c r="W932" s="5">
        <f>O932-(P932+R932)</f>
        <v/>
      </c>
      <c r="X932" s="5">
        <f>O932-(P932+Q932+R932)</f>
        <v/>
      </c>
    </row>
    <row r="933">
      <c r="A933" s="2" t="inlineStr">
        <is>
          <t>EJ051124.TXT</t>
        </is>
      </c>
      <c r="B933" s="3" t="inlineStr">
        <is>
          <t>005598</t>
        </is>
      </c>
      <c r="C933" s="3" t="inlineStr">
        <is>
          <t>004493</t>
        </is>
      </c>
      <c r="D933" s="4" t="n">
        <v>45579</v>
      </c>
      <c r="E933" s="2" t="inlineStr">
        <is>
          <t>11:43</t>
        </is>
      </c>
      <c r="F933" s="5" t="n">
        <v>400</v>
      </c>
      <c r="G933" s="5" t="n"/>
      <c r="H933" s="5" t="n"/>
      <c r="I933" s="5" t="n"/>
      <c r="J933" s="5" t="n">
        <v>80</v>
      </c>
      <c r="K933" s="5" t="n"/>
      <c r="L933" s="5" t="n"/>
      <c r="M933" s="5" t="n"/>
      <c r="N933" s="5" t="n"/>
      <c r="O933" s="5" t="n">
        <v>480</v>
      </c>
      <c r="P933" s="5" t="n"/>
      <c r="Q933" s="5" t="n">
        <v>480</v>
      </c>
      <c r="R933" s="5" t="n"/>
      <c r="S933" s="5">
        <f>F933*20%</f>
        <v/>
      </c>
      <c r="T933" s="5">
        <f>J933-S933</f>
        <v/>
      </c>
      <c r="U933" s="5">
        <f>F933+J933</f>
        <v/>
      </c>
      <c r="V933" s="5">
        <f>O933-U933</f>
        <v/>
      </c>
      <c r="W933" s="5">
        <f>O933-(P933+R933)</f>
        <v/>
      </c>
      <c r="X933" s="5">
        <f>O933-(P933+Q933+R933)</f>
        <v/>
      </c>
    </row>
    <row r="934">
      <c r="A934" s="2" t="inlineStr">
        <is>
          <t>EJ051124.TXT</t>
        </is>
      </c>
      <c r="B934" s="3" t="inlineStr">
        <is>
          <t>005599</t>
        </is>
      </c>
      <c r="C934" s="3" t="inlineStr">
        <is>
          <t>004494</t>
        </is>
      </c>
      <c r="D934" s="4" t="n">
        <v>45579</v>
      </c>
      <c r="E934" s="2" t="inlineStr">
        <is>
          <t>11:44</t>
        </is>
      </c>
      <c r="F934" s="5" t="n">
        <v>208.33</v>
      </c>
      <c r="G934" s="5" t="n"/>
      <c r="H934" s="5" t="n"/>
      <c r="I934" s="5" t="n"/>
      <c r="J934" s="5" t="n">
        <v>41.67</v>
      </c>
      <c r="K934" s="5" t="n"/>
      <c r="L934" s="5" t="n"/>
      <c r="M934" s="5" t="n"/>
      <c r="N934" s="5" t="n"/>
      <c r="O934" s="5" t="n">
        <v>250</v>
      </c>
      <c r="P934" s="5" t="n"/>
      <c r="Q934" s="5" t="n">
        <v>250</v>
      </c>
      <c r="R934" s="5" t="n"/>
      <c r="S934" s="5">
        <f>F934*20%</f>
        <v/>
      </c>
      <c r="T934" s="5">
        <f>J934-S934</f>
        <v/>
      </c>
      <c r="U934" s="5">
        <f>F934+J934</f>
        <v/>
      </c>
      <c r="V934" s="5">
        <f>O934-U934</f>
        <v/>
      </c>
      <c r="W934" s="5">
        <f>O934-(P934+R934)</f>
        <v/>
      </c>
      <c r="X934" s="5">
        <f>O934-(P934+Q934+R934)</f>
        <v/>
      </c>
    </row>
    <row r="935">
      <c r="A935" s="2" t="inlineStr">
        <is>
          <t>EJ051124.TXT</t>
        </is>
      </c>
      <c r="B935" s="3" t="inlineStr">
        <is>
          <t>005600</t>
        </is>
      </c>
      <c r="C935" s="3" t="inlineStr">
        <is>
          <t>004495</t>
        </is>
      </c>
      <c r="D935" s="4" t="n">
        <v>45580</v>
      </c>
      <c r="E935" s="2" t="inlineStr">
        <is>
          <t>13:36</t>
        </is>
      </c>
      <c r="F935" s="5" t="n">
        <v>274.17</v>
      </c>
      <c r="G935" s="5" t="n"/>
      <c r="H935" s="5" t="n"/>
      <c r="I935" s="5" t="n"/>
      <c r="J935" s="5" t="n">
        <v>54.83</v>
      </c>
      <c r="K935" s="5" t="n"/>
      <c r="L935" s="5" t="n"/>
      <c r="M935" s="5" t="n"/>
      <c r="N935" s="5" t="n"/>
      <c r="O935" s="5" t="n">
        <v>329</v>
      </c>
      <c r="P935" s="5" t="n"/>
      <c r="Q935" s="5" t="n">
        <v>329</v>
      </c>
      <c r="R935" s="5" t="n"/>
      <c r="S935" s="5">
        <f>F935*20%</f>
        <v/>
      </c>
      <c r="T935" s="5">
        <f>J935-S935</f>
        <v/>
      </c>
      <c r="U935" s="5">
        <f>F935+J935</f>
        <v/>
      </c>
      <c r="V935" s="5">
        <f>O935-U935</f>
        <v/>
      </c>
      <c r="W935" s="5">
        <f>O935-(P935+R935)</f>
        <v/>
      </c>
      <c r="X935" s="5">
        <f>O935-(P935+Q935+R935)</f>
        <v/>
      </c>
    </row>
    <row r="936">
      <c r="A936" s="2" t="inlineStr">
        <is>
          <t>EJ051124.TXT</t>
        </is>
      </c>
      <c r="B936" s="3" t="inlineStr">
        <is>
          <t>005601</t>
        </is>
      </c>
      <c r="C936" s="3" t="inlineStr">
        <is>
          <t>004496</t>
        </is>
      </c>
      <c r="D936" s="4" t="n">
        <v>45580</v>
      </c>
      <c r="E936" s="2" t="inlineStr">
        <is>
          <t>13:40</t>
        </is>
      </c>
      <c r="F936" s="5" t="n">
        <v>208.33</v>
      </c>
      <c r="G936" s="5" t="n"/>
      <c r="H936" s="5" t="n"/>
      <c r="I936" s="5" t="n"/>
      <c r="J936" s="5" t="n">
        <v>41.67</v>
      </c>
      <c r="K936" s="5" t="n"/>
      <c r="L936" s="5" t="n"/>
      <c r="M936" s="5" t="n"/>
      <c r="N936" s="5" t="n"/>
      <c r="O936" s="5" t="n">
        <v>250</v>
      </c>
      <c r="P936" s="5" t="n"/>
      <c r="Q936" s="5" t="n">
        <v>250</v>
      </c>
      <c r="R936" s="5" t="n"/>
      <c r="S936" s="5">
        <f>F936*20%</f>
        <v/>
      </c>
      <c r="T936" s="5">
        <f>J936-S936</f>
        <v/>
      </c>
      <c r="U936" s="5">
        <f>F936+J936</f>
        <v/>
      </c>
      <c r="V936" s="5">
        <f>O936-U936</f>
        <v/>
      </c>
      <c r="W936" s="5">
        <f>O936-(P936+R936)</f>
        <v/>
      </c>
      <c r="X936" s="5">
        <f>O936-(P936+Q936+R936)</f>
        <v/>
      </c>
    </row>
    <row r="937">
      <c r="A937" s="2" t="inlineStr">
        <is>
          <t>EJ051124.TXT</t>
        </is>
      </c>
      <c r="B937" s="3" t="inlineStr">
        <is>
          <t>005602</t>
        </is>
      </c>
      <c r="C937" s="3" t="inlineStr">
        <is>
          <t>004497</t>
        </is>
      </c>
      <c r="D937" s="4" t="n">
        <v>45580</v>
      </c>
      <c r="E937" s="2" t="inlineStr">
        <is>
          <t>15:19</t>
        </is>
      </c>
      <c r="F937" s="5" t="n">
        <v>495</v>
      </c>
      <c r="G937" s="5" t="n"/>
      <c r="H937" s="5" t="n"/>
      <c r="I937" s="5" t="n"/>
      <c r="J937" s="5" t="n">
        <v>99</v>
      </c>
      <c r="K937" s="5" t="n"/>
      <c r="L937" s="5" t="n"/>
      <c r="M937" s="5" t="n"/>
      <c r="N937" s="5" t="n"/>
      <c r="O937" s="5" t="n">
        <v>594</v>
      </c>
      <c r="P937" s="5" t="n"/>
      <c r="Q937" s="5" t="n">
        <v>594</v>
      </c>
      <c r="R937" s="5" t="n"/>
      <c r="S937" s="5">
        <f>F937*20%</f>
        <v/>
      </c>
      <c r="T937" s="5">
        <f>J937-S937</f>
        <v/>
      </c>
      <c r="U937" s="5">
        <f>F937+J937</f>
        <v/>
      </c>
      <c r="V937" s="5">
        <f>O937-U937</f>
        <v/>
      </c>
      <c r="W937" s="5">
        <f>O937-(P937+R937)</f>
        <v/>
      </c>
      <c r="X937" s="5">
        <f>O937-(P937+Q937+R937)</f>
        <v/>
      </c>
    </row>
    <row r="938">
      <c r="A938" s="2" t="inlineStr">
        <is>
          <t>EJ051124.TXT</t>
        </is>
      </c>
      <c r="B938" s="3" t="inlineStr">
        <is>
          <t>005603</t>
        </is>
      </c>
      <c r="C938" s="3" t="inlineStr">
        <is>
          <t>004498</t>
        </is>
      </c>
      <c r="D938" s="4" t="n">
        <v>45580</v>
      </c>
      <c r="E938" s="2" t="inlineStr">
        <is>
          <t>16:57</t>
        </is>
      </c>
      <c r="F938" s="5" t="n">
        <v>208.33</v>
      </c>
      <c r="G938" s="5" t="n"/>
      <c r="H938" s="5" t="n"/>
      <c r="I938" s="5" t="n"/>
      <c r="J938" s="5" t="n">
        <v>41.67</v>
      </c>
      <c r="K938" s="5" t="n"/>
      <c r="L938" s="5" t="n"/>
      <c r="M938" s="5" t="n"/>
      <c r="N938" s="5" t="n"/>
      <c r="O938" s="5" t="n">
        <v>250</v>
      </c>
      <c r="P938" s="5" t="n"/>
      <c r="Q938" s="5" t="n">
        <v>250</v>
      </c>
      <c r="R938" s="5" t="n"/>
      <c r="S938" s="5">
        <f>F938*20%</f>
        <v/>
      </c>
      <c r="T938" s="5">
        <f>J938-S938</f>
        <v/>
      </c>
      <c r="U938" s="5">
        <f>F938+J938</f>
        <v/>
      </c>
      <c r="V938" s="5">
        <f>O938-U938</f>
        <v/>
      </c>
      <c r="W938" s="5">
        <f>O938-(P938+R938)</f>
        <v/>
      </c>
      <c r="X938" s="5">
        <f>O938-(P938+Q938+R938)</f>
        <v/>
      </c>
    </row>
    <row r="939">
      <c r="A939" s="2" t="inlineStr">
        <is>
          <t>EJ051124.TXT</t>
        </is>
      </c>
      <c r="B939" s="3" t="inlineStr">
        <is>
          <t>005604</t>
        </is>
      </c>
      <c r="C939" s="3" t="inlineStr">
        <is>
          <t>004499</t>
        </is>
      </c>
      <c r="D939" s="4" t="n">
        <v>45581</v>
      </c>
      <c r="E939" s="2" t="inlineStr">
        <is>
          <t>14:06</t>
        </is>
      </c>
      <c r="F939" s="5" t="n">
        <v>274.17</v>
      </c>
      <c r="G939" s="5" t="n"/>
      <c r="H939" s="5" t="n"/>
      <c r="I939" s="5" t="n"/>
      <c r="J939" s="5" t="n">
        <v>54.83</v>
      </c>
      <c r="K939" s="5" t="n"/>
      <c r="L939" s="5" t="n"/>
      <c r="M939" s="5" t="n"/>
      <c r="N939" s="5" t="n"/>
      <c r="O939" s="5" t="n">
        <v>329</v>
      </c>
      <c r="P939" s="5" t="n"/>
      <c r="Q939" s="5" t="n">
        <v>329</v>
      </c>
      <c r="R939" s="5" t="n"/>
      <c r="S939" s="5">
        <f>F939*20%</f>
        <v/>
      </c>
      <c r="T939" s="5">
        <f>J939-S939</f>
        <v/>
      </c>
      <c r="U939" s="5">
        <f>F939+J939</f>
        <v/>
      </c>
      <c r="V939" s="5">
        <f>O939-U939</f>
        <v/>
      </c>
      <c r="W939" s="5">
        <f>O939-(P939+R939)</f>
        <v/>
      </c>
      <c r="X939" s="5">
        <f>O939-(P939+Q939+R939)</f>
        <v/>
      </c>
    </row>
    <row r="940">
      <c r="A940" s="2" t="inlineStr">
        <is>
          <t>EJ051124.TXT</t>
        </is>
      </c>
      <c r="B940" s="3" t="inlineStr">
        <is>
          <t>005605</t>
        </is>
      </c>
      <c r="C940" s="3" t="inlineStr">
        <is>
          <t>004500</t>
        </is>
      </c>
      <c r="D940" s="4" t="n">
        <v>45589</v>
      </c>
      <c r="E940" s="2" t="inlineStr">
        <is>
          <t>11:39</t>
        </is>
      </c>
      <c r="F940" s="5" t="n">
        <v>574.17</v>
      </c>
      <c r="G940" s="5" t="n"/>
      <c r="H940" s="5" t="n"/>
      <c r="I940" s="5" t="n"/>
      <c r="J940" s="5" t="n">
        <v>114.83</v>
      </c>
      <c r="K940" s="5" t="n"/>
      <c r="L940" s="5" t="n"/>
      <c r="M940" s="5" t="n"/>
      <c r="N940" s="5" t="n"/>
      <c r="O940" s="5" t="n">
        <v>689</v>
      </c>
      <c r="P940" s="5" t="n"/>
      <c r="Q940" s="5" t="n">
        <v>689</v>
      </c>
      <c r="R940" s="5" t="n"/>
      <c r="S940" s="5">
        <f>F940*20%</f>
        <v/>
      </c>
      <c r="T940" s="5">
        <f>J940-S940</f>
        <v/>
      </c>
      <c r="U940" s="5">
        <f>F940+J940</f>
        <v/>
      </c>
      <c r="V940" s="5">
        <f>O940-U940</f>
        <v/>
      </c>
      <c r="W940" s="5">
        <f>O940-(P940+R940)</f>
        <v/>
      </c>
      <c r="X940" s="5">
        <f>O940-(P940+Q940+R940)</f>
        <v/>
      </c>
    </row>
    <row r="941">
      <c r="A941" s="2" t="inlineStr">
        <is>
          <t>EJ051124.TXT</t>
        </is>
      </c>
      <c r="B941" s="3" t="inlineStr">
        <is>
          <t>005606</t>
        </is>
      </c>
      <c r="C941" s="3" t="inlineStr">
        <is>
          <t>004501</t>
        </is>
      </c>
      <c r="D941" s="4" t="n">
        <v>45589</v>
      </c>
      <c r="E941" s="2" t="inlineStr">
        <is>
          <t>11:43</t>
        </is>
      </c>
      <c r="F941" s="5" t="n">
        <v>832.5</v>
      </c>
      <c r="G941" s="5" t="n"/>
      <c r="H941" s="5" t="n"/>
      <c r="I941" s="5" t="n"/>
      <c r="J941" s="5" t="n">
        <v>166.5</v>
      </c>
      <c r="K941" s="5" t="n"/>
      <c r="L941" s="5" t="n"/>
      <c r="M941" s="5" t="n"/>
      <c r="N941" s="5" t="n"/>
      <c r="O941" s="5" t="n">
        <v>999</v>
      </c>
      <c r="P941" s="5" t="n"/>
      <c r="Q941" s="5" t="n">
        <v>999</v>
      </c>
      <c r="R941" s="5" t="n"/>
      <c r="S941" s="5">
        <f>F941*20%</f>
        <v/>
      </c>
      <c r="T941" s="5">
        <f>J941-S941</f>
        <v/>
      </c>
      <c r="U941" s="5">
        <f>F941+J941</f>
        <v/>
      </c>
      <c r="V941" s="5">
        <f>O941-U941</f>
        <v/>
      </c>
      <c r="W941" s="5">
        <f>O941-(P941+R941)</f>
        <v/>
      </c>
      <c r="X941" s="5">
        <f>O941-(P941+Q941+R941)</f>
        <v/>
      </c>
    </row>
    <row r="942">
      <c r="A942" s="2" t="inlineStr">
        <is>
          <t>EJ051124.TXT</t>
        </is>
      </c>
      <c r="B942" s="3" t="inlineStr">
        <is>
          <t>005607</t>
        </is>
      </c>
      <c r="C942" s="3" t="inlineStr">
        <is>
          <t>004502</t>
        </is>
      </c>
      <c r="D942" s="4" t="n">
        <v>45589</v>
      </c>
      <c r="E942" s="2" t="inlineStr">
        <is>
          <t>12:14</t>
        </is>
      </c>
      <c r="F942" s="5" t="n">
        <v>832.5</v>
      </c>
      <c r="G942" s="5" t="n"/>
      <c r="H942" s="5" t="n"/>
      <c r="I942" s="5" t="n"/>
      <c r="J942" s="5" t="n">
        <v>166.5</v>
      </c>
      <c r="K942" s="5" t="n"/>
      <c r="L942" s="5" t="n"/>
      <c r="M942" s="5" t="n"/>
      <c r="N942" s="5" t="n"/>
      <c r="O942" s="5" t="n">
        <v>999</v>
      </c>
      <c r="P942" s="5" t="n"/>
      <c r="Q942" s="5" t="n">
        <v>999</v>
      </c>
      <c r="R942" s="5" t="n"/>
      <c r="S942" s="5">
        <f>F942*20%</f>
        <v/>
      </c>
      <c r="T942" s="5">
        <f>J942-S942</f>
        <v/>
      </c>
      <c r="U942" s="5">
        <f>F942+J942</f>
        <v/>
      </c>
      <c r="V942" s="5">
        <f>O942-U942</f>
        <v/>
      </c>
      <c r="W942" s="5">
        <f>O942-(P942+R942)</f>
        <v/>
      </c>
      <c r="X942" s="5">
        <f>O942-(P942+Q942+R942)</f>
        <v/>
      </c>
    </row>
    <row r="943">
      <c r="A943" s="2" t="inlineStr">
        <is>
          <t>EJ051124.TXT</t>
        </is>
      </c>
      <c r="B943" s="3" t="inlineStr">
        <is>
          <t>005608</t>
        </is>
      </c>
      <c r="C943" s="3" t="inlineStr">
        <is>
          <t>004503</t>
        </is>
      </c>
      <c r="D943" s="4" t="n">
        <v>45589</v>
      </c>
      <c r="E943" s="2" t="inlineStr">
        <is>
          <t>12:31</t>
        </is>
      </c>
      <c r="F943" s="5" t="n">
        <v>99.83</v>
      </c>
      <c r="G943" s="5" t="n"/>
      <c r="H943" s="5" t="n"/>
      <c r="I943" s="5" t="n"/>
      <c r="J943" s="5" t="n">
        <v>19.97</v>
      </c>
      <c r="K943" s="5" t="n"/>
      <c r="L943" s="5" t="n"/>
      <c r="M943" s="5" t="n"/>
      <c r="N943" s="5" t="n"/>
      <c r="O943" s="5" t="n">
        <v>119.8</v>
      </c>
      <c r="P943" s="5" t="n"/>
      <c r="Q943" s="5" t="n">
        <v>119.8</v>
      </c>
      <c r="R943" s="5" t="n"/>
      <c r="S943" s="5">
        <f>F943*20%</f>
        <v/>
      </c>
      <c r="T943" s="5">
        <f>J943-S943</f>
        <v/>
      </c>
      <c r="U943" s="5">
        <f>F943+J943</f>
        <v/>
      </c>
      <c r="V943" s="5">
        <f>O943-U943</f>
        <v/>
      </c>
      <c r="W943" s="5">
        <f>O943-(P943+R943)</f>
        <v/>
      </c>
      <c r="X943" s="5">
        <f>O943-(P943+Q943+R943)</f>
        <v/>
      </c>
    </row>
    <row r="944">
      <c r="A944" s="2" t="inlineStr">
        <is>
          <t>EJ051124.TXT</t>
        </is>
      </c>
      <c r="B944" s="3" t="inlineStr">
        <is>
          <t>005609</t>
        </is>
      </c>
      <c r="C944" s="3" t="inlineStr">
        <is>
          <t>004504</t>
        </is>
      </c>
      <c r="D944" s="4" t="n">
        <v>45590</v>
      </c>
      <c r="E944" s="2" t="inlineStr">
        <is>
          <t>09:16</t>
        </is>
      </c>
      <c r="F944" s="5" t="n">
        <v>524.17</v>
      </c>
      <c r="G944" s="5" t="n"/>
      <c r="H944" s="5" t="n"/>
      <c r="I944" s="5" t="n"/>
      <c r="J944" s="5" t="n">
        <v>104.83</v>
      </c>
      <c r="K944" s="5" t="n"/>
      <c r="L944" s="5" t="n"/>
      <c r="M944" s="5" t="n"/>
      <c r="N944" s="5" t="n"/>
      <c r="O944" s="5" t="n">
        <v>629</v>
      </c>
      <c r="P944" s="5" t="n"/>
      <c r="Q944" s="5" t="n">
        <v>629</v>
      </c>
      <c r="R944" s="5" t="n"/>
      <c r="S944" s="5">
        <f>F944*20%</f>
        <v/>
      </c>
      <c r="T944" s="5">
        <f>J944-S944</f>
        <v/>
      </c>
      <c r="U944" s="5">
        <f>F944+J944</f>
        <v/>
      </c>
      <c r="V944" s="5">
        <f>O944-U944</f>
        <v/>
      </c>
      <c r="W944" s="5">
        <f>O944-(P944+R944)</f>
        <v/>
      </c>
      <c r="X944" s="5">
        <f>O944-(P944+Q944+R944)</f>
        <v/>
      </c>
    </row>
    <row r="945">
      <c r="A945" s="2" t="inlineStr">
        <is>
          <t>EJ051124.TXT</t>
        </is>
      </c>
      <c r="B945" s="3" t="inlineStr">
        <is>
          <t>005610</t>
        </is>
      </c>
      <c r="C945" s="3" t="inlineStr">
        <is>
          <t>004505</t>
        </is>
      </c>
      <c r="D945" s="4" t="n">
        <v>45590</v>
      </c>
      <c r="E945" s="2" t="inlineStr">
        <is>
          <t>16:14</t>
        </is>
      </c>
      <c r="F945" s="5" t="n">
        <v>440.83</v>
      </c>
      <c r="G945" s="5" t="n"/>
      <c r="H945" s="5" t="n"/>
      <c r="I945" s="5" t="n"/>
      <c r="J945" s="5" t="n">
        <v>88.17</v>
      </c>
      <c r="K945" s="5" t="n"/>
      <c r="L945" s="5" t="n"/>
      <c r="M945" s="5" t="n"/>
      <c r="N945" s="5" t="n"/>
      <c r="O945" s="5" t="n">
        <v>529</v>
      </c>
      <c r="P945" s="5" t="n"/>
      <c r="Q945" s="5" t="n">
        <v>529</v>
      </c>
      <c r="R945" s="5" t="n"/>
      <c r="S945" s="5">
        <f>F945*20%</f>
        <v/>
      </c>
      <c r="T945" s="5">
        <f>J945-S945</f>
        <v/>
      </c>
      <c r="U945" s="5">
        <f>F945+J945</f>
        <v/>
      </c>
      <c r="V945" s="5">
        <f>O945-U945</f>
        <v/>
      </c>
      <c r="W945" s="5">
        <f>O945-(P945+R945)</f>
        <v/>
      </c>
      <c r="X945" s="5">
        <f>O945-(P945+Q945+R945)</f>
        <v/>
      </c>
    </row>
    <row r="946">
      <c r="A946" s="2" t="inlineStr">
        <is>
          <t>EJ051124.TXT</t>
        </is>
      </c>
      <c r="B946" s="3" t="inlineStr">
        <is>
          <t>005611</t>
        </is>
      </c>
      <c r="C946" s="3" t="inlineStr">
        <is>
          <t>004506</t>
        </is>
      </c>
      <c r="D946" s="4" t="n">
        <v>45590</v>
      </c>
      <c r="E946" s="2" t="inlineStr">
        <is>
          <t>16:34</t>
        </is>
      </c>
      <c r="F946" s="5" t="n">
        <v>440.83</v>
      </c>
      <c r="G946" s="5" t="n"/>
      <c r="H946" s="5" t="n"/>
      <c r="I946" s="5" t="n"/>
      <c r="J946" s="5" t="n">
        <v>88.17</v>
      </c>
      <c r="K946" s="5" t="n"/>
      <c r="L946" s="5" t="n"/>
      <c r="M946" s="5" t="n"/>
      <c r="N946" s="5" t="n"/>
      <c r="O946" s="5" t="n">
        <v>529</v>
      </c>
      <c r="P946" s="5" t="n"/>
      <c r="Q946" s="5" t="n">
        <v>529</v>
      </c>
      <c r="R946" s="5" t="n"/>
      <c r="S946" s="5">
        <f>F946*20%</f>
        <v/>
      </c>
      <c r="T946" s="5">
        <f>J946-S946</f>
        <v/>
      </c>
      <c r="U946" s="5">
        <f>F946+J946</f>
        <v/>
      </c>
      <c r="V946" s="5">
        <f>O946-U946</f>
        <v/>
      </c>
      <c r="W946" s="5">
        <f>O946-(P946+R946)</f>
        <v/>
      </c>
      <c r="X946" s="5">
        <f>O946-(P946+Q946+R946)</f>
        <v/>
      </c>
    </row>
    <row r="947">
      <c r="A947" s="2" t="inlineStr">
        <is>
          <t>EJ051124.TXT</t>
        </is>
      </c>
      <c r="B947" s="3" t="inlineStr">
        <is>
          <t>005612</t>
        </is>
      </c>
      <c r="C947" s="3" t="inlineStr">
        <is>
          <t>004507</t>
        </is>
      </c>
      <c r="D947" s="4" t="n">
        <v>45590</v>
      </c>
      <c r="E947" s="2" t="inlineStr">
        <is>
          <t>16:54</t>
        </is>
      </c>
      <c r="F947" s="5" t="n">
        <v>440.83</v>
      </c>
      <c r="G947" s="5" t="n"/>
      <c r="H947" s="5" t="n"/>
      <c r="I947" s="5" t="n"/>
      <c r="J947" s="5" t="n">
        <v>88.17</v>
      </c>
      <c r="K947" s="5" t="n"/>
      <c r="L947" s="5" t="n"/>
      <c r="M947" s="5" t="n"/>
      <c r="N947" s="5" t="n"/>
      <c r="O947" s="5" t="n">
        <v>529</v>
      </c>
      <c r="P947" s="5" t="n"/>
      <c r="Q947" s="5" t="n">
        <v>529</v>
      </c>
      <c r="R947" s="5" t="n"/>
      <c r="S947" s="5">
        <f>F947*20%</f>
        <v/>
      </c>
      <c r="T947" s="5">
        <f>J947-S947</f>
        <v/>
      </c>
      <c r="U947" s="5">
        <f>F947+J947</f>
        <v/>
      </c>
      <c r="V947" s="5">
        <f>O947-U947</f>
        <v/>
      </c>
      <c r="W947" s="5">
        <f>O947-(P947+R947)</f>
        <v/>
      </c>
      <c r="X947" s="5">
        <f>O947-(P947+Q947+R947)</f>
        <v/>
      </c>
    </row>
    <row r="948">
      <c r="A948" s="2" t="inlineStr">
        <is>
          <t>EJ051124.TXT</t>
        </is>
      </c>
      <c r="B948" s="3" t="inlineStr">
        <is>
          <t>005613</t>
        </is>
      </c>
      <c r="C948" s="3" t="inlineStr">
        <is>
          <t>004508</t>
        </is>
      </c>
      <c r="D948" s="4" t="n">
        <v>45593</v>
      </c>
      <c r="E948" s="2" t="inlineStr">
        <is>
          <t>16:35</t>
        </is>
      </c>
      <c r="F948" s="5" t="n">
        <v>440.83</v>
      </c>
      <c r="G948" s="5" t="n"/>
      <c r="H948" s="5" t="n"/>
      <c r="I948" s="5" t="n"/>
      <c r="J948" s="5" t="n">
        <v>88.17</v>
      </c>
      <c r="K948" s="5" t="n"/>
      <c r="L948" s="5" t="n"/>
      <c r="M948" s="5" t="n"/>
      <c r="N948" s="5" t="n"/>
      <c r="O948" s="5" t="n">
        <v>529</v>
      </c>
      <c r="P948" s="5" t="n"/>
      <c r="Q948" s="5" t="n">
        <v>529</v>
      </c>
      <c r="R948" s="5" t="n"/>
      <c r="S948" s="5">
        <f>F948*20%</f>
        <v/>
      </c>
      <c r="T948" s="5">
        <f>J948-S948</f>
        <v/>
      </c>
      <c r="U948" s="5">
        <f>F948+J948</f>
        <v/>
      </c>
      <c r="V948" s="5">
        <f>O948-U948</f>
        <v/>
      </c>
      <c r="W948" s="5">
        <f>O948-(P948+R948)</f>
        <v/>
      </c>
      <c r="X948" s="5">
        <f>O948-(P948+Q948+R948)</f>
        <v/>
      </c>
    </row>
    <row r="949">
      <c r="A949" s="2" t="inlineStr">
        <is>
          <t>EJ051124.TXT</t>
        </is>
      </c>
      <c r="B949" s="3" t="inlineStr">
        <is>
          <t>005614</t>
        </is>
      </c>
      <c r="C949" s="3" t="inlineStr">
        <is>
          <t>004509</t>
        </is>
      </c>
      <c r="D949" s="4" t="n">
        <v>45593</v>
      </c>
      <c r="E949" s="2" t="inlineStr">
        <is>
          <t>16:36</t>
        </is>
      </c>
      <c r="F949" s="5" t="n">
        <v>708.33</v>
      </c>
      <c r="G949" s="5" t="n"/>
      <c r="H949" s="5" t="n"/>
      <c r="I949" s="5" t="n"/>
      <c r="J949" s="5" t="n">
        <v>141.67</v>
      </c>
      <c r="K949" s="5" t="n"/>
      <c r="L949" s="5" t="n"/>
      <c r="M949" s="5" t="n"/>
      <c r="N949" s="5" t="n"/>
      <c r="O949" s="5" t="n">
        <v>850</v>
      </c>
      <c r="P949" s="5" t="n"/>
      <c r="Q949" s="5" t="n">
        <v>850</v>
      </c>
      <c r="R949" s="5" t="n"/>
      <c r="S949" s="5">
        <f>F949*20%</f>
        <v/>
      </c>
      <c r="T949" s="5">
        <f>J949-S949</f>
        <v/>
      </c>
      <c r="U949" s="5">
        <f>F949+J949</f>
        <v/>
      </c>
      <c r="V949" s="5">
        <f>O949-U949</f>
        <v/>
      </c>
      <c r="W949" s="5">
        <f>O949-(P949+R949)</f>
        <v/>
      </c>
      <c r="X949" s="5">
        <f>O949-(P949+Q949+R949)</f>
        <v/>
      </c>
    </row>
    <row r="950">
      <c r="A950" s="2" t="inlineStr">
        <is>
          <t>EJ051124.TXT</t>
        </is>
      </c>
      <c r="B950" s="3" t="inlineStr">
        <is>
          <t>005615</t>
        </is>
      </c>
      <c r="C950" s="3" t="inlineStr">
        <is>
          <t>004510</t>
        </is>
      </c>
      <c r="D950" s="4" t="n">
        <v>45593</v>
      </c>
      <c r="E950" s="2" t="inlineStr">
        <is>
          <t>16:57</t>
        </is>
      </c>
      <c r="F950" s="5" t="n">
        <v>440.83</v>
      </c>
      <c r="G950" s="5" t="n"/>
      <c r="H950" s="5" t="n"/>
      <c r="I950" s="5" t="n"/>
      <c r="J950" s="5" t="n">
        <v>88.17</v>
      </c>
      <c r="K950" s="5" t="n"/>
      <c r="L950" s="5" t="n"/>
      <c r="M950" s="5" t="n"/>
      <c r="N950" s="5" t="n"/>
      <c r="O950" s="5" t="n">
        <v>529</v>
      </c>
      <c r="P950" s="5" t="n"/>
      <c r="Q950" s="5" t="n">
        <v>529</v>
      </c>
      <c r="R950" s="5" t="n"/>
      <c r="S950" s="5">
        <f>F950*20%</f>
        <v/>
      </c>
      <c r="T950" s="5">
        <f>J950-S950</f>
        <v/>
      </c>
      <c r="U950" s="5">
        <f>F950+J950</f>
        <v/>
      </c>
      <c r="V950" s="5">
        <f>O950-U950</f>
        <v/>
      </c>
      <c r="W950" s="5">
        <f>O950-(P950+R950)</f>
        <v/>
      </c>
      <c r="X950" s="5">
        <f>O950-(P950+Q950+R950)</f>
        <v/>
      </c>
    </row>
    <row r="951">
      <c r="A951" s="2" t="inlineStr">
        <is>
          <t>EJ051124.TXT</t>
        </is>
      </c>
      <c r="B951" s="3" t="inlineStr">
        <is>
          <t>005616</t>
        </is>
      </c>
      <c r="C951" s="3" t="inlineStr">
        <is>
          <t>004511</t>
        </is>
      </c>
      <c r="D951" s="4" t="n">
        <v>45594</v>
      </c>
      <c r="E951" s="2" t="inlineStr">
        <is>
          <t>16:24</t>
        </is>
      </c>
      <c r="F951" s="5" t="n">
        <v>708.33</v>
      </c>
      <c r="G951" s="5" t="n"/>
      <c r="H951" s="5" t="n"/>
      <c r="I951" s="5" t="n"/>
      <c r="J951" s="5" t="n">
        <v>141.67</v>
      </c>
      <c r="K951" s="5" t="n"/>
      <c r="L951" s="5" t="n"/>
      <c r="M951" s="5" t="n"/>
      <c r="N951" s="5" t="n"/>
      <c r="O951" s="5" t="n">
        <v>850</v>
      </c>
      <c r="P951" s="5" t="n"/>
      <c r="Q951" s="5" t="n">
        <v>850</v>
      </c>
      <c r="R951" s="5" t="n"/>
      <c r="S951" s="5">
        <f>F951*20%</f>
        <v/>
      </c>
      <c r="T951" s="5">
        <f>J951-S951</f>
        <v/>
      </c>
      <c r="U951" s="5">
        <f>F951+J951</f>
        <v/>
      </c>
      <c r="V951" s="5">
        <f>O951-U951</f>
        <v/>
      </c>
      <c r="W951" s="5">
        <f>O951-(P951+R951)</f>
        <v/>
      </c>
      <c r="X951" s="5">
        <f>O951-(P951+Q951+R951)</f>
        <v/>
      </c>
    </row>
    <row r="952">
      <c r="A952" s="2" t="inlineStr">
        <is>
          <t>EJ051124.TXT</t>
        </is>
      </c>
      <c r="B952" s="3" t="inlineStr">
        <is>
          <t>005617</t>
        </is>
      </c>
      <c r="C952" s="3" t="inlineStr">
        <is>
          <t>004512</t>
        </is>
      </c>
      <c r="D952" s="4" t="n">
        <v>45594</v>
      </c>
      <c r="E952" s="2" t="inlineStr">
        <is>
          <t>16:39</t>
        </is>
      </c>
      <c r="F952" s="5" t="n">
        <v>791.67</v>
      </c>
      <c r="G952" s="5" t="n"/>
      <c r="H952" s="5" t="n"/>
      <c r="I952" s="5" t="n"/>
      <c r="J952" s="5" t="n">
        <v>158.33</v>
      </c>
      <c r="K952" s="5" t="n"/>
      <c r="L952" s="5" t="n"/>
      <c r="M952" s="5" t="n"/>
      <c r="N952" s="5" t="n"/>
      <c r="O952" s="5" t="n">
        <v>950</v>
      </c>
      <c r="P952" s="5" t="n"/>
      <c r="Q952" s="5" t="n">
        <v>950</v>
      </c>
      <c r="R952" s="5" t="n"/>
      <c r="S952" s="5">
        <f>F952*20%</f>
        <v/>
      </c>
      <c r="T952" s="5">
        <f>J952-S952</f>
        <v/>
      </c>
      <c r="U952" s="5">
        <f>F952+J952</f>
        <v/>
      </c>
      <c r="V952" s="5">
        <f>O952-U952</f>
        <v/>
      </c>
      <c r="W952" s="5">
        <f>O952-(P952+R952)</f>
        <v/>
      </c>
      <c r="X952" s="5">
        <f>O952-(P952+Q952+R952)</f>
        <v/>
      </c>
    </row>
    <row r="953">
      <c r="A953" s="2" t="inlineStr">
        <is>
          <t>EJ051124.TXT</t>
        </is>
      </c>
      <c r="B953" s="3" t="inlineStr">
        <is>
          <t>005618</t>
        </is>
      </c>
      <c r="C953" s="3" t="inlineStr">
        <is>
          <t>004513</t>
        </is>
      </c>
      <c r="D953" s="4" t="n">
        <v>45594</v>
      </c>
      <c r="E953" s="2" t="inlineStr">
        <is>
          <t>16:42</t>
        </is>
      </c>
      <c r="F953" s="5" t="n">
        <v>791.67</v>
      </c>
      <c r="G953" s="5" t="n"/>
      <c r="H953" s="5" t="n"/>
      <c r="I953" s="5" t="n"/>
      <c r="J953" s="5" t="n">
        <v>158.33</v>
      </c>
      <c r="K953" s="5" t="n"/>
      <c r="L953" s="5" t="n"/>
      <c r="M953" s="5" t="n"/>
      <c r="N953" s="5" t="n"/>
      <c r="O953" s="5" t="n">
        <v>950</v>
      </c>
      <c r="P953" s="5" t="n"/>
      <c r="Q953" s="5" t="n">
        <v>950</v>
      </c>
      <c r="R953" s="5" t="n"/>
      <c r="S953" s="5">
        <f>F953*20%</f>
        <v/>
      </c>
      <c r="T953" s="5">
        <f>J953-S953</f>
        <v/>
      </c>
      <c r="U953" s="5">
        <f>F953+J953</f>
        <v/>
      </c>
      <c r="V953" s="5">
        <f>O953-U953</f>
        <v/>
      </c>
      <c r="W953" s="5">
        <f>O953-(P953+R953)</f>
        <v/>
      </c>
      <c r="X953" s="5">
        <f>O953-(P953+Q953+R953)</f>
        <v/>
      </c>
    </row>
    <row r="954">
      <c r="A954" s="2" t="inlineStr">
        <is>
          <t>EJ051124.TXT</t>
        </is>
      </c>
      <c r="B954" s="3" t="inlineStr">
        <is>
          <t>005619</t>
        </is>
      </c>
      <c r="C954" s="3" t="inlineStr">
        <is>
          <t>004514</t>
        </is>
      </c>
      <c r="D954" s="4" t="n">
        <v>45594</v>
      </c>
      <c r="E954" s="2" t="inlineStr">
        <is>
          <t>17:18</t>
        </is>
      </c>
      <c r="F954" s="5" t="n">
        <v>274.17</v>
      </c>
      <c r="G954" s="5" t="n"/>
      <c r="H954" s="5" t="n"/>
      <c r="I954" s="5" t="n"/>
      <c r="J954" s="5" t="n">
        <v>54.83</v>
      </c>
      <c r="K954" s="5" t="n"/>
      <c r="L954" s="5" t="n"/>
      <c r="M954" s="5" t="n"/>
      <c r="N954" s="5" t="n"/>
      <c r="O954" s="5" t="n">
        <v>329</v>
      </c>
      <c r="P954" s="5" t="n"/>
      <c r="Q954" s="5" t="n">
        <v>329</v>
      </c>
      <c r="R954" s="5" t="n"/>
      <c r="S954" s="5">
        <f>F954*20%</f>
        <v/>
      </c>
      <c r="T954" s="5">
        <f>J954-S954</f>
        <v/>
      </c>
      <c r="U954" s="5">
        <f>F954+J954</f>
        <v/>
      </c>
      <c r="V954" s="5">
        <f>O954-U954</f>
        <v/>
      </c>
      <c r="W954" s="5">
        <f>O954-(P954+R954)</f>
        <v/>
      </c>
      <c r="X954" s="5">
        <f>O954-(P954+Q954+R954)</f>
        <v/>
      </c>
    </row>
    <row r="955">
      <c r="A955" s="2" t="inlineStr">
        <is>
          <t>EJ051124.TXT</t>
        </is>
      </c>
      <c r="B955" s="3" t="inlineStr">
        <is>
          <t>005620</t>
        </is>
      </c>
      <c r="C955" s="3" t="inlineStr">
        <is>
          <t>004515</t>
        </is>
      </c>
      <c r="D955" s="4" t="n">
        <v>45595</v>
      </c>
      <c r="E955" s="2" t="inlineStr">
        <is>
          <t>12:40</t>
        </is>
      </c>
      <c r="F955" s="5" t="n">
        <v>533.33</v>
      </c>
      <c r="G955" s="5" t="n"/>
      <c r="H955" s="5" t="n"/>
      <c r="I955" s="5" t="n"/>
      <c r="J955" s="5" t="n">
        <v>106.67</v>
      </c>
      <c r="K955" s="5" t="n"/>
      <c r="L955" s="5" t="n"/>
      <c r="M955" s="5" t="n"/>
      <c r="N955" s="5" t="n"/>
      <c r="O955" s="5" t="n">
        <v>640</v>
      </c>
      <c r="P955" s="5" t="n"/>
      <c r="Q955" s="5" t="n">
        <v>640</v>
      </c>
      <c r="R955" s="5" t="n"/>
      <c r="S955" s="5">
        <f>F955*20%</f>
        <v/>
      </c>
      <c r="T955" s="5">
        <f>J955-S955</f>
        <v/>
      </c>
      <c r="U955" s="5">
        <f>F955+J955</f>
        <v/>
      </c>
      <c r="V955" s="5">
        <f>O955-U955</f>
        <v/>
      </c>
      <c r="W955" s="5">
        <f>O955-(P955+R955)</f>
        <v/>
      </c>
      <c r="X955" s="5">
        <f>O955-(P955+Q955+R955)</f>
        <v/>
      </c>
    </row>
    <row r="956">
      <c r="A956" s="2" t="inlineStr">
        <is>
          <t>EJ051124.TXT</t>
        </is>
      </c>
      <c r="B956" s="3" t="inlineStr">
        <is>
          <t>005621</t>
        </is>
      </c>
      <c r="C956" s="3" t="inlineStr">
        <is>
          <t>004516</t>
        </is>
      </c>
      <c r="D956" s="4" t="n">
        <v>45600</v>
      </c>
      <c r="E956" s="2" t="inlineStr">
        <is>
          <t>12:42</t>
        </is>
      </c>
      <c r="F956" s="5" t="n">
        <v>825</v>
      </c>
      <c r="G956" s="5" t="n"/>
      <c r="H956" s="5" t="n"/>
      <c r="I956" s="5" t="n"/>
      <c r="J956" s="5" t="n">
        <v>165</v>
      </c>
      <c r="K956" s="5" t="n"/>
      <c r="L956" s="5" t="n"/>
      <c r="M956" s="5" t="n"/>
      <c r="N956" s="5" t="n"/>
      <c r="O956" s="5" t="n">
        <v>990</v>
      </c>
      <c r="P956" s="5" t="n"/>
      <c r="Q956" s="5" t="n">
        <v>990</v>
      </c>
      <c r="R956" s="5" t="n"/>
      <c r="S956" s="5">
        <f>F956*20%</f>
        <v/>
      </c>
      <c r="T956" s="5">
        <f>J956-S956</f>
        <v/>
      </c>
      <c r="U956" s="5">
        <f>F956+J956</f>
        <v/>
      </c>
      <c r="V956" s="5">
        <f>O956-U956</f>
        <v/>
      </c>
      <c r="W956" s="5">
        <f>O956-(P956+R956)</f>
        <v/>
      </c>
      <c r="X956" s="5">
        <f>O956-(P956+Q956+R956)</f>
        <v/>
      </c>
    </row>
    <row r="957">
      <c r="A957" s="2" t="inlineStr">
        <is>
          <t>EJ051124.TXT</t>
        </is>
      </c>
      <c r="B957" s="3" t="inlineStr">
        <is>
          <t>005622</t>
        </is>
      </c>
      <c r="C957" s="3" t="inlineStr">
        <is>
          <t>004517</t>
        </is>
      </c>
      <c r="D957" s="4" t="n">
        <v>45600</v>
      </c>
      <c r="E957" s="2" t="inlineStr">
        <is>
          <t>12:43</t>
        </is>
      </c>
      <c r="F957" s="5" t="n">
        <v>825</v>
      </c>
      <c r="G957" s="5" t="n"/>
      <c r="H957" s="5" t="n"/>
      <c r="I957" s="5" t="n"/>
      <c r="J957" s="5" t="n">
        <v>165</v>
      </c>
      <c r="K957" s="5" t="n"/>
      <c r="L957" s="5" t="n"/>
      <c r="M957" s="5" t="n"/>
      <c r="N957" s="5" t="n"/>
      <c r="O957" s="5" t="n">
        <v>990</v>
      </c>
      <c r="P957" s="5" t="n"/>
      <c r="Q957" s="5" t="n">
        <v>990</v>
      </c>
      <c r="R957" s="5" t="n"/>
      <c r="S957" s="5">
        <f>F957*20%</f>
        <v/>
      </c>
      <c r="T957" s="5">
        <f>J957-S957</f>
        <v/>
      </c>
      <c r="U957" s="5">
        <f>F957+J957</f>
        <v/>
      </c>
      <c r="V957" s="5">
        <f>O957-U957</f>
        <v/>
      </c>
      <c r="W957" s="5">
        <f>O957-(P957+R957)</f>
        <v/>
      </c>
      <c r="X957" s="5">
        <f>O957-(P957+Q957+R957)</f>
        <v/>
      </c>
    </row>
    <row r="958">
      <c r="A958" s="2" t="inlineStr">
        <is>
          <t>EJ051124.TXT</t>
        </is>
      </c>
      <c r="B958" s="3" t="inlineStr">
        <is>
          <t>005623</t>
        </is>
      </c>
      <c r="C958" s="3" t="inlineStr">
        <is>
          <t>004518</t>
        </is>
      </c>
      <c r="D958" s="4" t="n">
        <v>45600</v>
      </c>
      <c r="E958" s="2" t="inlineStr">
        <is>
          <t>12:43</t>
        </is>
      </c>
      <c r="F958" s="5" t="n">
        <v>825</v>
      </c>
      <c r="G958" s="5" t="n"/>
      <c r="H958" s="5" t="n"/>
      <c r="I958" s="5" t="n"/>
      <c r="J958" s="5" t="n">
        <v>165</v>
      </c>
      <c r="K958" s="5" t="n"/>
      <c r="L958" s="5" t="n"/>
      <c r="M958" s="5" t="n"/>
      <c r="N958" s="5" t="n"/>
      <c r="O958" s="5" t="n">
        <v>990</v>
      </c>
      <c r="P958" s="5" t="n"/>
      <c r="Q958" s="5" t="n">
        <v>990</v>
      </c>
      <c r="R958" s="5" t="n"/>
      <c r="S958" s="5">
        <f>F958*20%</f>
        <v/>
      </c>
      <c r="T958" s="5">
        <f>J958-S958</f>
        <v/>
      </c>
      <c r="U958" s="5">
        <f>F958+J958</f>
        <v/>
      </c>
      <c r="V958" s="5">
        <f>O958-U958</f>
        <v/>
      </c>
      <c r="W958" s="5">
        <f>O958-(P958+R958)</f>
        <v/>
      </c>
      <c r="X958" s="5">
        <f>O958-(P958+Q958+R958)</f>
        <v/>
      </c>
    </row>
    <row r="959">
      <c r="A959" s="2" t="inlineStr">
        <is>
          <t>EJ051124.TXT</t>
        </is>
      </c>
      <c r="B959" s="3" t="inlineStr">
        <is>
          <t>005624</t>
        </is>
      </c>
      <c r="C959" s="3" t="inlineStr">
        <is>
          <t>004519</t>
        </is>
      </c>
      <c r="D959" s="4" t="n">
        <v>45600</v>
      </c>
      <c r="E959" s="2" t="inlineStr">
        <is>
          <t>12:43</t>
        </is>
      </c>
      <c r="F959" s="5" t="n">
        <v>577.5</v>
      </c>
      <c r="G959" s="5" t="n"/>
      <c r="H959" s="5" t="n"/>
      <c r="I959" s="5" t="n"/>
      <c r="J959" s="5" t="n">
        <v>115.5</v>
      </c>
      <c r="K959" s="5" t="n"/>
      <c r="L959" s="5" t="n"/>
      <c r="M959" s="5" t="n"/>
      <c r="N959" s="5" t="n"/>
      <c r="O959" s="5" t="n">
        <v>693</v>
      </c>
      <c r="P959" s="5" t="n"/>
      <c r="Q959" s="5" t="n">
        <v>693</v>
      </c>
      <c r="R959" s="5" t="n"/>
      <c r="S959" s="5">
        <f>F959*20%</f>
        <v/>
      </c>
      <c r="T959" s="5">
        <f>J959-S959</f>
        <v/>
      </c>
      <c r="U959" s="5">
        <f>F959+J959</f>
        <v/>
      </c>
      <c r="V959" s="5">
        <f>O959-U959</f>
        <v/>
      </c>
      <c r="W959" s="5">
        <f>O959-(P959+R959)</f>
        <v/>
      </c>
      <c r="X959" s="5">
        <f>O959-(P959+Q959+R959)</f>
        <v/>
      </c>
    </row>
    <row r="960">
      <c r="A960" s="2" t="inlineStr">
        <is>
          <t>EJ051124.TXT</t>
        </is>
      </c>
      <c r="B960" s="3" t="inlineStr">
        <is>
          <t>005625</t>
        </is>
      </c>
      <c r="C960" s="3" t="inlineStr">
        <is>
          <t>004520</t>
        </is>
      </c>
      <c r="D960" s="4" t="n">
        <v>45600</v>
      </c>
      <c r="E960" s="2" t="inlineStr">
        <is>
          <t>15:24</t>
        </is>
      </c>
      <c r="F960" s="5" t="n">
        <v>208.33</v>
      </c>
      <c r="G960" s="5" t="n"/>
      <c r="H960" s="5" t="n"/>
      <c r="I960" s="5" t="n"/>
      <c r="J960" s="5" t="n">
        <v>41.67</v>
      </c>
      <c r="K960" s="5" t="n"/>
      <c r="L960" s="5" t="n"/>
      <c r="M960" s="5" t="n"/>
      <c r="N960" s="5" t="n"/>
      <c r="O960" s="5" t="n">
        <v>250</v>
      </c>
      <c r="P960" s="5" t="n"/>
      <c r="Q960" s="5" t="n">
        <v>250</v>
      </c>
      <c r="R960" s="5" t="n"/>
      <c r="S960" s="5">
        <f>F960*20%</f>
        <v/>
      </c>
      <c r="T960" s="5">
        <f>J960-S960</f>
        <v/>
      </c>
      <c r="U960" s="5">
        <f>F960+J960</f>
        <v/>
      </c>
      <c r="V960" s="5">
        <f>O960-U960</f>
        <v/>
      </c>
      <c r="W960" s="5">
        <f>O960-(P960+R960)</f>
        <v/>
      </c>
      <c r="X960" s="5">
        <f>O960-(P960+Q960+R960)</f>
        <v/>
      </c>
    </row>
    <row r="961">
      <c r="A961" s="2" t="inlineStr">
        <is>
          <t>EJ051124.TXT</t>
        </is>
      </c>
      <c r="B961" s="3" t="inlineStr">
        <is>
          <t>005626</t>
        </is>
      </c>
      <c r="C961" s="3" t="inlineStr">
        <is>
          <t>004521</t>
        </is>
      </c>
      <c r="D961" s="4" t="n">
        <v>45601</v>
      </c>
      <c r="E961" s="2" t="inlineStr">
        <is>
          <t>12:46</t>
        </is>
      </c>
      <c r="F961" s="5" t="n">
        <v>132.42</v>
      </c>
      <c r="G961" s="5" t="n"/>
      <c r="H961" s="5" t="n"/>
      <c r="I961" s="5" t="n"/>
      <c r="J961" s="5" t="n">
        <v>26.48</v>
      </c>
      <c r="K961" s="5" t="n"/>
      <c r="L961" s="5" t="n"/>
      <c r="M961" s="5" t="n"/>
      <c r="N961" s="5" t="n"/>
      <c r="O961" s="5" t="n">
        <v>158.9</v>
      </c>
      <c r="P961" s="5" t="n"/>
      <c r="Q961" s="5" t="n">
        <v>158.9</v>
      </c>
      <c r="R961" s="5" t="n"/>
      <c r="S961" s="5">
        <f>F961*20%</f>
        <v/>
      </c>
      <c r="T961" s="5">
        <f>J961-S961</f>
        <v/>
      </c>
      <c r="U961" s="5">
        <f>F961+J961</f>
        <v/>
      </c>
      <c r="V961" s="5">
        <f>O961-U961</f>
        <v/>
      </c>
      <c r="W961" s="5">
        <f>O961-(P961+R961)</f>
        <v/>
      </c>
      <c r="X961" s="5">
        <f>O961-(P961+Q961+R961)</f>
        <v/>
      </c>
    </row>
    <row r="962">
      <c r="A962" s="2" t="inlineStr">
        <is>
          <t>EJ051124.TXT</t>
        </is>
      </c>
      <c r="B962" s="3" t="inlineStr">
        <is>
          <t>005627</t>
        </is>
      </c>
      <c r="C962" s="3" t="inlineStr">
        <is>
          <t>004522</t>
        </is>
      </c>
      <c r="D962" s="4" t="n">
        <v>45601</v>
      </c>
      <c r="E962" s="2" t="inlineStr">
        <is>
          <t>17:19</t>
        </is>
      </c>
      <c r="F962" s="5" t="n">
        <v>166.67</v>
      </c>
      <c r="G962" s="5" t="n"/>
      <c r="H962" s="5" t="n"/>
      <c r="I962" s="5" t="n"/>
      <c r="J962" s="5" t="n">
        <v>33.33</v>
      </c>
      <c r="K962" s="5" t="n"/>
      <c r="L962" s="5" t="n"/>
      <c r="M962" s="5" t="n"/>
      <c r="N962" s="5" t="n"/>
      <c r="O962" s="5" t="n">
        <v>200</v>
      </c>
      <c r="P962" s="5" t="n"/>
      <c r="Q962" s="5" t="n">
        <v>200</v>
      </c>
      <c r="R962" s="5" t="n"/>
      <c r="S962" s="5">
        <f>F962*20%</f>
        <v/>
      </c>
      <c r="T962" s="5">
        <f>J962-S962</f>
        <v/>
      </c>
      <c r="U962" s="5">
        <f>F962+J962</f>
        <v/>
      </c>
      <c r="V962" s="5">
        <f>O962-U962</f>
        <v/>
      </c>
      <c r="W962" s="5">
        <f>O962-(P962+R962)</f>
        <v/>
      </c>
      <c r="X962" s="5">
        <f>O962-(P962+Q962+R962)</f>
        <v/>
      </c>
    </row>
    <row r="963">
      <c r="A963" s="2" t="inlineStr">
        <is>
          <t>EJ051124.TXT</t>
        </is>
      </c>
      <c r="B963" s="3" t="inlineStr">
        <is>
          <t>005628</t>
        </is>
      </c>
      <c r="C963" s="3" t="inlineStr">
        <is>
          <t>004523</t>
        </is>
      </c>
      <c r="D963" s="4" t="n">
        <v>45601</v>
      </c>
      <c r="E963" s="2" t="inlineStr">
        <is>
          <t>17:19</t>
        </is>
      </c>
      <c r="F963" s="5" t="n">
        <v>24.17</v>
      </c>
      <c r="G963" s="5" t="n"/>
      <c r="H963" s="5" t="n"/>
      <c r="I963" s="5" t="n"/>
      <c r="J963" s="5" t="n">
        <v>4.83</v>
      </c>
      <c r="K963" s="5" t="n"/>
      <c r="L963" s="5" t="n"/>
      <c r="M963" s="5" t="n"/>
      <c r="N963" s="5" t="n"/>
      <c r="O963" s="5" t="n">
        <v>29</v>
      </c>
      <c r="P963" s="5" t="n">
        <v>29</v>
      </c>
      <c r="Q963" s="5" t="n"/>
      <c r="R963" s="5" t="n"/>
      <c r="S963" s="5">
        <f>F963*20%</f>
        <v/>
      </c>
      <c r="T963" s="5">
        <f>J963-S963</f>
        <v/>
      </c>
      <c r="U963" s="5">
        <f>F963+J963</f>
        <v/>
      </c>
      <c r="V963" s="5">
        <f>O963-U963</f>
        <v/>
      </c>
      <c r="W963" s="5">
        <f>O963-(P963+R963)</f>
        <v/>
      </c>
      <c r="X963" s="5">
        <f>O963-(P963+Q963+R963)</f>
        <v/>
      </c>
    </row>
    <row r="964">
      <c r="A964" s="2" t="inlineStr">
        <is>
          <t>EJ051124.TXT</t>
        </is>
      </c>
      <c r="B964" s="3" t="inlineStr">
        <is>
          <t>005629</t>
        </is>
      </c>
      <c r="C964" s="3" t="inlineStr">
        <is>
          <t>004524</t>
        </is>
      </c>
      <c r="D964" s="4" t="n">
        <v>45601</v>
      </c>
      <c r="E964" s="2" t="inlineStr">
        <is>
          <t>17:22</t>
        </is>
      </c>
      <c r="F964" s="5" t="n">
        <v>208.33</v>
      </c>
      <c r="G964" s="5" t="n"/>
      <c r="H964" s="5" t="n"/>
      <c r="I964" s="5" t="n"/>
      <c r="J964" s="5" t="n">
        <v>41.67</v>
      </c>
      <c r="K964" s="5" t="n"/>
      <c r="L964" s="5" t="n"/>
      <c r="M964" s="5" t="n"/>
      <c r="N964" s="5" t="n"/>
      <c r="O964" s="5" t="n">
        <v>250</v>
      </c>
      <c r="P964" s="5" t="n"/>
      <c r="Q964" s="5" t="n">
        <v>250</v>
      </c>
      <c r="R964" s="5" t="n"/>
      <c r="S964" s="5">
        <f>F964*20%</f>
        <v/>
      </c>
      <c r="T964" s="5">
        <f>J964-S964</f>
        <v/>
      </c>
      <c r="U964" s="5">
        <f>F964+J964</f>
        <v/>
      </c>
      <c r="V964" s="5">
        <f>O964-U964</f>
        <v/>
      </c>
      <c r="W964" s="5">
        <f>O964-(P964+R964)</f>
        <v/>
      </c>
      <c r="X964" s="5">
        <f>O964-(P964+Q964+R964)</f>
        <v/>
      </c>
    </row>
    <row r="965">
      <c r="A965" s="2" t="inlineStr">
        <is>
          <t>EJ301124.TXT</t>
        </is>
      </c>
      <c r="B965" s="3" t="inlineStr">
        <is>
          <t>005637</t>
        </is>
      </c>
      <c r="C965" s="3" t="inlineStr">
        <is>
          <t>004525</t>
        </is>
      </c>
      <c r="D965" s="4" t="n">
        <v>45602</v>
      </c>
      <c r="E965" s="2" t="inlineStr">
        <is>
          <t>09:48</t>
        </is>
      </c>
      <c r="F965" s="5" t="n">
        <v>208.33</v>
      </c>
      <c r="G965" s="5" t="n"/>
      <c r="H965" s="5" t="n"/>
      <c r="I965" s="5" t="n"/>
      <c r="J965" s="5" t="n">
        <v>41.67</v>
      </c>
      <c r="K965" s="5" t="n"/>
      <c r="L965" s="5" t="n"/>
      <c r="M965" s="5" t="n"/>
      <c r="N965" s="5" t="n"/>
      <c r="O965" s="5" t="n">
        <v>250</v>
      </c>
      <c r="P965" s="5" t="n"/>
      <c r="Q965" s="5" t="n">
        <v>250</v>
      </c>
      <c r="R965" s="5" t="n"/>
      <c r="S965" s="5">
        <f>F965*20%</f>
        <v/>
      </c>
      <c r="T965" s="5">
        <f>J965-S965</f>
        <v/>
      </c>
      <c r="U965" s="5">
        <f>F965+J965</f>
        <v/>
      </c>
      <c r="V965" s="5">
        <f>O965-U965</f>
        <v/>
      </c>
      <c r="W965" s="5">
        <f>O965-(P965+R965)</f>
        <v/>
      </c>
      <c r="X965" s="5">
        <f>O965-(P965+Q965+R965)</f>
        <v/>
      </c>
    </row>
    <row r="966">
      <c r="A966" s="2" t="inlineStr">
        <is>
          <t>EJ301124.TXT</t>
        </is>
      </c>
      <c r="B966" s="3" t="inlineStr">
        <is>
          <t>005638</t>
        </is>
      </c>
      <c r="C966" s="3" t="inlineStr">
        <is>
          <t>004526</t>
        </is>
      </c>
      <c r="D966" s="4" t="n">
        <v>45604</v>
      </c>
      <c r="E966" s="2" t="inlineStr">
        <is>
          <t>18:23</t>
        </is>
      </c>
      <c r="F966" s="5" t="n">
        <v>324.17</v>
      </c>
      <c r="G966" s="5" t="n"/>
      <c r="H966" s="5" t="n"/>
      <c r="I966" s="5" t="n"/>
      <c r="J966" s="5" t="n">
        <v>64.83</v>
      </c>
      <c r="K966" s="5" t="n"/>
      <c r="L966" s="5" t="n"/>
      <c r="M966" s="5" t="n"/>
      <c r="N966" s="5" t="n"/>
      <c r="O966" s="5" t="n">
        <v>389</v>
      </c>
      <c r="P966" s="5" t="n">
        <v>389</v>
      </c>
      <c r="Q966" s="5" t="n"/>
      <c r="R966" s="5" t="n"/>
      <c r="S966" s="5">
        <f>F966*20%</f>
        <v/>
      </c>
      <c r="T966" s="5">
        <f>J966-S966</f>
        <v/>
      </c>
      <c r="U966" s="5">
        <f>F966+J966</f>
        <v/>
      </c>
      <c r="V966" s="5">
        <f>O966-U966</f>
        <v/>
      </c>
      <c r="W966" s="5">
        <f>O966-(P966+R966)</f>
        <v/>
      </c>
      <c r="X966" s="5">
        <f>O966-(P966+Q966+R966)</f>
        <v/>
      </c>
    </row>
    <row r="967">
      <c r="A967" s="2" t="inlineStr">
        <is>
          <t>EJ301124.TXT</t>
        </is>
      </c>
      <c r="B967" s="3" t="inlineStr">
        <is>
          <t>005639</t>
        </is>
      </c>
      <c r="C967" s="3" t="inlineStr">
        <is>
          <t>004527</t>
        </is>
      </c>
      <c r="D967" s="4" t="n">
        <v>45604</v>
      </c>
      <c r="E967" s="2" t="inlineStr">
        <is>
          <t>18:40</t>
        </is>
      </c>
      <c r="F967" s="5" t="n">
        <v>33.25</v>
      </c>
      <c r="G967" s="5" t="n"/>
      <c r="H967" s="5" t="n"/>
      <c r="I967" s="5" t="n"/>
      <c r="J967" s="5" t="n">
        <v>6.65</v>
      </c>
      <c r="K967" s="5" t="n"/>
      <c r="L967" s="5" t="n"/>
      <c r="M967" s="5" t="n"/>
      <c r="N967" s="5" t="n"/>
      <c r="O967" s="5" t="n">
        <v>39.9</v>
      </c>
      <c r="P967" s="5" t="n">
        <v>39.9</v>
      </c>
      <c r="Q967" s="5" t="n"/>
      <c r="R967" s="5" t="n"/>
      <c r="S967" s="5">
        <f>F967*20%</f>
        <v/>
      </c>
      <c r="T967" s="5">
        <f>J967-S967</f>
        <v/>
      </c>
      <c r="U967" s="5">
        <f>F967+J967</f>
        <v/>
      </c>
      <c r="V967" s="5">
        <f>O967-U967</f>
        <v/>
      </c>
      <c r="W967" s="5">
        <f>O967-(P967+R967)</f>
        <v/>
      </c>
      <c r="X967" s="5">
        <f>O967-(P967+Q967+R967)</f>
        <v/>
      </c>
    </row>
    <row r="968">
      <c r="A968" s="2" t="inlineStr">
        <is>
          <t>EJ301124.TXT</t>
        </is>
      </c>
      <c r="B968" s="3" t="inlineStr">
        <is>
          <t>005640</t>
        </is>
      </c>
      <c r="C968" s="3" t="inlineStr">
        <is>
          <t>004528</t>
        </is>
      </c>
      <c r="D968" s="4" t="n">
        <v>45605</v>
      </c>
      <c r="E968" s="2" t="inlineStr">
        <is>
          <t>16:17</t>
        </is>
      </c>
      <c r="F968" s="5" t="n">
        <v>93.15000000000001</v>
      </c>
      <c r="G968" s="5" t="n"/>
      <c r="H968" s="5" t="n"/>
      <c r="I968" s="5" t="n"/>
      <c r="J968" s="5" t="n">
        <v>18.63</v>
      </c>
      <c r="K968" s="5" t="n"/>
      <c r="L968" s="5" t="n"/>
      <c r="M968" s="5" t="n"/>
      <c r="N968" s="5" t="n"/>
      <c r="O968" s="5" t="n">
        <v>111.78</v>
      </c>
      <c r="P968" s="5" t="n">
        <v>111.78</v>
      </c>
      <c r="Q968" s="5" t="n"/>
      <c r="R968" s="5" t="n"/>
      <c r="S968" s="5">
        <f>F968*20%</f>
        <v/>
      </c>
      <c r="T968" s="5">
        <f>J968-S968</f>
        <v/>
      </c>
      <c r="U968" s="5">
        <f>F968+J968</f>
        <v/>
      </c>
      <c r="V968" s="5">
        <f>O968-U968</f>
        <v/>
      </c>
      <c r="W968" s="5">
        <f>O968-(P968+R968)</f>
        <v/>
      </c>
      <c r="X968" s="5">
        <f>O968-(P968+Q968+R968)</f>
        <v/>
      </c>
    </row>
    <row r="969">
      <c r="A969" s="2" t="inlineStr">
        <is>
          <t>EJ301124.TXT</t>
        </is>
      </c>
      <c r="B969" s="3" t="inlineStr">
        <is>
          <t>005641</t>
        </is>
      </c>
      <c r="C969" s="3" t="inlineStr">
        <is>
          <t>004529</t>
        </is>
      </c>
      <c r="D969" s="4" t="n">
        <v>45605</v>
      </c>
      <c r="E969" s="2" t="inlineStr">
        <is>
          <t>16:18</t>
        </is>
      </c>
      <c r="F969" s="5" t="n">
        <v>163.35</v>
      </c>
      <c r="G969" s="5" t="n"/>
      <c r="H969" s="5" t="n"/>
      <c r="I969" s="5" t="n"/>
      <c r="J969" s="5" t="n">
        <v>32.67</v>
      </c>
      <c r="K969" s="5" t="n"/>
      <c r="L969" s="5" t="n"/>
      <c r="M969" s="5" t="n"/>
      <c r="N969" s="5" t="n"/>
      <c r="O969" s="5" t="n">
        <v>196.02</v>
      </c>
      <c r="P969" s="5" t="n">
        <v>196.02</v>
      </c>
      <c r="Q969" s="5" t="n"/>
      <c r="R969" s="5" t="n"/>
      <c r="S969" s="5">
        <f>F969*20%</f>
        <v/>
      </c>
      <c r="T969" s="5">
        <f>J969-S969</f>
        <v/>
      </c>
      <c r="U969" s="5">
        <f>F969+J969</f>
        <v/>
      </c>
      <c r="V969" s="5">
        <f>O969-U969</f>
        <v/>
      </c>
      <c r="W969" s="5">
        <f>O969-(P969+R969)</f>
        <v/>
      </c>
      <c r="X969" s="5">
        <f>O969-(P969+Q969+R969)</f>
        <v/>
      </c>
    </row>
    <row r="970">
      <c r="A970" s="2" t="inlineStr">
        <is>
          <t>EJ301124.TXT</t>
        </is>
      </c>
      <c r="B970" s="3" t="inlineStr">
        <is>
          <t>005642</t>
        </is>
      </c>
      <c r="C970" s="3" t="inlineStr">
        <is>
          <t>004530</t>
        </is>
      </c>
      <c r="D970" s="4" t="n">
        <v>45614</v>
      </c>
      <c r="E970" s="2" t="inlineStr">
        <is>
          <t>15:40</t>
        </is>
      </c>
      <c r="F970" s="5" t="n">
        <v>830</v>
      </c>
      <c r="G970" s="5" t="n"/>
      <c r="H970" s="5" t="n"/>
      <c r="I970" s="5" t="n"/>
      <c r="J970" s="5" t="n">
        <v>166</v>
      </c>
      <c r="K970" s="5" t="n"/>
      <c r="L970" s="5" t="n"/>
      <c r="M970" s="5" t="n"/>
      <c r="N970" s="5" t="n"/>
      <c r="O970" s="5" t="n">
        <v>996</v>
      </c>
      <c r="P970" s="5" t="n"/>
      <c r="Q970" s="5" t="n">
        <v>996</v>
      </c>
      <c r="R970" s="5" t="n"/>
      <c r="S970" s="5">
        <f>F970*20%</f>
        <v/>
      </c>
      <c r="T970" s="5">
        <f>J970-S970</f>
        <v/>
      </c>
      <c r="U970" s="5">
        <f>F970+J970</f>
        <v/>
      </c>
      <c r="V970" s="5">
        <f>O970-U970</f>
        <v/>
      </c>
      <c r="W970" s="5">
        <f>O970-(P970+R970)</f>
        <v/>
      </c>
      <c r="X970" s="5">
        <f>O970-(P970+Q970+R970)</f>
        <v/>
      </c>
    </row>
    <row r="971">
      <c r="A971" s="2" t="inlineStr">
        <is>
          <t>EJ301124.TXT</t>
        </is>
      </c>
      <c r="B971" s="3" t="inlineStr">
        <is>
          <t>005643</t>
        </is>
      </c>
      <c r="C971" s="3" t="inlineStr">
        <is>
          <t>004531</t>
        </is>
      </c>
      <c r="D971" s="4" t="n">
        <v>45614</v>
      </c>
      <c r="E971" s="2" t="inlineStr">
        <is>
          <t>16:36</t>
        </is>
      </c>
      <c r="F971" s="5" t="n">
        <v>208.33</v>
      </c>
      <c r="G971" s="5" t="n"/>
      <c r="H971" s="5" t="n"/>
      <c r="I971" s="5" t="n"/>
      <c r="J971" s="5" t="n">
        <v>41.67</v>
      </c>
      <c r="K971" s="5" t="n"/>
      <c r="L971" s="5" t="n"/>
      <c r="M971" s="5" t="n"/>
      <c r="N971" s="5" t="n"/>
      <c r="O971" s="5" t="n">
        <v>250</v>
      </c>
      <c r="P971" s="5" t="n"/>
      <c r="Q971" s="5" t="n">
        <v>250</v>
      </c>
      <c r="R971" s="5" t="n"/>
      <c r="S971" s="5">
        <f>F971*20%</f>
        <v/>
      </c>
      <c r="T971" s="5">
        <f>J971-S971</f>
        <v/>
      </c>
      <c r="U971" s="5">
        <f>F971+J971</f>
        <v/>
      </c>
      <c r="V971" s="5">
        <f>O971-U971</f>
        <v/>
      </c>
      <c r="W971" s="5">
        <f>O971-(P971+R971)</f>
        <v/>
      </c>
      <c r="X971" s="5">
        <f>O971-(P971+Q971+R971)</f>
        <v/>
      </c>
    </row>
    <row r="972">
      <c r="A972" s="2" t="inlineStr">
        <is>
          <t>EJ301124.TXT</t>
        </is>
      </c>
      <c r="B972" s="3" t="inlineStr">
        <is>
          <t>005644</t>
        </is>
      </c>
      <c r="C972" s="3" t="inlineStr">
        <is>
          <t>004532</t>
        </is>
      </c>
      <c r="D972" s="4" t="n">
        <v>45615</v>
      </c>
      <c r="E972" s="2" t="inlineStr">
        <is>
          <t>11:56</t>
        </is>
      </c>
      <c r="F972" s="5" t="n">
        <v>190.83</v>
      </c>
      <c r="G972" s="5" t="n"/>
      <c r="H972" s="5" t="n"/>
      <c r="I972" s="5" t="n"/>
      <c r="J972" s="5" t="n">
        <v>38.17</v>
      </c>
      <c r="K972" s="5" t="n"/>
      <c r="L972" s="5" t="n"/>
      <c r="M972" s="5" t="n"/>
      <c r="N972" s="5" t="n"/>
      <c r="O972" s="5" t="n">
        <v>229</v>
      </c>
      <c r="P972" s="5" t="n">
        <v>229</v>
      </c>
      <c r="Q972" s="5" t="n"/>
      <c r="R972" s="5" t="n"/>
      <c r="S972" s="5">
        <f>F972*20%</f>
        <v/>
      </c>
      <c r="T972" s="5">
        <f>J972-S972</f>
        <v/>
      </c>
      <c r="U972" s="5">
        <f>F972+J972</f>
        <v/>
      </c>
      <c r="V972" s="5">
        <f>O972-U972</f>
        <v/>
      </c>
      <c r="W972" s="5">
        <f>O972-(P972+R972)</f>
        <v/>
      </c>
      <c r="X972" s="5">
        <f>O972-(P972+Q972+R972)</f>
        <v/>
      </c>
    </row>
    <row r="973">
      <c r="A973" s="2" t="inlineStr">
        <is>
          <t>EJ301124.TXT</t>
        </is>
      </c>
      <c r="B973" s="3" t="inlineStr">
        <is>
          <t>005645</t>
        </is>
      </c>
      <c r="C973" s="3" t="inlineStr">
        <is>
          <t>004533</t>
        </is>
      </c>
      <c r="D973" s="4" t="n">
        <v>45621</v>
      </c>
      <c r="E973" s="2" t="inlineStr">
        <is>
          <t>11:36</t>
        </is>
      </c>
      <c r="F973" s="5" t="n">
        <v>199.17</v>
      </c>
      <c r="G973" s="5" t="n"/>
      <c r="H973" s="5" t="n"/>
      <c r="I973" s="5" t="n"/>
      <c r="J973" s="5" t="n">
        <v>39.83</v>
      </c>
      <c r="K973" s="5" t="n"/>
      <c r="L973" s="5" t="n"/>
      <c r="M973" s="5" t="n"/>
      <c r="N973" s="5" t="n"/>
      <c r="O973" s="5" t="n">
        <v>239</v>
      </c>
      <c r="P973" s="5" t="n">
        <v>239</v>
      </c>
      <c r="Q973" s="5" t="n"/>
      <c r="R973" s="5" t="n"/>
      <c r="S973" s="5">
        <f>F973*20%</f>
        <v/>
      </c>
      <c r="T973" s="5">
        <f>J973-S973</f>
        <v/>
      </c>
      <c r="U973" s="5">
        <f>F973+J973</f>
        <v/>
      </c>
      <c r="V973" s="5">
        <f>O973-U973</f>
        <v/>
      </c>
      <c r="W973" s="5">
        <f>O973-(P973+R973)</f>
        <v/>
      </c>
      <c r="X973" s="5">
        <f>O973-(P973+Q973+R973)</f>
        <v/>
      </c>
    </row>
    <row r="974">
      <c r="A974" s="2" t="inlineStr">
        <is>
          <t>EJ301124.TXT</t>
        </is>
      </c>
      <c r="B974" s="3" t="inlineStr">
        <is>
          <t>005646</t>
        </is>
      </c>
      <c r="C974" s="3" t="inlineStr">
        <is>
          <t>004534</t>
        </is>
      </c>
      <c r="D974" s="4" t="n">
        <v>45625</v>
      </c>
      <c r="E974" s="2" t="inlineStr">
        <is>
          <t>17:20</t>
        </is>
      </c>
      <c r="F974" s="5" t="n">
        <v>208.33</v>
      </c>
      <c r="G974" s="5" t="n"/>
      <c r="H974" s="5" t="n"/>
      <c r="I974" s="5" t="n"/>
      <c r="J974" s="5" t="n">
        <v>41.67</v>
      </c>
      <c r="K974" s="5" t="n"/>
      <c r="L974" s="5" t="n"/>
      <c r="M974" s="5" t="n"/>
      <c r="N974" s="5" t="n"/>
      <c r="O974" s="5" t="n">
        <v>250</v>
      </c>
      <c r="P974" s="5" t="n"/>
      <c r="Q974" s="5" t="n">
        <v>250</v>
      </c>
      <c r="R974" s="5" t="n"/>
      <c r="S974" s="5">
        <f>F974*20%</f>
        <v/>
      </c>
      <c r="T974" s="5">
        <f>J974-S974</f>
        <v/>
      </c>
      <c r="U974" s="5">
        <f>F974+J974</f>
        <v/>
      </c>
      <c r="V974" s="5">
        <f>O974-U974</f>
        <v/>
      </c>
      <c r="W974" s="5">
        <f>O974-(P974+R974)</f>
        <v/>
      </c>
      <c r="X974" s="5">
        <f>O974-(P974+Q974+R974)</f>
        <v/>
      </c>
    </row>
    <row r="975">
      <c r="A975" s="2" t="inlineStr">
        <is>
          <t>EJ301124.TXT</t>
        </is>
      </c>
      <c r="B975" s="3" t="inlineStr">
        <is>
          <t>005647</t>
        </is>
      </c>
      <c r="C975" s="3" t="inlineStr">
        <is>
          <t>004535</t>
        </is>
      </c>
      <c r="D975" s="4" t="n">
        <v>45626</v>
      </c>
      <c r="E975" s="2" t="inlineStr">
        <is>
          <t>15:32</t>
        </is>
      </c>
      <c r="F975" s="5" t="n">
        <v>1210.75</v>
      </c>
      <c r="G975" s="5" t="n"/>
      <c r="H975" s="5" t="n"/>
      <c r="I975" s="5" t="n"/>
      <c r="J975" s="5" t="n">
        <v>242.15</v>
      </c>
      <c r="K975" s="5" t="n"/>
      <c r="L975" s="5" t="n"/>
      <c r="M975" s="5" t="n"/>
      <c r="N975" s="5" t="n"/>
      <c r="O975" s="5" t="n">
        <v>1452.9</v>
      </c>
      <c r="P975" s="5" t="n">
        <v>1452.9</v>
      </c>
      <c r="Q975" s="5" t="n"/>
      <c r="R975" s="5" t="n"/>
      <c r="S975" s="5">
        <f>F975*20%</f>
        <v/>
      </c>
      <c r="T975" s="5">
        <f>J975-S975</f>
        <v/>
      </c>
      <c r="U975" s="5">
        <f>F975+J975</f>
        <v/>
      </c>
      <c r="V975" s="5">
        <f>O975-U975</f>
        <v/>
      </c>
      <c r="W975" s="5">
        <f>O975-(P975+R975)</f>
        <v/>
      </c>
      <c r="X975" s="5">
        <f>O975-(P975+Q975+R975)</f>
        <v/>
      </c>
    </row>
    <row r="976">
      <c r="A976" s="2" t="inlineStr">
        <is>
          <t>EJ301124.TXT</t>
        </is>
      </c>
      <c r="B976" s="3" t="inlineStr">
        <is>
          <t>005648</t>
        </is>
      </c>
      <c r="C976" s="3" t="inlineStr">
        <is>
          <t>004536</t>
        </is>
      </c>
      <c r="D976" s="4" t="n">
        <v>45626</v>
      </c>
      <c r="E976" s="2" t="inlineStr">
        <is>
          <t>16:29</t>
        </is>
      </c>
      <c r="F976" s="5" t="n">
        <v>274.17</v>
      </c>
      <c r="G976" s="5" t="n"/>
      <c r="H976" s="5" t="n"/>
      <c r="I976" s="5" t="n"/>
      <c r="J976" s="5" t="n">
        <v>54.83</v>
      </c>
      <c r="K976" s="5" t="n"/>
      <c r="L976" s="5" t="n"/>
      <c r="M976" s="5" t="n"/>
      <c r="N976" s="5" t="n"/>
      <c r="O976" s="5" t="n">
        <v>329</v>
      </c>
      <c r="P976" s="5" t="n">
        <v>329</v>
      </c>
      <c r="Q976" s="5" t="n"/>
      <c r="R976" s="5" t="n"/>
      <c r="S976" s="5">
        <f>F976*20%</f>
        <v/>
      </c>
      <c r="T976" s="5">
        <f>J976-S976</f>
        <v/>
      </c>
      <c r="U976" s="5">
        <f>F976+J976</f>
        <v/>
      </c>
      <c r="V976" s="5">
        <f>O976-U976</f>
        <v/>
      </c>
      <c r="W976" s="5">
        <f>O976-(P976+R976)</f>
        <v/>
      </c>
      <c r="X976" s="5">
        <f>O976-(P976+Q976+R976)</f>
        <v/>
      </c>
    </row>
    <row r="977">
      <c r="A977" s="2" t="inlineStr">
        <is>
          <t>EJ020125.TXT</t>
        </is>
      </c>
      <c r="B977" s="3" t="inlineStr">
        <is>
          <t>005656</t>
        </is>
      </c>
      <c r="C977" s="3" t="inlineStr">
        <is>
          <t>004537</t>
        </is>
      </c>
      <c r="D977" s="4" t="n">
        <v>45629</v>
      </c>
      <c r="E977" s="2" t="inlineStr">
        <is>
          <t>16:04</t>
        </is>
      </c>
      <c r="F977" s="5" t="n">
        <v>124.17</v>
      </c>
      <c r="G977" s="5" t="n"/>
      <c r="H977" s="5" t="n"/>
      <c r="I977" s="5" t="n"/>
      <c r="J977" s="5" t="n">
        <v>24.83</v>
      </c>
      <c r="K977" s="5" t="n"/>
      <c r="L977" s="5" t="n"/>
      <c r="M977" s="5" t="n"/>
      <c r="N977" s="5" t="n"/>
      <c r="O977" s="5" t="n">
        <v>149</v>
      </c>
      <c r="P977" s="5" t="n">
        <v>149</v>
      </c>
      <c r="Q977" s="5" t="n"/>
      <c r="R977" s="5" t="n"/>
      <c r="S977" s="5">
        <f>F977*20%</f>
        <v/>
      </c>
      <c r="T977" s="5">
        <f>J977-S977</f>
        <v/>
      </c>
      <c r="U977" s="5">
        <f>F977+J977</f>
        <v/>
      </c>
      <c r="V977" s="5">
        <f>O977-U977</f>
        <v/>
      </c>
      <c r="W977" s="5">
        <f>O977-(P977+R977)</f>
        <v/>
      </c>
      <c r="X977" s="5">
        <f>O977-(P977+Q977+R977)</f>
        <v/>
      </c>
    </row>
    <row r="978">
      <c r="A978" s="2" t="inlineStr">
        <is>
          <t>EJ020125.TXT</t>
        </is>
      </c>
      <c r="B978" s="3" t="inlineStr">
        <is>
          <t>005657</t>
        </is>
      </c>
      <c r="C978" s="3" t="inlineStr">
        <is>
          <t>004538</t>
        </is>
      </c>
      <c r="D978" s="4" t="n">
        <v>45629</v>
      </c>
      <c r="E978" s="2" t="inlineStr">
        <is>
          <t>17:35</t>
        </is>
      </c>
      <c r="F978" s="5" t="n">
        <v>208.33</v>
      </c>
      <c r="G978" s="5" t="n"/>
      <c r="H978" s="5" t="n"/>
      <c r="I978" s="5" t="n"/>
      <c r="J978" s="5" t="n">
        <v>41.67</v>
      </c>
      <c r="K978" s="5" t="n"/>
      <c r="L978" s="5" t="n"/>
      <c r="M978" s="5" t="n"/>
      <c r="N978" s="5" t="n"/>
      <c r="O978" s="5" t="n">
        <v>250</v>
      </c>
      <c r="P978" s="5" t="n"/>
      <c r="Q978" s="5" t="n">
        <v>250</v>
      </c>
      <c r="R978" s="5" t="n"/>
      <c r="S978" s="5">
        <f>F978*20%</f>
        <v/>
      </c>
      <c r="T978" s="5">
        <f>J978-S978</f>
        <v/>
      </c>
      <c r="U978" s="5">
        <f>F978+J978</f>
        <v/>
      </c>
      <c r="V978" s="5">
        <f>O978-U978</f>
        <v/>
      </c>
      <c r="W978" s="5">
        <f>O978-(P978+R978)</f>
        <v/>
      </c>
      <c r="X978" s="5">
        <f>O978-(P978+Q978+R978)</f>
        <v/>
      </c>
    </row>
    <row r="979">
      <c r="A979" s="2" t="inlineStr">
        <is>
          <t>EJ020125.TXT</t>
        </is>
      </c>
      <c r="B979" s="3" t="inlineStr">
        <is>
          <t>005658</t>
        </is>
      </c>
      <c r="C979" s="3" t="inlineStr">
        <is>
          <t>004539</t>
        </is>
      </c>
      <c r="D979" s="4" t="n">
        <v>45632</v>
      </c>
      <c r="E979" s="2" t="inlineStr">
        <is>
          <t>11:59</t>
        </is>
      </c>
      <c r="F979" s="5" t="n">
        <v>548.33</v>
      </c>
      <c r="G979" s="5" t="n"/>
      <c r="H979" s="5" t="n"/>
      <c r="I979" s="5" t="n"/>
      <c r="J979" s="5" t="n">
        <v>109.67</v>
      </c>
      <c r="K979" s="5" t="n"/>
      <c r="L979" s="5" t="n"/>
      <c r="M979" s="5" t="n"/>
      <c r="N979" s="5" t="n"/>
      <c r="O979" s="5" t="n">
        <v>658</v>
      </c>
      <c r="P979" s="5" t="n"/>
      <c r="Q979" s="5" t="n">
        <v>658</v>
      </c>
      <c r="R979" s="5" t="n"/>
      <c r="S979" s="5">
        <f>F979*20%</f>
        <v/>
      </c>
      <c r="T979" s="5">
        <f>J979-S979</f>
        <v/>
      </c>
      <c r="U979" s="5">
        <f>F979+J979</f>
        <v/>
      </c>
      <c r="V979" s="5">
        <f>O979-U979</f>
        <v/>
      </c>
      <c r="W979" s="5">
        <f>O979-(P979+R979)</f>
        <v/>
      </c>
      <c r="X979" s="5">
        <f>O979-(P979+Q979+R979)</f>
        <v/>
      </c>
    </row>
    <row r="980">
      <c r="A980" s="2" t="inlineStr">
        <is>
          <t>EJ020125.TXT</t>
        </is>
      </c>
      <c r="B980" s="3" t="inlineStr">
        <is>
          <t>005659</t>
        </is>
      </c>
      <c r="C980" s="3" t="inlineStr">
        <is>
          <t>004540</t>
        </is>
      </c>
      <c r="D980" s="4" t="n">
        <v>45632</v>
      </c>
      <c r="E980" s="2" t="inlineStr">
        <is>
          <t>11:59</t>
        </is>
      </c>
      <c r="F980" s="5" t="n">
        <v>548.33</v>
      </c>
      <c r="G980" s="5" t="n"/>
      <c r="H980" s="5" t="n"/>
      <c r="I980" s="5" t="n"/>
      <c r="J980" s="5" t="n">
        <v>109.67</v>
      </c>
      <c r="K980" s="5" t="n"/>
      <c r="L980" s="5" t="n"/>
      <c r="M980" s="5" t="n"/>
      <c r="N980" s="5" t="n"/>
      <c r="O980" s="5" t="n">
        <v>658</v>
      </c>
      <c r="P980" s="5" t="n"/>
      <c r="Q980" s="5" t="n">
        <v>658</v>
      </c>
      <c r="R980" s="5" t="n"/>
      <c r="S980" s="5">
        <f>F980*20%</f>
        <v/>
      </c>
      <c r="T980" s="5">
        <f>J980-S980</f>
        <v/>
      </c>
      <c r="U980" s="5">
        <f>F980+J980</f>
        <v/>
      </c>
      <c r="V980" s="5">
        <f>O980-U980</f>
        <v/>
      </c>
      <c r="W980" s="5">
        <f>O980-(P980+R980)</f>
        <v/>
      </c>
      <c r="X980" s="5">
        <f>O980-(P980+Q980+R980)</f>
        <v/>
      </c>
    </row>
    <row r="981">
      <c r="A981" s="2" t="inlineStr">
        <is>
          <t>EJ020125.TXT</t>
        </is>
      </c>
      <c r="B981" s="3" t="inlineStr">
        <is>
          <t>005660</t>
        </is>
      </c>
      <c r="C981" s="3" t="inlineStr">
        <is>
          <t>004541</t>
        </is>
      </c>
      <c r="D981" s="4" t="n">
        <v>45632</v>
      </c>
      <c r="E981" s="2" t="inlineStr">
        <is>
          <t>18:13</t>
        </is>
      </c>
      <c r="F981" s="5" t="n">
        <v>166.33</v>
      </c>
      <c r="G981" s="5" t="n"/>
      <c r="H981" s="5" t="n"/>
      <c r="I981" s="5" t="n"/>
      <c r="J981" s="5" t="n">
        <v>33.27</v>
      </c>
      <c r="K981" s="5" t="n"/>
      <c r="L981" s="5" t="n"/>
      <c r="M981" s="5" t="n"/>
      <c r="N981" s="5" t="n"/>
      <c r="O981" s="5" t="n">
        <v>199.6</v>
      </c>
      <c r="P981" s="5" t="n"/>
      <c r="Q981" s="5" t="n">
        <v>199.6</v>
      </c>
      <c r="R981" s="5" t="n"/>
      <c r="S981" s="5">
        <f>F981*20%</f>
        <v/>
      </c>
      <c r="T981" s="5">
        <f>J981-S981</f>
        <v/>
      </c>
      <c r="U981" s="5">
        <f>F981+J981</f>
        <v/>
      </c>
      <c r="V981" s="5">
        <f>O981-U981</f>
        <v/>
      </c>
      <c r="W981" s="5">
        <f>O981-(P981+R981)</f>
        <v/>
      </c>
      <c r="X981" s="5">
        <f>O981-(P981+Q981+R981)</f>
        <v/>
      </c>
    </row>
    <row r="982">
      <c r="A982" s="2" t="inlineStr">
        <is>
          <t>EJ020125.TXT</t>
        </is>
      </c>
      <c r="B982" s="3" t="inlineStr">
        <is>
          <t>005661</t>
        </is>
      </c>
      <c r="C982" s="3" t="inlineStr">
        <is>
          <t>004542</t>
        </is>
      </c>
      <c r="D982" s="4" t="n">
        <v>45635</v>
      </c>
      <c r="E982" s="2" t="inlineStr">
        <is>
          <t>14:35</t>
        </is>
      </c>
      <c r="F982" s="5" t="n">
        <v>648.17</v>
      </c>
      <c r="G982" s="5" t="n"/>
      <c r="H982" s="5" t="n"/>
      <c r="I982" s="5" t="n"/>
      <c r="J982" s="5" t="n">
        <v>129.63</v>
      </c>
      <c r="K982" s="5" t="n"/>
      <c r="L982" s="5" t="n"/>
      <c r="M982" s="5" t="n"/>
      <c r="N982" s="5" t="n"/>
      <c r="O982" s="5" t="n">
        <v>777.8</v>
      </c>
      <c r="P982" s="5" t="n"/>
      <c r="Q982" s="5" t="n">
        <v>777.8</v>
      </c>
      <c r="R982" s="5" t="n"/>
      <c r="S982" s="5">
        <f>F982*20%</f>
        <v/>
      </c>
      <c r="T982" s="5">
        <f>J982-S982</f>
        <v/>
      </c>
      <c r="U982" s="5">
        <f>F982+J982</f>
        <v/>
      </c>
      <c r="V982" s="5">
        <f>O982-U982</f>
        <v/>
      </c>
      <c r="W982" s="5">
        <f>O982-(P982+R982)</f>
        <v/>
      </c>
      <c r="X982" s="5">
        <f>O982-(P982+Q982+R982)</f>
        <v/>
      </c>
    </row>
    <row r="983">
      <c r="A983" s="2" t="inlineStr">
        <is>
          <t>EJ020125.TXT</t>
        </is>
      </c>
      <c r="B983" s="3" t="inlineStr">
        <is>
          <t>005662</t>
        </is>
      </c>
      <c r="C983" s="3" t="inlineStr">
        <is>
          <t>004543</t>
        </is>
      </c>
      <c r="D983" s="4" t="n">
        <v>45637</v>
      </c>
      <c r="E983" s="2" t="inlineStr">
        <is>
          <t>11:36</t>
        </is>
      </c>
      <c r="F983" s="5" t="n">
        <v>1096.67</v>
      </c>
      <c r="G983" s="5" t="n"/>
      <c r="H983" s="5" t="n"/>
      <c r="I983" s="5" t="n"/>
      <c r="J983" s="5" t="n">
        <v>219.33</v>
      </c>
      <c r="K983" s="5" t="n"/>
      <c r="L983" s="5" t="n"/>
      <c r="M983" s="5" t="n"/>
      <c r="N983" s="5" t="n"/>
      <c r="O983" s="5" t="n">
        <v>1316</v>
      </c>
      <c r="P983" s="5" t="n">
        <v>1316</v>
      </c>
      <c r="Q983" s="5" t="n"/>
      <c r="R983" s="5" t="n"/>
      <c r="S983" s="5">
        <f>F983*20%</f>
        <v/>
      </c>
      <c r="T983" s="5">
        <f>J983-S983</f>
        <v/>
      </c>
      <c r="U983" s="5">
        <f>F983+J983</f>
        <v/>
      </c>
      <c r="V983" s="5">
        <f>O983-U983</f>
        <v/>
      </c>
      <c r="W983" s="5">
        <f>O983-(P983+R983)</f>
        <v/>
      </c>
      <c r="X983" s="5">
        <f>O983-(P983+Q983+R983)</f>
        <v/>
      </c>
    </row>
    <row r="984">
      <c r="A984" s="2" t="inlineStr">
        <is>
          <t>EJ020125.TXT</t>
        </is>
      </c>
      <c r="B984" s="3" t="inlineStr">
        <is>
          <t>005663</t>
        </is>
      </c>
      <c r="C984" s="3" t="inlineStr">
        <is>
          <t>004544</t>
        </is>
      </c>
      <c r="D984" s="4" t="n">
        <v>45638</v>
      </c>
      <c r="E984" s="2" t="inlineStr">
        <is>
          <t>12:56</t>
        </is>
      </c>
      <c r="F984" s="5" t="n">
        <v>548.33</v>
      </c>
      <c r="G984" s="5" t="n"/>
      <c r="H984" s="5" t="n"/>
      <c r="I984" s="5" t="n"/>
      <c r="J984" s="5" t="n">
        <v>109.67</v>
      </c>
      <c r="K984" s="5" t="n"/>
      <c r="L984" s="5" t="n"/>
      <c r="M984" s="5" t="n"/>
      <c r="N984" s="5" t="n"/>
      <c r="O984" s="5" t="n">
        <v>658</v>
      </c>
      <c r="P984" s="5" t="n"/>
      <c r="Q984" s="5" t="n">
        <v>658</v>
      </c>
      <c r="R984" s="5" t="n"/>
      <c r="S984" s="5">
        <f>F984*20%</f>
        <v/>
      </c>
      <c r="T984" s="5">
        <f>J984-S984</f>
        <v/>
      </c>
      <c r="U984" s="5">
        <f>F984+J984</f>
        <v/>
      </c>
      <c r="V984" s="5">
        <f>O984-U984</f>
        <v/>
      </c>
      <c r="W984" s="5">
        <f>O984-(P984+R984)</f>
        <v/>
      </c>
      <c r="X984" s="5">
        <f>O984-(P984+Q984+R984)</f>
        <v/>
      </c>
    </row>
    <row r="985">
      <c r="A985" s="2" t="inlineStr">
        <is>
          <t>EJ020125.TXT</t>
        </is>
      </c>
      <c r="B985" s="3" t="inlineStr">
        <is>
          <t>005664</t>
        </is>
      </c>
      <c r="C985" s="3" t="inlineStr">
        <is>
          <t>004545</t>
        </is>
      </c>
      <c r="D985" s="4" t="n">
        <v>45643</v>
      </c>
      <c r="E985" s="2" t="inlineStr">
        <is>
          <t>14:57</t>
        </is>
      </c>
      <c r="F985" s="5" t="n">
        <v>548.33</v>
      </c>
      <c r="G985" s="5" t="n"/>
      <c r="H985" s="5" t="n"/>
      <c r="I985" s="5" t="n"/>
      <c r="J985" s="5" t="n">
        <v>109.67</v>
      </c>
      <c r="K985" s="5" t="n"/>
      <c r="L985" s="5" t="n"/>
      <c r="M985" s="5" t="n"/>
      <c r="N985" s="5" t="n"/>
      <c r="O985" s="5" t="n">
        <v>658</v>
      </c>
      <c r="P985" s="5" t="n"/>
      <c r="Q985" s="5" t="n">
        <v>658</v>
      </c>
      <c r="R985" s="5" t="n"/>
      <c r="S985" s="5">
        <f>F985*20%</f>
        <v/>
      </c>
      <c r="T985" s="5">
        <f>J985-S985</f>
        <v/>
      </c>
      <c r="U985" s="5">
        <f>F985+J985</f>
        <v/>
      </c>
      <c r="V985" s="5">
        <f>O985-U985</f>
        <v/>
      </c>
      <c r="W985" s="5">
        <f>O985-(P985+R985)</f>
        <v/>
      </c>
      <c r="X985" s="5">
        <f>O985-(P985+Q985+R985)</f>
        <v/>
      </c>
    </row>
    <row r="986">
      <c r="A986" s="2" t="inlineStr">
        <is>
          <t>EJ020125.TXT</t>
        </is>
      </c>
      <c r="B986" s="3" t="inlineStr">
        <is>
          <t>005665</t>
        </is>
      </c>
      <c r="C986" s="3" t="inlineStr">
        <is>
          <t>004546</t>
        </is>
      </c>
      <c r="D986" s="4" t="n">
        <v>45644</v>
      </c>
      <c r="E986" s="2" t="inlineStr">
        <is>
          <t>11:36</t>
        </is>
      </c>
      <c r="F986" s="5" t="n">
        <v>749.58</v>
      </c>
      <c r="G986" s="5" t="n"/>
      <c r="H986" s="5" t="n"/>
      <c r="I986" s="5" t="n"/>
      <c r="J986" s="5" t="n">
        <v>149.92</v>
      </c>
      <c r="K986" s="5" t="n"/>
      <c r="L986" s="5" t="n"/>
      <c r="M986" s="5" t="n"/>
      <c r="N986" s="5" t="n"/>
      <c r="O986" s="5" t="n">
        <v>899.5</v>
      </c>
      <c r="P986" s="5" t="n"/>
      <c r="Q986" s="5" t="n">
        <v>899.5</v>
      </c>
      <c r="R986" s="5" t="n"/>
      <c r="S986" s="5">
        <f>F986*20%</f>
        <v/>
      </c>
      <c r="T986" s="5">
        <f>J986-S986</f>
        <v/>
      </c>
      <c r="U986" s="5">
        <f>F986+J986</f>
        <v/>
      </c>
      <c r="V986" s="5">
        <f>O986-U986</f>
        <v/>
      </c>
      <c r="W986" s="5">
        <f>O986-(P986+R986)</f>
        <v/>
      </c>
      <c r="X986" s="5">
        <f>O986-(P986+Q986+R986)</f>
        <v/>
      </c>
    </row>
    <row r="987">
      <c r="A987" s="2" t="inlineStr">
        <is>
          <t>EJ020125.TXT</t>
        </is>
      </c>
      <c r="B987" s="3" t="inlineStr">
        <is>
          <t>005666</t>
        </is>
      </c>
      <c r="C987" s="3" t="inlineStr">
        <is>
          <t>004547</t>
        </is>
      </c>
      <c r="D987" s="4" t="n">
        <v>45644</v>
      </c>
      <c r="E987" s="2" t="inlineStr">
        <is>
          <t>11:36</t>
        </is>
      </c>
      <c r="F987" s="5" t="n">
        <v>749.58</v>
      </c>
      <c r="G987" s="5" t="n"/>
      <c r="H987" s="5" t="n"/>
      <c r="I987" s="5" t="n"/>
      <c r="J987" s="5" t="n">
        <v>149.92</v>
      </c>
      <c r="K987" s="5" t="n"/>
      <c r="L987" s="5" t="n"/>
      <c r="M987" s="5" t="n"/>
      <c r="N987" s="5" t="n"/>
      <c r="O987" s="5" t="n">
        <v>899.5</v>
      </c>
      <c r="P987" s="5" t="n"/>
      <c r="Q987" s="5" t="n">
        <v>899.5</v>
      </c>
      <c r="R987" s="5" t="n"/>
      <c r="S987" s="5">
        <f>F987*20%</f>
        <v/>
      </c>
      <c r="T987" s="5">
        <f>J987-S987</f>
        <v/>
      </c>
      <c r="U987" s="5">
        <f>F987+J987</f>
        <v/>
      </c>
      <c r="V987" s="5">
        <f>O987-U987</f>
        <v/>
      </c>
      <c r="W987" s="5">
        <f>O987-(P987+R987)</f>
        <v/>
      </c>
      <c r="X987" s="5">
        <f>O987-(P987+Q987+R987)</f>
        <v/>
      </c>
    </row>
    <row r="988">
      <c r="A988" s="2" t="inlineStr">
        <is>
          <t>EJ020125.TXT</t>
        </is>
      </c>
      <c r="B988" s="3" t="inlineStr">
        <is>
          <t>005667</t>
        </is>
      </c>
      <c r="C988" s="3" t="inlineStr">
        <is>
          <t>004548</t>
        </is>
      </c>
      <c r="D988" s="4" t="n">
        <v>45644</v>
      </c>
      <c r="E988" s="2" t="inlineStr">
        <is>
          <t>11:36</t>
        </is>
      </c>
      <c r="F988" s="5" t="n">
        <v>299.83</v>
      </c>
      <c r="G988" s="5" t="n"/>
      <c r="H988" s="5" t="n"/>
      <c r="I988" s="5" t="n"/>
      <c r="J988" s="5" t="n">
        <v>59.97</v>
      </c>
      <c r="K988" s="5" t="n"/>
      <c r="L988" s="5" t="n"/>
      <c r="M988" s="5" t="n"/>
      <c r="N988" s="5" t="n"/>
      <c r="O988" s="5" t="n">
        <v>359.8</v>
      </c>
      <c r="P988" s="5" t="n"/>
      <c r="Q988" s="5" t="n">
        <v>359.8</v>
      </c>
      <c r="R988" s="5" t="n"/>
      <c r="S988" s="5">
        <f>F988*20%</f>
        <v/>
      </c>
      <c r="T988" s="5">
        <f>J988-S988</f>
        <v/>
      </c>
      <c r="U988" s="5">
        <f>F988+J988</f>
        <v/>
      </c>
      <c r="V988" s="5">
        <f>O988-U988</f>
        <v/>
      </c>
      <c r="W988" s="5">
        <f>O988-(P988+R988)</f>
        <v/>
      </c>
      <c r="X988" s="5">
        <f>O988-(P988+Q988+R988)</f>
        <v/>
      </c>
    </row>
    <row r="989">
      <c r="A989" s="2" t="inlineStr">
        <is>
          <t>EJ020125.TXT</t>
        </is>
      </c>
      <c r="B989" s="3" t="inlineStr">
        <is>
          <t>005668</t>
        </is>
      </c>
      <c r="C989" s="3" t="inlineStr">
        <is>
          <t>004549</t>
        </is>
      </c>
      <c r="D989" s="4" t="n">
        <v>45644</v>
      </c>
      <c r="E989" s="2" t="inlineStr">
        <is>
          <t>14:52</t>
        </is>
      </c>
      <c r="F989" s="5" t="n">
        <v>548.33</v>
      </c>
      <c r="G989" s="5" t="n"/>
      <c r="H989" s="5" t="n"/>
      <c r="I989" s="5" t="n"/>
      <c r="J989" s="5" t="n">
        <v>109.67</v>
      </c>
      <c r="K989" s="5" t="n"/>
      <c r="L989" s="5" t="n"/>
      <c r="M989" s="5" t="n"/>
      <c r="N989" s="5" t="n"/>
      <c r="O989" s="5" t="n">
        <v>658</v>
      </c>
      <c r="P989" s="5" t="n"/>
      <c r="Q989" s="5" t="n">
        <v>658</v>
      </c>
      <c r="R989" s="5" t="n"/>
      <c r="S989" s="5">
        <f>F989*20%</f>
        <v/>
      </c>
      <c r="T989" s="5">
        <f>J989-S989</f>
        <v/>
      </c>
      <c r="U989" s="5">
        <f>F989+J989</f>
        <v/>
      </c>
      <c r="V989" s="5">
        <f>O989-U989</f>
        <v/>
      </c>
      <c r="W989" s="5">
        <f>O989-(P989+R989)</f>
        <v/>
      </c>
      <c r="X989" s="5">
        <f>O989-(P989+Q989+R989)</f>
        <v/>
      </c>
    </row>
    <row r="990">
      <c r="A990" s="2" t="inlineStr">
        <is>
          <t>EJ020125.TXT</t>
        </is>
      </c>
      <c r="B990" s="3" t="inlineStr">
        <is>
          <t>005669</t>
        </is>
      </c>
      <c r="C990" s="3" t="inlineStr">
        <is>
          <t>004550</t>
        </is>
      </c>
      <c r="D990" s="4" t="n">
        <v>45644</v>
      </c>
      <c r="E990" s="2" t="inlineStr">
        <is>
          <t>14:56</t>
        </is>
      </c>
      <c r="F990" s="5" t="n">
        <v>73.33</v>
      </c>
      <c r="G990" s="5" t="n"/>
      <c r="H990" s="5" t="n"/>
      <c r="I990" s="5" t="n"/>
      <c r="J990" s="5" t="n">
        <v>14.67</v>
      </c>
      <c r="K990" s="5" t="n"/>
      <c r="L990" s="5" t="n"/>
      <c r="M990" s="5" t="n"/>
      <c r="N990" s="5" t="n"/>
      <c r="O990" s="5" t="n">
        <v>88</v>
      </c>
      <c r="P990" s="5" t="n">
        <v>88</v>
      </c>
      <c r="Q990" s="5" t="n"/>
      <c r="R990" s="5" t="n"/>
      <c r="S990" s="5">
        <f>F990*20%</f>
        <v/>
      </c>
      <c r="T990" s="5">
        <f>J990-S990</f>
        <v/>
      </c>
      <c r="U990" s="5">
        <f>F990+J990</f>
        <v/>
      </c>
      <c r="V990" s="5">
        <f>O990-U990</f>
        <v/>
      </c>
      <c r="W990" s="5">
        <f>O990-(P990+R990)</f>
        <v/>
      </c>
      <c r="X990" s="5">
        <f>O990-(P990+Q990+R990)</f>
        <v/>
      </c>
    </row>
    <row r="991">
      <c r="A991" s="2" t="inlineStr">
        <is>
          <t>EJ020125.TXT</t>
        </is>
      </c>
      <c r="B991" s="3" t="inlineStr">
        <is>
          <t>005670</t>
        </is>
      </c>
      <c r="C991" s="3" t="inlineStr">
        <is>
          <t>004551</t>
        </is>
      </c>
      <c r="D991" s="4" t="n">
        <v>45644</v>
      </c>
      <c r="E991" s="2" t="inlineStr">
        <is>
          <t>15:42</t>
        </is>
      </c>
      <c r="F991" s="5" t="n">
        <v>424.08</v>
      </c>
      <c r="G991" s="5" t="n"/>
      <c r="H991" s="5" t="n"/>
      <c r="I991" s="5" t="n"/>
      <c r="J991" s="5" t="n">
        <v>84.81999999999999</v>
      </c>
      <c r="K991" s="5" t="n"/>
      <c r="L991" s="5" t="n"/>
      <c r="M991" s="5" t="n"/>
      <c r="N991" s="5" t="n"/>
      <c r="O991" s="5" t="n">
        <v>508.9</v>
      </c>
      <c r="P991" s="5" t="n"/>
      <c r="Q991" s="5" t="n">
        <v>508.9</v>
      </c>
      <c r="R991" s="5" t="n"/>
      <c r="S991" s="5">
        <f>F991*20%</f>
        <v/>
      </c>
      <c r="T991" s="5">
        <f>J991-S991</f>
        <v/>
      </c>
      <c r="U991" s="5">
        <f>F991+J991</f>
        <v/>
      </c>
      <c r="V991" s="5">
        <f>O991-U991</f>
        <v/>
      </c>
      <c r="W991" s="5">
        <f>O991-(P991+R991)</f>
        <v/>
      </c>
      <c r="X991" s="5">
        <f>O991-(P991+Q991+R991)</f>
        <v/>
      </c>
    </row>
    <row r="992">
      <c r="A992" s="2" t="inlineStr">
        <is>
          <t>EJ020125.TXT</t>
        </is>
      </c>
      <c r="B992" s="3" t="inlineStr">
        <is>
          <t>005671</t>
        </is>
      </c>
      <c r="C992" s="3" t="inlineStr">
        <is>
          <t>004552</t>
        </is>
      </c>
      <c r="D992" s="4" t="n">
        <v>45645</v>
      </c>
      <c r="E992" s="2" t="inlineStr">
        <is>
          <t>16:37</t>
        </is>
      </c>
      <c r="F992" s="5" t="n">
        <v>83</v>
      </c>
      <c r="G992" s="5" t="n"/>
      <c r="H992" s="5" t="n"/>
      <c r="I992" s="5" t="n"/>
      <c r="J992" s="5" t="n">
        <v>16.6</v>
      </c>
      <c r="K992" s="5" t="n"/>
      <c r="L992" s="5" t="n"/>
      <c r="M992" s="5" t="n"/>
      <c r="N992" s="5" t="n"/>
      <c r="O992" s="5" t="n">
        <v>99.59999999999999</v>
      </c>
      <c r="P992" s="5" t="n"/>
      <c r="Q992" s="5" t="n">
        <v>99.59999999999999</v>
      </c>
      <c r="R992" s="5" t="n"/>
      <c r="S992" s="5">
        <f>F992*20%</f>
        <v/>
      </c>
      <c r="T992" s="5">
        <f>J992-S992</f>
        <v/>
      </c>
      <c r="U992" s="5">
        <f>F992+J992</f>
        <v/>
      </c>
      <c r="V992" s="5">
        <f>O992-U992</f>
        <v/>
      </c>
      <c r="W992" s="5">
        <f>O992-(P992+R992)</f>
        <v/>
      </c>
      <c r="X992" s="5">
        <f>O992-(P992+Q992+R992)</f>
        <v/>
      </c>
    </row>
    <row r="993">
      <c r="A993" s="2" t="inlineStr">
        <is>
          <t>EJ020125.TXT</t>
        </is>
      </c>
      <c r="B993" s="3" t="inlineStr">
        <is>
          <t>005672</t>
        </is>
      </c>
      <c r="C993" s="3" t="inlineStr">
        <is>
          <t>004553</t>
        </is>
      </c>
      <c r="D993" s="4" t="n">
        <v>45645</v>
      </c>
      <c r="E993" s="2" t="inlineStr">
        <is>
          <t>17:31</t>
        </is>
      </c>
      <c r="F993" s="5" t="n">
        <v>329.17</v>
      </c>
      <c r="G993" s="5" t="n"/>
      <c r="H993" s="5" t="n"/>
      <c r="I993" s="5" t="n"/>
      <c r="J993" s="5" t="n">
        <v>65.83</v>
      </c>
      <c r="K993" s="5" t="n"/>
      <c r="L993" s="5" t="n"/>
      <c r="M993" s="5" t="n"/>
      <c r="N993" s="5" t="n"/>
      <c r="O993" s="5" t="n">
        <v>395</v>
      </c>
      <c r="P993" s="5" t="n"/>
      <c r="Q993" s="5" t="n">
        <v>395</v>
      </c>
      <c r="R993" s="5" t="n"/>
      <c r="S993" s="5">
        <f>F993*20%</f>
        <v/>
      </c>
      <c r="T993" s="5">
        <f>J993-S993</f>
        <v/>
      </c>
      <c r="U993" s="5">
        <f>F993+J993</f>
        <v/>
      </c>
      <c r="V993" s="5">
        <f>O993-U993</f>
        <v/>
      </c>
      <c r="W993" s="5">
        <f>O993-(P993+R993)</f>
        <v/>
      </c>
      <c r="X993" s="5">
        <f>O993-(P993+Q993+R993)</f>
        <v/>
      </c>
    </row>
    <row r="994">
      <c r="A994" s="2" t="inlineStr">
        <is>
          <t>EJ020125.TXT</t>
        </is>
      </c>
      <c r="B994" s="3" t="inlineStr">
        <is>
          <t>005673</t>
        </is>
      </c>
      <c r="C994" s="3" t="inlineStr">
        <is>
          <t>004554</t>
        </is>
      </c>
      <c r="D994" s="4" t="n">
        <v>45645</v>
      </c>
      <c r="E994" s="2" t="inlineStr">
        <is>
          <t>18:17</t>
        </is>
      </c>
      <c r="F994" s="5" t="n">
        <v>548.33</v>
      </c>
      <c r="G994" s="5" t="n"/>
      <c r="H994" s="5" t="n"/>
      <c r="I994" s="5" t="n"/>
      <c r="J994" s="5" t="n">
        <v>109.67</v>
      </c>
      <c r="K994" s="5" t="n"/>
      <c r="L994" s="5" t="n"/>
      <c r="M994" s="5" t="n"/>
      <c r="N994" s="5" t="n"/>
      <c r="O994" s="5" t="n">
        <v>658</v>
      </c>
      <c r="P994" s="5" t="n"/>
      <c r="Q994" s="5" t="n">
        <v>658</v>
      </c>
      <c r="R994" s="5" t="n"/>
      <c r="S994" s="5">
        <f>F994*20%</f>
        <v/>
      </c>
      <c r="T994" s="5">
        <f>J994-S994</f>
        <v/>
      </c>
      <c r="U994" s="5">
        <f>F994+J994</f>
        <v/>
      </c>
      <c r="V994" s="5">
        <f>O994-U994</f>
        <v/>
      </c>
      <c r="W994" s="5">
        <f>O994-(P994+R994)</f>
        <v/>
      </c>
      <c r="X994" s="5">
        <f>O994-(P994+Q994+R994)</f>
        <v/>
      </c>
    </row>
    <row r="995">
      <c r="A995" s="2" t="inlineStr">
        <is>
          <t>EJ020125.TXT</t>
        </is>
      </c>
      <c r="B995" s="3" t="inlineStr">
        <is>
          <t>005674</t>
        </is>
      </c>
      <c r="C995" s="3" t="inlineStr">
        <is>
          <t>004555</t>
        </is>
      </c>
      <c r="D995" s="4" t="n">
        <v>45645</v>
      </c>
      <c r="E995" s="2" t="inlineStr">
        <is>
          <t>18:17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/>
      <c r="Q995" s="5" t="n">
        <v>658</v>
      </c>
      <c r="R995" s="5" t="n"/>
      <c r="S995" s="5">
        <f>F995*20%</f>
        <v/>
      </c>
      <c r="T995" s="5">
        <f>J995-S995</f>
        <v/>
      </c>
      <c r="U995" s="5">
        <f>F995+J995</f>
        <v/>
      </c>
      <c r="V995" s="5">
        <f>O995-U995</f>
        <v/>
      </c>
      <c r="W995" s="5">
        <f>O995-(P995+R995)</f>
        <v/>
      </c>
      <c r="X995" s="5">
        <f>O995-(P995+Q995+R995)</f>
        <v/>
      </c>
    </row>
    <row r="996">
      <c r="A996" s="2" t="inlineStr">
        <is>
          <t>EJ020125.TXT</t>
        </is>
      </c>
      <c r="B996" s="3" t="inlineStr">
        <is>
          <t>005675</t>
        </is>
      </c>
      <c r="C996" s="3" t="inlineStr">
        <is>
          <t>004556</t>
        </is>
      </c>
      <c r="D996" s="4" t="n">
        <v>45646</v>
      </c>
      <c r="E996" s="2" t="inlineStr">
        <is>
          <t>10:07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/>
      <c r="Q996" s="5" t="n">
        <v>658</v>
      </c>
      <c r="R996" s="5" t="n"/>
      <c r="S996" s="5">
        <f>F996*20%</f>
        <v/>
      </c>
      <c r="T996" s="5">
        <f>J996-S996</f>
        <v/>
      </c>
      <c r="U996" s="5">
        <f>F996+J996</f>
        <v/>
      </c>
      <c r="V996" s="5">
        <f>O996-U996</f>
        <v/>
      </c>
      <c r="W996" s="5">
        <f>O996-(P996+R996)</f>
        <v/>
      </c>
      <c r="X996" s="5">
        <f>O996-(P996+Q996+R996)</f>
        <v/>
      </c>
    </row>
    <row r="997">
      <c r="A997" s="2" t="inlineStr">
        <is>
          <t>EJ020125.TXT</t>
        </is>
      </c>
      <c r="B997" s="3" t="inlineStr">
        <is>
          <t>005676</t>
        </is>
      </c>
      <c r="C997" s="3" t="inlineStr">
        <is>
          <t>004557</t>
        </is>
      </c>
      <c r="D997" s="4" t="n">
        <v>45646</v>
      </c>
      <c r="E997" s="2" t="inlineStr">
        <is>
          <t>10:07</t>
        </is>
      </c>
      <c r="F997" s="5" t="n">
        <v>548.33</v>
      </c>
      <c r="G997" s="5" t="n"/>
      <c r="H997" s="5" t="n"/>
      <c r="I997" s="5" t="n"/>
      <c r="J997" s="5" t="n">
        <v>109.67</v>
      </c>
      <c r="K997" s="5" t="n"/>
      <c r="L997" s="5" t="n"/>
      <c r="M997" s="5" t="n"/>
      <c r="N997" s="5" t="n"/>
      <c r="O997" s="5" t="n">
        <v>658</v>
      </c>
      <c r="P997" s="5" t="n"/>
      <c r="Q997" s="5" t="n">
        <v>658</v>
      </c>
      <c r="R997" s="5" t="n"/>
      <c r="S997" s="5">
        <f>F997*20%</f>
        <v/>
      </c>
      <c r="T997" s="5">
        <f>J997-S997</f>
        <v/>
      </c>
      <c r="U997" s="5">
        <f>F997+J997</f>
        <v/>
      </c>
      <c r="V997" s="5">
        <f>O997-U997</f>
        <v/>
      </c>
      <c r="W997" s="5">
        <f>O997-(P997+R997)</f>
        <v/>
      </c>
      <c r="X997" s="5">
        <f>O997-(P997+Q997+R997)</f>
        <v/>
      </c>
    </row>
    <row r="998">
      <c r="A998" s="2" t="inlineStr">
        <is>
          <t>EJ020125.TXT</t>
        </is>
      </c>
      <c r="B998" s="3" t="inlineStr">
        <is>
          <t>005677</t>
        </is>
      </c>
      <c r="C998" s="3" t="inlineStr">
        <is>
          <t>004558</t>
        </is>
      </c>
      <c r="D998" s="4" t="n">
        <v>45646</v>
      </c>
      <c r="E998" s="2" t="inlineStr">
        <is>
          <t>10:16</t>
        </is>
      </c>
      <c r="F998" s="5" t="n">
        <v>208.33</v>
      </c>
      <c r="G998" s="5" t="n"/>
      <c r="H998" s="5" t="n"/>
      <c r="I998" s="5" t="n"/>
      <c r="J998" s="5" t="n">
        <v>41.67</v>
      </c>
      <c r="K998" s="5" t="n"/>
      <c r="L998" s="5" t="n"/>
      <c r="M998" s="5" t="n"/>
      <c r="N998" s="5" t="n"/>
      <c r="O998" s="5" t="n">
        <v>250</v>
      </c>
      <c r="P998" s="5" t="n"/>
      <c r="Q998" s="5" t="n">
        <v>250</v>
      </c>
      <c r="R998" s="5" t="n"/>
      <c r="S998" s="5">
        <f>F998*20%</f>
        <v/>
      </c>
      <c r="T998" s="5">
        <f>J998-S998</f>
        <v/>
      </c>
      <c r="U998" s="5">
        <f>F998+J998</f>
        <v/>
      </c>
      <c r="V998" s="5">
        <f>O998-U998</f>
        <v/>
      </c>
      <c r="W998" s="5">
        <f>O998-(P998+R998)</f>
        <v/>
      </c>
      <c r="X998" s="5">
        <f>O998-(P998+Q998+R998)</f>
        <v/>
      </c>
    </row>
    <row r="999">
      <c r="A999" s="2" t="inlineStr">
        <is>
          <t>EJ020125.TXT</t>
        </is>
      </c>
      <c r="B999" s="3" t="inlineStr">
        <is>
          <t>005678</t>
        </is>
      </c>
      <c r="C999" s="3" t="inlineStr">
        <is>
          <t>004559</t>
        </is>
      </c>
      <c r="D999" s="4" t="n">
        <v>45649</v>
      </c>
      <c r="E999" s="2" t="inlineStr">
        <is>
          <t>14:50</t>
        </is>
      </c>
      <c r="F999" s="5" t="n">
        <v>208.33</v>
      </c>
      <c r="G999" s="5" t="n"/>
      <c r="H999" s="5" t="n"/>
      <c r="I999" s="5" t="n"/>
      <c r="J999" s="5" t="n">
        <v>41.67</v>
      </c>
      <c r="K999" s="5" t="n"/>
      <c r="L999" s="5" t="n"/>
      <c r="M999" s="5" t="n"/>
      <c r="N999" s="5" t="n"/>
      <c r="O999" s="5" t="n">
        <v>250</v>
      </c>
      <c r="P999" s="5" t="n"/>
      <c r="Q999" s="5" t="n">
        <v>250</v>
      </c>
      <c r="R999" s="5" t="n"/>
      <c r="S999" s="5">
        <f>F999*20%</f>
        <v/>
      </c>
      <c r="T999" s="5">
        <f>J999-S999</f>
        <v/>
      </c>
      <c r="U999" s="5">
        <f>F999+J999</f>
        <v/>
      </c>
      <c r="V999" s="5">
        <f>O999-U999</f>
        <v/>
      </c>
      <c r="W999" s="5">
        <f>O999-(P999+R999)</f>
        <v/>
      </c>
      <c r="X999" s="5">
        <f>O999-(P999+Q999+R999)</f>
        <v/>
      </c>
    </row>
    <row r="1000">
      <c r="A1000" s="2" t="inlineStr">
        <is>
          <t>EJ020125.TXT</t>
        </is>
      </c>
      <c r="B1000" s="3" t="inlineStr">
        <is>
          <t>005679</t>
        </is>
      </c>
      <c r="C1000" s="3" t="inlineStr">
        <is>
          <t>004560</t>
        </is>
      </c>
      <c r="D1000" s="4" t="n">
        <v>45653</v>
      </c>
      <c r="E1000" s="2" t="inlineStr">
        <is>
          <t>11:13</t>
        </is>
      </c>
      <c r="F1000" s="5" t="n">
        <v>41.58</v>
      </c>
      <c r="G1000" s="5" t="n"/>
      <c r="H1000" s="5" t="n"/>
      <c r="I1000" s="5" t="n"/>
      <c r="J1000" s="5" t="n">
        <v>8.32</v>
      </c>
      <c r="K1000" s="5" t="n"/>
      <c r="L1000" s="5" t="n"/>
      <c r="M1000" s="5" t="n"/>
      <c r="N1000" s="5" t="n"/>
      <c r="O1000" s="5" t="n">
        <v>49.9</v>
      </c>
      <c r="P1000" s="5" t="n"/>
      <c r="Q1000" s="5" t="n">
        <v>49.9</v>
      </c>
      <c r="R1000" s="5" t="n"/>
      <c r="S1000" s="5">
        <f>F1000*20%</f>
        <v/>
      </c>
      <c r="T1000" s="5">
        <f>J1000-S1000</f>
        <v/>
      </c>
      <c r="U1000" s="5">
        <f>F1000+J1000</f>
        <v/>
      </c>
      <c r="V1000" s="5">
        <f>O1000-U1000</f>
        <v/>
      </c>
      <c r="W1000" s="5">
        <f>O1000-(P1000+R1000)</f>
        <v/>
      </c>
      <c r="X1000" s="5">
        <f>O1000-(P1000+Q1000+R1000)</f>
        <v/>
      </c>
    </row>
    <row r="1001">
      <c r="A1001" s="2" t="inlineStr">
        <is>
          <t>EJ020125.TXT</t>
        </is>
      </c>
      <c r="B1001" s="3" t="inlineStr">
        <is>
          <t>005680</t>
        </is>
      </c>
      <c r="C1001" s="3" t="inlineStr">
        <is>
          <t>004561</t>
        </is>
      </c>
      <c r="D1001" s="4" t="n">
        <v>45653</v>
      </c>
      <c r="E1001" s="2" t="inlineStr">
        <is>
          <t>11:18</t>
        </is>
      </c>
      <c r="F1001" s="5" t="n">
        <v>208.33</v>
      </c>
      <c r="G1001" s="5" t="n"/>
      <c r="H1001" s="5" t="n"/>
      <c r="I1001" s="5" t="n"/>
      <c r="J1001" s="5" t="n">
        <v>41.67</v>
      </c>
      <c r="K1001" s="5" t="n"/>
      <c r="L1001" s="5" t="n"/>
      <c r="M1001" s="5" t="n"/>
      <c r="N1001" s="5" t="n"/>
      <c r="O1001" s="5" t="n">
        <v>250</v>
      </c>
      <c r="P1001" s="5" t="n"/>
      <c r="Q1001" s="5" t="n">
        <v>250</v>
      </c>
      <c r="R1001" s="5" t="n"/>
      <c r="S1001" s="5">
        <f>F1001*20%</f>
        <v/>
      </c>
      <c r="T1001" s="5">
        <f>J1001-S1001</f>
        <v/>
      </c>
      <c r="U1001" s="5">
        <f>F1001+J1001</f>
        <v/>
      </c>
      <c r="V1001" s="5">
        <f>O1001-U1001</f>
        <v/>
      </c>
      <c r="W1001" s="5">
        <f>O1001-(P1001+R1001)</f>
        <v/>
      </c>
      <c r="X1001" s="5">
        <f>O1001-(P1001+Q1001+R1001)</f>
        <v/>
      </c>
    </row>
    <row r="1002">
      <c r="A1002" s="2" t="inlineStr">
        <is>
          <t>EJ020125.TXT</t>
        </is>
      </c>
      <c r="B1002" s="3" t="inlineStr">
        <is>
          <t>005681</t>
        </is>
      </c>
      <c r="C1002" s="3" t="inlineStr">
        <is>
          <t>004562</t>
        </is>
      </c>
      <c r="D1002" s="4" t="n">
        <v>45656</v>
      </c>
      <c r="E1002" s="2" t="inlineStr">
        <is>
          <t>17:51</t>
        </is>
      </c>
      <c r="F1002" s="5" t="n">
        <v>274.17</v>
      </c>
      <c r="G1002" s="5" t="n"/>
      <c r="H1002" s="5" t="n"/>
      <c r="I1002" s="5" t="n"/>
      <c r="J1002" s="5" t="n">
        <v>54.83</v>
      </c>
      <c r="K1002" s="5" t="n"/>
      <c r="L1002" s="5" t="n"/>
      <c r="M1002" s="5" t="n"/>
      <c r="N1002" s="5" t="n"/>
      <c r="O1002" s="5" t="n">
        <v>329</v>
      </c>
      <c r="P1002" s="5" t="n">
        <v>329</v>
      </c>
      <c r="Q1002" s="5" t="n"/>
      <c r="R1002" s="5" t="n"/>
      <c r="S1002" s="5">
        <f>F1002*20%</f>
        <v/>
      </c>
      <c r="T1002" s="5">
        <f>J1002-S1002</f>
        <v/>
      </c>
      <c r="U1002" s="5">
        <f>F1002+J1002</f>
        <v/>
      </c>
      <c r="V1002" s="5">
        <f>O1002-U1002</f>
        <v/>
      </c>
      <c r="W1002" s="5">
        <f>O1002-(P1002+R1002)</f>
        <v/>
      </c>
      <c r="X1002" s="5">
        <f>O1002-(P1002+Q1002+R1002)</f>
        <v/>
      </c>
    </row>
    <row r="1003">
      <c r="A1003" s="2" t="inlineStr">
        <is>
          <t>EJ030225.TXT</t>
        </is>
      </c>
      <c r="B1003" s="3" t="inlineStr">
        <is>
          <t>005689</t>
        </is>
      </c>
      <c r="C1003" s="3" t="inlineStr">
        <is>
          <t>004563</t>
        </is>
      </c>
      <c r="D1003" s="4" t="n">
        <v>45663</v>
      </c>
      <c r="E1003" s="2" t="inlineStr">
        <is>
          <t>14:36</t>
        </is>
      </c>
      <c r="F1003" s="5" t="n">
        <v>822.5</v>
      </c>
      <c r="G1003" s="5" t="n"/>
      <c r="H1003" s="5" t="n"/>
      <c r="I1003" s="5" t="n"/>
      <c r="J1003" s="5" t="n">
        <v>164.5</v>
      </c>
      <c r="K1003" s="5" t="n"/>
      <c r="L1003" s="5" t="n"/>
      <c r="M1003" s="5" t="n"/>
      <c r="N1003" s="5" t="n"/>
      <c r="O1003" s="5" t="n">
        <v>987</v>
      </c>
      <c r="P1003" s="5" t="n"/>
      <c r="Q1003" s="5" t="n">
        <v>987</v>
      </c>
      <c r="R1003" s="5" t="n"/>
      <c r="S1003" s="5">
        <f>F1003*20%</f>
        <v/>
      </c>
      <c r="T1003" s="5">
        <f>J1003-S1003</f>
        <v/>
      </c>
      <c r="U1003" s="5">
        <f>F1003+J1003</f>
        <v/>
      </c>
      <c r="V1003" s="5">
        <f>O1003-U1003</f>
        <v/>
      </c>
      <c r="W1003" s="5">
        <f>O1003-(P1003+R1003)</f>
        <v/>
      </c>
      <c r="X1003" s="5">
        <f>O1003-(P1003+Q1003+R1003)</f>
        <v/>
      </c>
    </row>
    <row r="1004">
      <c r="A1004" s="2" t="inlineStr">
        <is>
          <t>EJ030225.TXT</t>
        </is>
      </c>
      <c r="B1004" s="3" t="inlineStr">
        <is>
          <t>005690</t>
        </is>
      </c>
      <c r="C1004" s="3" t="inlineStr">
        <is>
          <t>004564</t>
        </is>
      </c>
      <c r="D1004" s="4" t="n">
        <v>45665</v>
      </c>
      <c r="E1004" s="2" t="inlineStr">
        <is>
          <t>16:16</t>
        </is>
      </c>
      <c r="F1004" s="5" t="n">
        <v>149.92</v>
      </c>
      <c r="G1004" s="5" t="n"/>
      <c r="H1004" s="5" t="n"/>
      <c r="I1004" s="5" t="n"/>
      <c r="J1004" s="5" t="n">
        <v>29.98</v>
      </c>
      <c r="K1004" s="5" t="n"/>
      <c r="L1004" s="5" t="n"/>
      <c r="M1004" s="5" t="n"/>
      <c r="N1004" s="5" t="n"/>
      <c r="O1004" s="5" t="n">
        <v>179.9</v>
      </c>
      <c r="P1004" s="5" t="n"/>
      <c r="Q1004" s="5" t="n">
        <v>179.9</v>
      </c>
      <c r="R1004" s="5" t="n"/>
      <c r="S1004" s="5">
        <f>F1004*20%</f>
        <v/>
      </c>
      <c r="T1004" s="5">
        <f>J1004-S1004</f>
        <v/>
      </c>
      <c r="U1004" s="5">
        <f>F1004+J1004</f>
        <v/>
      </c>
      <c r="V1004" s="5">
        <f>O1004-U1004</f>
        <v/>
      </c>
      <c r="W1004" s="5">
        <f>O1004-(P1004+R1004)</f>
        <v/>
      </c>
      <c r="X1004" s="5">
        <f>O1004-(P1004+Q1004+R1004)</f>
        <v/>
      </c>
    </row>
    <row r="1005">
      <c r="A1005" s="2" t="inlineStr">
        <is>
          <t>EJ030225.TXT</t>
        </is>
      </c>
      <c r="B1005" s="3" t="inlineStr">
        <is>
          <t>005691</t>
        </is>
      </c>
      <c r="C1005" s="3" t="inlineStr">
        <is>
          <t>004565</t>
        </is>
      </c>
      <c r="D1005" s="4" t="n">
        <v>45667</v>
      </c>
      <c r="E1005" s="2" t="inlineStr">
        <is>
          <t>16:53</t>
        </is>
      </c>
      <c r="F1005" s="5" t="n">
        <v>208.33</v>
      </c>
      <c r="G1005" s="5" t="n"/>
      <c r="H1005" s="5" t="n"/>
      <c r="I1005" s="5" t="n"/>
      <c r="J1005" s="5" t="n">
        <v>41.67</v>
      </c>
      <c r="K1005" s="5" t="n"/>
      <c r="L1005" s="5" t="n"/>
      <c r="M1005" s="5" t="n"/>
      <c r="N1005" s="5" t="n"/>
      <c r="O1005" s="5" t="n">
        <v>250</v>
      </c>
      <c r="P1005" s="5" t="n"/>
      <c r="Q1005" s="5" t="n">
        <v>250</v>
      </c>
      <c r="R1005" s="5" t="n"/>
      <c r="S1005" s="5">
        <f>F1005*20%</f>
        <v/>
      </c>
      <c r="T1005" s="5">
        <f>J1005-S1005</f>
        <v/>
      </c>
      <c r="U1005" s="5">
        <f>F1005+J1005</f>
        <v/>
      </c>
      <c r="V1005" s="5">
        <f>O1005-U1005</f>
        <v/>
      </c>
      <c r="W1005" s="5">
        <f>O1005-(P1005+R1005)</f>
        <v/>
      </c>
      <c r="X1005" s="5">
        <f>O1005-(P1005+Q1005+R1005)</f>
        <v/>
      </c>
    </row>
    <row r="1006">
      <c r="A1006" s="2" t="inlineStr">
        <is>
          <t>EJ030225.TXT</t>
        </is>
      </c>
      <c r="B1006" s="3" t="inlineStr">
        <is>
          <t>005692</t>
        </is>
      </c>
      <c r="C1006" s="3" t="inlineStr">
        <is>
          <t>004566</t>
        </is>
      </c>
      <c r="D1006" s="4" t="n">
        <v>45667</v>
      </c>
      <c r="E1006" s="2" t="inlineStr">
        <is>
          <t>18:05</t>
        </is>
      </c>
      <c r="F1006" s="5" t="n">
        <v>57.5</v>
      </c>
      <c r="G1006" s="5" t="n"/>
      <c r="H1006" s="5" t="n"/>
      <c r="I1006" s="5" t="n"/>
      <c r="J1006" s="5" t="n">
        <v>11.5</v>
      </c>
      <c r="K1006" s="5" t="n"/>
      <c r="L1006" s="5" t="n"/>
      <c r="M1006" s="5" t="n"/>
      <c r="N1006" s="5" t="n"/>
      <c r="O1006" s="5" t="n">
        <v>69</v>
      </c>
      <c r="P1006" s="5" t="n"/>
      <c r="Q1006" s="5" t="n">
        <v>69</v>
      </c>
      <c r="R1006" s="5" t="n"/>
      <c r="S1006" s="5">
        <f>F1006*20%</f>
        <v/>
      </c>
      <c r="T1006" s="5">
        <f>J1006-S1006</f>
        <v/>
      </c>
      <c r="U1006" s="5">
        <f>F1006+J1006</f>
        <v/>
      </c>
      <c r="V1006" s="5">
        <f>O1006-U1006</f>
        <v/>
      </c>
      <c r="W1006" s="5">
        <f>O1006-(P1006+R1006)</f>
        <v/>
      </c>
      <c r="X1006" s="5">
        <f>O1006-(P1006+Q1006+R1006)</f>
        <v/>
      </c>
    </row>
    <row r="1007">
      <c r="A1007" s="2" t="inlineStr">
        <is>
          <t>EJ030225.TXT</t>
        </is>
      </c>
      <c r="B1007" s="3" t="inlineStr">
        <is>
          <t>005693</t>
        </is>
      </c>
      <c r="C1007" s="3" t="inlineStr">
        <is>
          <t>004567</t>
        </is>
      </c>
      <c r="D1007" s="4" t="n">
        <v>45670</v>
      </c>
      <c r="E1007" s="2" t="inlineStr">
        <is>
          <t>12:22</t>
        </is>
      </c>
      <c r="F1007" s="5" t="n">
        <v>149.92</v>
      </c>
      <c r="G1007" s="5" t="n"/>
      <c r="H1007" s="5" t="n"/>
      <c r="I1007" s="5" t="n"/>
      <c r="J1007" s="5" t="n">
        <v>29.98</v>
      </c>
      <c r="K1007" s="5" t="n"/>
      <c r="L1007" s="5" t="n"/>
      <c r="M1007" s="5" t="n"/>
      <c r="N1007" s="5" t="n"/>
      <c r="O1007" s="5" t="n">
        <v>179.9</v>
      </c>
      <c r="P1007" s="5" t="n">
        <v>179.9</v>
      </c>
      <c r="Q1007" s="5" t="n"/>
      <c r="R1007" s="5" t="n"/>
      <c r="S1007" s="5">
        <f>F1007*20%</f>
        <v/>
      </c>
      <c r="T1007" s="5">
        <f>J1007-S1007</f>
        <v/>
      </c>
      <c r="U1007" s="5">
        <f>F1007+J1007</f>
        <v/>
      </c>
      <c r="V1007" s="5">
        <f>O1007-U1007</f>
        <v/>
      </c>
      <c r="W1007" s="5">
        <f>O1007-(P1007+R1007)</f>
        <v/>
      </c>
      <c r="X1007" s="5">
        <f>O1007-(P1007+Q1007+R1007)</f>
        <v/>
      </c>
    </row>
    <row r="1008">
      <c r="A1008" s="2" t="inlineStr">
        <is>
          <t>EJ030225.TXT</t>
        </is>
      </c>
      <c r="B1008" s="3" t="inlineStr">
        <is>
          <t>005694</t>
        </is>
      </c>
      <c r="C1008" s="3" t="inlineStr">
        <is>
          <t>004568</t>
        </is>
      </c>
      <c r="D1008" s="4" t="n">
        <v>45670</v>
      </c>
      <c r="E1008" s="2" t="inlineStr">
        <is>
          <t>12:29</t>
        </is>
      </c>
      <c r="F1008" s="5" t="n">
        <v>248.33</v>
      </c>
      <c r="G1008" s="5" t="n"/>
      <c r="H1008" s="5" t="n"/>
      <c r="I1008" s="5" t="n"/>
      <c r="J1008" s="5" t="n">
        <v>49.67</v>
      </c>
      <c r="K1008" s="5" t="n"/>
      <c r="L1008" s="5" t="n"/>
      <c r="M1008" s="5" t="n"/>
      <c r="N1008" s="5" t="n"/>
      <c r="O1008" s="5" t="n">
        <v>298</v>
      </c>
      <c r="P1008" s="5" t="n">
        <v>298</v>
      </c>
      <c r="Q1008" s="5" t="n"/>
      <c r="R1008" s="5" t="n"/>
      <c r="S1008" s="5">
        <f>F1008*20%</f>
        <v/>
      </c>
      <c r="T1008" s="5">
        <f>J1008-S1008</f>
        <v/>
      </c>
      <c r="U1008" s="5">
        <f>F1008+J1008</f>
        <v/>
      </c>
      <c r="V1008" s="5">
        <f>O1008-U1008</f>
        <v/>
      </c>
      <c r="W1008" s="5">
        <f>O1008-(P1008+R1008)</f>
        <v/>
      </c>
      <c r="X1008" s="5">
        <f>O1008-(P1008+Q1008+R1008)</f>
        <v/>
      </c>
    </row>
    <row r="1009">
      <c r="A1009" s="2" t="inlineStr">
        <is>
          <t>EJ030225.TXT</t>
        </is>
      </c>
      <c r="B1009" s="3" t="inlineStr">
        <is>
          <t>005695</t>
        </is>
      </c>
      <c r="C1009" s="3" t="inlineStr">
        <is>
          <t>004569</t>
        </is>
      </c>
      <c r="D1009" s="4" t="n">
        <v>45670</v>
      </c>
      <c r="E1009" s="2" t="inlineStr">
        <is>
          <t>16:37</t>
        </is>
      </c>
      <c r="F1009" s="5" t="n">
        <v>208.33</v>
      </c>
      <c r="G1009" s="5" t="n"/>
      <c r="H1009" s="5" t="n"/>
      <c r="I1009" s="5" t="n"/>
      <c r="J1009" s="5" t="n">
        <v>41.67</v>
      </c>
      <c r="K1009" s="5" t="n"/>
      <c r="L1009" s="5" t="n"/>
      <c r="M1009" s="5" t="n"/>
      <c r="N1009" s="5" t="n"/>
      <c r="O1009" s="5" t="n">
        <v>250</v>
      </c>
      <c r="P1009" s="5" t="n"/>
      <c r="Q1009" s="5" t="n">
        <v>250</v>
      </c>
      <c r="R1009" s="5" t="n"/>
      <c r="S1009" s="5">
        <f>F1009*20%</f>
        <v/>
      </c>
      <c r="T1009" s="5">
        <f>J1009-S1009</f>
        <v/>
      </c>
      <c r="U1009" s="5">
        <f>F1009+J1009</f>
        <v/>
      </c>
      <c r="V1009" s="5">
        <f>O1009-U1009</f>
        <v/>
      </c>
      <c r="W1009" s="5">
        <f>O1009-(P1009+R1009)</f>
        <v/>
      </c>
      <c r="X1009" s="5">
        <f>O1009-(P1009+Q1009+R1009)</f>
        <v/>
      </c>
    </row>
    <row r="1010">
      <c r="A1010" s="2" t="inlineStr">
        <is>
          <t>EJ030225.TXT</t>
        </is>
      </c>
      <c r="B1010" s="3" t="inlineStr">
        <is>
          <t>005696</t>
        </is>
      </c>
      <c r="C1010" s="3" t="inlineStr">
        <is>
          <t>004570</t>
        </is>
      </c>
      <c r="D1010" s="4" t="n">
        <v>45671</v>
      </c>
      <c r="E1010" s="2" t="inlineStr">
        <is>
          <t>15:17</t>
        </is>
      </c>
      <c r="F1010" s="5" t="n">
        <v>548.33</v>
      </c>
      <c r="G1010" s="5" t="n"/>
      <c r="H1010" s="5" t="n"/>
      <c r="I1010" s="5" t="n"/>
      <c r="J1010" s="5" t="n">
        <v>109.67</v>
      </c>
      <c r="K1010" s="5" t="n"/>
      <c r="L1010" s="5" t="n"/>
      <c r="M1010" s="5" t="n"/>
      <c r="N1010" s="5" t="n"/>
      <c r="O1010" s="5" t="n">
        <v>658</v>
      </c>
      <c r="P1010" s="5" t="n"/>
      <c r="Q1010" s="5" t="n">
        <v>658</v>
      </c>
      <c r="R1010" s="5" t="n"/>
      <c r="S1010" s="5">
        <f>F1010*20%</f>
        <v/>
      </c>
      <c r="T1010" s="5">
        <f>J1010-S1010</f>
        <v/>
      </c>
      <c r="U1010" s="5">
        <f>F1010+J1010</f>
        <v/>
      </c>
      <c r="V1010" s="5">
        <f>O1010-U1010</f>
        <v/>
      </c>
      <c r="W1010" s="5">
        <f>O1010-(P1010+R1010)</f>
        <v/>
      </c>
      <c r="X1010" s="5">
        <f>O1010-(P1010+Q1010+R1010)</f>
        <v/>
      </c>
    </row>
    <row r="1011">
      <c r="A1011" s="2" t="inlineStr">
        <is>
          <t>EJ030225.TXT</t>
        </is>
      </c>
      <c r="B1011" s="3" t="inlineStr">
        <is>
          <t>005697</t>
        </is>
      </c>
      <c r="C1011" s="3" t="inlineStr">
        <is>
          <t>004571</t>
        </is>
      </c>
      <c r="D1011" s="4" t="n">
        <v>45672</v>
      </c>
      <c r="E1011" s="2" t="inlineStr">
        <is>
          <t>10:59</t>
        </is>
      </c>
      <c r="F1011" s="5" t="n">
        <v>190.83</v>
      </c>
      <c r="G1011" s="5" t="n"/>
      <c r="H1011" s="5" t="n"/>
      <c r="I1011" s="5" t="n"/>
      <c r="J1011" s="5" t="n">
        <v>38.17</v>
      </c>
      <c r="K1011" s="5" t="n"/>
      <c r="L1011" s="5" t="n"/>
      <c r="M1011" s="5" t="n"/>
      <c r="N1011" s="5" t="n"/>
      <c r="O1011" s="5" t="n">
        <v>229</v>
      </c>
      <c r="P1011" s="5" t="n"/>
      <c r="Q1011" s="5" t="n">
        <v>229</v>
      </c>
      <c r="R1011" s="5" t="n"/>
      <c r="S1011" s="5">
        <f>F1011*20%</f>
        <v/>
      </c>
      <c r="T1011" s="5">
        <f>J1011-S1011</f>
        <v/>
      </c>
      <c r="U1011" s="5">
        <f>F1011+J1011</f>
        <v/>
      </c>
      <c r="V1011" s="5">
        <f>O1011-U1011</f>
        <v/>
      </c>
      <c r="W1011" s="5">
        <f>O1011-(P1011+R1011)</f>
        <v/>
      </c>
      <c r="X1011" s="5">
        <f>O1011-(P1011+Q1011+R1011)</f>
        <v/>
      </c>
    </row>
    <row r="1012">
      <c r="A1012" s="2" t="inlineStr">
        <is>
          <t>EJ030225.TXT</t>
        </is>
      </c>
      <c r="B1012" s="3" t="inlineStr">
        <is>
          <t>005698</t>
        </is>
      </c>
      <c r="C1012" s="3" t="inlineStr">
        <is>
          <t>004572</t>
        </is>
      </c>
      <c r="D1012" s="4" t="n">
        <v>45672</v>
      </c>
      <c r="E1012" s="2" t="inlineStr">
        <is>
          <t>14:50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/>
      <c r="Q1012" s="5" t="n">
        <v>658</v>
      </c>
      <c r="R1012" s="5" t="n"/>
      <c r="S1012" s="5">
        <f>F1012*20%</f>
        <v/>
      </c>
      <c r="T1012" s="5">
        <f>J1012-S1012</f>
        <v/>
      </c>
      <c r="U1012" s="5">
        <f>F1012+J1012</f>
        <v/>
      </c>
      <c r="V1012" s="5">
        <f>O1012-U1012</f>
        <v/>
      </c>
      <c r="W1012" s="5">
        <f>O1012-(P1012+R1012)</f>
        <v/>
      </c>
      <c r="X1012" s="5">
        <f>O1012-(P1012+Q1012+R1012)</f>
        <v/>
      </c>
    </row>
    <row r="1013">
      <c r="A1013" s="2" t="inlineStr">
        <is>
          <t>EJ030225.TXT</t>
        </is>
      </c>
      <c r="B1013" s="3" t="inlineStr">
        <is>
          <t>005699</t>
        </is>
      </c>
      <c r="C1013" s="3" t="inlineStr">
        <is>
          <t>004573</t>
        </is>
      </c>
      <c r="D1013" s="4" t="n">
        <v>45673</v>
      </c>
      <c r="E1013" s="2" t="inlineStr">
        <is>
          <t>15:41</t>
        </is>
      </c>
      <c r="F1013" s="5" t="n">
        <v>208.33</v>
      </c>
      <c r="G1013" s="5" t="n"/>
      <c r="H1013" s="5" t="n"/>
      <c r="I1013" s="5" t="n"/>
      <c r="J1013" s="5" t="n">
        <v>41.67</v>
      </c>
      <c r="K1013" s="5" t="n"/>
      <c r="L1013" s="5" t="n"/>
      <c r="M1013" s="5" t="n"/>
      <c r="N1013" s="5" t="n"/>
      <c r="O1013" s="5" t="n">
        <v>250</v>
      </c>
      <c r="P1013" s="5" t="n"/>
      <c r="Q1013" s="5" t="n">
        <v>250</v>
      </c>
      <c r="R1013" s="5" t="n"/>
      <c r="S1013" s="5">
        <f>F1013*20%</f>
        <v/>
      </c>
      <c r="T1013" s="5">
        <f>J1013-S1013</f>
        <v/>
      </c>
      <c r="U1013" s="5">
        <f>F1013+J1013</f>
        <v/>
      </c>
      <c r="V1013" s="5">
        <f>O1013-U1013</f>
        <v/>
      </c>
      <c r="W1013" s="5">
        <f>O1013-(P1013+R1013)</f>
        <v/>
      </c>
      <c r="X1013" s="5">
        <f>O1013-(P1013+Q1013+R1013)</f>
        <v/>
      </c>
    </row>
    <row r="1014">
      <c r="A1014" s="2" t="inlineStr">
        <is>
          <t>EJ030225.TXT</t>
        </is>
      </c>
      <c r="B1014" s="3" t="inlineStr">
        <is>
          <t>005700</t>
        </is>
      </c>
      <c r="C1014" s="3" t="inlineStr">
        <is>
          <t>004574</t>
        </is>
      </c>
      <c r="D1014" s="4" t="n">
        <v>45673</v>
      </c>
      <c r="E1014" s="2" t="inlineStr">
        <is>
          <t>16:00</t>
        </is>
      </c>
      <c r="F1014" s="5" t="n">
        <v>274.17</v>
      </c>
      <c r="G1014" s="5" t="n"/>
      <c r="H1014" s="5" t="n"/>
      <c r="I1014" s="5" t="n"/>
      <c r="J1014" s="5" t="n">
        <v>54.83</v>
      </c>
      <c r="K1014" s="5" t="n"/>
      <c r="L1014" s="5" t="n"/>
      <c r="M1014" s="5" t="n"/>
      <c r="N1014" s="5" t="n"/>
      <c r="O1014" s="5" t="n">
        <v>329</v>
      </c>
      <c r="P1014" s="5" t="n"/>
      <c r="Q1014" s="5" t="n">
        <v>329</v>
      </c>
      <c r="R1014" s="5" t="n"/>
      <c r="S1014" s="5">
        <f>F1014*20%</f>
        <v/>
      </c>
      <c r="T1014" s="5">
        <f>J1014-S1014</f>
        <v/>
      </c>
      <c r="U1014" s="5">
        <f>F1014+J1014</f>
        <v/>
      </c>
      <c r="V1014" s="5">
        <f>O1014-U1014</f>
        <v/>
      </c>
      <c r="W1014" s="5">
        <f>O1014-(P1014+R1014)</f>
        <v/>
      </c>
      <c r="X1014" s="5">
        <f>O1014-(P1014+Q1014+R1014)</f>
        <v/>
      </c>
    </row>
    <row r="1015">
      <c r="A1015" s="2" t="inlineStr">
        <is>
          <t>EJ030225.TXT</t>
        </is>
      </c>
      <c r="B1015" s="3" t="inlineStr">
        <is>
          <t>005701</t>
        </is>
      </c>
      <c r="C1015" s="3" t="inlineStr">
        <is>
          <t>004575</t>
        </is>
      </c>
      <c r="D1015" s="4" t="n">
        <v>45673</v>
      </c>
      <c r="E1015" s="2" t="inlineStr">
        <is>
          <t>18:13</t>
        </is>
      </c>
      <c r="F1015" s="5" t="n">
        <v>274.17</v>
      </c>
      <c r="G1015" s="5" t="n"/>
      <c r="H1015" s="5" t="n"/>
      <c r="I1015" s="5" t="n"/>
      <c r="J1015" s="5" t="n">
        <v>54.83</v>
      </c>
      <c r="K1015" s="5" t="n"/>
      <c r="L1015" s="5" t="n"/>
      <c r="M1015" s="5" t="n"/>
      <c r="N1015" s="5" t="n"/>
      <c r="O1015" s="5" t="n">
        <v>329</v>
      </c>
      <c r="P1015" s="5" t="n">
        <v>329</v>
      </c>
      <c r="Q1015" s="5" t="n"/>
      <c r="R1015" s="5" t="n"/>
      <c r="S1015" s="5">
        <f>F1015*20%</f>
        <v/>
      </c>
      <c r="T1015" s="5">
        <f>J1015-S1015</f>
        <v/>
      </c>
      <c r="U1015" s="5">
        <f>F1015+J1015</f>
        <v/>
      </c>
      <c r="V1015" s="5">
        <f>O1015-U1015</f>
        <v/>
      </c>
      <c r="W1015" s="5">
        <f>O1015-(P1015+R1015)</f>
        <v/>
      </c>
      <c r="X1015" s="5">
        <f>O1015-(P1015+Q1015+R1015)</f>
        <v/>
      </c>
    </row>
    <row r="1016">
      <c r="A1016" s="2" t="inlineStr">
        <is>
          <t>EJ030225.TXT</t>
        </is>
      </c>
      <c r="B1016" s="3" t="inlineStr">
        <is>
          <t>005702</t>
        </is>
      </c>
      <c r="C1016" s="3" t="inlineStr">
        <is>
          <t>004576</t>
        </is>
      </c>
      <c r="D1016" s="4" t="n">
        <v>45674</v>
      </c>
      <c r="E1016" s="2" t="inlineStr">
        <is>
          <t>17:34</t>
        </is>
      </c>
      <c r="F1016" s="5" t="n">
        <v>208.33</v>
      </c>
      <c r="G1016" s="5" t="n"/>
      <c r="H1016" s="5" t="n"/>
      <c r="I1016" s="5" t="n"/>
      <c r="J1016" s="5" t="n">
        <v>41.67</v>
      </c>
      <c r="K1016" s="5" t="n"/>
      <c r="L1016" s="5" t="n"/>
      <c r="M1016" s="5" t="n"/>
      <c r="N1016" s="5" t="n"/>
      <c r="O1016" s="5" t="n">
        <v>250</v>
      </c>
      <c r="P1016" s="5" t="n"/>
      <c r="Q1016" s="5" t="n">
        <v>250</v>
      </c>
      <c r="R1016" s="5" t="n"/>
      <c r="S1016" s="5">
        <f>F1016*20%</f>
        <v/>
      </c>
      <c r="T1016" s="5">
        <f>J1016-S1016</f>
        <v/>
      </c>
      <c r="U1016" s="5">
        <f>F1016+J1016</f>
        <v/>
      </c>
      <c r="V1016" s="5">
        <f>O1016-U1016</f>
        <v/>
      </c>
      <c r="W1016" s="5">
        <f>O1016-(P1016+R1016)</f>
        <v/>
      </c>
      <c r="X1016" s="5">
        <f>O1016-(P1016+Q1016+R1016)</f>
        <v/>
      </c>
    </row>
    <row r="1017">
      <c r="A1017" s="2" t="inlineStr">
        <is>
          <t>EJ030225.TXT</t>
        </is>
      </c>
      <c r="B1017" s="3" t="inlineStr">
        <is>
          <t>005703</t>
        </is>
      </c>
      <c r="C1017" s="3" t="inlineStr">
        <is>
          <t>004577</t>
        </is>
      </c>
      <c r="D1017" s="4" t="n">
        <v>45675</v>
      </c>
      <c r="E1017" s="2" t="inlineStr">
        <is>
          <t>15:09</t>
        </is>
      </c>
      <c r="F1017" s="5" t="n">
        <v>33.25</v>
      </c>
      <c r="G1017" s="5" t="n"/>
      <c r="H1017" s="5" t="n"/>
      <c r="I1017" s="5" t="n"/>
      <c r="J1017" s="5" t="n">
        <v>6.65</v>
      </c>
      <c r="K1017" s="5" t="n"/>
      <c r="L1017" s="5" t="n"/>
      <c r="M1017" s="5" t="n"/>
      <c r="N1017" s="5" t="n"/>
      <c r="O1017" s="5" t="n">
        <v>39.9</v>
      </c>
      <c r="P1017" s="5" t="n">
        <v>39.9</v>
      </c>
      <c r="Q1017" s="5" t="n"/>
      <c r="R1017" s="5" t="n"/>
      <c r="S1017" s="5">
        <f>F1017*20%</f>
        <v/>
      </c>
      <c r="T1017" s="5">
        <f>J1017-S1017</f>
        <v/>
      </c>
      <c r="U1017" s="5">
        <f>F1017+J1017</f>
        <v/>
      </c>
      <c r="V1017" s="5">
        <f>O1017-U1017</f>
        <v/>
      </c>
      <c r="W1017" s="5">
        <f>O1017-(P1017+R1017)</f>
        <v/>
      </c>
      <c r="X1017" s="5">
        <f>O1017-(P1017+Q1017+R1017)</f>
        <v/>
      </c>
    </row>
    <row r="1018">
      <c r="A1018" s="2" t="inlineStr">
        <is>
          <t>EJ030225.TXT</t>
        </is>
      </c>
      <c r="B1018" s="3" t="inlineStr">
        <is>
          <t>005704</t>
        </is>
      </c>
      <c r="C1018" s="3" t="inlineStr">
        <is>
          <t>004578</t>
        </is>
      </c>
      <c r="D1018" s="4" t="n">
        <v>45678</v>
      </c>
      <c r="E1018" s="2" t="inlineStr">
        <is>
          <t>16:53</t>
        </is>
      </c>
      <c r="F1018" s="5" t="n">
        <v>274.17</v>
      </c>
      <c r="G1018" s="5" t="n"/>
      <c r="H1018" s="5" t="n"/>
      <c r="I1018" s="5" t="n"/>
      <c r="J1018" s="5" t="n">
        <v>54.83</v>
      </c>
      <c r="K1018" s="5" t="n"/>
      <c r="L1018" s="5" t="n"/>
      <c r="M1018" s="5" t="n"/>
      <c r="N1018" s="5" t="n"/>
      <c r="O1018" s="5" t="n">
        <v>329</v>
      </c>
      <c r="P1018" s="5" t="n">
        <v>329</v>
      </c>
      <c r="Q1018" s="5" t="n"/>
      <c r="R1018" s="5" t="n"/>
      <c r="S1018" s="5">
        <f>F1018*20%</f>
        <v/>
      </c>
      <c r="T1018" s="5">
        <f>J1018-S1018</f>
        <v/>
      </c>
      <c r="U1018" s="5">
        <f>F1018+J1018</f>
        <v/>
      </c>
      <c r="V1018" s="5">
        <f>O1018-U1018</f>
        <v/>
      </c>
      <c r="W1018" s="5">
        <f>O1018-(P1018+R1018)</f>
        <v/>
      </c>
      <c r="X1018" s="5">
        <f>O1018-(P1018+Q1018+R1018)</f>
        <v/>
      </c>
    </row>
    <row r="1019">
      <c r="A1019" s="2" t="inlineStr">
        <is>
          <t>EJ030225.TXT</t>
        </is>
      </c>
      <c r="B1019" s="3" t="inlineStr">
        <is>
          <t>005705</t>
        </is>
      </c>
      <c r="C1019" s="3" t="inlineStr">
        <is>
          <t>004579</t>
        </is>
      </c>
      <c r="D1019" s="4" t="n">
        <v>45684</v>
      </c>
      <c r="E1019" s="2" t="inlineStr">
        <is>
          <t>12:13</t>
        </is>
      </c>
      <c r="F1019" s="5" t="n">
        <v>33.25</v>
      </c>
      <c r="G1019" s="5" t="n"/>
      <c r="H1019" s="5" t="n"/>
      <c r="I1019" s="5" t="n"/>
      <c r="J1019" s="5" t="n">
        <v>6.65</v>
      </c>
      <c r="K1019" s="5" t="n"/>
      <c r="L1019" s="5" t="n"/>
      <c r="M1019" s="5" t="n"/>
      <c r="N1019" s="5" t="n"/>
      <c r="O1019" s="5" t="n">
        <v>39.9</v>
      </c>
      <c r="P1019" s="5" t="n">
        <v>39.9</v>
      </c>
      <c r="Q1019" s="5" t="n"/>
      <c r="R1019" s="5" t="n"/>
      <c r="S1019" s="5">
        <f>F1019*20%</f>
        <v/>
      </c>
      <c r="T1019" s="5">
        <f>J1019-S1019</f>
        <v/>
      </c>
      <c r="U1019" s="5">
        <f>F1019+J1019</f>
        <v/>
      </c>
      <c r="V1019" s="5">
        <f>O1019-U1019</f>
        <v/>
      </c>
      <c r="W1019" s="5">
        <f>O1019-(P1019+R1019)</f>
        <v/>
      </c>
      <c r="X1019" s="5">
        <f>O1019-(P1019+Q1019+R1019)</f>
        <v/>
      </c>
    </row>
    <row r="1020">
      <c r="A1020" s="2" t="inlineStr">
        <is>
          <t>EJ030225.TXT</t>
        </is>
      </c>
      <c r="B1020" s="3" t="inlineStr">
        <is>
          <t>005706</t>
        </is>
      </c>
      <c r="C1020" s="3" t="inlineStr">
        <is>
          <t>004580</t>
        </is>
      </c>
      <c r="D1020" s="4" t="n">
        <v>45685</v>
      </c>
      <c r="E1020" s="2" t="inlineStr">
        <is>
          <t>10:10</t>
        </is>
      </c>
      <c r="F1020" s="5" t="n">
        <v>274.17</v>
      </c>
      <c r="G1020" s="5" t="n"/>
      <c r="H1020" s="5" t="n"/>
      <c r="I1020" s="5" t="n"/>
      <c r="J1020" s="5" t="n">
        <v>54.83</v>
      </c>
      <c r="K1020" s="5" t="n"/>
      <c r="L1020" s="5" t="n"/>
      <c r="M1020" s="5" t="n"/>
      <c r="N1020" s="5" t="n"/>
      <c r="O1020" s="5" t="n">
        <v>329</v>
      </c>
      <c r="P1020" s="5" t="n">
        <v>329</v>
      </c>
      <c r="Q1020" s="5" t="n"/>
      <c r="R1020" s="5" t="n"/>
      <c r="S1020" s="5">
        <f>F1020*20%</f>
        <v/>
      </c>
      <c r="T1020" s="5">
        <f>J1020-S1020</f>
        <v/>
      </c>
      <c r="U1020" s="5">
        <f>F1020+J1020</f>
        <v/>
      </c>
      <c r="V1020" s="5">
        <f>O1020-U1020</f>
        <v/>
      </c>
      <c r="W1020" s="5">
        <f>O1020-(P1020+R1020)</f>
        <v/>
      </c>
      <c r="X1020" s="5">
        <f>O1020-(P1020+Q1020+R1020)</f>
        <v/>
      </c>
    </row>
    <row r="1021">
      <c r="A1021" s="2" t="inlineStr">
        <is>
          <t>EJ030225.TXT</t>
        </is>
      </c>
      <c r="B1021" s="3" t="inlineStr">
        <is>
          <t>005707</t>
        </is>
      </c>
      <c r="C1021" s="3" t="inlineStr">
        <is>
          <t>004581</t>
        </is>
      </c>
      <c r="D1021" s="4" t="n">
        <v>45685</v>
      </c>
      <c r="E1021" s="2" t="inlineStr">
        <is>
          <t>12:39</t>
        </is>
      </c>
      <c r="F1021" s="5" t="n">
        <v>465</v>
      </c>
      <c r="G1021" s="5" t="n"/>
      <c r="H1021" s="5" t="n"/>
      <c r="I1021" s="5" t="n"/>
      <c r="J1021" s="5" t="n">
        <v>93</v>
      </c>
      <c r="K1021" s="5" t="n"/>
      <c r="L1021" s="5" t="n"/>
      <c r="M1021" s="5" t="n"/>
      <c r="N1021" s="5" t="n"/>
      <c r="O1021" s="5" t="n">
        <v>558</v>
      </c>
      <c r="P1021" s="5" t="n">
        <v>558</v>
      </c>
      <c r="Q1021" s="5" t="n"/>
      <c r="R1021" s="5" t="n"/>
      <c r="S1021" s="5">
        <f>F1021*20%</f>
        <v/>
      </c>
      <c r="T1021" s="5">
        <f>J1021-S1021</f>
        <v/>
      </c>
      <c r="U1021" s="5">
        <f>F1021+J1021</f>
        <v/>
      </c>
      <c r="V1021" s="5">
        <f>O1021-U1021</f>
        <v/>
      </c>
      <c r="W1021" s="5">
        <f>O1021-(P1021+R1021)</f>
        <v/>
      </c>
      <c r="X1021" s="5">
        <f>O1021-(P1021+Q1021+R1021)</f>
        <v/>
      </c>
    </row>
    <row r="1022">
      <c r="A1022" s="2" t="inlineStr">
        <is>
          <t>EJ030225.TXT</t>
        </is>
      </c>
      <c r="B1022" s="3" t="inlineStr">
        <is>
          <t>005708</t>
        </is>
      </c>
      <c r="C1022" s="3" t="inlineStr">
        <is>
          <t>004582</t>
        </is>
      </c>
      <c r="D1022" s="4" t="n">
        <v>45685</v>
      </c>
      <c r="E1022" s="2" t="inlineStr">
        <is>
          <t>14:45</t>
        </is>
      </c>
      <c r="F1022" s="5" t="n">
        <v>274.17</v>
      </c>
      <c r="G1022" s="5" t="n"/>
      <c r="H1022" s="5" t="n"/>
      <c r="I1022" s="5" t="n"/>
      <c r="J1022" s="5" t="n">
        <v>54.83</v>
      </c>
      <c r="K1022" s="5" t="n"/>
      <c r="L1022" s="5" t="n"/>
      <c r="M1022" s="5" t="n"/>
      <c r="N1022" s="5" t="n"/>
      <c r="O1022" s="5" t="n">
        <v>329</v>
      </c>
      <c r="P1022" s="5" t="n"/>
      <c r="Q1022" s="5" t="n">
        <v>329</v>
      </c>
      <c r="R1022" s="5" t="n"/>
      <c r="S1022" s="5">
        <f>F1022*20%</f>
        <v/>
      </c>
      <c r="T1022" s="5">
        <f>J1022-S1022</f>
        <v/>
      </c>
      <c r="U1022" s="5">
        <f>F1022+J1022</f>
        <v/>
      </c>
      <c r="V1022" s="5">
        <f>O1022-U1022</f>
        <v/>
      </c>
      <c r="W1022" s="5">
        <f>O1022-(P1022+R1022)</f>
        <v/>
      </c>
      <c r="X1022" s="5">
        <f>O1022-(P1022+Q1022+R1022)</f>
        <v/>
      </c>
    </row>
    <row r="1023">
      <c r="A1023" s="2" t="inlineStr">
        <is>
          <t>EJ030225.TXT</t>
        </is>
      </c>
      <c r="B1023" s="3" t="inlineStr">
        <is>
          <t>005709</t>
        </is>
      </c>
      <c r="C1023" s="3" t="inlineStr">
        <is>
          <t>004583</t>
        </is>
      </c>
      <c r="D1023" s="4" t="n">
        <v>45686</v>
      </c>
      <c r="E1023" s="2" t="inlineStr">
        <is>
          <t>12:12</t>
        </is>
      </c>
      <c r="F1023" s="5" t="n">
        <v>33.25</v>
      </c>
      <c r="G1023" s="5" t="n"/>
      <c r="H1023" s="5" t="n"/>
      <c r="I1023" s="5" t="n"/>
      <c r="J1023" s="5" t="n">
        <v>6.65</v>
      </c>
      <c r="K1023" s="5" t="n"/>
      <c r="L1023" s="5" t="n"/>
      <c r="M1023" s="5" t="n"/>
      <c r="N1023" s="5" t="n"/>
      <c r="O1023" s="5" t="n">
        <v>39.9</v>
      </c>
      <c r="P1023" s="5" t="n">
        <v>39.9</v>
      </c>
      <c r="Q1023" s="5" t="n"/>
      <c r="R1023" s="5" t="n"/>
      <c r="S1023" s="5">
        <f>F1023*20%</f>
        <v/>
      </c>
      <c r="T1023" s="5">
        <f>J1023-S1023</f>
        <v/>
      </c>
      <c r="U1023" s="5">
        <f>F1023+J1023</f>
        <v/>
      </c>
      <c r="V1023" s="5">
        <f>O1023-U1023</f>
        <v/>
      </c>
      <c r="W1023" s="5">
        <f>O1023-(P1023+R1023)</f>
        <v/>
      </c>
      <c r="X1023" s="5">
        <f>O1023-(P1023+Q1023+R1023)</f>
        <v/>
      </c>
    </row>
    <row r="1024">
      <c r="A1024" s="2" t="inlineStr">
        <is>
          <t>EJ030225.TXT</t>
        </is>
      </c>
      <c r="B1024" s="3" t="inlineStr">
        <is>
          <t>005710</t>
        </is>
      </c>
      <c r="C1024" s="3" t="inlineStr">
        <is>
          <t>004584</t>
        </is>
      </c>
      <c r="D1024" s="4" t="n">
        <v>45686</v>
      </c>
      <c r="E1024" s="2" t="inlineStr">
        <is>
          <t>15:04</t>
        </is>
      </c>
      <c r="F1024" s="5" t="n">
        <v>66.5</v>
      </c>
      <c r="G1024" s="5" t="n"/>
      <c r="H1024" s="5" t="n"/>
      <c r="I1024" s="5" t="n"/>
      <c r="J1024" s="5" t="n">
        <v>13.3</v>
      </c>
      <c r="K1024" s="5" t="n"/>
      <c r="L1024" s="5" t="n"/>
      <c r="M1024" s="5" t="n"/>
      <c r="N1024" s="5" t="n"/>
      <c r="O1024" s="5" t="n">
        <v>79.8</v>
      </c>
      <c r="P1024" s="5" t="n"/>
      <c r="Q1024" s="5" t="n">
        <v>79.8</v>
      </c>
      <c r="R1024" s="5" t="n"/>
      <c r="S1024" s="5">
        <f>F1024*20%</f>
        <v/>
      </c>
      <c r="T1024" s="5">
        <f>J1024-S1024</f>
        <v/>
      </c>
      <c r="U1024" s="5">
        <f>F1024+J1024</f>
        <v/>
      </c>
      <c r="V1024" s="5">
        <f>O1024-U1024</f>
        <v/>
      </c>
      <c r="W1024" s="5">
        <f>O1024-(P1024+R1024)</f>
        <v/>
      </c>
      <c r="X1024" s="5">
        <f>O1024-(P1024+Q1024+R1024)</f>
        <v/>
      </c>
    </row>
    <row r="1025">
      <c r="A1025" s="2" t="inlineStr">
        <is>
          <t>EJ030225.TXT</t>
        </is>
      </c>
      <c r="B1025" s="3" t="inlineStr">
        <is>
          <t>005711</t>
        </is>
      </c>
      <c r="C1025" s="3" t="inlineStr">
        <is>
          <t>004585</t>
        </is>
      </c>
      <c r="D1025" s="4" t="n">
        <v>45686</v>
      </c>
      <c r="E1025" s="2" t="inlineStr">
        <is>
          <t>16:27</t>
        </is>
      </c>
      <c r="F1025" s="5" t="n">
        <v>240.75</v>
      </c>
      <c r="G1025" s="5" t="n"/>
      <c r="H1025" s="5" t="n"/>
      <c r="I1025" s="5" t="n"/>
      <c r="J1025" s="5" t="n">
        <v>48.15</v>
      </c>
      <c r="K1025" s="5" t="n"/>
      <c r="L1025" s="5" t="n"/>
      <c r="M1025" s="5" t="n"/>
      <c r="N1025" s="5" t="n"/>
      <c r="O1025" s="5" t="n">
        <v>288.9</v>
      </c>
      <c r="P1025" s="5" t="n">
        <v>288.9</v>
      </c>
      <c r="Q1025" s="5" t="n"/>
      <c r="R1025" s="5" t="n"/>
      <c r="S1025" s="5">
        <f>F1025*20%</f>
        <v/>
      </c>
      <c r="T1025" s="5">
        <f>J1025-S1025</f>
        <v/>
      </c>
      <c r="U1025" s="5">
        <f>F1025+J1025</f>
        <v/>
      </c>
      <c r="V1025" s="5">
        <f>O1025-U1025</f>
        <v/>
      </c>
      <c r="W1025" s="5">
        <f>O1025-(P1025+R1025)</f>
        <v/>
      </c>
      <c r="X1025" s="5">
        <f>O1025-(P1025+Q1025+R1025)</f>
        <v/>
      </c>
    </row>
    <row r="1026">
      <c r="A1026" s="2" t="inlineStr">
        <is>
          <t>EJ030225.TXT</t>
        </is>
      </c>
      <c r="B1026" s="3" t="inlineStr">
        <is>
          <t>005712</t>
        </is>
      </c>
      <c r="C1026" s="3" t="inlineStr">
        <is>
          <t>004586</t>
        </is>
      </c>
      <c r="D1026" s="4" t="n">
        <v>45686</v>
      </c>
      <c r="E1026" s="2" t="inlineStr">
        <is>
          <t>16:43</t>
        </is>
      </c>
      <c r="F1026" s="5" t="n">
        <v>208.33</v>
      </c>
      <c r="G1026" s="5" t="n"/>
      <c r="H1026" s="5" t="n"/>
      <c r="I1026" s="5" t="n"/>
      <c r="J1026" s="5" t="n">
        <v>41.67</v>
      </c>
      <c r="K1026" s="5" t="n"/>
      <c r="L1026" s="5" t="n"/>
      <c r="M1026" s="5" t="n"/>
      <c r="N1026" s="5" t="n"/>
      <c r="O1026" s="5" t="n">
        <v>250</v>
      </c>
      <c r="P1026" s="5" t="n"/>
      <c r="Q1026" s="5" t="n">
        <v>250</v>
      </c>
      <c r="R1026" s="5" t="n"/>
      <c r="S1026" s="5">
        <f>F1026*20%</f>
        <v/>
      </c>
      <c r="T1026" s="5">
        <f>J1026-S1026</f>
        <v/>
      </c>
      <c r="U1026" s="5">
        <f>F1026+J1026</f>
        <v/>
      </c>
      <c r="V1026" s="5">
        <f>O1026-U1026</f>
        <v/>
      </c>
      <c r="W1026" s="5">
        <f>O1026-(P1026+R1026)</f>
        <v/>
      </c>
      <c r="X1026" s="5">
        <f>O1026-(P1026+Q1026+R1026)</f>
        <v/>
      </c>
    </row>
    <row r="1027">
      <c r="A1027" s="2" t="inlineStr">
        <is>
          <t>EJ030225.TXT</t>
        </is>
      </c>
      <c r="B1027" s="3" t="inlineStr">
        <is>
          <t>005713</t>
        </is>
      </c>
      <c r="C1027" s="3" t="inlineStr">
        <is>
          <t>004587</t>
        </is>
      </c>
      <c r="D1027" s="4" t="n">
        <v>45688</v>
      </c>
      <c r="E1027" s="2" t="inlineStr">
        <is>
          <t>16:06</t>
        </is>
      </c>
      <c r="F1027" s="5" t="n">
        <v>548.33</v>
      </c>
      <c r="G1027" s="5" t="n"/>
      <c r="H1027" s="5" t="n"/>
      <c r="I1027" s="5" t="n"/>
      <c r="J1027" s="5" t="n">
        <v>109.67</v>
      </c>
      <c r="K1027" s="5" t="n"/>
      <c r="L1027" s="5" t="n"/>
      <c r="M1027" s="5" t="n"/>
      <c r="N1027" s="5" t="n"/>
      <c r="O1027" s="5" t="n">
        <v>658</v>
      </c>
      <c r="P1027" s="5" t="n">
        <v>658</v>
      </c>
      <c r="Q1027" s="5" t="n"/>
      <c r="R1027" s="5" t="n"/>
      <c r="S1027" s="5">
        <f>F1027*20%</f>
        <v/>
      </c>
      <c r="T1027" s="5">
        <f>J1027-S1027</f>
        <v/>
      </c>
      <c r="U1027" s="5">
        <f>F1027+J1027</f>
        <v/>
      </c>
      <c r="V1027" s="5">
        <f>O1027-U1027</f>
        <v/>
      </c>
      <c r="W1027" s="5">
        <f>O1027-(P1027+R1027)</f>
        <v/>
      </c>
      <c r="X1027" s="5">
        <f>O1027-(P1027+Q1027+R1027)</f>
        <v/>
      </c>
    </row>
    <row r="1028">
      <c r="A1028" s="2" t="inlineStr">
        <is>
          <t>EJ030225.TXT</t>
        </is>
      </c>
      <c r="B1028" s="3" t="inlineStr">
        <is>
          <t>005714</t>
        </is>
      </c>
      <c r="C1028" s="3" t="inlineStr">
        <is>
          <t>004588</t>
        </is>
      </c>
      <c r="D1028" s="4" t="n">
        <v>45688</v>
      </c>
      <c r="E1028" s="2" t="inlineStr">
        <is>
          <t>17:19</t>
        </is>
      </c>
      <c r="F1028" s="5" t="n">
        <v>548.33</v>
      </c>
      <c r="G1028" s="5" t="n"/>
      <c r="H1028" s="5" t="n"/>
      <c r="I1028" s="5" t="n"/>
      <c r="J1028" s="5" t="n">
        <v>109.67</v>
      </c>
      <c r="K1028" s="5" t="n"/>
      <c r="L1028" s="5" t="n"/>
      <c r="M1028" s="5" t="n"/>
      <c r="N1028" s="5" t="n"/>
      <c r="O1028" s="5" t="n">
        <v>658</v>
      </c>
      <c r="P1028" s="5" t="n"/>
      <c r="Q1028" s="5" t="n">
        <v>658</v>
      </c>
      <c r="R1028" s="5" t="n"/>
      <c r="S1028" s="5">
        <f>F1028*20%</f>
        <v/>
      </c>
      <c r="T1028" s="5">
        <f>J1028-S1028</f>
        <v/>
      </c>
      <c r="U1028" s="5">
        <f>F1028+J1028</f>
        <v/>
      </c>
      <c r="V1028" s="5">
        <f>O1028-U1028</f>
        <v/>
      </c>
      <c r="W1028" s="5">
        <f>O1028-(P1028+R1028)</f>
        <v/>
      </c>
      <c r="X1028" s="5">
        <f>O1028-(P1028+Q1028+R1028)</f>
        <v/>
      </c>
    </row>
    <row r="1029">
      <c r="A1029" s="2" t="inlineStr">
        <is>
          <t>EJ030225.TXT</t>
        </is>
      </c>
      <c r="B1029" s="3" t="inlineStr">
        <is>
          <t>005715</t>
        </is>
      </c>
      <c r="C1029" s="3" t="inlineStr">
        <is>
          <t>004589</t>
        </is>
      </c>
      <c r="D1029" s="4" t="n">
        <v>45688</v>
      </c>
      <c r="E1029" s="2" t="inlineStr">
        <is>
          <t>17:39</t>
        </is>
      </c>
      <c r="F1029" s="5" t="n">
        <v>208.33</v>
      </c>
      <c r="G1029" s="5" t="n"/>
      <c r="H1029" s="5" t="n"/>
      <c r="I1029" s="5" t="n"/>
      <c r="J1029" s="5" t="n">
        <v>41.67</v>
      </c>
      <c r="K1029" s="5" t="n"/>
      <c r="L1029" s="5" t="n"/>
      <c r="M1029" s="5" t="n"/>
      <c r="N1029" s="5" t="n"/>
      <c r="O1029" s="5" t="n">
        <v>250</v>
      </c>
      <c r="P1029" s="5" t="n"/>
      <c r="Q1029" s="5" t="n">
        <v>250</v>
      </c>
      <c r="R1029" s="5" t="n"/>
      <c r="S1029" s="5">
        <f>F1029*20%</f>
        <v/>
      </c>
      <c r="T1029" s="5">
        <f>J1029-S1029</f>
        <v/>
      </c>
      <c r="U1029" s="5">
        <f>F1029+J1029</f>
        <v/>
      </c>
      <c r="V1029" s="5">
        <f>O1029-U1029</f>
        <v/>
      </c>
      <c r="W1029" s="5">
        <f>O1029-(P1029+R1029)</f>
        <v/>
      </c>
      <c r="X1029" s="5">
        <f>O1029-(P1029+Q1029+R1029)</f>
        <v/>
      </c>
    </row>
    <row r="1030">
      <c r="A1030" s="2" t="inlineStr">
        <is>
          <t>EJ030225.TXT</t>
        </is>
      </c>
      <c r="B1030" s="3" t="inlineStr">
        <is>
          <t>005716</t>
        </is>
      </c>
      <c r="C1030" s="3" t="inlineStr">
        <is>
          <t>004590</t>
        </is>
      </c>
      <c r="D1030" s="4" t="n">
        <v>45691</v>
      </c>
      <c r="E1030" s="2" t="inlineStr">
        <is>
          <t>10:41</t>
        </is>
      </c>
      <c r="F1030" s="5" t="n">
        <v>274.17</v>
      </c>
      <c r="G1030" s="5" t="n"/>
      <c r="H1030" s="5" t="n"/>
      <c r="I1030" s="5" t="n"/>
      <c r="J1030" s="5" t="n">
        <v>54.83</v>
      </c>
      <c r="K1030" s="5" t="n"/>
      <c r="L1030" s="5" t="n"/>
      <c r="M1030" s="5" t="n"/>
      <c r="N1030" s="5" t="n"/>
      <c r="O1030" s="5" t="n">
        <v>329</v>
      </c>
      <c r="P1030" s="5" t="n"/>
      <c r="Q1030" s="5" t="n">
        <v>329</v>
      </c>
      <c r="R1030" s="5" t="n"/>
      <c r="S1030" s="5">
        <f>F1030*20%</f>
        <v/>
      </c>
      <c r="T1030" s="5">
        <f>J1030-S1030</f>
        <v/>
      </c>
      <c r="U1030" s="5">
        <f>F1030+J1030</f>
        <v/>
      </c>
      <c r="V1030" s="5">
        <f>O1030-U1030</f>
        <v/>
      </c>
      <c r="W1030" s="5">
        <f>O1030-(P1030+R1030)</f>
        <v/>
      </c>
      <c r="X1030" s="5">
        <f>O1030-(P1030+Q1030+R1030)</f>
        <v/>
      </c>
    </row>
    <row r="1031">
      <c r="A1031" s="2" t="inlineStr">
        <is>
          <t>EJ030225.TXT</t>
        </is>
      </c>
      <c r="B1031" s="3" t="inlineStr">
        <is>
          <t>005717</t>
        </is>
      </c>
      <c r="C1031" s="3" t="inlineStr">
        <is>
          <t>004591</t>
        </is>
      </c>
      <c r="D1031" s="4" t="n">
        <v>45691</v>
      </c>
      <c r="E1031" s="2" t="inlineStr">
        <is>
          <t>10:41</t>
        </is>
      </c>
      <c r="F1031" s="5" t="n">
        <v>274.17</v>
      </c>
      <c r="G1031" s="5" t="n"/>
      <c r="H1031" s="5" t="n"/>
      <c r="I1031" s="5" t="n"/>
      <c r="J1031" s="5" t="n">
        <v>54.83</v>
      </c>
      <c r="K1031" s="5" t="n"/>
      <c r="L1031" s="5" t="n"/>
      <c r="M1031" s="5" t="n"/>
      <c r="N1031" s="5" t="n"/>
      <c r="O1031" s="5" t="n">
        <v>329</v>
      </c>
      <c r="P1031" s="5" t="n"/>
      <c r="Q1031" s="5" t="n">
        <v>329</v>
      </c>
      <c r="R1031" s="5" t="n"/>
      <c r="S1031" s="5">
        <f>F1031*20%</f>
        <v/>
      </c>
      <c r="T1031" s="5">
        <f>J1031-S1031</f>
        <v/>
      </c>
      <c r="U1031" s="5">
        <f>F1031+J1031</f>
        <v/>
      </c>
      <c r="V1031" s="5">
        <f>O1031-U1031</f>
        <v/>
      </c>
      <c r="W1031" s="5">
        <f>O1031-(P1031+R1031)</f>
        <v/>
      </c>
      <c r="X1031" s="5">
        <f>O1031-(P1031+Q1031+R1031)</f>
        <v/>
      </c>
    </row>
    <row r="1032">
      <c r="A1032" s="2" t="inlineStr">
        <is>
          <t>EJ010325.TXT</t>
        </is>
      </c>
      <c r="B1032" s="3" t="inlineStr">
        <is>
          <t>005725</t>
        </is>
      </c>
      <c r="C1032" s="3" t="inlineStr">
        <is>
          <t>004592</t>
        </is>
      </c>
      <c r="D1032" s="4" t="n">
        <v>45691</v>
      </c>
      <c r="E1032" s="2" t="inlineStr">
        <is>
          <t>14:34</t>
        </is>
      </c>
      <c r="F1032" s="5" t="n">
        <v>1370.83</v>
      </c>
      <c r="G1032" s="5" t="n"/>
      <c r="H1032" s="5" t="n"/>
      <c r="I1032" s="5" t="n"/>
      <c r="J1032" s="5" t="n">
        <v>274.17</v>
      </c>
      <c r="K1032" s="5" t="n"/>
      <c r="L1032" s="5" t="n"/>
      <c r="M1032" s="5" t="n"/>
      <c r="N1032" s="5" t="n"/>
      <c r="O1032" s="5" t="n">
        <v>1645</v>
      </c>
      <c r="P1032" s="5" t="n">
        <v>1645</v>
      </c>
      <c r="Q1032" s="5" t="n"/>
      <c r="R1032" s="5" t="n"/>
      <c r="S1032" s="5">
        <f>F1032*20%</f>
        <v/>
      </c>
      <c r="T1032" s="5">
        <f>J1032-S1032</f>
        <v/>
      </c>
      <c r="U1032" s="5">
        <f>F1032+J1032</f>
        <v/>
      </c>
      <c r="V1032" s="5">
        <f>O1032-U1032</f>
        <v/>
      </c>
      <c r="W1032" s="5">
        <f>O1032-(P1032+R1032)</f>
        <v/>
      </c>
      <c r="X1032" s="5">
        <f>O1032-(P1032+Q1032+R1032)</f>
        <v/>
      </c>
    </row>
    <row r="1033">
      <c r="A1033" s="2" t="inlineStr">
        <is>
          <t>EJ010325.TXT</t>
        </is>
      </c>
      <c r="B1033" s="3" t="inlineStr">
        <is>
          <t>005726</t>
        </is>
      </c>
      <c r="C1033" s="3" t="inlineStr">
        <is>
          <t>004593</t>
        </is>
      </c>
      <c r="D1033" s="4" t="n">
        <v>45691</v>
      </c>
      <c r="E1033" s="2" t="inlineStr">
        <is>
          <t>14:35</t>
        </is>
      </c>
      <c r="F1033" s="5" t="n">
        <v>1595</v>
      </c>
      <c r="G1033" s="5" t="n"/>
      <c r="H1033" s="5" t="n"/>
      <c r="I1033" s="5" t="n"/>
      <c r="J1033" s="5" t="n">
        <v>319</v>
      </c>
      <c r="K1033" s="5" t="n"/>
      <c r="L1033" s="5" t="n"/>
      <c r="M1033" s="5" t="n"/>
      <c r="N1033" s="5" t="n"/>
      <c r="O1033" s="5" t="n">
        <v>1914</v>
      </c>
      <c r="P1033" s="5" t="n">
        <v>1914</v>
      </c>
      <c r="Q1033" s="5" t="n"/>
      <c r="R1033" s="5" t="n"/>
      <c r="S1033" s="5">
        <f>F1033*20%</f>
        <v/>
      </c>
      <c r="T1033" s="5">
        <f>J1033-S1033</f>
        <v/>
      </c>
      <c r="U1033" s="5">
        <f>F1033+J1033</f>
        <v/>
      </c>
      <c r="V1033" s="5">
        <f>O1033-U1033</f>
        <v/>
      </c>
      <c r="W1033" s="5">
        <f>O1033-(P1033+R1033)</f>
        <v/>
      </c>
      <c r="X1033" s="5">
        <f>O1033-(P1033+Q1033+R1033)</f>
        <v/>
      </c>
    </row>
    <row r="1034">
      <c r="A1034" s="2" t="inlineStr">
        <is>
          <t>EJ010325.TXT</t>
        </is>
      </c>
      <c r="B1034" s="3" t="inlineStr">
        <is>
          <t>005727</t>
        </is>
      </c>
      <c r="C1034" s="3" t="inlineStr">
        <is>
          <t>004594</t>
        </is>
      </c>
      <c r="D1034" s="4" t="n">
        <v>45691</v>
      </c>
      <c r="E1034" s="2" t="inlineStr">
        <is>
          <t>14:35</t>
        </is>
      </c>
      <c r="F1034" s="5" t="n">
        <v>1595</v>
      </c>
      <c r="G1034" s="5" t="n"/>
      <c r="H1034" s="5" t="n"/>
      <c r="I1034" s="5" t="n"/>
      <c r="J1034" s="5" t="n">
        <v>319</v>
      </c>
      <c r="K1034" s="5" t="n"/>
      <c r="L1034" s="5" t="n"/>
      <c r="M1034" s="5" t="n"/>
      <c r="N1034" s="5" t="n"/>
      <c r="O1034" s="5" t="n">
        <v>1914</v>
      </c>
      <c r="P1034" s="5" t="n">
        <v>1914</v>
      </c>
      <c r="Q1034" s="5" t="n"/>
      <c r="R1034" s="5" t="n"/>
      <c r="S1034" s="5">
        <f>F1034*20%</f>
        <v/>
      </c>
      <c r="T1034" s="5">
        <f>J1034-S1034</f>
        <v/>
      </c>
      <c r="U1034" s="5">
        <f>F1034+J1034</f>
        <v/>
      </c>
      <c r="V1034" s="5">
        <f>O1034-U1034</f>
        <v/>
      </c>
      <c r="W1034" s="5">
        <f>O1034-(P1034+R1034)</f>
        <v/>
      </c>
      <c r="X1034" s="5">
        <f>O1034-(P1034+Q1034+R1034)</f>
        <v/>
      </c>
    </row>
    <row r="1035">
      <c r="A1035" s="2" t="inlineStr">
        <is>
          <t>EJ010325.TXT</t>
        </is>
      </c>
      <c r="B1035" s="3" t="inlineStr">
        <is>
          <t>005728</t>
        </is>
      </c>
      <c r="C1035" s="3" t="inlineStr">
        <is>
          <t>004595</t>
        </is>
      </c>
      <c r="D1035" s="4" t="n">
        <v>45694</v>
      </c>
      <c r="E1035" s="2" t="inlineStr">
        <is>
          <t>12:47</t>
        </is>
      </c>
      <c r="F1035" s="5" t="n">
        <v>830</v>
      </c>
      <c r="G1035" s="5" t="n"/>
      <c r="H1035" s="5" t="n"/>
      <c r="I1035" s="5" t="n"/>
      <c r="J1035" s="5" t="n">
        <v>166</v>
      </c>
      <c r="K1035" s="5" t="n"/>
      <c r="L1035" s="5" t="n"/>
      <c r="M1035" s="5" t="n"/>
      <c r="N1035" s="5" t="n"/>
      <c r="O1035" s="5" t="n">
        <v>996</v>
      </c>
      <c r="P1035" s="5" t="n"/>
      <c r="Q1035" s="5" t="n">
        <v>996</v>
      </c>
      <c r="R1035" s="5" t="n"/>
      <c r="S1035" s="5">
        <f>F1035*20%</f>
        <v/>
      </c>
      <c r="T1035" s="5">
        <f>J1035-S1035</f>
        <v/>
      </c>
      <c r="U1035" s="5">
        <f>F1035+J1035</f>
        <v/>
      </c>
      <c r="V1035" s="5">
        <f>O1035-U1035</f>
        <v/>
      </c>
      <c r="W1035" s="5">
        <f>O1035-(P1035+R1035)</f>
        <v/>
      </c>
      <c r="X1035" s="5">
        <f>O1035-(P1035+Q1035+R1035)</f>
        <v/>
      </c>
    </row>
    <row r="1036">
      <c r="A1036" s="2" t="inlineStr">
        <is>
          <t>EJ010325.TXT</t>
        </is>
      </c>
      <c r="B1036" s="3" t="inlineStr">
        <is>
          <t>005729</t>
        </is>
      </c>
      <c r="C1036" s="3" t="inlineStr">
        <is>
          <t>004596</t>
        </is>
      </c>
      <c r="D1036" s="4" t="n">
        <v>45694</v>
      </c>
      <c r="E1036" s="2" t="inlineStr">
        <is>
          <t>17:45</t>
        </is>
      </c>
      <c r="F1036" s="5" t="n">
        <v>548.33</v>
      </c>
      <c r="G1036" s="5" t="n"/>
      <c r="H1036" s="5" t="n"/>
      <c r="I1036" s="5" t="n"/>
      <c r="J1036" s="5" t="n">
        <v>109.67</v>
      </c>
      <c r="K1036" s="5" t="n"/>
      <c r="L1036" s="5" t="n"/>
      <c r="M1036" s="5" t="n"/>
      <c r="N1036" s="5" t="n"/>
      <c r="O1036" s="5" t="n">
        <v>658</v>
      </c>
      <c r="P1036" s="5" t="n"/>
      <c r="Q1036" s="5" t="n">
        <v>658</v>
      </c>
      <c r="R1036" s="5" t="n"/>
      <c r="S1036" s="5">
        <f>F1036*20%</f>
        <v/>
      </c>
      <c r="T1036" s="5">
        <f>J1036-S1036</f>
        <v/>
      </c>
      <c r="U1036" s="5">
        <f>F1036+J1036</f>
        <v/>
      </c>
      <c r="V1036" s="5">
        <f>O1036-U1036</f>
        <v/>
      </c>
      <c r="W1036" s="5">
        <f>O1036-(P1036+R1036)</f>
        <v/>
      </c>
      <c r="X1036" s="5">
        <f>O1036-(P1036+Q1036+R1036)</f>
        <v/>
      </c>
    </row>
    <row r="1037">
      <c r="A1037" s="2" t="inlineStr">
        <is>
          <t>EJ010325.TXT</t>
        </is>
      </c>
      <c r="B1037" s="3" t="inlineStr">
        <is>
          <t>005730</t>
        </is>
      </c>
      <c r="C1037" s="3" t="inlineStr">
        <is>
          <t>004597</t>
        </is>
      </c>
      <c r="D1037" s="4" t="n">
        <v>45695</v>
      </c>
      <c r="E1037" s="2" t="inlineStr">
        <is>
          <t>16:53</t>
        </is>
      </c>
      <c r="F1037" s="5" t="n">
        <v>208.33</v>
      </c>
      <c r="G1037" s="5" t="n"/>
      <c r="H1037" s="5" t="n"/>
      <c r="I1037" s="5" t="n"/>
      <c r="J1037" s="5" t="n">
        <v>41.67</v>
      </c>
      <c r="K1037" s="5" t="n"/>
      <c r="L1037" s="5" t="n"/>
      <c r="M1037" s="5" t="n"/>
      <c r="N1037" s="5" t="n"/>
      <c r="O1037" s="5" t="n">
        <v>250</v>
      </c>
      <c r="P1037" s="5" t="n"/>
      <c r="Q1037" s="5" t="n">
        <v>250</v>
      </c>
      <c r="R1037" s="5" t="n"/>
      <c r="S1037" s="5">
        <f>F1037*20%</f>
        <v/>
      </c>
      <c r="T1037" s="5">
        <f>J1037-S1037</f>
        <v/>
      </c>
      <c r="U1037" s="5">
        <f>F1037+J1037</f>
        <v/>
      </c>
      <c r="V1037" s="5">
        <f>O1037-U1037</f>
        <v/>
      </c>
      <c r="W1037" s="5">
        <f>O1037-(P1037+R1037)</f>
        <v/>
      </c>
      <c r="X1037" s="5">
        <f>O1037-(P1037+Q1037+R1037)</f>
        <v/>
      </c>
    </row>
    <row r="1038">
      <c r="A1038" s="2" t="inlineStr">
        <is>
          <t>EJ010325.TXT</t>
        </is>
      </c>
      <c r="B1038" s="3" t="inlineStr">
        <is>
          <t>005731</t>
        </is>
      </c>
      <c r="C1038" s="3" t="inlineStr">
        <is>
          <t>004598</t>
        </is>
      </c>
      <c r="D1038" s="4" t="n">
        <v>45698</v>
      </c>
      <c r="E1038" s="2" t="inlineStr">
        <is>
          <t>15:37</t>
        </is>
      </c>
      <c r="F1038" s="5" t="n">
        <v>124.17</v>
      </c>
      <c r="G1038" s="5" t="n"/>
      <c r="H1038" s="5" t="n"/>
      <c r="I1038" s="5" t="n"/>
      <c r="J1038" s="5" t="n">
        <v>24.83</v>
      </c>
      <c r="K1038" s="5" t="n"/>
      <c r="L1038" s="5" t="n"/>
      <c r="M1038" s="5" t="n"/>
      <c r="N1038" s="5" t="n"/>
      <c r="O1038" s="5" t="n">
        <v>149</v>
      </c>
      <c r="P1038" s="5" t="n">
        <v>149</v>
      </c>
      <c r="Q1038" s="5" t="n"/>
      <c r="R1038" s="5" t="n"/>
      <c r="S1038" s="5">
        <f>F1038*20%</f>
        <v/>
      </c>
      <c r="T1038" s="5">
        <f>J1038-S1038</f>
        <v/>
      </c>
      <c r="U1038" s="5">
        <f>F1038+J1038</f>
        <v/>
      </c>
      <c r="V1038" s="5">
        <f>O1038-U1038</f>
        <v/>
      </c>
      <c r="W1038" s="5">
        <f>O1038-(P1038+R1038)</f>
        <v/>
      </c>
      <c r="X1038" s="5">
        <f>O1038-(P1038+Q1038+R1038)</f>
        <v/>
      </c>
    </row>
    <row r="1039">
      <c r="A1039" s="2" t="inlineStr">
        <is>
          <t>EJ010325.TXT</t>
        </is>
      </c>
      <c r="B1039" s="3" t="inlineStr">
        <is>
          <t>005732</t>
        </is>
      </c>
      <c r="C1039" s="3" t="inlineStr">
        <is>
          <t>004599</t>
        </is>
      </c>
      <c r="D1039" s="4" t="n">
        <v>45699</v>
      </c>
      <c r="E1039" s="2" t="inlineStr">
        <is>
          <t>11:31</t>
        </is>
      </c>
      <c r="F1039" s="5" t="n">
        <v>465.83</v>
      </c>
      <c r="G1039" s="5" t="n"/>
      <c r="H1039" s="5" t="n"/>
      <c r="I1039" s="5" t="n"/>
      <c r="J1039" s="5" t="n">
        <v>93.17</v>
      </c>
      <c r="K1039" s="5" t="n"/>
      <c r="L1039" s="5" t="n"/>
      <c r="M1039" s="5" t="n"/>
      <c r="N1039" s="5" t="n"/>
      <c r="O1039" s="5" t="n">
        <v>559</v>
      </c>
      <c r="P1039" s="5" t="n">
        <v>559</v>
      </c>
      <c r="Q1039" s="5" t="n"/>
      <c r="R1039" s="5" t="n"/>
      <c r="S1039" s="5">
        <f>F1039*20%</f>
        <v/>
      </c>
      <c r="T1039" s="5">
        <f>J1039-S1039</f>
        <v/>
      </c>
      <c r="U1039" s="5">
        <f>F1039+J1039</f>
        <v/>
      </c>
      <c r="V1039" s="5">
        <f>O1039-U1039</f>
        <v/>
      </c>
      <c r="W1039" s="5">
        <f>O1039-(P1039+R1039)</f>
        <v/>
      </c>
      <c r="X1039" s="5">
        <f>O1039-(P1039+Q1039+R1039)</f>
        <v/>
      </c>
    </row>
    <row r="1040">
      <c r="A1040" s="2" t="inlineStr">
        <is>
          <t>EJ010325.TXT</t>
        </is>
      </c>
      <c r="B1040" s="3" t="inlineStr">
        <is>
          <t>005733</t>
        </is>
      </c>
      <c r="C1040" s="3" t="inlineStr">
        <is>
          <t>004600</t>
        </is>
      </c>
      <c r="D1040" s="4" t="n">
        <v>45701</v>
      </c>
      <c r="E1040" s="2" t="inlineStr">
        <is>
          <t>15:40</t>
        </is>
      </c>
      <c r="F1040" s="5" t="n">
        <v>531.67</v>
      </c>
      <c r="G1040" s="5" t="n"/>
      <c r="H1040" s="5" t="n"/>
      <c r="I1040" s="5" t="n"/>
      <c r="J1040" s="5" t="n">
        <v>106.33</v>
      </c>
      <c r="K1040" s="5" t="n"/>
      <c r="L1040" s="5" t="n"/>
      <c r="M1040" s="5" t="n"/>
      <c r="N1040" s="5" t="n"/>
      <c r="O1040" s="5" t="n">
        <v>638</v>
      </c>
      <c r="P1040" s="5" t="n"/>
      <c r="Q1040" s="5" t="n">
        <v>638</v>
      </c>
      <c r="R1040" s="5" t="n"/>
      <c r="S1040" s="5">
        <f>F1040*20%</f>
        <v/>
      </c>
      <c r="T1040" s="5">
        <f>J1040-S1040</f>
        <v/>
      </c>
      <c r="U1040" s="5">
        <f>F1040+J1040</f>
        <v/>
      </c>
      <c r="V1040" s="5">
        <f>O1040-U1040</f>
        <v/>
      </c>
      <c r="W1040" s="5">
        <f>O1040-(P1040+R1040)</f>
        <v/>
      </c>
      <c r="X1040" s="5">
        <f>O1040-(P1040+Q1040+R1040)</f>
        <v/>
      </c>
    </row>
    <row r="1041">
      <c r="A1041" s="2" t="inlineStr">
        <is>
          <t>EJ010325.TXT</t>
        </is>
      </c>
      <c r="B1041" s="3" t="inlineStr">
        <is>
          <t>005734</t>
        </is>
      </c>
      <c r="C1041" s="3" t="inlineStr">
        <is>
          <t>004601</t>
        </is>
      </c>
      <c r="D1041" s="4" t="n">
        <v>45703</v>
      </c>
      <c r="E1041" s="2" t="inlineStr">
        <is>
          <t>17:39</t>
        </is>
      </c>
      <c r="F1041" s="5" t="n">
        <v>548.33</v>
      </c>
      <c r="G1041" s="5" t="n"/>
      <c r="H1041" s="5" t="n"/>
      <c r="I1041" s="5" t="n"/>
      <c r="J1041" s="5" t="n">
        <v>109.67</v>
      </c>
      <c r="K1041" s="5" t="n"/>
      <c r="L1041" s="5" t="n"/>
      <c r="M1041" s="5" t="n"/>
      <c r="N1041" s="5" t="n"/>
      <c r="O1041" s="5" t="n">
        <v>658</v>
      </c>
      <c r="P1041" s="5" t="n">
        <v>658</v>
      </c>
      <c r="Q1041" s="5" t="n"/>
      <c r="R1041" s="5" t="n"/>
      <c r="S1041" s="5">
        <f>F1041*20%</f>
        <v/>
      </c>
      <c r="T1041" s="5">
        <f>J1041-S1041</f>
        <v/>
      </c>
      <c r="U1041" s="5">
        <f>F1041+J1041</f>
        <v/>
      </c>
      <c r="V1041" s="5">
        <f>O1041-U1041</f>
        <v/>
      </c>
      <c r="W1041" s="5">
        <f>O1041-(P1041+R1041)</f>
        <v/>
      </c>
      <c r="X1041" s="5">
        <f>O1041-(P1041+Q1041+R1041)</f>
        <v/>
      </c>
    </row>
    <row r="1042">
      <c r="A1042" s="2" t="inlineStr">
        <is>
          <t>EJ010325.TXT</t>
        </is>
      </c>
      <c r="B1042" s="3" t="inlineStr">
        <is>
          <t>005735</t>
        </is>
      </c>
      <c r="C1042" s="3" t="inlineStr">
        <is>
          <t>004602</t>
        </is>
      </c>
      <c r="D1042" s="4" t="n">
        <v>45705</v>
      </c>
      <c r="E1042" s="2" t="inlineStr">
        <is>
          <t>16:57</t>
        </is>
      </c>
      <c r="F1042" s="5" t="n">
        <v>208.33</v>
      </c>
      <c r="G1042" s="5" t="n"/>
      <c r="H1042" s="5" t="n"/>
      <c r="I1042" s="5" t="n"/>
      <c r="J1042" s="5" t="n">
        <v>41.67</v>
      </c>
      <c r="K1042" s="5" t="n"/>
      <c r="L1042" s="5" t="n"/>
      <c r="M1042" s="5" t="n"/>
      <c r="N1042" s="5" t="n"/>
      <c r="O1042" s="5" t="n">
        <v>250</v>
      </c>
      <c r="P1042" s="5" t="n"/>
      <c r="Q1042" s="5" t="n">
        <v>250</v>
      </c>
      <c r="R1042" s="5" t="n"/>
      <c r="S1042" s="5">
        <f>F1042*20%</f>
        <v/>
      </c>
      <c r="T1042" s="5">
        <f>J1042-S1042</f>
        <v/>
      </c>
      <c r="U1042" s="5">
        <f>F1042+J1042</f>
        <v/>
      </c>
      <c r="V1042" s="5">
        <f>O1042-U1042</f>
        <v/>
      </c>
      <c r="W1042" s="5">
        <f>O1042-(P1042+R1042)</f>
        <v/>
      </c>
      <c r="X1042" s="5">
        <f>O1042-(P1042+Q1042+R1042)</f>
        <v/>
      </c>
    </row>
    <row r="1043">
      <c r="A1043" s="2" t="inlineStr">
        <is>
          <t>EJ010325.TXT</t>
        </is>
      </c>
      <c r="B1043" s="3" t="inlineStr">
        <is>
          <t>005736</t>
        </is>
      </c>
      <c r="C1043" s="3" t="inlineStr">
        <is>
          <t>004603</t>
        </is>
      </c>
      <c r="D1043" s="4" t="n">
        <v>45707</v>
      </c>
      <c r="E1043" s="2" t="inlineStr">
        <is>
          <t>14:17</t>
        </is>
      </c>
      <c r="F1043" s="5" t="n">
        <v>816.67</v>
      </c>
      <c r="G1043" s="5" t="n"/>
      <c r="H1043" s="5" t="n"/>
      <c r="I1043" s="5" t="n"/>
      <c r="J1043" s="5" t="n">
        <v>163.33</v>
      </c>
      <c r="K1043" s="5" t="n"/>
      <c r="L1043" s="5" t="n"/>
      <c r="M1043" s="5" t="n"/>
      <c r="N1043" s="5" t="n"/>
      <c r="O1043" s="5" t="n">
        <v>980</v>
      </c>
      <c r="P1043" s="5" t="n"/>
      <c r="Q1043" s="5" t="n">
        <v>980</v>
      </c>
      <c r="R1043" s="5" t="n"/>
      <c r="S1043" s="5">
        <f>F1043*20%</f>
        <v/>
      </c>
      <c r="T1043" s="5">
        <f>J1043-S1043</f>
        <v/>
      </c>
      <c r="U1043" s="5">
        <f>F1043+J1043</f>
        <v/>
      </c>
      <c r="V1043" s="5">
        <f>O1043-U1043</f>
        <v/>
      </c>
      <c r="W1043" s="5">
        <f>O1043-(P1043+R1043)</f>
        <v/>
      </c>
      <c r="X1043" s="5">
        <f>O1043-(P1043+Q1043+R1043)</f>
        <v/>
      </c>
    </row>
    <row r="1044">
      <c r="A1044" s="2" t="inlineStr">
        <is>
          <t>EJ010325.TXT</t>
        </is>
      </c>
      <c r="B1044" s="3" t="inlineStr">
        <is>
          <t>005737</t>
        </is>
      </c>
      <c r="C1044" s="3" t="inlineStr">
        <is>
          <t>004604</t>
        </is>
      </c>
      <c r="D1044" s="4" t="n">
        <v>45707</v>
      </c>
      <c r="E1044" s="2" t="inlineStr">
        <is>
          <t>14:17</t>
        </is>
      </c>
      <c r="F1044" s="5" t="n">
        <v>733.33</v>
      </c>
      <c r="G1044" s="5" t="n"/>
      <c r="H1044" s="5" t="n"/>
      <c r="I1044" s="5" t="n"/>
      <c r="J1044" s="5" t="n">
        <v>146.67</v>
      </c>
      <c r="K1044" s="5" t="n"/>
      <c r="L1044" s="5" t="n"/>
      <c r="M1044" s="5" t="n"/>
      <c r="N1044" s="5" t="n"/>
      <c r="O1044" s="5" t="n">
        <v>880</v>
      </c>
      <c r="P1044" s="5" t="n"/>
      <c r="Q1044" s="5" t="n">
        <v>880</v>
      </c>
      <c r="R1044" s="5" t="n"/>
      <c r="S1044" s="5">
        <f>F1044*20%</f>
        <v/>
      </c>
      <c r="T1044" s="5">
        <f>J1044-S1044</f>
        <v/>
      </c>
      <c r="U1044" s="5">
        <f>F1044+J1044</f>
        <v/>
      </c>
      <c r="V1044" s="5">
        <f>O1044-U1044</f>
        <v/>
      </c>
      <c r="W1044" s="5">
        <f>O1044-(P1044+R1044)</f>
        <v/>
      </c>
      <c r="X1044" s="5">
        <f>O1044-(P1044+Q1044+R1044)</f>
        <v/>
      </c>
    </row>
    <row r="1045">
      <c r="A1045" s="2" t="inlineStr">
        <is>
          <t>EJ010325.TXT</t>
        </is>
      </c>
      <c r="B1045" s="3" t="inlineStr">
        <is>
          <t>005738</t>
        </is>
      </c>
      <c r="C1045" s="3" t="inlineStr">
        <is>
          <t>004605</t>
        </is>
      </c>
      <c r="D1045" s="4" t="n">
        <v>45708</v>
      </c>
      <c r="E1045" s="2" t="inlineStr">
        <is>
          <t>15:41</t>
        </is>
      </c>
      <c r="F1045" s="5" t="n">
        <v>548.33</v>
      </c>
      <c r="G1045" s="5" t="n"/>
      <c r="H1045" s="5" t="n"/>
      <c r="I1045" s="5" t="n"/>
      <c r="J1045" s="5" t="n">
        <v>109.67</v>
      </c>
      <c r="K1045" s="5" t="n"/>
      <c r="L1045" s="5" t="n"/>
      <c r="M1045" s="5" t="n"/>
      <c r="N1045" s="5" t="n"/>
      <c r="O1045" s="5" t="n">
        <v>658</v>
      </c>
      <c r="P1045" s="5" t="n"/>
      <c r="Q1045" s="5" t="n">
        <v>658</v>
      </c>
      <c r="R1045" s="5" t="n"/>
      <c r="S1045" s="5">
        <f>F1045*20%</f>
        <v/>
      </c>
      <c r="T1045" s="5">
        <f>J1045-S1045</f>
        <v/>
      </c>
      <c r="U1045" s="5">
        <f>F1045+J1045</f>
        <v/>
      </c>
      <c r="V1045" s="5">
        <f>O1045-U1045</f>
        <v/>
      </c>
      <c r="W1045" s="5">
        <f>O1045-(P1045+R1045)</f>
        <v/>
      </c>
      <c r="X1045" s="5">
        <f>O1045-(P1045+Q1045+R1045)</f>
        <v/>
      </c>
    </row>
    <row r="1046">
      <c r="A1046" s="2" t="inlineStr">
        <is>
          <t>EJ010325.TXT</t>
        </is>
      </c>
      <c r="B1046" s="3" t="inlineStr">
        <is>
          <t>005739</t>
        </is>
      </c>
      <c r="C1046" s="3" t="inlineStr">
        <is>
          <t>004606</t>
        </is>
      </c>
      <c r="D1046" s="4" t="n">
        <v>45709</v>
      </c>
      <c r="E1046" s="2" t="inlineStr">
        <is>
          <t>14:52</t>
        </is>
      </c>
      <c r="F1046" s="5" t="n">
        <v>548.33</v>
      </c>
      <c r="G1046" s="5" t="n"/>
      <c r="H1046" s="5" t="n"/>
      <c r="I1046" s="5" t="n"/>
      <c r="J1046" s="5" t="n">
        <v>109.67</v>
      </c>
      <c r="K1046" s="5" t="n"/>
      <c r="L1046" s="5" t="n"/>
      <c r="M1046" s="5" t="n"/>
      <c r="N1046" s="5" t="n"/>
      <c r="O1046" s="5" t="n">
        <v>658</v>
      </c>
      <c r="P1046" s="5" t="n">
        <v>658</v>
      </c>
      <c r="Q1046" s="5" t="n"/>
      <c r="R1046" s="5" t="n"/>
      <c r="S1046" s="5">
        <f>F1046*20%</f>
        <v/>
      </c>
      <c r="T1046" s="5">
        <f>J1046-S1046</f>
        <v/>
      </c>
      <c r="U1046" s="5">
        <f>F1046+J1046</f>
        <v/>
      </c>
      <c r="V1046" s="5">
        <f>O1046-U1046</f>
        <v/>
      </c>
      <c r="W1046" s="5">
        <f>O1046-(P1046+R1046)</f>
        <v/>
      </c>
      <c r="X1046" s="5">
        <f>O1046-(P1046+Q1046+R1046)</f>
        <v/>
      </c>
    </row>
    <row r="1047">
      <c r="A1047" s="2" t="inlineStr">
        <is>
          <t>EJ010325.TXT</t>
        </is>
      </c>
      <c r="B1047" s="3" t="inlineStr">
        <is>
          <t>005740</t>
        </is>
      </c>
      <c r="C1047" s="3" t="inlineStr">
        <is>
          <t>004607</t>
        </is>
      </c>
      <c r="D1047" s="4" t="n">
        <v>45709</v>
      </c>
      <c r="E1047" s="2" t="inlineStr">
        <is>
          <t>15:29</t>
        </is>
      </c>
      <c r="F1047" s="5" t="n">
        <v>208.33</v>
      </c>
      <c r="G1047" s="5" t="n"/>
      <c r="H1047" s="5" t="n"/>
      <c r="I1047" s="5" t="n"/>
      <c r="J1047" s="5" t="n">
        <v>41.67</v>
      </c>
      <c r="K1047" s="5" t="n"/>
      <c r="L1047" s="5" t="n"/>
      <c r="M1047" s="5" t="n"/>
      <c r="N1047" s="5" t="n"/>
      <c r="O1047" s="5" t="n">
        <v>250</v>
      </c>
      <c r="P1047" s="5" t="n"/>
      <c r="Q1047" s="5" t="n">
        <v>250</v>
      </c>
      <c r="R1047" s="5" t="n"/>
      <c r="S1047" s="5">
        <f>F1047*20%</f>
        <v/>
      </c>
      <c r="T1047" s="5">
        <f>J1047-S1047</f>
        <v/>
      </c>
      <c r="U1047" s="5">
        <f>F1047+J1047</f>
        <v/>
      </c>
      <c r="V1047" s="5">
        <f>O1047-U1047</f>
        <v/>
      </c>
      <c r="W1047" s="5">
        <f>O1047-(P1047+R1047)</f>
        <v/>
      </c>
      <c r="X1047" s="5">
        <f>O1047-(P1047+Q1047+R1047)</f>
        <v/>
      </c>
    </row>
    <row r="1048">
      <c r="A1048" s="2" t="inlineStr">
        <is>
          <t>EJ010325.TXT</t>
        </is>
      </c>
      <c r="B1048" s="3" t="inlineStr">
        <is>
          <t>005741</t>
        </is>
      </c>
      <c r="C1048" s="3" t="inlineStr">
        <is>
          <t>004608</t>
        </is>
      </c>
      <c r="D1048" s="4" t="n">
        <v>45712</v>
      </c>
      <c r="E1048" s="2" t="inlineStr">
        <is>
          <t>16:55</t>
        </is>
      </c>
      <c r="F1048" s="5" t="n">
        <v>99.83</v>
      </c>
      <c r="G1048" s="5" t="n"/>
      <c r="H1048" s="5" t="n"/>
      <c r="I1048" s="5" t="n"/>
      <c r="J1048" s="5" t="n">
        <v>19.97</v>
      </c>
      <c r="K1048" s="5" t="n"/>
      <c r="L1048" s="5" t="n"/>
      <c r="M1048" s="5" t="n"/>
      <c r="N1048" s="5" t="n"/>
      <c r="O1048" s="5" t="n">
        <v>119.8</v>
      </c>
      <c r="P1048" s="5" t="n"/>
      <c r="Q1048" s="5" t="n">
        <v>119.8</v>
      </c>
      <c r="R1048" s="5" t="n"/>
      <c r="S1048" s="5">
        <f>F1048*20%</f>
        <v/>
      </c>
      <c r="T1048" s="5">
        <f>J1048-S1048</f>
        <v/>
      </c>
      <c r="U1048" s="5">
        <f>F1048+J1048</f>
        <v/>
      </c>
      <c r="V1048" s="5">
        <f>O1048-U1048</f>
        <v/>
      </c>
      <c r="W1048" s="5">
        <f>O1048-(P1048+R1048)</f>
        <v/>
      </c>
      <c r="X1048" s="5">
        <f>O1048-(P1048+Q1048+R1048)</f>
        <v/>
      </c>
    </row>
    <row r="1049">
      <c r="A1049" s="2" t="inlineStr">
        <is>
          <t>EJ010325.TXT</t>
        </is>
      </c>
      <c r="B1049" s="3" t="inlineStr">
        <is>
          <t>005742</t>
        </is>
      </c>
      <c r="C1049" s="3" t="inlineStr">
        <is>
          <t>004609</t>
        </is>
      </c>
      <c r="D1049" s="4" t="n">
        <v>45713</v>
      </c>
      <c r="E1049" s="2" t="inlineStr">
        <is>
          <t>10:24</t>
        </is>
      </c>
      <c r="F1049" s="5" t="n">
        <v>458.33</v>
      </c>
      <c r="G1049" s="5" t="n"/>
      <c r="H1049" s="5" t="n"/>
      <c r="I1049" s="5" t="n"/>
      <c r="J1049" s="5" t="n">
        <v>91.67</v>
      </c>
      <c r="K1049" s="5" t="n"/>
      <c r="L1049" s="5" t="n"/>
      <c r="M1049" s="5" t="n"/>
      <c r="N1049" s="5" t="n"/>
      <c r="O1049" s="5" t="n">
        <v>550</v>
      </c>
      <c r="P1049" s="5" t="n"/>
      <c r="Q1049" s="5" t="n">
        <v>550</v>
      </c>
      <c r="R1049" s="5" t="n"/>
      <c r="S1049" s="5">
        <f>F1049*20%</f>
        <v/>
      </c>
      <c r="T1049" s="5">
        <f>J1049-S1049</f>
        <v/>
      </c>
      <c r="U1049" s="5">
        <f>F1049+J1049</f>
        <v/>
      </c>
      <c r="V1049" s="5">
        <f>O1049-U1049</f>
        <v/>
      </c>
      <c r="W1049" s="5">
        <f>O1049-(P1049+R1049)</f>
        <v/>
      </c>
      <c r="X1049" s="5">
        <f>O1049-(P1049+Q1049+R1049)</f>
        <v/>
      </c>
    </row>
    <row r="1050">
      <c r="A1050" s="2" t="inlineStr">
        <is>
          <t>EJ010325.TXT</t>
        </is>
      </c>
      <c r="B1050" s="3" t="inlineStr">
        <is>
          <t>005743</t>
        </is>
      </c>
      <c r="C1050" s="3" t="inlineStr">
        <is>
          <t>004610</t>
        </is>
      </c>
      <c r="D1050" s="4" t="n">
        <v>45713</v>
      </c>
      <c r="E1050" s="2" t="inlineStr">
        <is>
          <t>10:24</t>
        </is>
      </c>
      <c r="F1050" s="5" t="n">
        <v>416.67</v>
      </c>
      <c r="G1050" s="5" t="n"/>
      <c r="H1050" s="5" t="n"/>
      <c r="I1050" s="5" t="n"/>
      <c r="J1050" s="5" t="n">
        <v>83.33</v>
      </c>
      <c r="K1050" s="5" t="n"/>
      <c r="L1050" s="5" t="n"/>
      <c r="M1050" s="5" t="n"/>
      <c r="N1050" s="5" t="n"/>
      <c r="O1050" s="5" t="n">
        <v>500</v>
      </c>
      <c r="P1050" s="5" t="n"/>
      <c r="Q1050" s="5" t="n">
        <v>500</v>
      </c>
      <c r="R1050" s="5" t="n"/>
      <c r="S1050" s="5">
        <f>F1050*20%</f>
        <v/>
      </c>
      <c r="T1050" s="5">
        <f>J1050-S1050</f>
        <v/>
      </c>
      <c r="U1050" s="5">
        <f>F1050+J1050</f>
        <v/>
      </c>
      <c r="V1050" s="5">
        <f>O1050-U1050</f>
        <v/>
      </c>
      <c r="W1050" s="5">
        <f>O1050-(P1050+R1050)</f>
        <v/>
      </c>
      <c r="X1050" s="5">
        <f>O1050-(P1050+Q1050+R1050)</f>
        <v/>
      </c>
    </row>
    <row r="1051">
      <c r="A1051" s="2" t="inlineStr">
        <is>
          <t>EJ010325.TXT</t>
        </is>
      </c>
      <c r="B1051" s="3" t="inlineStr">
        <is>
          <t>005744</t>
        </is>
      </c>
      <c r="C1051" s="3" t="inlineStr">
        <is>
          <t>004611</t>
        </is>
      </c>
      <c r="D1051" s="4" t="n">
        <v>45713</v>
      </c>
      <c r="E1051" s="2" t="inlineStr">
        <is>
          <t>12:05</t>
        </is>
      </c>
      <c r="F1051" s="5" t="n">
        <v>833.33</v>
      </c>
      <c r="G1051" s="5" t="n"/>
      <c r="H1051" s="5" t="n"/>
      <c r="I1051" s="5" t="n"/>
      <c r="J1051" s="5" t="n">
        <v>166.67</v>
      </c>
      <c r="K1051" s="5" t="n"/>
      <c r="L1051" s="5" t="n"/>
      <c r="M1051" s="5" t="n"/>
      <c r="N1051" s="5" t="n"/>
      <c r="O1051" s="5" t="n">
        <v>1000</v>
      </c>
      <c r="P1051" s="5" t="n"/>
      <c r="Q1051" s="5" t="n">
        <v>1000</v>
      </c>
      <c r="R1051" s="5" t="n"/>
      <c r="S1051" s="5">
        <f>F1051*20%</f>
        <v/>
      </c>
      <c r="T1051" s="5">
        <f>J1051-S1051</f>
        <v/>
      </c>
      <c r="U1051" s="5">
        <f>F1051+J1051</f>
        <v/>
      </c>
      <c r="V1051" s="5">
        <f>O1051-U1051</f>
        <v/>
      </c>
      <c r="W1051" s="5">
        <f>O1051-(P1051+R1051)</f>
        <v/>
      </c>
      <c r="X1051" s="5">
        <f>O1051-(P1051+Q1051+R1051)</f>
        <v/>
      </c>
    </row>
    <row r="1052">
      <c r="A1052" s="2" t="inlineStr">
        <is>
          <t>EJ010325.TXT</t>
        </is>
      </c>
      <c r="B1052" s="3" t="inlineStr">
        <is>
          <t>005745</t>
        </is>
      </c>
      <c r="C1052" s="3" t="inlineStr">
        <is>
          <t>004612</t>
        </is>
      </c>
      <c r="D1052" s="4" t="n">
        <v>45713</v>
      </c>
      <c r="E1052" s="2" t="inlineStr">
        <is>
          <t>12:06</t>
        </is>
      </c>
      <c r="F1052" s="5" t="n">
        <v>416.67</v>
      </c>
      <c r="G1052" s="5" t="n"/>
      <c r="H1052" s="5" t="n"/>
      <c r="I1052" s="5" t="n"/>
      <c r="J1052" s="5" t="n">
        <v>83.33</v>
      </c>
      <c r="K1052" s="5" t="n"/>
      <c r="L1052" s="5" t="n"/>
      <c r="M1052" s="5" t="n"/>
      <c r="N1052" s="5" t="n"/>
      <c r="O1052" s="5" t="n">
        <v>500</v>
      </c>
      <c r="P1052" s="5" t="n"/>
      <c r="Q1052" s="5" t="n">
        <v>500</v>
      </c>
      <c r="R1052" s="5" t="n"/>
      <c r="S1052" s="5">
        <f>F1052*20%</f>
        <v/>
      </c>
      <c r="T1052" s="5">
        <f>J1052-S1052</f>
        <v/>
      </c>
      <c r="U1052" s="5">
        <f>F1052+J1052</f>
        <v/>
      </c>
      <c r="V1052" s="5">
        <f>O1052-U1052</f>
        <v/>
      </c>
      <c r="W1052" s="5">
        <f>O1052-(P1052+R1052)</f>
        <v/>
      </c>
      <c r="X1052" s="5">
        <f>O1052-(P1052+Q1052+R1052)</f>
        <v/>
      </c>
    </row>
    <row r="1053">
      <c r="A1053" s="2" t="inlineStr">
        <is>
          <t>EJ010325.TXT</t>
        </is>
      </c>
      <c r="B1053" s="3" t="inlineStr">
        <is>
          <t>005746</t>
        </is>
      </c>
      <c r="C1053" s="3" t="inlineStr">
        <is>
          <t>004613</t>
        </is>
      </c>
      <c r="D1053" s="4" t="n">
        <v>45713</v>
      </c>
      <c r="E1053" s="2" t="inlineStr">
        <is>
          <t>15:53</t>
        </is>
      </c>
      <c r="F1053" s="5" t="n">
        <v>1063.33</v>
      </c>
      <c r="G1053" s="5" t="n"/>
      <c r="H1053" s="5" t="n"/>
      <c r="I1053" s="5" t="n"/>
      <c r="J1053" s="5" t="n">
        <v>212.67</v>
      </c>
      <c r="K1053" s="5" t="n"/>
      <c r="L1053" s="5" t="n"/>
      <c r="M1053" s="5" t="n"/>
      <c r="N1053" s="5" t="n"/>
      <c r="O1053" s="5" t="n">
        <v>1276</v>
      </c>
      <c r="P1053" s="5" t="n"/>
      <c r="Q1053" s="5" t="n">
        <v>1276</v>
      </c>
      <c r="R1053" s="5" t="n"/>
      <c r="S1053" s="5">
        <f>F1053*20%</f>
        <v/>
      </c>
      <c r="T1053" s="5">
        <f>J1053-S1053</f>
        <v/>
      </c>
      <c r="U1053" s="5">
        <f>F1053+J1053</f>
        <v/>
      </c>
      <c r="V1053" s="5">
        <f>O1053-U1053</f>
        <v/>
      </c>
      <c r="W1053" s="5">
        <f>O1053-(P1053+R1053)</f>
        <v/>
      </c>
      <c r="X1053" s="5">
        <f>O1053-(P1053+Q1053+R1053)</f>
        <v/>
      </c>
    </row>
    <row r="1054">
      <c r="A1054" s="2" t="inlineStr">
        <is>
          <t>EJ010325.TXT</t>
        </is>
      </c>
      <c r="B1054" s="3" t="inlineStr">
        <is>
          <t>005747</t>
        </is>
      </c>
      <c r="C1054" s="3" t="inlineStr">
        <is>
          <t>004614</t>
        </is>
      </c>
      <c r="D1054" s="4" t="n">
        <v>45716</v>
      </c>
      <c r="E1054" s="2" t="inlineStr">
        <is>
          <t>18:33</t>
        </is>
      </c>
      <c r="F1054" s="5" t="n">
        <v>689.17</v>
      </c>
      <c r="G1054" s="5" t="n"/>
      <c r="H1054" s="5" t="n"/>
      <c r="I1054" s="5" t="n"/>
      <c r="J1054" s="5" t="n">
        <v>137.83</v>
      </c>
      <c r="K1054" s="5" t="n"/>
      <c r="L1054" s="5" t="n"/>
      <c r="M1054" s="5" t="n"/>
      <c r="N1054" s="5" t="n"/>
      <c r="O1054" s="5" t="n">
        <v>827</v>
      </c>
      <c r="P1054" s="5" t="n"/>
      <c r="Q1054" s="5" t="n">
        <v>827</v>
      </c>
      <c r="R1054" s="5" t="n"/>
      <c r="S1054" s="5">
        <f>F1054*20%</f>
        <v/>
      </c>
      <c r="T1054" s="5">
        <f>J1054-S1054</f>
        <v/>
      </c>
      <c r="U1054" s="5">
        <f>F1054+J1054</f>
        <v/>
      </c>
      <c r="V1054" s="5">
        <f>O1054-U1054</f>
        <v/>
      </c>
      <c r="W1054" s="5">
        <f>O1054-(P1054+R1054)</f>
        <v/>
      </c>
      <c r="X1054" s="5">
        <f>O1054-(P1054+Q1054+R1054)</f>
        <v/>
      </c>
    </row>
    <row r="1055">
      <c r="A1055" s="2" t="inlineStr">
        <is>
          <t>EJ290325.TXT</t>
        </is>
      </c>
      <c r="B1055" s="3" t="inlineStr">
        <is>
          <t>005755</t>
        </is>
      </c>
      <c r="C1055" s="3" t="inlineStr">
        <is>
          <t>004615</t>
        </is>
      </c>
      <c r="D1055" s="4" t="n">
        <v>45720</v>
      </c>
      <c r="E1055" s="2" t="inlineStr">
        <is>
          <t>11:04</t>
        </is>
      </c>
      <c r="F1055" s="5" t="n">
        <v>416.67</v>
      </c>
      <c r="G1055" s="5" t="n"/>
      <c r="H1055" s="5" t="n"/>
      <c r="I1055" s="5" t="n"/>
      <c r="J1055" s="5" t="n">
        <v>83.33</v>
      </c>
      <c r="K1055" s="5" t="n"/>
      <c r="L1055" s="5" t="n"/>
      <c r="M1055" s="5" t="n"/>
      <c r="N1055" s="5" t="n"/>
      <c r="O1055" s="5" t="n">
        <v>500</v>
      </c>
      <c r="P1055" s="5" t="n"/>
      <c r="Q1055" s="5" t="n">
        <v>500</v>
      </c>
      <c r="R1055" s="5" t="n"/>
      <c r="S1055" s="5">
        <f>F1055*20%</f>
        <v/>
      </c>
      <c r="T1055" s="5">
        <f>J1055-S1055</f>
        <v/>
      </c>
      <c r="U1055" s="5">
        <f>F1055+J1055</f>
        <v/>
      </c>
      <c r="V1055" s="5">
        <f>O1055-U1055</f>
        <v/>
      </c>
      <c r="W1055" s="5">
        <f>O1055-(P1055+R1055)</f>
        <v/>
      </c>
      <c r="X1055" s="5">
        <f>O1055-(P1055+Q1055+R1055)</f>
        <v/>
      </c>
    </row>
    <row r="1056">
      <c r="A1056" s="2" t="inlineStr">
        <is>
          <t>EJ290325.TXT</t>
        </is>
      </c>
      <c r="B1056" s="3" t="inlineStr">
        <is>
          <t>005756</t>
        </is>
      </c>
      <c r="C1056" s="3" t="inlineStr">
        <is>
          <t>004616</t>
        </is>
      </c>
      <c r="D1056" s="4" t="n">
        <v>45720</v>
      </c>
      <c r="E1056" s="2" t="inlineStr">
        <is>
          <t>16:20</t>
        </is>
      </c>
      <c r="F1056" s="5" t="n">
        <v>548.33</v>
      </c>
      <c r="G1056" s="5" t="n"/>
      <c r="H1056" s="5" t="n"/>
      <c r="I1056" s="5" t="n"/>
      <c r="J1056" s="5" t="n">
        <v>109.67</v>
      </c>
      <c r="K1056" s="5" t="n"/>
      <c r="L1056" s="5" t="n"/>
      <c r="M1056" s="5" t="n"/>
      <c r="N1056" s="5" t="n"/>
      <c r="O1056" s="5" t="n">
        <v>658</v>
      </c>
      <c r="P1056" s="5" t="n"/>
      <c r="Q1056" s="5" t="n">
        <v>658</v>
      </c>
      <c r="R1056" s="5" t="n"/>
      <c r="S1056" s="5">
        <f>F1056*20%</f>
        <v/>
      </c>
      <c r="T1056" s="5">
        <f>J1056-S1056</f>
        <v/>
      </c>
      <c r="U1056" s="5">
        <f>F1056+J1056</f>
        <v/>
      </c>
      <c r="V1056" s="5">
        <f>O1056-U1056</f>
        <v/>
      </c>
      <c r="W1056" s="5">
        <f>O1056-(P1056+R1056)</f>
        <v/>
      </c>
      <c r="X1056" s="5">
        <f>O1056-(P1056+Q1056+R1056)</f>
        <v/>
      </c>
    </row>
    <row r="1057">
      <c r="A1057" s="2" t="inlineStr">
        <is>
          <t>EJ290325.TXT</t>
        </is>
      </c>
      <c r="B1057" s="3" t="inlineStr">
        <is>
          <t>005757</t>
        </is>
      </c>
      <c r="C1057" s="3" t="inlineStr">
        <is>
          <t>004617</t>
        </is>
      </c>
      <c r="D1057" s="4" t="n">
        <v>45720</v>
      </c>
      <c r="E1057" s="2" t="inlineStr">
        <is>
          <t>17:46</t>
        </is>
      </c>
      <c r="F1057" s="5" t="n">
        <v>247.5</v>
      </c>
      <c r="G1057" s="5" t="n"/>
      <c r="H1057" s="5" t="n"/>
      <c r="I1057" s="5" t="n"/>
      <c r="J1057" s="5" t="n">
        <v>49.5</v>
      </c>
      <c r="K1057" s="5" t="n"/>
      <c r="L1057" s="5" t="n"/>
      <c r="M1057" s="5" t="n"/>
      <c r="N1057" s="5" t="n"/>
      <c r="O1057" s="5" t="n">
        <v>297</v>
      </c>
      <c r="P1057" s="5" t="n">
        <v>297</v>
      </c>
      <c r="Q1057" s="5" t="n"/>
      <c r="R1057" s="5" t="n"/>
      <c r="S1057" s="5">
        <f>F1057*20%</f>
        <v/>
      </c>
      <c r="T1057" s="5">
        <f>J1057-S1057</f>
        <v/>
      </c>
      <c r="U1057" s="5">
        <f>F1057+J1057</f>
        <v/>
      </c>
      <c r="V1057" s="5">
        <f>O1057-U1057</f>
        <v/>
      </c>
      <c r="W1057" s="5">
        <f>O1057-(P1057+R1057)</f>
        <v/>
      </c>
      <c r="X1057" s="5">
        <f>O1057-(P1057+Q1057+R1057)</f>
        <v/>
      </c>
    </row>
    <row r="1058">
      <c r="A1058" s="2" t="inlineStr">
        <is>
          <t>EJ290325.TXT</t>
        </is>
      </c>
      <c r="B1058" s="3" t="inlineStr">
        <is>
          <t>005758</t>
        </is>
      </c>
      <c r="C1058" s="3" t="inlineStr">
        <is>
          <t>004618</t>
        </is>
      </c>
      <c r="D1058" s="4" t="n">
        <v>45720</v>
      </c>
      <c r="E1058" s="2" t="inlineStr">
        <is>
          <t>18:21</t>
        </is>
      </c>
      <c r="F1058" s="5" t="n">
        <v>822.5</v>
      </c>
      <c r="G1058" s="5" t="n"/>
      <c r="H1058" s="5" t="n"/>
      <c r="I1058" s="5" t="n"/>
      <c r="J1058" s="5" t="n">
        <v>164.5</v>
      </c>
      <c r="K1058" s="5" t="n"/>
      <c r="L1058" s="5" t="n"/>
      <c r="M1058" s="5" t="n"/>
      <c r="N1058" s="5" t="n"/>
      <c r="O1058" s="5" t="n">
        <v>987</v>
      </c>
      <c r="P1058" s="5" t="n"/>
      <c r="Q1058" s="5" t="n">
        <v>987</v>
      </c>
      <c r="R1058" s="5" t="n"/>
      <c r="S1058" s="5">
        <f>F1058*20%</f>
        <v/>
      </c>
      <c r="T1058" s="5">
        <f>J1058-S1058</f>
        <v/>
      </c>
      <c r="U1058" s="5">
        <f>F1058+J1058</f>
        <v/>
      </c>
      <c r="V1058" s="5">
        <f>O1058-U1058</f>
        <v/>
      </c>
      <c r="W1058" s="5">
        <f>O1058-(P1058+R1058)</f>
        <v/>
      </c>
      <c r="X1058" s="5">
        <f>O1058-(P1058+Q1058+R1058)</f>
        <v/>
      </c>
    </row>
    <row r="1059">
      <c r="A1059" s="2" t="inlineStr">
        <is>
          <t>EJ290325.TXT</t>
        </is>
      </c>
      <c r="B1059" s="3" t="inlineStr">
        <is>
          <t>005759</t>
        </is>
      </c>
      <c r="C1059" s="3" t="inlineStr">
        <is>
          <t>004619</t>
        </is>
      </c>
      <c r="D1059" s="4" t="n">
        <v>45720</v>
      </c>
      <c r="E1059" s="2" t="inlineStr">
        <is>
          <t>18:23</t>
        </is>
      </c>
      <c r="F1059" s="5" t="n">
        <v>822.5</v>
      </c>
      <c r="G1059" s="5" t="n"/>
      <c r="H1059" s="5" t="n"/>
      <c r="I1059" s="5" t="n"/>
      <c r="J1059" s="5" t="n">
        <v>164.5</v>
      </c>
      <c r="K1059" s="5" t="n"/>
      <c r="L1059" s="5" t="n"/>
      <c r="M1059" s="5" t="n"/>
      <c r="N1059" s="5" t="n"/>
      <c r="O1059" s="5" t="n">
        <v>987</v>
      </c>
      <c r="P1059" s="5" t="n"/>
      <c r="Q1059" s="5" t="n">
        <v>987</v>
      </c>
      <c r="R1059" s="5" t="n"/>
      <c r="S1059" s="5">
        <f>F1059*20%</f>
        <v/>
      </c>
      <c r="T1059" s="5">
        <f>J1059-S1059</f>
        <v/>
      </c>
      <c r="U1059" s="5">
        <f>F1059+J1059</f>
        <v/>
      </c>
      <c r="V1059" s="5">
        <f>O1059-U1059</f>
        <v/>
      </c>
      <c r="W1059" s="5">
        <f>O1059-(P1059+R1059)</f>
        <v/>
      </c>
      <c r="X1059" s="5">
        <f>O1059-(P1059+Q1059+R1059)</f>
        <v/>
      </c>
    </row>
    <row r="1060">
      <c r="A1060" s="2" t="inlineStr">
        <is>
          <t>EJ290325.TXT</t>
        </is>
      </c>
      <c r="B1060" s="3" t="inlineStr">
        <is>
          <t>005760</t>
        </is>
      </c>
      <c r="C1060" s="3" t="inlineStr">
        <is>
          <t>004620</t>
        </is>
      </c>
      <c r="D1060" s="4" t="n">
        <v>45721</v>
      </c>
      <c r="E1060" s="2" t="inlineStr">
        <is>
          <t>10:28</t>
        </is>
      </c>
      <c r="F1060" s="5" t="n">
        <v>416.67</v>
      </c>
      <c r="G1060" s="5" t="n"/>
      <c r="H1060" s="5" t="n"/>
      <c r="I1060" s="5" t="n"/>
      <c r="J1060" s="5" t="n">
        <v>83.33</v>
      </c>
      <c r="K1060" s="5" t="n"/>
      <c r="L1060" s="5" t="n"/>
      <c r="M1060" s="5" t="n"/>
      <c r="N1060" s="5" t="n"/>
      <c r="O1060" s="5" t="n">
        <v>500</v>
      </c>
      <c r="P1060" s="5" t="n"/>
      <c r="Q1060" s="5" t="n">
        <v>500</v>
      </c>
      <c r="R1060" s="5" t="n"/>
      <c r="S1060" s="5">
        <f>F1060*20%</f>
        <v/>
      </c>
      <c r="T1060" s="5">
        <f>J1060-S1060</f>
        <v/>
      </c>
      <c r="U1060" s="5">
        <f>F1060+J1060</f>
        <v/>
      </c>
      <c r="V1060" s="5">
        <f>O1060-U1060</f>
        <v/>
      </c>
      <c r="W1060" s="5">
        <f>O1060-(P1060+R1060)</f>
        <v/>
      </c>
      <c r="X1060" s="5">
        <f>O1060-(P1060+Q1060+R1060)</f>
        <v/>
      </c>
    </row>
    <row r="1061">
      <c r="A1061" s="2" t="inlineStr">
        <is>
          <t>EJ290325.TXT</t>
        </is>
      </c>
      <c r="B1061" s="3" t="inlineStr">
        <is>
          <t>005761</t>
        </is>
      </c>
      <c r="C1061" s="3" t="inlineStr">
        <is>
          <t>004621</t>
        </is>
      </c>
      <c r="D1061" s="4" t="n">
        <v>45723</v>
      </c>
      <c r="E1061" s="2" t="inlineStr">
        <is>
          <t>16:01</t>
        </is>
      </c>
      <c r="F1061" s="5" t="n">
        <v>833.33</v>
      </c>
      <c r="G1061" s="5" t="n"/>
      <c r="H1061" s="5" t="n"/>
      <c r="I1061" s="5" t="n"/>
      <c r="J1061" s="5" t="n">
        <v>166.67</v>
      </c>
      <c r="K1061" s="5" t="n"/>
      <c r="L1061" s="5" t="n"/>
      <c r="M1061" s="5" t="n"/>
      <c r="N1061" s="5" t="n"/>
      <c r="O1061" s="5" t="n">
        <v>1000</v>
      </c>
      <c r="P1061" s="5" t="n">
        <v>1000</v>
      </c>
      <c r="Q1061" s="5" t="n"/>
      <c r="R1061" s="5" t="n"/>
      <c r="S1061" s="5">
        <f>F1061*20%</f>
        <v/>
      </c>
      <c r="T1061" s="5">
        <f>J1061-S1061</f>
        <v/>
      </c>
      <c r="U1061" s="5">
        <f>F1061+J1061</f>
        <v/>
      </c>
      <c r="V1061" s="5">
        <f>O1061-U1061</f>
        <v/>
      </c>
      <c r="W1061" s="5">
        <f>O1061-(P1061+R1061)</f>
        <v/>
      </c>
      <c r="X1061" s="5">
        <f>O1061-(P1061+Q1061+R1061)</f>
        <v/>
      </c>
    </row>
    <row r="1062">
      <c r="A1062" s="2" t="inlineStr">
        <is>
          <t>EJ290325.TXT</t>
        </is>
      </c>
      <c r="B1062" s="3" t="inlineStr">
        <is>
          <t>005762</t>
        </is>
      </c>
      <c r="C1062" s="3" t="inlineStr">
        <is>
          <t>004622</t>
        </is>
      </c>
      <c r="D1062" s="4" t="n">
        <v>45724</v>
      </c>
      <c r="E1062" s="2" t="inlineStr">
        <is>
          <t>17:39</t>
        </is>
      </c>
      <c r="F1062" s="5" t="n">
        <v>199.17</v>
      </c>
      <c r="G1062" s="5" t="n"/>
      <c r="H1062" s="5" t="n"/>
      <c r="I1062" s="5" t="n"/>
      <c r="J1062" s="5" t="n">
        <v>39.83</v>
      </c>
      <c r="K1062" s="5" t="n"/>
      <c r="L1062" s="5" t="n"/>
      <c r="M1062" s="5" t="n"/>
      <c r="N1062" s="5" t="n"/>
      <c r="O1062" s="5" t="n">
        <v>239</v>
      </c>
      <c r="P1062" s="5" t="n">
        <v>239</v>
      </c>
      <c r="Q1062" s="5" t="n"/>
      <c r="R1062" s="5" t="n"/>
      <c r="S1062" s="5">
        <f>F1062*20%</f>
        <v/>
      </c>
      <c r="T1062" s="5">
        <f>J1062-S1062</f>
        <v/>
      </c>
      <c r="U1062" s="5">
        <f>F1062+J1062</f>
        <v/>
      </c>
      <c r="V1062" s="5">
        <f>O1062-U1062</f>
        <v/>
      </c>
      <c r="W1062" s="5">
        <f>O1062-(P1062+R1062)</f>
        <v/>
      </c>
      <c r="X1062" s="5">
        <f>O1062-(P1062+Q1062+R1062)</f>
        <v/>
      </c>
    </row>
    <row r="1063">
      <c r="A1063" s="2" t="inlineStr">
        <is>
          <t>EJ290325.TXT</t>
        </is>
      </c>
      <c r="B1063" s="3" t="inlineStr">
        <is>
          <t>005763</t>
        </is>
      </c>
      <c r="C1063" s="3" t="inlineStr">
        <is>
          <t>004623</t>
        </is>
      </c>
      <c r="D1063" s="4" t="n">
        <v>45724</v>
      </c>
      <c r="E1063" s="2" t="inlineStr">
        <is>
          <t>18:31</t>
        </is>
      </c>
      <c r="F1063" s="5" t="n">
        <v>73.33</v>
      </c>
      <c r="G1063" s="5" t="n"/>
      <c r="H1063" s="5" t="n"/>
      <c r="I1063" s="5" t="n"/>
      <c r="J1063" s="5" t="n">
        <v>14.67</v>
      </c>
      <c r="K1063" s="5" t="n"/>
      <c r="L1063" s="5" t="n"/>
      <c r="M1063" s="5" t="n"/>
      <c r="N1063" s="5" t="n"/>
      <c r="O1063" s="5" t="n">
        <v>88</v>
      </c>
      <c r="P1063" s="5" t="n">
        <v>88</v>
      </c>
      <c r="Q1063" s="5" t="n"/>
      <c r="R1063" s="5" t="n"/>
      <c r="S1063" s="5">
        <f>F1063*20%</f>
        <v/>
      </c>
      <c r="T1063" s="5">
        <f>J1063-S1063</f>
        <v/>
      </c>
      <c r="U1063" s="5">
        <f>F1063+J1063</f>
        <v/>
      </c>
      <c r="V1063" s="5">
        <f>O1063-U1063</f>
        <v/>
      </c>
      <c r="W1063" s="5">
        <f>O1063-(P1063+R1063)</f>
        <v/>
      </c>
      <c r="X1063" s="5">
        <f>O1063-(P1063+Q1063+R1063)</f>
        <v/>
      </c>
    </row>
    <row r="1064">
      <c r="A1064" s="2" t="inlineStr">
        <is>
          <t>EJ290325.TXT</t>
        </is>
      </c>
      <c r="B1064" s="3" t="inlineStr">
        <is>
          <t>005764</t>
        </is>
      </c>
      <c r="C1064" s="3" t="inlineStr">
        <is>
          <t>004624</t>
        </is>
      </c>
      <c r="D1064" s="4" t="n">
        <v>45726</v>
      </c>
      <c r="E1064" s="2" t="inlineStr">
        <is>
          <t>11:34</t>
        </is>
      </c>
      <c r="F1064" s="5" t="n">
        <v>49.92</v>
      </c>
      <c r="G1064" s="5" t="n"/>
      <c r="H1064" s="5" t="n"/>
      <c r="I1064" s="5" t="n"/>
      <c r="J1064" s="5" t="n">
        <v>9.98</v>
      </c>
      <c r="K1064" s="5" t="n"/>
      <c r="L1064" s="5" t="n"/>
      <c r="M1064" s="5" t="n"/>
      <c r="N1064" s="5" t="n"/>
      <c r="O1064" s="5" t="n">
        <v>59.9</v>
      </c>
      <c r="P1064" s="5" t="n"/>
      <c r="Q1064" s="5" t="n">
        <v>59.9</v>
      </c>
      <c r="R1064" s="5" t="n"/>
      <c r="S1064" s="5">
        <f>F1064*20%</f>
        <v/>
      </c>
      <c r="T1064" s="5">
        <f>J1064-S1064</f>
        <v/>
      </c>
      <c r="U1064" s="5">
        <f>F1064+J1064</f>
        <v/>
      </c>
      <c r="V1064" s="5">
        <f>O1064-U1064</f>
        <v/>
      </c>
      <c r="W1064" s="5">
        <f>O1064-(P1064+R1064)</f>
        <v/>
      </c>
      <c r="X1064" s="5">
        <f>O1064-(P1064+Q1064+R1064)</f>
        <v/>
      </c>
    </row>
    <row r="1065">
      <c r="A1065" s="2" t="inlineStr">
        <is>
          <t>EJ290325.TXT</t>
        </is>
      </c>
      <c r="B1065" s="3" t="inlineStr">
        <is>
          <t>005765</t>
        </is>
      </c>
      <c r="C1065" s="3" t="inlineStr">
        <is>
          <t>004625</t>
        </is>
      </c>
      <c r="D1065" s="4" t="n">
        <v>45728</v>
      </c>
      <c r="E1065" s="2" t="inlineStr">
        <is>
          <t>18:32</t>
        </is>
      </c>
      <c r="F1065" s="5" t="n">
        <v>274.17</v>
      </c>
      <c r="G1065" s="5" t="n"/>
      <c r="H1065" s="5" t="n"/>
      <c r="I1065" s="5" t="n"/>
      <c r="J1065" s="5" t="n">
        <v>54.83</v>
      </c>
      <c r="K1065" s="5" t="n"/>
      <c r="L1065" s="5" t="n"/>
      <c r="M1065" s="5" t="n"/>
      <c r="N1065" s="5" t="n"/>
      <c r="O1065" s="5" t="n">
        <v>329</v>
      </c>
      <c r="P1065" s="5" t="n"/>
      <c r="Q1065" s="5" t="n">
        <v>329</v>
      </c>
      <c r="R1065" s="5" t="n"/>
      <c r="S1065" s="5">
        <f>F1065*20%</f>
        <v/>
      </c>
      <c r="T1065" s="5">
        <f>J1065-S1065</f>
        <v/>
      </c>
      <c r="U1065" s="5">
        <f>F1065+J1065</f>
        <v/>
      </c>
      <c r="V1065" s="5">
        <f>O1065-U1065</f>
        <v/>
      </c>
      <c r="W1065" s="5">
        <f>O1065-(P1065+R1065)</f>
        <v/>
      </c>
      <c r="X1065" s="5">
        <f>O1065-(P1065+Q1065+R1065)</f>
        <v/>
      </c>
    </row>
    <row r="1066">
      <c r="A1066" s="2" t="inlineStr">
        <is>
          <t>EJ290325.TXT</t>
        </is>
      </c>
      <c r="B1066" s="3" t="inlineStr">
        <is>
          <t>005766</t>
        </is>
      </c>
      <c r="C1066" s="3" t="inlineStr">
        <is>
          <t>004626</t>
        </is>
      </c>
      <c r="D1066" s="4" t="n">
        <v>45729</v>
      </c>
      <c r="E1066" s="2" t="inlineStr">
        <is>
          <t>15:59</t>
        </is>
      </c>
      <c r="F1066" s="5" t="n">
        <v>324.17</v>
      </c>
      <c r="G1066" s="5" t="n"/>
      <c r="H1066" s="5" t="n"/>
      <c r="I1066" s="5" t="n"/>
      <c r="J1066" s="5" t="n">
        <v>64.83</v>
      </c>
      <c r="K1066" s="5" t="n"/>
      <c r="L1066" s="5" t="n"/>
      <c r="M1066" s="5" t="n"/>
      <c r="N1066" s="5" t="n"/>
      <c r="O1066" s="5" t="n">
        <v>389</v>
      </c>
      <c r="P1066" s="5" t="n">
        <v>389</v>
      </c>
      <c r="Q1066" s="5" t="n"/>
      <c r="R1066" s="5" t="n"/>
      <c r="S1066" s="5">
        <f>F1066*20%</f>
        <v/>
      </c>
      <c r="T1066" s="5">
        <f>J1066-S1066</f>
        <v/>
      </c>
      <c r="U1066" s="5">
        <f>F1066+J1066</f>
        <v/>
      </c>
      <c r="V1066" s="5">
        <f>O1066-U1066</f>
        <v/>
      </c>
      <c r="W1066" s="5">
        <f>O1066-(P1066+R1066)</f>
        <v/>
      </c>
      <c r="X1066" s="5">
        <f>O1066-(P1066+Q1066+R1066)</f>
        <v/>
      </c>
    </row>
    <row r="1067">
      <c r="A1067" s="2" t="inlineStr">
        <is>
          <t>EJ290325.TXT</t>
        </is>
      </c>
      <c r="B1067" s="3" t="inlineStr">
        <is>
          <t>005767</t>
        </is>
      </c>
      <c r="C1067" s="3" t="inlineStr">
        <is>
          <t>004627</t>
        </is>
      </c>
      <c r="D1067" s="4" t="n">
        <v>45731</v>
      </c>
      <c r="E1067" s="2" t="inlineStr">
        <is>
          <t>15:39</t>
        </is>
      </c>
      <c r="F1067" s="5" t="n">
        <v>4579.17</v>
      </c>
      <c r="G1067" s="5" t="n"/>
      <c r="H1067" s="5" t="n"/>
      <c r="I1067" s="5" t="n"/>
      <c r="J1067" s="5" t="n">
        <v>915.83</v>
      </c>
      <c r="K1067" s="5" t="n"/>
      <c r="L1067" s="5" t="n"/>
      <c r="M1067" s="5" t="n"/>
      <c r="N1067" s="5" t="n"/>
      <c r="O1067" s="5" t="n">
        <v>5495</v>
      </c>
      <c r="P1067" s="5" t="n">
        <v>5495</v>
      </c>
      <c r="Q1067" s="5" t="n"/>
      <c r="R1067" s="5" t="n"/>
      <c r="S1067" s="5">
        <f>F1067*20%</f>
        <v/>
      </c>
      <c r="T1067" s="5">
        <f>J1067-S1067</f>
        <v/>
      </c>
      <c r="U1067" s="5">
        <f>F1067+J1067</f>
        <v/>
      </c>
      <c r="V1067" s="5">
        <f>O1067-U1067</f>
        <v/>
      </c>
      <c r="W1067" s="5">
        <f>O1067-(P1067+R1067)</f>
        <v/>
      </c>
      <c r="X1067" s="5">
        <f>O1067-(P1067+Q1067+R1067)</f>
        <v/>
      </c>
    </row>
    <row r="1068">
      <c r="A1068" s="2" t="inlineStr">
        <is>
          <t>EJ290325.TXT</t>
        </is>
      </c>
      <c r="B1068" s="3" t="inlineStr">
        <is>
          <t>005768</t>
        </is>
      </c>
      <c r="C1068" s="3" t="inlineStr">
        <is>
          <t>004628</t>
        </is>
      </c>
      <c r="D1068" s="4" t="n">
        <v>45737</v>
      </c>
      <c r="E1068" s="2" t="inlineStr">
        <is>
          <t>15:09</t>
        </is>
      </c>
      <c r="F1068" s="5" t="n">
        <v>99.83</v>
      </c>
      <c r="G1068" s="5" t="n"/>
      <c r="H1068" s="5" t="n"/>
      <c r="I1068" s="5" t="n"/>
      <c r="J1068" s="5" t="n">
        <v>19.97</v>
      </c>
      <c r="K1068" s="5" t="n"/>
      <c r="L1068" s="5" t="n"/>
      <c r="M1068" s="5" t="n"/>
      <c r="N1068" s="5" t="n"/>
      <c r="O1068" s="5" t="n">
        <v>119.8</v>
      </c>
      <c r="P1068" s="5" t="n"/>
      <c r="Q1068" s="5" t="n">
        <v>119.8</v>
      </c>
      <c r="R1068" s="5" t="n"/>
      <c r="S1068" s="5">
        <f>F1068*20%</f>
        <v/>
      </c>
      <c r="T1068" s="5">
        <f>J1068-S1068</f>
        <v/>
      </c>
      <c r="U1068" s="5">
        <f>F1068+J1068</f>
        <v/>
      </c>
      <c r="V1068" s="5">
        <f>O1068-U1068</f>
        <v/>
      </c>
      <c r="W1068" s="5">
        <f>O1068-(P1068+R1068)</f>
        <v/>
      </c>
      <c r="X1068" s="5">
        <f>O1068-(P1068+Q1068+R1068)</f>
        <v/>
      </c>
    </row>
    <row r="1069">
      <c r="A1069" s="2" t="inlineStr">
        <is>
          <t>EJ290325.TXT</t>
        </is>
      </c>
      <c r="B1069" s="3" t="inlineStr">
        <is>
          <t>005769</t>
        </is>
      </c>
      <c r="C1069" s="3" t="inlineStr">
        <is>
          <t>004629</t>
        </is>
      </c>
      <c r="D1069" s="4" t="n">
        <v>45737</v>
      </c>
      <c r="E1069" s="2" t="inlineStr">
        <is>
          <t>15:32</t>
        </is>
      </c>
      <c r="F1069" s="5" t="n">
        <v>274.17</v>
      </c>
      <c r="G1069" s="5" t="n"/>
      <c r="H1069" s="5" t="n"/>
      <c r="I1069" s="5" t="n"/>
      <c r="J1069" s="5" t="n">
        <v>54.83</v>
      </c>
      <c r="K1069" s="5" t="n"/>
      <c r="L1069" s="5" t="n"/>
      <c r="M1069" s="5" t="n"/>
      <c r="N1069" s="5" t="n"/>
      <c r="O1069" s="5" t="n">
        <v>329</v>
      </c>
      <c r="P1069" s="5" t="n"/>
      <c r="Q1069" s="5" t="n">
        <v>329</v>
      </c>
      <c r="R1069" s="5" t="n"/>
      <c r="S1069" s="5">
        <f>F1069*20%</f>
        <v/>
      </c>
      <c r="T1069" s="5">
        <f>J1069-S1069</f>
        <v/>
      </c>
      <c r="U1069" s="5">
        <f>F1069+J1069</f>
        <v/>
      </c>
      <c r="V1069" s="5">
        <f>O1069-U1069</f>
        <v/>
      </c>
      <c r="W1069" s="5">
        <f>O1069-(P1069+R1069)</f>
        <v/>
      </c>
      <c r="X1069" s="5">
        <f>O1069-(P1069+Q1069+R1069)</f>
        <v/>
      </c>
    </row>
    <row r="1070">
      <c r="A1070" s="2" t="inlineStr">
        <is>
          <t>EJ290325.TXT</t>
        </is>
      </c>
      <c r="B1070" s="3" t="inlineStr">
        <is>
          <t>005770</t>
        </is>
      </c>
      <c r="C1070" s="3" t="inlineStr">
        <is>
          <t>004630</t>
        </is>
      </c>
      <c r="D1070" s="4" t="n">
        <v>45738</v>
      </c>
      <c r="E1070" s="2" t="inlineStr">
        <is>
          <t>17:50</t>
        </is>
      </c>
      <c r="F1070" s="5" t="n">
        <v>274.17</v>
      </c>
      <c r="G1070" s="5" t="n"/>
      <c r="H1070" s="5" t="n"/>
      <c r="I1070" s="5" t="n"/>
      <c r="J1070" s="5" t="n">
        <v>54.83</v>
      </c>
      <c r="K1070" s="5" t="n"/>
      <c r="L1070" s="5" t="n"/>
      <c r="M1070" s="5" t="n"/>
      <c r="N1070" s="5" t="n"/>
      <c r="O1070" s="5" t="n">
        <v>329</v>
      </c>
      <c r="P1070" s="5" t="n"/>
      <c r="Q1070" s="5" t="n">
        <v>329</v>
      </c>
      <c r="R1070" s="5" t="n"/>
      <c r="S1070" s="5">
        <f>F1070*20%</f>
        <v/>
      </c>
      <c r="T1070" s="5">
        <f>J1070-S1070</f>
        <v/>
      </c>
      <c r="U1070" s="5">
        <f>F1070+J1070</f>
        <v/>
      </c>
      <c r="V1070" s="5">
        <f>O1070-U1070</f>
        <v/>
      </c>
      <c r="W1070" s="5">
        <f>O1070-(P1070+R1070)</f>
        <v/>
      </c>
      <c r="X1070" s="5">
        <f>O1070-(P1070+Q1070+R1070)</f>
        <v/>
      </c>
    </row>
    <row r="1071">
      <c r="A1071" s="2" t="inlineStr">
        <is>
          <t>EJ290325.TXT</t>
        </is>
      </c>
      <c r="B1071" s="3" t="inlineStr">
        <is>
          <t>005771</t>
        </is>
      </c>
      <c r="C1071" s="3" t="inlineStr">
        <is>
          <t>004631</t>
        </is>
      </c>
      <c r="D1071" s="4" t="n">
        <v>45740</v>
      </c>
      <c r="E1071" s="2" t="inlineStr">
        <is>
          <t>11:20</t>
        </is>
      </c>
      <c r="F1071" s="5" t="n">
        <v>190.83</v>
      </c>
      <c r="G1071" s="5" t="n"/>
      <c r="H1071" s="5" t="n"/>
      <c r="I1071" s="5" t="n"/>
      <c r="J1071" s="5" t="n">
        <v>38.17</v>
      </c>
      <c r="K1071" s="5" t="n"/>
      <c r="L1071" s="5" t="n"/>
      <c r="M1071" s="5" t="n"/>
      <c r="N1071" s="5" t="n"/>
      <c r="O1071" s="5" t="n">
        <v>229</v>
      </c>
      <c r="P1071" s="5" t="n">
        <v>229</v>
      </c>
      <c r="Q1071" s="5" t="n"/>
      <c r="R1071" s="5" t="n"/>
      <c r="S1071" s="5">
        <f>F1071*20%</f>
        <v/>
      </c>
      <c r="T1071" s="5">
        <f>J1071-S1071</f>
        <v/>
      </c>
      <c r="U1071" s="5">
        <f>F1071+J1071</f>
        <v/>
      </c>
      <c r="V1071" s="5">
        <f>O1071-U1071</f>
        <v/>
      </c>
      <c r="W1071" s="5">
        <f>O1071-(P1071+R1071)</f>
        <v/>
      </c>
      <c r="X1071" s="5">
        <f>O1071-(P1071+Q1071+R1071)</f>
        <v/>
      </c>
    </row>
    <row r="1072">
      <c r="A1072" s="2" t="inlineStr">
        <is>
          <t>EJ290325.TXT</t>
        </is>
      </c>
      <c r="B1072" s="3" t="inlineStr">
        <is>
          <t>005772</t>
        </is>
      </c>
      <c r="C1072" s="3" t="inlineStr">
        <is>
          <t>004632</t>
        </is>
      </c>
      <c r="D1072" s="4" t="n">
        <v>45742</v>
      </c>
      <c r="E1072" s="2" t="inlineStr">
        <is>
          <t>12:39</t>
        </is>
      </c>
      <c r="F1072" s="5" t="n">
        <v>1412.5</v>
      </c>
      <c r="G1072" s="5" t="n"/>
      <c r="H1072" s="5" t="n"/>
      <c r="I1072" s="5" t="n"/>
      <c r="J1072" s="5" t="n">
        <v>282.5</v>
      </c>
      <c r="K1072" s="5" t="n"/>
      <c r="L1072" s="5" t="n"/>
      <c r="M1072" s="5" t="n"/>
      <c r="N1072" s="5" t="n"/>
      <c r="O1072" s="5" t="n">
        <v>1695</v>
      </c>
      <c r="P1072" s="5" t="n">
        <v>1695</v>
      </c>
      <c r="Q1072" s="5" t="n"/>
      <c r="R1072" s="5" t="n"/>
      <c r="S1072" s="5">
        <f>F1072*20%</f>
        <v/>
      </c>
      <c r="T1072" s="5">
        <f>J1072-S1072</f>
        <v/>
      </c>
      <c r="U1072" s="5">
        <f>F1072+J1072</f>
        <v/>
      </c>
      <c r="V1072" s="5">
        <f>O1072-U1072</f>
        <v/>
      </c>
      <c r="W1072" s="5">
        <f>O1072-(P1072+R1072)</f>
        <v/>
      </c>
      <c r="X1072" s="5">
        <f>O1072-(P1072+Q1072+R1072)</f>
        <v/>
      </c>
    </row>
    <row r="1073">
      <c r="A1073" s="2" t="inlineStr">
        <is>
          <t>EJ290325.TXT</t>
        </is>
      </c>
      <c r="B1073" s="3" t="inlineStr">
        <is>
          <t>005773</t>
        </is>
      </c>
      <c r="C1073" s="3" t="inlineStr">
        <is>
          <t>004633</t>
        </is>
      </c>
      <c r="D1073" s="4" t="n">
        <v>45742</v>
      </c>
      <c r="E1073" s="2" t="inlineStr">
        <is>
          <t>19:00</t>
        </is>
      </c>
      <c r="F1073" s="5" t="n">
        <v>797.5</v>
      </c>
      <c r="G1073" s="5" t="n"/>
      <c r="H1073" s="5" t="n"/>
      <c r="I1073" s="5" t="n"/>
      <c r="J1073" s="5" t="n">
        <v>159.5</v>
      </c>
      <c r="K1073" s="5" t="n"/>
      <c r="L1073" s="5" t="n"/>
      <c r="M1073" s="5" t="n"/>
      <c r="N1073" s="5" t="n"/>
      <c r="O1073" s="5" t="n">
        <v>957</v>
      </c>
      <c r="P1073" s="5" t="n"/>
      <c r="Q1073" s="5" t="n">
        <v>957</v>
      </c>
      <c r="R1073" s="5" t="n"/>
      <c r="S1073" s="5">
        <f>F1073*20%</f>
        <v/>
      </c>
      <c r="T1073" s="5">
        <f>J1073-S1073</f>
        <v/>
      </c>
      <c r="U1073" s="5">
        <f>F1073+J1073</f>
        <v/>
      </c>
      <c r="V1073" s="5">
        <f>O1073-U1073</f>
        <v/>
      </c>
      <c r="W1073" s="5">
        <f>O1073-(P1073+R1073)</f>
        <v/>
      </c>
      <c r="X1073" s="5">
        <f>O1073-(P1073+Q1073+R1073)</f>
        <v/>
      </c>
    </row>
    <row r="1074">
      <c r="A1074" s="2" t="inlineStr">
        <is>
          <t>EJ290325.TXT</t>
        </is>
      </c>
      <c r="B1074" s="3" t="inlineStr">
        <is>
          <t>005774</t>
        </is>
      </c>
      <c r="C1074" s="3" t="inlineStr">
        <is>
          <t>004634</t>
        </is>
      </c>
      <c r="D1074" s="4" t="n">
        <v>45742</v>
      </c>
      <c r="E1074" s="2" t="inlineStr">
        <is>
          <t>19:00</t>
        </is>
      </c>
      <c r="F1074" s="5" t="n">
        <v>531.67</v>
      </c>
      <c r="G1074" s="5" t="n"/>
      <c r="H1074" s="5" t="n"/>
      <c r="I1074" s="5" t="n"/>
      <c r="J1074" s="5" t="n">
        <v>106.33</v>
      </c>
      <c r="K1074" s="5" t="n"/>
      <c r="L1074" s="5" t="n"/>
      <c r="M1074" s="5" t="n"/>
      <c r="N1074" s="5" t="n"/>
      <c r="O1074" s="5" t="n">
        <v>638</v>
      </c>
      <c r="P1074" s="5" t="n"/>
      <c r="Q1074" s="5" t="n">
        <v>638</v>
      </c>
      <c r="R1074" s="5" t="n"/>
      <c r="S1074" s="5">
        <f>F1074*20%</f>
        <v/>
      </c>
      <c r="T1074" s="5">
        <f>J1074-S1074</f>
        <v/>
      </c>
      <c r="U1074" s="5">
        <f>F1074+J1074</f>
        <v/>
      </c>
      <c r="V1074" s="5">
        <f>O1074-U1074</f>
        <v/>
      </c>
      <c r="W1074" s="5">
        <f>O1074-(P1074+R1074)</f>
        <v/>
      </c>
      <c r="X1074" s="5">
        <f>O1074-(P1074+Q1074+R1074)</f>
        <v/>
      </c>
    </row>
    <row r="1075">
      <c r="A1075" s="2" t="inlineStr">
        <is>
          <t>EJ290325.TXT</t>
        </is>
      </c>
      <c r="B1075" s="3" t="inlineStr">
        <is>
          <t>005775</t>
        </is>
      </c>
      <c r="C1075" s="3" t="inlineStr">
        <is>
          <t>004635</t>
        </is>
      </c>
      <c r="D1075" s="4" t="n">
        <v>45742</v>
      </c>
      <c r="E1075" s="2" t="inlineStr">
        <is>
          <t>19:03</t>
        </is>
      </c>
      <c r="F1075" s="5" t="n">
        <v>789.17</v>
      </c>
      <c r="G1075" s="5" t="n"/>
      <c r="H1075" s="5" t="n"/>
      <c r="I1075" s="5" t="n"/>
      <c r="J1075" s="5" t="n">
        <v>157.83</v>
      </c>
      <c r="K1075" s="5" t="n"/>
      <c r="L1075" s="5" t="n"/>
      <c r="M1075" s="5" t="n"/>
      <c r="N1075" s="5" t="n"/>
      <c r="O1075" s="5" t="n">
        <v>947</v>
      </c>
      <c r="P1075" s="5" t="n"/>
      <c r="Q1075" s="5" t="n">
        <v>947</v>
      </c>
      <c r="R1075" s="5" t="n"/>
      <c r="S1075" s="5">
        <f>F1075*20%</f>
        <v/>
      </c>
      <c r="T1075" s="5">
        <f>J1075-S1075</f>
        <v/>
      </c>
      <c r="U1075" s="5">
        <f>F1075+J1075</f>
        <v/>
      </c>
      <c r="V1075" s="5">
        <f>O1075-U1075</f>
        <v/>
      </c>
      <c r="W1075" s="5">
        <f>O1075-(P1075+R1075)</f>
        <v/>
      </c>
      <c r="X1075" s="5">
        <f>O1075-(P1075+Q1075+R1075)</f>
        <v/>
      </c>
    </row>
    <row r="1076">
      <c r="A1076" s="2" t="inlineStr">
        <is>
          <t>EJ290325.TXT</t>
        </is>
      </c>
      <c r="B1076" s="3" t="inlineStr">
        <is>
          <t>005776</t>
        </is>
      </c>
      <c r="C1076" s="3" t="inlineStr">
        <is>
          <t>004636</t>
        </is>
      </c>
      <c r="D1076" s="4" t="n">
        <v>45742</v>
      </c>
      <c r="E1076" s="2" t="inlineStr">
        <is>
          <t>19:03</t>
        </is>
      </c>
      <c r="F1076" s="5" t="n">
        <v>274.17</v>
      </c>
      <c r="G1076" s="5" t="n"/>
      <c r="H1076" s="5" t="n"/>
      <c r="I1076" s="5" t="n"/>
      <c r="J1076" s="5" t="n">
        <v>54.83</v>
      </c>
      <c r="K1076" s="5" t="n"/>
      <c r="L1076" s="5" t="n"/>
      <c r="M1076" s="5" t="n"/>
      <c r="N1076" s="5" t="n"/>
      <c r="O1076" s="5" t="n">
        <v>329</v>
      </c>
      <c r="P1076" s="5" t="n"/>
      <c r="Q1076" s="5" t="n">
        <v>329</v>
      </c>
      <c r="R1076" s="5" t="n"/>
      <c r="S1076" s="5">
        <f>F1076*20%</f>
        <v/>
      </c>
      <c r="T1076" s="5">
        <f>J1076-S1076</f>
        <v/>
      </c>
      <c r="U1076" s="5">
        <f>F1076+J1076</f>
        <v/>
      </c>
      <c r="V1076" s="5">
        <f>O1076-U1076</f>
        <v/>
      </c>
      <c r="W1076" s="5">
        <f>O1076-(P1076+R1076)</f>
        <v/>
      </c>
      <c r="X1076" s="5">
        <f>O1076-(P1076+Q1076+R1076)</f>
        <v/>
      </c>
    </row>
    <row r="1077">
      <c r="A1077" s="2" t="inlineStr">
        <is>
          <t>EJ290325.TXT</t>
        </is>
      </c>
      <c r="B1077" s="3" t="inlineStr">
        <is>
          <t>005777</t>
        </is>
      </c>
      <c r="C1077" s="3" t="inlineStr">
        <is>
          <t>004637</t>
        </is>
      </c>
      <c r="D1077" s="4" t="n">
        <v>45742</v>
      </c>
      <c r="E1077" s="2" t="inlineStr">
        <is>
          <t>19:03</t>
        </is>
      </c>
      <c r="F1077" s="5" t="n">
        <v>265.83</v>
      </c>
      <c r="G1077" s="5" t="n"/>
      <c r="H1077" s="5" t="n"/>
      <c r="I1077" s="5" t="n"/>
      <c r="J1077" s="5" t="n">
        <v>53.17</v>
      </c>
      <c r="K1077" s="5" t="n"/>
      <c r="L1077" s="5" t="n"/>
      <c r="M1077" s="5" t="n"/>
      <c r="N1077" s="5" t="n"/>
      <c r="O1077" s="5" t="n">
        <v>319</v>
      </c>
      <c r="P1077" s="5" t="n"/>
      <c r="Q1077" s="5" t="n">
        <v>319</v>
      </c>
      <c r="R1077" s="5" t="n"/>
      <c r="S1077" s="5">
        <f>F1077*20%</f>
        <v/>
      </c>
      <c r="T1077" s="5">
        <f>J1077-S1077</f>
        <v/>
      </c>
      <c r="U1077" s="5">
        <f>F1077+J1077</f>
        <v/>
      </c>
      <c r="V1077" s="5">
        <f>O1077-U1077</f>
        <v/>
      </c>
      <c r="W1077" s="5">
        <f>O1077-(P1077+R1077)</f>
        <v/>
      </c>
      <c r="X1077" s="5">
        <f>O1077-(P1077+Q1077+R1077)</f>
        <v/>
      </c>
    </row>
    <row r="1078">
      <c r="A1078" s="2" t="inlineStr">
        <is>
          <t>EJ290325.TXT</t>
        </is>
      </c>
      <c r="B1078" s="3" t="inlineStr">
        <is>
          <t>005778</t>
        </is>
      </c>
      <c r="C1078" s="3" t="inlineStr">
        <is>
          <t>004638</t>
        </is>
      </c>
      <c r="D1078" s="4" t="n">
        <v>45742</v>
      </c>
      <c r="E1078" s="2" t="inlineStr">
        <is>
          <t>19:04</t>
        </is>
      </c>
      <c r="F1078" s="5" t="n">
        <v>257.5</v>
      </c>
      <c r="G1078" s="5" t="n"/>
      <c r="H1078" s="5" t="n"/>
      <c r="I1078" s="5" t="n"/>
      <c r="J1078" s="5" t="n">
        <v>51.5</v>
      </c>
      <c r="K1078" s="5" t="n"/>
      <c r="L1078" s="5" t="n"/>
      <c r="M1078" s="5" t="n"/>
      <c r="N1078" s="5" t="n"/>
      <c r="O1078" s="5" t="n">
        <v>309</v>
      </c>
      <c r="P1078" s="5" t="n"/>
      <c r="Q1078" s="5" t="n">
        <v>309</v>
      </c>
      <c r="R1078" s="5" t="n"/>
      <c r="S1078" s="5">
        <f>F1078*20%</f>
        <v/>
      </c>
      <c r="T1078" s="5">
        <f>J1078-S1078</f>
        <v/>
      </c>
      <c r="U1078" s="5">
        <f>F1078+J1078</f>
        <v/>
      </c>
      <c r="V1078" s="5">
        <f>O1078-U1078</f>
        <v/>
      </c>
      <c r="W1078" s="5">
        <f>O1078-(P1078+R1078)</f>
        <v/>
      </c>
      <c r="X1078" s="5">
        <f>O1078-(P1078+Q1078+R1078)</f>
        <v/>
      </c>
    </row>
    <row r="1079">
      <c r="A1079" s="2" t="inlineStr">
        <is>
          <t>EJ290325.TXT</t>
        </is>
      </c>
      <c r="B1079" s="3" t="inlineStr">
        <is>
          <t>005779</t>
        </is>
      </c>
      <c r="C1079" s="3" t="inlineStr">
        <is>
          <t>004639</t>
        </is>
      </c>
      <c r="D1079" s="4" t="n">
        <v>45742</v>
      </c>
      <c r="E1079" s="2" t="inlineStr">
        <is>
          <t>19:05</t>
        </is>
      </c>
      <c r="F1079" s="5" t="n">
        <v>531.67</v>
      </c>
      <c r="G1079" s="5" t="n"/>
      <c r="H1079" s="5" t="n"/>
      <c r="I1079" s="5" t="n"/>
      <c r="J1079" s="5" t="n">
        <v>106.33</v>
      </c>
      <c r="K1079" s="5" t="n"/>
      <c r="L1079" s="5" t="n"/>
      <c r="M1079" s="5" t="n"/>
      <c r="N1079" s="5" t="n"/>
      <c r="O1079" s="5" t="n">
        <v>638</v>
      </c>
      <c r="P1079" s="5" t="n"/>
      <c r="Q1079" s="5" t="n">
        <v>638</v>
      </c>
      <c r="R1079" s="5" t="n"/>
      <c r="S1079" s="5">
        <f>F1079*20%</f>
        <v/>
      </c>
      <c r="T1079" s="5">
        <f>J1079-S1079</f>
        <v/>
      </c>
      <c r="U1079" s="5">
        <f>F1079+J1079</f>
        <v/>
      </c>
      <c r="V1079" s="5">
        <f>O1079-U1079</f>
        <v/>
      </c>
      <c r="W1079" s="5">
        <f>O1079-(P1079+R1079)</f>
        <v/>
      </c>
      <c r="X1079" s="5">
        <f>O1079-(P1079+Q1079+R1079)</f>
        <v/>
      </c>
    </row>
    <row r="1080">
      <c r="A1080" s="2" t="inlineStr">
        <is>
          <t>EJ290325.TXT</t>
        </is>
      </c>
      <c r="B1080" s="3" t="inlineStr">
        <is>
          <t>005780</t>
        </is>
      </c>
      <c r="C1080" s="3" t="inlineStr">
        <is>
          <t>004640</t>
        </is>
      </c>
      <c r="D1080" s="4" t="n">
        <v>45742</v>
      </c>
      <c r="E1080" s="2" t="inlineStr">
        <is>
          <t>19:05</t>
        </is>
      </c>
      <c r="F1080" s="5" t="n">
        <v>531.67</v>
      </c>
      <c r="G1080" s="5" t="n"/>
      <c r="H1080" s="5" t="n"/>
      <c r="I1080" s="5" t="n"/>
      <c r="J1080" s="5" t="n">
        <v>106.33</v>
      </c>
      <c r="K1080" s="5" t="n"/>
      <c r="L1080" s="5" t="n"/>
      <c r="M1080" s="5" t="n"/>
      <c r="N1080" s="5" t="n"/>
      <c r="O1080" s="5" t="n">
        <v>638</v>
      </c>
      <c r="P1080" s="5" t="n"/>
      <c r="Q1080" s="5" t="n">
        <v>638</v>
      </c>
      <c r="R1080" s="5" t="n"/>
      <c r="S1080" s="5">
        <f>F1080*20%</f>
        <v/>
      </c>
      <c r="T1080" s="5">
        <f>J1080-S1080</f>
        <v/>
      </c>
      <c r="U1080" s="5">
        <f>F1080+J1080</f>
        <v/>
      </c>
      <c r="V1080" s="5">
        <f>O1080-U1080</f>
        <v/>
      </c>
      <c r="W1080" s="5">
        <f>O1080-(P1080+R1080)</f>
        <v/>
      </c>
      <c r="X1080" s="5">
        <f>O1080-(P1080+Q1080+R1080)</f>
        <v/>
      </c>
    </row>
    <row r="1081">
      <c r="A1081" s="2" t="inlineStr">
        <is>
          <t>EJ290325.TXT</t>
        </is>
      </c>
      <c r="B1081" s="3" t="inlineStr">
        <is>
          <t>005781</t>
        </is>
      </c>
      <c r="C1081" s="3" t="inlineStr">
        <is>
          <t>004641</t>
        </is>
      </c>
      <c r="D1081" s="4" t="n">
        <v>45743</v>
      </c>
      <c r="E1081" s="2" t="inlineStr">
        <is>
          <t>11:07</t>
        </is>
      </c>
      <c r="F1081" s="5" t="n">
        <v>82.5</v>
      </c>
      <c r="G1081" s="5" t="n"/>
      <c r="H1081" s="5" t="n"/>
      <c r="I1081" s="5" t="n"/>
      <c r="J1081" s="5" t="n">
        <v>16.5</v>
      </c>
      <c r="K1081" s="5" t="n"/>
      <c r="L1081" s="5" t="n"/>
      <c r="M1081" s="5" t="n"/>
      <c r="N1081" s="5" t="n"/>
      <c r="O1081" s="5" t="n">
        <v>99</v>
      </c>
      <c r="P1081" s="5" t="n"/>
      <c r="Q1081" s="5" t="n">
        <v>99</v>
      </c>
      <c r="R1081" s="5" t="n"/>
      <c r="S1081" s="5">
        <f>F1081*20%</f>
        <v/>
      </c>
      <c r="T1081" s="5">
        <f>J1081-S1081</f>
        <v/>
      </c>
      <c r="U1081" s="5">
        <f>F1081+J1081</f>
        <v/>
      </c>
      <c r="V1081" s="5">
        <f>O1081-U1081</f>
        <v/>
      </c>
      <c r="W1081" s="5">
        <f>O1081-(P1081+R1081)</f>
        <v/>
      </c>
      <c r="X1081" s="5">
        <f>O1081-(P1081+Q1081+R1081)</f>
        <v/>
      </c>
    </row>
    <row r="1082">
      <c r="A1082" s="2" t="inlineStr">
        <is>
          <t>EJ290325.TXT</t>
        </is>
      </c>
      <c r="B1082" s="3" t="inlineStr">
        <is>
          <t>005782</t>
        </is>
      </c>
      <c r="C1082" s="3" t="inlineStr">
        <is>
          <t>004642</t>
        </is>
      </c>
      <c r="D1082" s="4" t="n">
        <v>45743</v>
      </c>
      <c r="E1082" s="2" t="inlineStr">
        <is>
          <t>11:36</t>
        </is>
      </c>
      <c r="F1082" s="5" t="n">
        <v>124.17</v>
      </c>
      <c r="G1082" s="5" t="n"/>
      <c r="H1082" s="5" t="n"/>
      <c r="I1082" s="5" t="n"/>
      <c r="J1082" s="5" t="n">
        <v>24.83</v>
      </c>
      <c r="K1082" s="5" t="n"/>
      <c r="L1082" s="5" t="n"/>
      <c r="M1082" s="5" t="n"/>
      <c r="N1082" s="5" t="n"/>
      <c r="O1082" s="5" t="n">
        <v>149</v>
      </c>
      <c r="P1082" s="5" t="n">
        <v>149</v>
      </c>
      <c r="Q1082" s="5" t="n"/>
      <c r="R1082" s="5" t="n"/>
      <c r="S1082" s="5">
        <f>F1082*20%</f>
        <v/>
      </c>
      <c r="T1082" s="5">
        <f>J1082-S1082</f>
        <v/>
      </c>
      <c r="U1082" s="5">
        <f>F1082+J1082</f>
        <v/>
      </c>
      <c r="V1082" s="5">
        <f>O1082-U1082</f>
        <v/>
      </c>
      <c r="W1082" s="5">
        <f>O1082-(P1082+R1082)</f>
        <v/>
      </c>
      <c r="X1082" s="5">
        <f>O1082-(P1082+Q1082+R1082)</f>
        <v/>
      </c>
    </row>
    <row r="1083">
      <c r="A1083" s="2" t="inlineStr">
        <is>
          <t>EJ290325.TXT</t>
        </is>
      </c>
      <c r="B1083" s="3" t="inlineStr">
        <is>
          <t>005783</t>
        </is>
      </c>
      <c r="C1083" s="3" t="inlineStr">
        <is>
          <t>004643</t>
        </is>
      </c>
      <c r="D1083" s="4" t="n">
        <v>45744</v>
      </c>
      <c r="E1083" s="2" t="inlineStr">
        <is>
          <t>12:41</t>
        </is>
      </c>
      <c r="F1083" s="5" t="n">
        <v>833.33</v>
      </c>
      <c r="G1083" s="5" t="n"/>
      <c r="H1083" s="5" t="n"/>
      <c r="I1083" s="5" t="n"/>
      <c r="J1083" s="5" t="n">
        <v>166.67</v>
      </c>
      <c r="K1083" s="5" t="n"/>
      <c r="L1083" s="5" t="n"/>
      <c r="M1083" s="5" t="n"/>
      <c r="N1083" s="5" t="n"/>
      <c r="O1083" s="5" t="n">
        <v>1000</v>
      </c>
      <c r="P1083" s="5" t="n"/>
      <c r="Q1083" s="5" t="n">
        <v>1000</v>
      </c>
      <c r="R1083" s="5" t="n"/>
      <c r="S1083" s="5">
        <f>F1083*20%</f>
        <v/>
      </c>
      <c r="T1083" s="5">
        <f>J1083-S1083</f>
        <v/>
      </c>
      <c r="U1083" s="5">
        <f>F1083+J1083</f>
        <v/>
      </c>
      <c r="V1083" s="5">
        <f>O1083-U1083</f>
        <v/>
      </c>
      <c r="W1083" s="5">
        <f>O1083-(P1083+R1083)</f>
        <v/>
      </c>
      <c r="X1083" s="5">
        <f>O1083-(P1083+Q1083+R1083)</f>
        <v/>
      </c>
    </row>
    <row r="1084">
      <c r="A1084" s="2" t="inlineStr">
        <is>
          <t>EJ290325.TXT</t>
        </is>
      </c>
      <c r="B1084" s="3" t="inlineStr">
        <is>
          <t>005784</t>
        </is>
      </c>
      <c r="C1084" s="3" t="inlineStr">
        <is>
          <t>004644</t>
        </is>
      </c>
      <c r="D1084" s="4" t="n">
        <v>45744</v>
      </c>
      <c r="E1084" s="2" t="inlineStr">
        <is>
          <t>12:42</t>
        </is>
      </c>
      <c r="F1084" s="5" t="n">
        <v>315.83</v>
      </c>
      <c r="G1084" s="5" t="n"/>
      <c r="H1084" s="5" t="n"/>
      <c r="I1084" s="5" t="n"/>
      <c r="J1084" s="5" t="n">
        <v>63.17</v>
      </c>
      <c r="K1084" s="5" t="n"/>
      <c r="L1084" s="5" t="n"/>
      <c r="M1084" s="5" t="n"/>
      <c r="N1084" s="5" t="n"/>
      <c r="O1084" s="5" t="n">
        <v>379</v>
      </c>
      <c r="P1084" s="5" t="n"/>
      <c r="Q1084" s="5" t="n">
        <v>379</v>
      </c>
      <c r="R1084" s="5" t="n"/>
      <c r="S1084" s="5">
        <f>F1084*20%</f>
        <v/>
      </c>
      <c r="T1084" s="5">
        <f>J1084-S1084</f>
        <v/>
      </c>
      <c r="U1084" s="5">
        <f>F1084+J1084</f>
        <v/>
      </c>
      <c r="V1084" s="5">
        <f>O1084-U1084</f>
        <v/>
      </c>
      <c r="W1084" s="5">
        <f>O1084-(P1084+R1084)</f>
        <v/>
      </c>
      <c r="X1084" s="5">
        <f>O1084-(P1084+Q1084+R1084)</f>
        <v/>
      </c>
    </row>
    <row r="1085">
      <c r="A1085" s="2" t="inlineStr">
        <is>
          <t>EJ010725.TXT</t>
        </is>
      </c>
      <c r="B1085" s="3" t="inlineStr">
        <is>
          <t>005793</t>
        </is>
      </c>
      <c r="C1085" s="3" t="inlineStr">
        <is>
          <t>004645</t>
        </is>
      </c>
      <c r="D1085" s="4" t="n">
        <v>45754</v>
      </c>
      <c r="E1085" s="2" t="inlineStr">
        <is>
          <t>16:10</t>
        </is>
      </c>
      <c r="F1085" s="5" t="n">
        <v>548.33</v>
      </c>
      <c r="G1085" s="5" t="n"/>
      <c r="H1085" s="5" t="n"/>
      <c r="I1085" s="5" t="n"/>
      <c r="J1085" s="5" t="n">
        <v>109.67</v>
      </c>
      <c r="K1085" s="5" t="n"/>
      <c r="L1085" s="5" t="n"/>
      <c r="M1085" s="5" t="n"/>
      <c r="N1085" s="5" t="n"/>
      <c r="O1085" s="5" t="n">
        <v>658</v>
      </c>
      <c r="P1085" s="5" t="n"/>
      <c r="Q1085" s="5" t="n">
        <v>658</v>
      </c>
      <c r="R1085" s="5" t="n"/>
      <c r="S1085" s="5">
        <f>F1085*20%</f>
        <v/>
      </c>
      <c r="T1085" s="5">
        <f>J1085-S1085</f>
        <v/>
      </c>
      <c r="U1085" s="5">
        <f>F1085+J1085</f>
        <v/>
      </c>
      <c r="V1085" s="5">
        <f>O1085-U1085</f>
        <v/>
      </c>
      <c r="W1085" s="5">
        <f>O1085-(P1085+R1085)</f>
        <v/>
      </c>
      <c r="X1085" s="5">
        <f>O1085-(P1085+Q1085+R1085)</f>
        <v/>
      </c>
    </row>
    <row r="1086">
      <c r="A1086" s="2" t="inlineStr">
        <is>
          <t>EJ010725.TXT</t>
        </is>
      </c>
      <c r="B1086" s="3" t="inlineStr">
        <is>
          <t>005794</t>
        </is>
      </c>
      <c r="C1086" s="3" t="inlineStr">
        <is>
          <t>004646</t>
        </is>
      </c>
      <c r="D1086" s="4" t="n">
        <v>45754</v>
      </c>
      <c r="E1086" s="2" t="inlineStr">
        <is>
          <t>16:13</t>
        </is>
      </c>
      <c r="F1086" s="5" t="n">
        <v>208.33</v>
      </c>
      <c r="G1086" s="5" t="n"/>
      <c r="H1086" s="5" t="n"/>
      <c r="I1086" s="5" t="n"/>
      <c r="J1086" s="5" t="n">
        <v>41.67</v>
      </c>
      <c r="K1086" s="5" t="n"/>
      <c r="L1086" s="5" t="n"/>
      <c r="M1086" s="5" t="n"/>
      <c r="N1086" s="5" t="n"/>
      <c r="O1086" s="5" t="n">
        <v>250</v>
      </c>
      <c r="P1086" s="5" t="n"/>
      <c r="Q1086" s="5" t="n">
        <v>250</v>
      </c>
      <c r="R1086" s="5" t="n"/>
      <c r="S1086" s="5">
        <f>F1086*20%</f>
        <v/>
      </c>
      <c r="T1086" s="5">
        <f>J1086-S1086</f>
        <v/>
      </c>
      <c r="U1086" s="5">
        <f>F1086+J1086</f>
        <v/>
      </c>
      <c r="V1086" s="5">
        <f>O1086-U1086</f>
        <v/>
      </c>
      <c r="W1086" s="5">
        <f>O1086-(P1086+R1086)</f>
        <v/>
      </c>
      <c r="X1086" s="5">
        <f>O1086-(P1086+Q1086+R1086)</f>
        <v/>
      </c>
    </row>
    <row r="1087">
      <c r="A1087" s="2" t="inlineStr">
        <is>
          <t>EJ010725.TXT</t>
        </is>
      </c>
      <c r="B1087" s="3" t="inlineStr">
        <is>
          <t>005795</t>
        </is>
      </c>
      <c r="C1087" s="3" t="inlineStr">
        <is>
          <t>004647</t>
        </is>
      </c>
      <c r="D1087" s="4" t="n">
        <v>45754</v>
      </c>
      <c r="E1087" s="2" t="inlineStr">
        <is>
          <t>16:38</t>
        </is>
      </c>
      <c r="F1087" s="5" t="n">
        <v>82.5</v>
      </c>
      <c r="G1087" s="5" t="n"/>
      <c r="H1087" s="5" t="n"/>
      <c r="I1087" s="5" t="n"/>
      <c r="J1087" s="5" t="n">
        <v>16.5</v>
      </c>
      <c r="K1087" s="5" t="n"/>
      <c r="L1087" s="5" t="n"/>
      <c r="M1087" s="5" t="n"/>
      <c r="N1087" s="5" t="n"/>
      <c r="O1087" s="5" t="n">
        <v>99</v>
      </c>
      <c r="P1087" s="5" t="n">
        <v>99</v>
      </c>
      <c r="Q1087" s="5" t="n"/>
      <c r="R1087" s="5" t="n"/>
      <c r="S1087" s="5">
        <f>F1087*20%</f>
        <v/>
      </c>
      <c r="T1087" s="5">
        <f>J1087-S1087</f>
        <v/>
      </c>
      <c r="U1087" s="5">
        <f>F1087+J1087</f>
        <v/>
      </c>
      <c r="V1087" s="5">
        <f>O1087-U1087</f>
        <v/>
      </c>
      <c r="W1087" s="5">
        <f>O1087-(P1087+R1087)</f>
        <v/>
      </c>
      <c r="X1087" s="5">
        <f>O1087-(P1087+Q1087+R1087)</f>
        <v/>
      </c>
    </row>
    <row r="1088">
      <c r="A1088" s="2" t="inlineStr">
        <is>
          <t>EJ010725.TXT</t>
        </is>
      </c>
      <c r="B1088" s="3" t="inlineStr">
        <is>
          <t>005796</t>
        </is>
      </c>
      <c r="C1088" s="3" t="inlineStr">
        <is>
          <t>004648</t>
        </is>
      </c>
      <c r="D1088" s="4" t="n">
        <v>45754</v>
      </c>
      <c r="E1088" s="2" t="inlineStr">
        <is>
          <t>16:54</t>
        </is>
      </c>
      <c r="F1088" s="5" t="n">
        <v>465.83</v>
      </c>
      <c r="G1088" s="5" t="n"/>
      <c r="H1088" s="5" t="n"/>
      <c r="I1088" s="5" t="n"/>
      <c r="J1088" s="5" t="n">
        <v>93.17</v>
      </c>
      <c r="K1088" s="5" t="n"/>
      <c r="L1088" s="5" t="n"/>
      <c r="M1088" s="5" t="n"/>
      <c r="N1088" s="5" t="n"/>
      <c r="O1088" s="5" t="n">
        <v>559</v>
      </c>
      <c r="P1088" s="5" t="n"/>
      <c r="Q1088" s="5" t="n">
        <v>559</v>
      </c>
      <c r="R1088" s="5" t="n"/>
      <c r="S1088" s="5">
        <f>F1088*20%</f>
        <v/>
      </c>
      <c r="T1088" s="5">
        <f>J1088-S1088</f>
        <v/>
      </c>
      <c r="U1088" s="5">
        <f>F1088+J1088</f>
        <v/>
      </c>
      <c r="V1088" s="5">
        <f>O1088-U1088</f>
        <v/>
      </c>
      <c r="W1088" s="5">
        <f>O1088-(P1088+R1088)</f>
        <v/>
      </c>
      <c r="X1088" s="5">
        <f>O1088-(P1088+Q1088+R1088)</f>
        <v/>
      </c>
    </row>
    <row r="1089">
      <c r="A1089" s="2" t="inlineStr">
        <is>
          <t>EJ010725.TXT</t>
        </is>
      </c>
      <c r="B1089" s="3" t="inlineStr">
        <is>
          <t>005797</t>
        </is>
      </c>
      <c r="C1089" s="3" t="inlineStr">
        <is>
          <t>004649</t>
        </is>
      </c>
      <c r="D1089" s="4" t="n">
        <v>45754</v>
      </c>
      <c r="E1089" s="2" t="inlineStr">
        <is>
          <t>17:01</t>
        </is>
      </c>
      <c r="F1089" s="5" t="n">
        <v>83.17</v>
      </c>
      <c r="G1089" s="5" t="n"/>
      <c r="H1089" s="5" t="n"/>
      <c r="I1089" s="5" t="n"/>
      <c r="J1089" s="5" t="n">
        <v>16.63</v>
      </c>
      <c r="K1089" s="5" t="n"/>
      <c r="L1089" s="5" t="n"/>
      <c r="M1089" s="5" t="n"/>
      <c r="N1089" s="5" t="n"/>
      <c r="O1089" s="5" t="n">
        <v>99.8</v>
      </c>
      <c r="P1089" s="5" t="n"/>
      <c r="Q1089" s="5" t="n">
        <v>99.8</v>
      </c>
      <c r="R1089" s="5" t="n"/>
      <c r="S1089" s="5">
        <f>F1089*20%</f>
        <v/>
      </c>
      <c r="T1089" s="5">
        <f>J1089-S1089</f>
        <v/>
      </c>
      <c r="U1089" s="5">
        <f>F1089+J1089</f>
        <v/>
      </c>
      <c r="V1089" s="5">
        <f>O1089-U1089</f>
        <v/>
      </c>
      <c r="W1089" s="5">
        <f>O1089-(P1089+R1089)</f>
        <v/>
      </c>
      <c r="X1089" s="5">
        <f>O1089-(P1089+Q1089+R1089)</f>
        <v/>
      </c>
    </row>
    <row r="1090">
      <c r="A1090" s="2" t="inlineStr">
        <is>
          <t>EJ010725.TXT</t>
        </is>
      </c>
      <c r="B1090" s="3" t="inlineStr">
        <is>
          <t>005798</t>
        </is>
      </c>
      <c r="C1090" s="3" t="inlineStr">
        <is>
          <t>004650</t>
        </is>
      </c>
      <c r="D1090" s="4" t="n">
        <v>45755</v>
      </c>
      <c r="E1090" s="2" t="inlineStr">
        <is>
          <t>10:33</t>
        </is>
      </c>
      <c r="F1090" s="5" t="n">
        <v>274.17</v>
      </c>
      <c r="G1090" s="5" t="n"/>
      <c r="H1090" s="5" t="n"/>
      <c r="I1090" s="5" t="n"/>
      <c r="J1090" s="5" t="n">
        <v>54.83</v>
      </c>
      <c r="K1090" s="5" t="n"/>
      <c r="L1090" s="5" t="n"/>
      <c r="M1090" s="5" t="n"/>
      <c r="N1090" s="5" t="n"/>
      <c r="O1090" s="5" t="n">
        <v>329</v>
      </c>
      <c r="P1090" s="5" t="n"/>
      <c r="Q1090" s="5" t="n">
        <v>329</v>
      </c>
      <c r="R1090" s="5" t="n"/>
      <c r="S1090" s="5">
        <f>F1090*20%</f>
        <v/>
      </c>
      <c r="T1090" s="5">
        <f>J1090-S1090</f>
        <v/>
      </c>
      <c r="U1090" s="5">
        <f>F1090+J1090</f>
        <v/>
      </c>
      <c r="V1090" s="5">
        <f>O1090-U1090</f>
        <v/>
      </c>
      <c r="W1090" s="5">
        <f>O1090-(P1090+R1090)</f>
        <v/>
      </c>
      <c r="X1090" s="5">
        <f>O1090-(P1090+Q1090+R1090)</f>
        <v/>
      </c>
    </row>
    <row r="1091">
      <c r="A1091" s="2" t="inlineStr">
        <is>
          <t>EJ010725.TXT</t>
        </is>
      </c>
      <c r="B1091" s="3" t="inlineStr">
        <is>
          <t>005799</t>
        </is>
      </c>
      <c r="C1091" s="3" t="inlineStr">
        <is>
          <t>004651</t>
        </is>
      </c>
      <c r="D1091" s="4" t="n">
        <v>45755</v>
      </c>
      <c r="E1091" s="2" t="inlineStr">
        <is>
          <t>16:01</t>
        </is>
      </c>
      <c r="F1091" s="5" t="n">
        <v>208.33</v>
      </c>
      <c r="G1091" s="5" t="n"/>
      <c r="H1091" s="5" t="n"/>
      <c r="I1091" s="5" t="n"/>
      <c r="J1091" s="5" t="n">
        <v>41.67</v>
      </c>
      <c r="K1091" s="5" t="n"/>
      <c r="L1091" s="5" t="n"/>
      <c r="M1091" s="5" t="n"/>
      <c r="N1091" s="5" t="n"/>
      <c r="O1091" s="5" t="n">
        <v>250</v>
      </c>
      <c r="P1091" s="5" t="n"/>
      <c r="Q1091" s="5" t="n">
        <v>250</v>
      </c>
      <c r="R1091" s="5" t="n"/>
      <c r="S1091" s="5">
        <f>F1091*20%</f>
        <v/>
      </c>
      <c r="T1091" s="5">
        <f>J1091-S1091</f>
        <v/>
      </c>
      <c r="U1091" s="5">
        <f>F1091+J1091</f>
        <v/>
      </c>
      <c r="V1091" s="5">
        <f>O1091-U1091</f>
        <v/>
      </c>
      <c r="W1091" s="5">
        <f>O1091-(P1091+R1091)</f>
        <v/>
      </c>
      <c r="X1091" s="5">
        <f>O1091-(P1091+Q1091+R1091)</f>
        <v/>
      </c>
    </row>
    <row r="1092">
      <c r="A1092" s="2" t="inlineStr">
        <is>
          <t>EJ010725.TXT</t>
        </is>
      </c>
      <c r="B1092" s="3" t="inlineStr">
        <is>
          <t>005800</t>
        </is>
      </c>
      <c r="C1092" s="3" t="inlineStr">
        <is>
          <t>004652</t>
        </is>
      </c>
      <c r="D1092" s="4" t="n">
        <v>45756</v>
      </c>
      <c r="E1092" s="2" t="inlineStr">
        <is>
          <t>14:53</t>
        </is>
      </c>
      <c r="F1092" s="5" t="n">
        <v>41.58</v>
      </c>
      <c r="G1092" s="5" t="n"/>
      <c r="H1092" s="5" t="n"/>
      <c r="I1092" s="5" t="n"/>
      <c r="J1092" s="5" t="n">
        <v>8.32</v>
      </c>
      <c r="K1092" s="5" t="n"/>
      <c r="L1092" s="5" t="n"/>
      <c r="M1092" s="5" t="n"/>
      <c r="N1092" s="5" t="n"/>
      <c r="O1092" s="5" t="n">
        <v>49.9</v>
      </c>
      <c r="P1092" s="5" t="n">
        <v>49.9</v>
      </c>
      <c r="Q1092" s="5" t="n"/>
      <c r="R1092" s="5" t="n"/>
      <c r="S1092" s="5">
        <f>F1092*20%</f>
        <v/>
      </c>
      <c r="T1092" s="5">
        <f>J1092-S1092</f>
        <v/>
      </c>
      <c r="U1092" s="5">
        <f>F1092+J1092</f>
        <v/>
      </c>
      <c r="V1092" s="5">
        <f>O1092-U1092</f>
        <v/>
      </c>
      <c r="W1092" s="5">
        <f>O1092-(P1092+R1092)</f>
        <v/>
      </c>
      <c r="X1092" s="5">
        <f>O1092-(P1092+Q1092+R1092)</f>
        <v/>
      </c>
    </row>
    <row r="1093">
      <c r="A1093" s="2" t="inlineStr">
        <is>
          <t>EJ010725.TXT</t>
        </is>
      </c>
      <c r="B1093" s="3" t="inlineStr">
        <is>
          <t>005801</t>
        </is>
      </c>
      <c r="C1093" s="3" t="inlineStr">
        <is>
          <t>004653</t>
        </is>
      </c>
      <c r="D1093" s="4" t="n">
        <v>45757</v>
      </c>
      <c r="E1093" s="2" t="inlineStr">
        <is>
          <t>14:26</t>
        </is>
      </c>
      <c r="F1093" s="5" t="n">
        <v>548.33</v>
      </c>
      <c r="G1093" s="5" t="n"/>
      <c r="H1093" s="5" t="n"/>
      <c r="I1093" s="5" t="n"/>
      <c r="J1093" s="5" t="n">
        <v>109.67</v>
      </c>
      <c r="K1093" s="5" t="n"/>
      <c r="L1093" s="5" t="n"/>
      <c r="M1093" s="5" t="n"/>
      <c r="N1093" s="5" t="n"/>
      <c r="O1093" s="5" t="n">
        <v>658</v>
      </c>
      <c r="P1093" s="5" t="n">
        <v>658</v>
      </c>
      <c r="Q1093" s="5" t="n"/>
      <c r="R1093" s="5" t="n"/>
      <c r="S1093" s="5">
        <f>F1093*20%</f>
        <v/>
      </c>
      <c r="T1093" s="5">
        <f>J1093-S1093</f>
        <v/>
      </c>
      <c r="U1093" s="5">
        <f>F1093+J1093</f>
        <v/>
      </c>
      <c r="V1093" s="5">
        <f>O1093-U1093</f>
        <v/>
      </c>
      <c r="W1093" s="5">
        <f>O1093-(P1093+R1093)</f>
        <v/>
      </c>
      <c r="X1093" s="5">
        <f>O1093-(P1093+Q1093+R1093)</f>
        <v/>
      </c>
    </row>
    <row r="1094">
      <c r="A1094" s="2" t="inlineStr">
        <is>
          <t>EJ010725.TXT</t>
        </is>
      </c>
      <c r="B1094" s="3" t="inlineStr">
        <is>
          <t>005802</t>
        </is>
      </c>
      <c r="C1094" s="3" t="inlineStr">
        <is>
          <t>004654</t>
        </is>
      </c>
      <c r="D1094" s="4" t="n">
        <v>45758</v>
      </c>
      <c r="E1094" s="2" t="inlineStr">
        <is>
          <t>10:44</t>
        </is>
      </c>
      <c r="F1094" s="5" t="n">
        <v>626.67</v>
      </c>
      <c r="G1094" s="5" t="n"/>
      <c r="H1094" s="5" t="n"/>
      <c r="I1094" s="5" t="n"/>
      <c r="J1094" s="5" t="n">
        <v>125.33</v>
      </c>
      <c r="K1094" s="5" t="n"/>
      <c r="L1094" s="5" t="n"/>
      <c r="M1094" s="5" t="n"/>
      <c r="N1094" s="5" t="n"/>
      <c r="O1094" s="5" t="n">
        <v>752</v>
      </c>
      <c r="P1094" s="5" t="n">
        <v>752</v>
      </c>
      <c r="Q1094" s="5" t="n"/>
      <c r="R1094" s="5" t="n"/>
      <c r="S1094" s="5">
        <f>F1094*20%</f>
        <v/>
      </c>
      <c r="T1094" s="5">
        <f>J1094-S1094</f>
        <v/>
      </c>
      <c r="U1094" s="5">
        <f>F1094+J1094</f>
        <v/>
      </c>
      <c r="V1094" s="5">
        <f>O1094-U1094</f>
        <v/>
      </c>
      <c r="W1094" s="5">
        <f>O1094-(P1094+R1094)</f>
        <v/>
      </c>
      <c r="X1094" s="5">
        <f>O1094-(P1094+Q1094+R1094)</f>
        <v/>
      </c>
    </row>
    <row r="1095">
      <c r="A1095" s="2" t="inlineStr">
        <is>
          <t>EJ010725.TXT</t>
        </is>
      </c>
      <c r="B1095" s="3" t="inlineStr">
        <is>
          <t>005803</t>
        </is>
      </c>
      <c r="C1095" s="3" t="inlineStr">
        <is>
          <t>004655</t>
        </is>
      </c>
      <c r="D1095" s="4" t="n">
        <v>45758</v>
      </c>
      <c r="E1095" s="2" t="inlineStr">
        <is>
          <t>17:22</t>
        </is>
      </c>
      <c r="F1095" s="5" t="n">
        <v>656.67</v>
      </c>
      <c r="G1095" s="5" t="n"/>
      <c r="H1095" s="5" t="n"/>
      <c r="I1095" s="5" t="n"/>
      <c r="J1095" s="5" t="n">
        <v>131.33</v>
      </c>
      <c r="K1095" s="5" t="n"/>
      <c r="L1095" s="5" t="n"/>
      <c r="M1095" s="5" t="n"/>
      <c r="N1095" s="5" t="n"/>
      <c r="O1095" s="5" t="n">
        <v>788</v>
      </c>
      <c r="P1095" s="5" t="n"/>
      <c r="Q1095" s="5" t="n">
        <v>788</v>
      </c>
      <c r="R1095" s="5" t="n"/>
      <c r="S1095" s="5">
        <f>F1095*20%</f>
        <v/>
      </c>
      <c r="T1095" s="5">
        <f>J1095-S1095</f>
        <v/>
      </c>
      <c r="U1095" s="5">
        <f>F1095+J1095</f>
        <v/>
      </c>
      <c r="V1095" s="5">
        <f>O1095-U1095</f>
        <v/>
      </c>
      <c r="W1095" s="5">
        <f>O1095-(P1095+R1095)</f>
        <v/>
      </c>
      <c r="X1095" s="5">
        <f>O1095-(P1095+Q1095+R1095)</f>
        <v/>
      </c>
    </row>
    <row r="1096">
      <c r="A1096" s="2" t="inlineStr">
        <is>
          <t>EJ010725.TXT</t>
        </is>
      </c>
      <c r="B1096" s="3" t="inlineStr">
        <is>
          <t>005804</t>
        </is>
      </c>
      <c r="C1096" s="3" t="inlineStr">
        <is>
          <t>004656</t>
        </is>
      </c>
      <c r="D1096" s="4" t="n">
        <v>45762</v>
      </c>
      <c r="E1096" s="2" t="inlineStr">
        <is>
          <t>17:30</t>
        </is>
      </c>
      <c r="F1096" s="5" t="n">
        <v>845</v>
      </c>
      <c r="G1096" s="5" t="n"/>
      <c r="H1096" s="5" t="n"/>
      <c r="I1096" s="5" t="n"/>
      <c r="J1096" s="5" t="n">
        <v>169</v>
      </c>
      <c r="K1096" s="5" t="n"/>
      <c r="L1096" s="5" t="n"/>
      <c r="M1096" s="5" t="n"/>
      <c r="N1096" s="5" t="n"/>
      <c r="O1096" s="5" t="n">
        <v>1014</v>
      </c>
      <c r="P1096" s="5" t="n">
        <v>1014</v>
      </c>
      <c r="Q1096" s="5" t="n"/>
      <c r="R1096" s="5" t="n"/>
      <c r="S1096" s="5">
        <f>F1096*20%</f>
        <v/>
      </c>
      <c r="T1096" s="5">
        <f>J1096-S1096</f>
        <v/>
      </c>
      <c r="U1096" s="5">
        <f>F1096+J1096</f>
        <v/>
      </c>
      <c r="V1096" s="5">
        <f>O1096-U1096</f>
        <v/>
      </c>
      <c r="W1096" s="5">
        <f>O1096-(P1096+R1096)</f>
        <v/>
      </c>
      <c r="X1096" s="5">
        <f>O1096-(P1096+Q1096+R1096)</f>
        <v/>
      </c>
    </row>
    <row r="1097">
      <c r="A1097" s="2" t="inlineStr">
        <is>
          <t>EJ010725.TXT</t>
        </is>
      </c>
      <c r="B1097" s="3" t="inlineStr">
        <is>
          <t>005805</t>
        </is>
      </c>
      <c r="C1097" s="3" t="inlineStr">
        <is>
          <t>004657</t>
        </is>
      </c>
      <c r="D1097" s="4" t="n">
        <v>45765</v>
      </c>
      <c r="E1097" s="2" t="inlineStr">
        <is>
          <t>12:41</t>
        </is>
      </c>
      <c r="F1097" s="5" t="n">
        <v>208.33</v>
      </c>
      <c r="G1097" s="5" t="n"/>
      <c r="H1097" s="5" t="n"/>
      <c r="I1097" s="5" t="n"/>
      <c r="J1097" s="5" t="n">
        <v>41.67</v>
      </c>
      <c r="K1097" s="5" t="n"/>
      <c r="L1097" s="5" t="n"/>
      <c r="M1097" s="5" t="n"/>
      <c r="N1097" s="5" t="n"/>
      <c r="O1097" s="5" t="n">
        <v>250</v>
      </c>
      <c r="P1097" s="5" t="n"/>
      <c r="Q1097" s="5" t="n">
        <v>250</v>
      </c>
      <c r="R1097" s="5" t="n"/>
      <c r="S1097" s="5">
        <f>F1097*20%</f>
        <v/>
      </c>
      <c r="T1097" s="5">
        <f>J1097-S1097</f>
        <v/>
      </c>
      <c r="U1097" s="5">
        <f>F1097+J1097</f>
        <v/>
      </c>
      <c r="V1097" s="5">
        <f>O1097-U1097</f>
        <v/>
      </c>
      <c r="W1097" s="5">
        <f>O1097-(P1097+R1097)</f>
        <v/>
      </c>
      <c r="X1097" s="5">
        <f>O1097-(P1097+Q1097+R1097)</f>
        <v/>
      </c>
    </row>
    <row r="1098">
      <c r="A1098" s="2" t="inlineStr">
        <is>
          <t>EJ010725.TXT</t>
        </is>
      </c>
      <c r="B1098" s="3" t="inlineStr">
        <is>
          <t>005806</t>
        </is>
      </c>
      <c r="C1098" s="3" t="inlineStr">
        <is>
          <t>004658</t>
        </is>
      </c>
      <c r="D1098" s="4" t="n">
        <v>45766</v>
      </c>
      <c r="E1098" s="2" t="inlineStr">
        <is>
          <t>15:25</t>
        </is>
      </c>
      <c r="F1098" s="5" t="n">
        <v>107.42</v>
      </c>
      <c r="G1098" s="5" t="n"/>
      <c r="H1098" s="5" t="n"/>
      <c r="I1098" s="5" t="n"/>
      <c r="J1098" s="5" t="n">
        <v>21.48</v>
      </c>
      <c r="K1098" s="5" t="n"/>
      <c r="L1098" s="5" t="n"/>
      <c r="M1098" s="5" t="n"/>
      <c r="N1098" s="5" t="n"/>
      <c r="O1098" s="5" t="n">
        <v>128.9</v>
      </c>
      <c r="P1098" s="5" t="n"/>
      <c r="Q1098" s="5" t="n">
        <v>128.9</v>
      </c>
      <c r="R1098" s="5" t="n"/>
      <c r="S1098" s="5">
        <f>F1098*20%</f>
        <v/>
      </c>
      <c r="T1098" s="5">
        <f>J1098-S1098</f>
        <v/>
      </c>
      <c r="U1098" s="5">
        <f>F1098+J1098</f>
        <v/>
      </c>
      <c r="V1098" s="5">
        <f>O1098-U1098</f>
        <v/>
      </c>
      <c r="W1098" s="5">
        <f>O1098-(P1098+R1098)</f>
        <v/>
      </c>
      <c r="X1098" s="5">
        <f>O1098-(P1098+Q1098+R1098)</f>
        <v/>
      </c>
    </row>
    <row r="1099">
      <c r="A1099" s="2" t="inlineStr">
        <is>
          <t>EJ010725.TXT</t>
        </is>
      </c>
      <c r="B1099" s="3" t="inlineStr">
        <is>
          <t>005807</t>
        </is>
      </c>
      <c r="C1099" s="3" t="inlineStr">
        <is>
          <t>004659</t>
        </is>
      </c>
      <c r="D1099" s="4" t="n">
        <v>45770</v>
      </c>
      <c r="E1099" s="2" t="inlineStr">
        <is>
          <t>15:56</t>
        </is>
      </c>
      <c r="F1099" s="5" t="n">
        <v>208.33</v>
      </c>
      <c r="G1099" s="5" t="n"/>
      <c r="H1099" s="5" t="n"/>
      <c r="I1099" s="5" t="n"/>
      <c r="J1099" s="5" t="n">
        <v>41.67</v>
      </c>
      <c r="K1099" s="5" t="n"/>
      <c r="L1099" s="5" t="n"/>
      <c r="M1099" s="5" t="n"/>
      <c r="N1099" s="5" t="n"/>
      <c r="O1099" s="5" t="n">
        <v>250</v>
      </c>
      <c r="P1099" s="5" t="n"/>
      <c r="Q1099" s="5" t="n">
        <v>250</v>
      </c>
      <c r="R1099" s="5" t="n"/>
      <c r="S1099" s="5">
        <f>F1099*20%</f>
        <v/>
      </c>
      <c r="T1099" s="5">
        <f>J1099-S1099</f>
        <v/>
      </c>
      <c r="U1099" s="5">
        <f>F1099+J1099</f>
        <v/>
      </c>
      <c r="V1099" s="5">
        <f>O1099-U1099</f>
        <v/>
      </c>
      <c r="W1099" s="5">
        <f>O1099-(P1099+R1099)</f>
        <v/>
      </c>
      <c r="X1099" s="5">
        <f>O1099-(P1099+Q1099+R1099)</f>
        <v/>
      </c>
    </row>
    <row r="1100">
      <c r="A1100" s="2" t="inlineStr">
        <is>
          <t>EJ010725.TXT</t>
        </is>
      </c>
      <c r="B1100" s="3" t="inlineStr">
        <is>
          <t>005808</t>
        </is>
      </c>
      <c r="C1100" s="3" t="inlineStr">
        <is>
          <t>004660</t>
        </is>
      </c>
      <c r="D1100" s="4" t="n">
        <v>45770</v>
      </c>
      <c r="E1100" s="2" t="inlineStr">
        <is>
          <t>17:13</t>
        </is>
      </c>
      <c r="F1100" s="5" t="n">
        <v>66.5</v>
      </c>
      <c r="G1100" s="5" t="n"/>
      <c r="H1100" s="5" t="n"/>
      <c r="I1100" s="5" t="n"/>
      <c r="J1100" s="5" t="n">
        <v>13.3</v>
      </c>
      <c r="K1100" s="5" t="n"/>
      <c r="L1100" s="5" t="n"/>
      <c r="M1100" s="5" t="n"/>
      <c r="N1100" s="5" t="n"/>
      <c r="O1100" s="5" t="n">
        <v>79.8</v>
      </c>
      <c r="P1100" s="5" t="n">
        <v>79.8</v>
      </c>
      <c r="Q1100" s="5" t="n"/>
      <c r="R1100" s="5" t="n"/>
      <c r="S1100" s="5">
        <f>F1100*20%</f>
        <v/>
      </c>
      <c r="T1100" s="5">
        <f>J1100-S1100</f>
        <v/>
      </c>
      <c r="U1100" s="5">
        <f>F1100+J1100</f>
        <v/>
      </c>
      <c r="V1100" s="5">
        <f>O1100-U1100</f>
        <v/>
      </c>
      <c r="W1100" s="5">
        <f>O1100-(P1100+R1100)</f>
        <v/>
      </c>
      <c r="X1100" s="5">
        <f>O1100-(P1100+Q1100+R1100)</f>
        <v/>
      </c>
    </row>
    <row r="1101">
      <c r="A1101" s="2" t="inlineStr">
        <is>
          <t>EJ010725.TXT</t>
        </is>
      </c>
      <c r="B1101" s="3" t="inlineStr">
        <is>
          <t>005809</t>
        </is>
      </c>
      <c r="C1101" s="3" t="inlineStr">
        <is>
          <t>004661</t>
        </is>
      </c>
      <c r="D1101" s="4" t="n">
        <v>45775</v>
      </c>
      <c r="E1101" s="2" t="inlineStr">
        <is>
          <t>10:23</t>
        </is>
      </c>
      <c r="F1101" s="5" t="n">
        <v>82.5</v>
      </c>
      <c r="G1101" s="5" t="n"/>
      <c r="H1101" s="5" t="n"/>
      <c r="I1101" s="5" t="n"/>
      <c r="J1101" s="5" t="n">
        <v>16.5</v>
      </c>
      <c r="K1101" s="5" t="n"/>
      <c r="L1101" s="5" t="n"/>
      <c r="M1101" s="5" t="n"/>
      <c r="N1101" s="5" t="n"/>
      <c r="O1101" s="5" t="n">
        <v>99</v>
      </c>
      <c r="P1101" s="5" t="n"/>
      <c r="Q1101" s="5" t="n">
        <v>99</v>
      </c>
      <c r="R1101" s="5" t="n"/>
      <c r="S1101" s="5">
        <f>F1101*20%</f>
        <v/>
      </c>
      <c r="T1101" s="5">
        <f>J1101-S1101</f>
        <v/>
      </c>
      <c r="U1101" s="5">
        <f>F1101+J1101</f>
        <v/>
      </c>
      <c r="V1101" s="5">
        <f>O1101-U1101</f>
        <v/>
      </c>
      <c r="W1101" s="5">
        <f>O1101-(P1101+R1101)</f>
        <v/>
      </c>
      <c r="X1101" s="5">
        <f>O1101-(P1101+Q1101+R1101)</f>
        <v/>
      </c>
    </row>
    <row r="1102">
      <c r="A1102" s="2" t="inlineStr">
        <is>
          <t>EJ010725.TXT</t>
        </is>
      </c>
      <c r="B1102" s="3" t="inlineStr">
        <is>
          <t>005810</t>
        </is>
      </c>
      <c r="C1102" s="3" t="inlineStr">
        <is>
          <t>004662</t>
        </is>
      </c>
      <c r="D1102" s="4" t="n">
        <v>45777</v>
      </c>
      <c r="E1102" s="2" t="inlineStr">
        <is>
          <t>10:38</t>
        </is>
      </c>
      <c r="F1102" s="5" t="n">
        <v>315.75</v>
      </c>
      <c r="G1102" s="5" t="n"/>
      <c r="H1102" s="5" t="n"/>
      <c r="I1102" s="5" t="n"/>
      <c r="J1102" s="5" t="n">
        <v>63.15</v>
      </c>
      <c r="K1102" s="5" t="n"/>
      <c r="L1102" s="5" t="n"/>
      <c r="M1102" s="5" t="n"/>
      <c r="N1102" s="5" t="n"/>
      <c r="O1102" s="5" t="n">
        <v>378.9</v>
      </c>
      <c r="P1102" s="5" t="n">
        <v>378.9</v>
      </c>
      <c r="Q1102" s="5" t="n"/>
      <c r="R1102" s="5" t="n"/>
      <c r="S1102" s="5">
        <f>F1102*20%</f>
        <v/>
      </c>
      <c r="T1102" s="5">
        <f>J1102-S1102</f>
        <v/>
      </c>
      <c r="U1102" s="5">
        <f>F1102+J1102</f>
        <v/>
      </c>
      <c r="V1102" s="5">
        <f>O1102-U1102</f>
        <v/>
      </c>
      <c r="W1102" s="5">
        <f>O1102-(P1102+R1102)</f>
        <v/>
      </c>
      <c r="X1102" s="5">
        <f>O1102-(P1102+Q1102+R1102)</f>
        <v/>
      </c>
    </row>
    <row r="1103">
      <c r="A1103" s="2" t="inlineStr">
        <is>
          <t>EJ010725.TXT</t>
        </is>
      </c>
      <c r="B1103" s="3" t="inlineStr">
        <is>
          <t>005811</t>
        </is>
      </c>
      <c r="C1103" s="3" t="inlineStr">
        <is>
          <t>004663</t>
        </is>
      </c>
      <c r="D1103" s="4" t="n">
        <v>45777</v>
      </c>
      <c r="E1103" s="2" t="inlineStr">
        <is>
          <t>15:23</t>
        </is>
      </c>
      <c r="F1103" s="5" t="n">
        <v>274.17</v>
      </c>
      <c r="G1103" s="5" t="n"/>
      <c r="H1103" s="5" t="n"/>
      <c r="I1103" s="5" t="n"/>
      <c r="J1103" s="5" t="n">
        <v>54.83</v>
      </c>
      <c r="K1103" s="5" t="n"/>
      <c r="L1103" s="5" t="n"/>
      <c r="M1103" s="5" t="n"/>
      <c r="N1103" s="5" t="n"/>
      <c r="O1103" s="5" t="n">
        <v>329</v>
      </c>
      <c r="P1103" s="5" t="n">
        <v>329</v>
      </c>
      <c r="Q1103" s="5" t="n"/>
      <c r="R1103" s="5" t="n"/>
      <c r="S1103" s="5">
        <f>F1103*20%</f>
        <v/>
      </c>
      <c r="T1103" s="5">
        <f>J1103-S1103</f>
        <v/>
      </c>
      <c r="U1103" s="5">
        <f>F1103+J1103</f>
        <v/>
      </c>
      <c r="V1103" s="5">
        <f>O1103-U1103</f>
        <v/>
      </c>
      <c r="W1103" s="5">
        <f>O1103-(P1103+R1103)</f>
        <v/>
      </c>
      <c r="X1103" s="5">
        <f>O1103-(P1103+Q1103+R1103)</f>
        <v/>
      </c>
    </row>
    <row r="1104">
      <c r="A1104" s="2" t="inlineStr">
        <is>
          <t>EJ010725.TXT</t>
        </is>
      </c>
      <c r="B1104" s="3" t="inlineStr">
        <is>
          <t>005812</t>
        </is>
      </c>
      <c r="C1104" s="3" t="inlineStr">
        <is>
          <t>004664</t>
        </is>
      </c>
      <c r="D1104" s="4" t="n">
        <v>45782</v>
      </c>
      <c r="E1104" s="2" t="inlineStr">
        <is>
          <t>09:49</t>
        </is>
      </c>
      <c r="F1104" s="5" t="n">
        <v>208.33</v>
      </c>
      <c r="G1104" s="5" t="n"/>
      <c r="H1104" s="5" t="n"/>
      <c r="I1104" s="5" t="n"/>
      <c r="J1104" s="5" t="n">
        <v>41.67</v>
      </c>
      <c r="K1104" s="5" t="n"/>
      <c r="L1104" s="5" t="n"/>
      <c r="M1104" s="5" t="n"/>
      <c r="N1104" s="5" t="n"/>
      <c r="O1104" s="5" t="n">
        <v>250</v>
      </c>
      <c r="P1104" s="5" t="n"/>
      <c r="Q1104" s="5" t="n">
        <v>250</v>
      </c>
      <c r="R1104" s="5" t="n"/>
      <c r="S1104" s="5">
        <f>F1104*20%</f>
        <v/>
      </c>
      <c r="T1104" s="5">
        <f>J1104-S1104</f>
        <v/>
      </c>
      <c r="U1104" s="5">
        <f>F1104+J1104</f>
        <v/>
      </c>
      <c r="V1104" s="5">
        <f>O1104-U1104</f>
        <v/>
      </c>
      <c r="W1104" s="5">
        <f>O1104-(P1104+R1104)</f>
        <v/>
      </c>
      <c r="X1104" s="5">
        <f>O1104-(P1104+Q1104+R1104)</f>
        <v/>
      </c>
    </row>
    <row r="1105">
      <c r="A1105" s="2" t="inlineStr">
        <is>
          <t>EJ010725.TXT</t>
        </is>
      </c>
      <c r="B1105" s="3" t="inlineStr">
        <is>
          <t>005813</t>
        </is>
      </c>
      <c r="C1105" s="3" t="inlineStr">
        <is>
          <t>004665</t>
        </is>
      </c>
      <c r="D1105" s="4" t="n">
        <v>45782</v>
      </c>
      <c r="E1105" s="2" t="inlineStr">
        <is>
          <t>14:49</t>
        </is>
      </c>
      <c r="F1105" s="5" t="n">
        <v>548.33</v>
      </c>
      <c r="G1105" s="5" t="n"/>
      <c r="H1105" s="5" t="n"/>
      <c r="I1105" s="5" t="n"/>
      <c r="J1105" s="5" t="n">
        <v>109.67</v>
      </c>
      <c r="K1105" s="5" t="n"/>
      <c r="L1105" s="5" t="n"/>
      <c r="M1105" s="5" t="n"/>
      <c r="N1105" s="5" t="n"/>
      <c r="O1105" s="5" t="n">
        <v>658</v>
      </c>
      <c r="P1105" s="5" t="n">
        <v>658</v>
      </c>
      <c r="Q1105" s="5" t="n"/>
      <c r="R1105" s="5" t="n"/>
      <c r="S1105" s="5">
        <f>F1105*20%</f>
        <v/>
      </c>
      <c r="T1105" s="5">
        <f>J1105-S1105</f>
        <v/>
      </c>
      <c r="U1105" s="5">
        <f>F1105+J1105</f>
        <v/>
      </c>
      <c r="V1105" s="5">
        <f>O1105-U1105</f>
        <v/>
      </c>
      <c r="W1105" s="5">
        <f>O1105-(P1105+R1105)</f>
        <v/>
      </c>
      <c r="X1105" s="5">
        <f>O1105-(P1105+Q1105+R1105)</f>
        <v/>
      </c>
    </row>
    <row r="1106">
      <c r="A1106" s="2" t="inlineStr">
        <is>
          <t>EJ010725.TXT</t>
        </is>
      </c>
      <c r="B1106" s="3" t="inlineStr">
        <is>
          <t>005814</t>
        </is>
      </c>
      <c r="C1106" s="3" t="inlineStr">
        <is>
          <t>004666</t>
        </is>
      </c>
      <c r="D1106" s="4" t="n">
        <v>45783</v>
      </c>
      <c r="E1106" s="2" t="inlineStr">
        <is>
          <t>13:59</t>
        </is>
      </c>
      <c r="F1106" s="5" t="n">
        <v>274.17</v>
      </c>
      <c r="G1106" s="5" t="n"/>
      <c r="H1106" s="5" t="n"/>
      <c r="I1106" s="5" t="n"/>
      <c r="J1106" s="5" t="n">
        <v>54.83</v>
      </c>
      <c r="K1106" s="5" t="n"/>
      <c r="L1106" s="5" t="n"/>
      <c r="M1106" s="5" t="n"/>
      <c r="N1106" s="5" t="n"/>
      <c r="O1106" s="5" t="n">
        <v>329</v>
      </c>
      <c r="P1106" s="5" t="n"/>
      <c r="Q1106" s="5" t="n">
        <v>329</v>
      </c>
      <c r="R1106" s="5" t="n"/>
      <c r="S1106" s="5">
        <f>F1106*20%</f>
        <v/>
      </c>
      <c r="T1106" s="5">
        <f>J1106-S1106</f>
        <v/>
      </c>
      <c r="U1106" s="5">
        <f>F1106+J1106</f>
        <v/>
      </c>
      <c r="V1106" s="5">
        <f>O1106-U1106</f>
        <v/>
      </c>
      <c r="W1106" s="5">
        <f>O1106-(P1106+R1106)</f>
        <v/>
      </c>
      <c r="X1106" s="5">
        <f>O1106-(P1106+Q1106+R1106)</f>
        <v/>
      </c>
    </row>
    <row r="1107">
      <c r="A1107" s="2" t="inlineStr">
        <is>
          <t>EJ010725.TXT</t>
        </is>
      </c>
      <c r="B1107" s="3" t="inlineStr">
        <is>
          <t>005815</t>
        </is>
      </c>
      <c r="C1107" s="3" t="inlineStr">
        <is>
          <t>004667</t>
        </is>
      </c>
      <c r="D1107" s="4" t="n">
        <v>45786</v>
      </c>
      <c r="E1107" s="2" t="inlineStr">
        <is>
          <t>16:03</t>
        </is>
      </c>
      <c r="F1107" s="5" t="n">
        <v>548.33</v>
      </c>
      <c r="G1107" s="5" t="n"/>
      <c r="H1107" s="5" t="n"/>
      <c r="I1107" s="5" t="n"/>
      <c r="J1107" s="5" t="n">
        <v>109.67</v>
      </c>
      <c r="K1107" s="5" t="n"/>
      <c r="L1107" s="5" t="n"/>
      <c r="M1107" s="5" t="n"/>
      <c r="N1107" s="5" t="n"/>
      <c r="O1107" s="5" t="n">
        <v>658</v>
      </c>
      <c r="P1107" s="5" t="n"/>
      <c r="Q1107" s="5" t="n">
        <v>658</v>
      </c>
      <c r="R1107" s="5" t="n"/>
      <c r="S1107" s="5">
        <f>F1107*20%</f>
        <v/>
      </c>
      <c r="T1107" s="5">
        <f>J1107-S1107</f>
        <v/>
      </c>
      <c r="U1107" s="5">
        <f>F1107+J1107</f>
        <v/>
      </c>
      <c r="V1107" s="5">
        <f>O1107-U1107</f>
        <v/>
      </c>
      <c r="W1107" s="5">
        <f>O1107-(P1107+R1107)</f>
        <v/>
      </c>
      <c r="X1107" s="5">
        <f>O1107-(P1107+Q1107+R1107)</f>
        <v/>
      </c>
    </row>
    <row r="1108">
      <c r="A1108" s="2" t="inlineStr">
        <is>
          <t>EJ010725.TXT</t>
        </is>
      </c>
      <c r="B1108" s="3" t="inlineStr">
        <is>
          <t>005816</t>
        </is>
      </c>
      <c r="C1108" s="3" t="inlineStr">
        <is>
          <t>004668</t>
        </is>
      </c>
      <c r="D1108" s="4" t="n">
        <v>45786</v>
      </c>
      <c r="E1108" s="2" t="inlineStr">
        <is>
          <t>16:05</t>
        </is>
      </c>
      <c r="F1108" s="5" t="n">
        <v>208.33</v>
      </c>
      <c r="G1108" s="5" t="n"/>
      <c r="H1108" s="5" t="n"/>
      <c r="I1108" s="5" t="n"/>
      <c r="J1108" s="5" t="n">
        <v>41.67</v>
      </c>
      <c r="K1108" s="5" t="n"/>
      <c r="L1108" s="5" t="n"/>
      <c r="M1108" s="5" t="n"/>
      <c r="N1108" s="5" t="n"/>
      <c r="O1108" s="5" t="n">
        <v>250</v>
      </c>
      <c r="P1108" s="5" t="n"/>
      <c r="Q1108" s="5" t="n">
        <v>250</v>
      </c>
      <c r="R1108" s="5" t="n"/>
      <c r="S1108" s="5">
        <f>F1108*20%</f>
        <v/>
      </c>
      <c r="T1108" s="5">
        <f>J1108-S1108</f>
        <v/>
      </c>
      <c r="U1108" s="5">
        <f>F1108+J1108</f>
        <v/>
      </c>
      <c r="V1108" s="5">
        <f>O1108-U1108</f>
        <v/>
      </c>
      <c r="W1108" s="5">
        <f>O1108-(P1108+R1108)</f>
        <v/>
      </c>
      <c r="X1108" s="5">
        <f>O1108-(P1108+Q1108+R1108)</f>
        <v/>
      </c>
    </row>
    <row r="1109">
      <c r="A1109" s="2" t="inlineStr">
        <is>
          <t>EJ010725.TXT</t>
        </is>
      </c>
      <c r="B1109" s="3" t="inlineStr">
        <is>
          <t>005817</t>
        </is>
      </c>
      <c r="C1109" s="3" t="inlineStr">
        <is>
          <t>004669</t>
        </is>
      </c>
      <c r="D1109" s="4" t="n">
        <v>45794</v>
      </c>
      <c r="E1109" s="2" t="inlineStr">
        <is>
          <t>17:14</t>
        </is>
      </c>
      <c r="F1109" s="5" t="n">
        <v>274.17</v>
      </c>
      <c r="G1109" s="5" t="n"/>
      <c r="H1109" s="5" t="n"/>
      <c r="I1109" s="5" t="n"/>
      <c r="J1109" s="5" t="n">
        <v>54.83</v>
      </c>
      <c r="K1109" s="5" t="n"/>
      <c r="L1109" s="5" t="n"/>
      <c r="M1109" s="5" t="n"/>
      <c r="N1109" s="5" t="n"/>
      <c r="O1109" s="5" t="n">
        <v>329</v>
      </c>
      <c r="P1109" s="5" t="n">
        <v>329</v>
      </c>
      <c r="Q1109" s="5" t="n"/>
      <c r="R1109" s="5" t="n"/>
      <c r="S1109" s="5">
        <f>F1109*20%</f>
        <v/>
      </c>
      <c r="T1109" s="5">
        <f>J1109-S1109</f>
        <v/>
      </c>
      <c r="U1109" s="5">
        <f>F1109+J1109</f>
        <v/>
      </c>
      <c r="V1109" s="5">
        <f>O1109-U1109</f>
        <v/>
      </c>
      <c r="W1109" s="5">
        <f>O1109-(P1109+R1109)</f>
        <v/>
      </c>
      <c r="X1109" s="5">
        <f>O1109-(P1109+Q1109+R1109)</f>
        <v/>
      </c>
    </row>
    <row r="1110">
      <c r="A1110" s="2" t="inlineStr">
        <is>
          <t>EJ010725.TXT</t>
        </is>
      </c>
      <c r="B1110" s="3" t="inlineStr">
        <is>
          <t>005818</t>
        </is>
      </c>
      <c r="C1110" s="3" t="inlineStr">
        <is>
          <t>004670</t>
        </is>
      </c>
      <c r="D1110" s="4" t="n">
        <v>45795</v>
      </c>
      <c r="E1110" s="2" t="inlineStr">
        <is>
          <t>18:35</t>
        </is>
      </c>
      <c r="F1110" s="5" t="n">
        <v>74.92</v>
      </c>
      <c r="G1110" s="5" t="n"/>
      <c r="H1110" s="5" t="n"/>
      <c r="I1110" s="5" t="n"/>
      <c r="J1110" s="5" t="n">
        <v>14.98</v>
      </c>
      <c r="K1110" s="5" t="n"/>
      <c r="L1110" s="5" t="n"/>
      <c r="M1110" s="5" t="n"/>
      <c r="N1110" s="5" t="n"/>
      <c r="O1110" s="5" t="n">
        <v>89.90000000000001</v>
      </c>
      <c r="P1110" s="5" t="n">
        <v>89.90000000000001</v>
      </c>
      <c r="Q1110" s="5" t="n"/>
      <c r="R1110" s="5" t="n"/>
      <c r="S1110" s="5">
        <f>F1110*20%</f>
        <v/>
      </c>
      <c r="T1110" s="5">
        <f>J1110-S1110</f>
        <v/>
      </c>
      <c r="U1110" s="5">
        <f>F1110+J1110</f>
        <v/>
      </c>
      <c r="V1110" s="5">
        <f>O1110-U1110</f>
        <v/>
      </c>
      <c r="W1110" s="5">
        <f>O1110-(P1110+R1110)</f>
        <v/>
      </c>
      <c r="X1110" s="5">
        <f>O1110-(P1110+Q1110+R1110)</f>
        <v/>
      </c>
    </row>
    <row r="1111">
      <c r="A1111" s="2" t="inlineStr">
        <is>
          <t>EJ010725.TXT</t>
        </is>
      </c>
      <c r="B1111" s="3" t="inlineStr">
        <is>
          <t>005820</t>
        </is>
      </c>
      <c r="C1111" s="3" t="inlineStr">
        <is>
          <t>004671</t>
        </is>
      </c>
      <c r="D1111" s="4" t="n">
        <v>45805</v>
      </c>
      <c r="E1111" s="2" t="inlineStr">
        <is>
          <t>14:49</t>
        </is>
      </c>
      <c r="F1111" s="5" t="n">
        <v>548.33</v>
      </c>
      <c r="G1111" s="5" t="n"/>
      <c r="H1111" s="5" t="n"/>
      <c r="I1111" s="5" t="n"/>
      <c r="J1111" s="5" t="n">
        <v>109.67</v>
      </c>
      <c r="K1111" s="5" t="n"/>
      <c r="L1111" s="5" t="n"/>
      <c r="M1111" s="5" t="n"/>
      <c r="N1111" s="5" t="n"/>
      <c r="O1111" s="5" t="n">
        <v>658</v>
      </c>
      <c r="P1111" s="5" t="n">
        <v>658</v>
      </c>
      <c r="Q1111" s="5" t="n"/>
      <c r="R1111" s="5" t="n"/>
      <c r="S1111" s="5">
        <f>F1111*20%</f>
        <v/>
      </c>
      <c r="T1111" s="5">
        <f>J1111-S1111</f>
        <v/>
      </c>
      <c r="U1111" s="5">
        <f>F1111+J1111</f>
        <v/>
      </c>
      <c r="V1111" s="5">
        <f>O1111-U1111</f>
        <v/>
      </c>
      <c r="W1111" s="5">
        <f>O1111-(P1111+R1111)</f>
        <v/>
      </c>
      <c r="X1111" s="5">
        <f>O1111-(P1111+Q1111+R1111)</f>
        <v/>
      </c>
    </row>
    <row r="1112">
      <c r="A1112" s="2" t="inlineStr">
        <is>
          <t>EJ010725.TXT</t>
        </is>
      </c>
      <c r="B1112" s="3" t="inlineStr">
        <is>
          <t>005821</t>
        </is>
      </c>
      <c r="C1112" s="3" t="inlineStr">
        <is>
          <t>004672</t>
        </is>
      </c>
      <c r="D1112" s="4" t="n">
        <v>45813</v>
      </c>
      <c r="E1112" s="2" t="inlineStr">
        <is>
          <t>16:58</t>
        </is>
      </c>
      <c r="F1112" s="5" t="n">
        <v>865</v>
      </c>
      <c r="G1112" s="5" t="n"/>
      <c r="H1112" s="5" t="n"/>
      <c r="I1112" s="5" t="n"/>
      <c r="J1112" s="5" t="n">
        <v>173</v>
      </c>
      <c r="K1112" s="5" t="n"/>
      <c r="L1112" s="5" t="n"/>
      <c r="M1112" s="5" t="n"/>
      <c r="N1112" s="5" t="n"/>
      <c r="O1112" s="5" t="n">
        <v>1038</v>
      </c>
      <c r="P1112" s="5" t="n"/>
      <c r="Q1112" s="5" t="n">
        <v>1038</v>
      </c>
      <c r="R1112" s="5" t="n"/>
      <c r="S1112" s="5">
        <f>F1112*20%</f>
        <v/>
      </c>
      <c r="T1112" s="5">
        <f>J1112-S1112</f>
        <v/>
      </c>
      <c r="U1112" s="5">
        <f>F1112+J1112</f>
        <v/>
      </c>
      <c r="V1112" s="5">
        <f>O1112-U1112</f>
        <v/>
      </c>
      <c r="W1112" s="5">
        <f>O1112-(P1112+R1112)</f>
        <v/>
      </c>
      <c r="X1112" s="5">
        <f>O1112-(P1112+Q1112+R1112)</f>
        <v/>
      </c>
    </row>
    <row r="1113">
      <c r="A1113" s="2" t="inlineStr">
        <is>
          <t>EJ010725.TXT</t>
        </is>
      </c>
      <c r="B1113" s="3" t="inlineStr">
        <is>
          <t>005822</t>
        </is>
      </c>
      <c r="C1113" s="3" t="inlineStr">
        <is>
          <t>004673</t>
        </is>
      </c>
      <c r="D1113" s="4" t="n">
        <v>45815</v>
      </c>
      <c r="E1113" s="2" t="inlineStr">
        <is>
          <t>15:32</t>
        </is>
      </c>
      <c r="F1113" s="5" t="n">
        <v>33.25</v>
      </c>
      <c r="G1113" s="5" t="n"/>
      <c r="H1113" s="5" t="n"/>
      <c r="I1113" s="5" t="n"/>
      <c r="J1113" s="5" t="n">
        <v>6.65</v>
      </c>
      <c r="K1113" s="5" t="n"/>
      <c r="L1113" s="5" t="n"/>
      <c r="M1113" s="5" t="n"/>
      <c r="N1113" s="5" t="n"/>
      <c r="O1113" s="5" t="n">
        <v>39.9</v>
      </c>
      <c r="P1113" s="5" t="n">
        <v>39.9</v>
      </c>
      <c r="Q1113" s="5" t="n"/>
      <c r="R1113" s="5" t="n"/>
      <c r="S1113" s="5">
        <f>F1113*20%</f>
        <v/>
      </c>
      <c r="T1113" s="5">
        <f>J1113-S1113</f>
        <v/>
      </c>
      <c r="U1113" s="5">
        <f>F1113+J1113</f>
        <v/>
      </c>
      <c r="V1113" s="5">
        <f>O1113-U1113</f>
        <v/>
      </c>
      <c r="W1113" s="5">
        <f>O1113-(P1113+R1113)</f>
        <v/>
      </c>
      <c r="X1113" s="5">
        <f>O1113-(P1113+Q1113+R1113)</f>
        <v/>
      </c>
    </row>
    <row r="1114">
      <c r="A1114" s="2" t="inlineStr">
        <is>
          <t>EJ010725.TXT</t>
        </is>
      </c>
      <c r="B1114" s="3" t="inlineStr">
        <is>
          <t>005823</t>
        </is>
      </c>
      <c r="C1114" s="3" t="inlineStr">
        <is>
          <t>004674</t>
        </is>
      </c>
      <c r="D1114" s="4" t="n">
        <v>45820</v>
      </c>
      <c r="E1114" s="2" t="inlineStr">
        <is>
          <t>09:30</t>
        </is>
      </c>
      <c r="F1114" s="5" t="n">
        <v>199.17</v>
      </c>
      <c r="G1114" s="5" t="n"/>
      <c r="H1114" s="5" t="n"/>
      <c r="I1114" s="5" t="n"/>
      <c r="J1114" s="5" t="n">
        <v>39.83</v>
      </c>
      <c r="K1114" s="5" t="n"/>
      <c r="L1114" s="5" t="n"/>
      <c r="M1114" s="5" t="n"/>
      <c r="N1114" s="5" t="n"/>
      <c r="O1114" s="5" t="n">
        <v>239</v>
      </c>
      <c r="P1114" s="5" t="n">
        <v>239</v>
      </c>
      <c r="Q1114" s="5" t="n"/>
      <c r="R1114" s="5" t="n"/>
      <c r="S1114" s="5">
        <f>F1114*20%</f>
        <v/>
      </c>
      <c r="T1114" s="5">
        <f>J1114-S1114</f>
        <v/>
      </c>
      <c r="U1114" s="5">
        <f>F1114+J1114</f>
        <v/>
      </c>
      <c r="V1114" s="5">
        <f>O1114-U1114</f>
        <v/>
      </c>
      <c r="W1114" s="5">
        <f>O1114-(P1114+R1114)</f>
        <v/>
      </c>
      <c r="X1114" s="5">
        <f>O1114-(P1114+Q1114+R1114)</f>
        <v/>
      </c>
    </row>
    <row r="1115">
      <c r="A1115" s="2" t="inlineStr">
        <is>
          <t>EJ010725.TXT</t>
        </is>
      </c>
      <c r="B1115" s="3" t="inlineStr">
        <is>
          <t>005824</t>
        </is>
      </c>
      <c r="C1115" s="3" t="inlineStr">
        <is>
          <t>004675</t>
        </is>
      </c>
      <c r="D1115" s="4" t="n">
        <v>45820</v>
      </c>
      <c r="E1115" s="2" t="inlineStr">
        <is>
          <t>14:45</t>
        </is>
      </c>
      <c r="F1115" s="5" t="n">
        <v>250</v>
      </c>
      <c r="G1115" s="5" t="n"/>
      <c r="H1115" s="5" t="n"/>
      <c r="I1115" s="5" t="n"/>
      <c r="J1115" s="5" t="n">
        <v>50</v>
      </c>
      <c r="K1115" s="5" t="n"/>
      <c r="L1115" s="5" t="n"/>
      <c r="M1115" s="5" t="n"/>
      <c r="N1115" s="5" t="n"/>
      <c r="O1115" s="5" t="n">
        <v>300</v>
      </c>
      <c r="P1115" s="5" t="n"/>
      <c r="Q1115" s="5" t="n">
        <v>300</v>
      </c>
      <c r="R1115" s="5" t="n"/>
      <c r="S1115" s="5">
        <f>F1115*20%</f>
        <v/>
      </c>
      <c r="T1115" s="5">
        <f>J1115-S1115</f>
        <v/>
      </c>
      <c r="U1115" s="5">
        <f>F1115+J1115</f>
        <v/>
      </c>
      <c r="V1115" s="5">
        <f>O1115-U1115</f>
        <v/>
      </c>
      <c r="W1115" s="5">
        <f>O1115-(P1115+R1115)</f>
        <v/>
      </c>
      <c r="X1115" s="5">
        <f>O1115-(P1115+Q1115+R1115)</f>
        <v/>
      </c>
    </row>
    <row r="1116">
      <c r="A1116" s="2" t="inlineStr">
        <is>
          <t>EJ010725.TXT</t>
        </is>
      </c>
      <c r="B1116" s="3" t="inlineStr">
        <is>
          <t>005825</t>
        </is>
      </c>
      <c r="C1116" s="3" t="inlineStr">
        <is>
          <t>004676</t>
        </is>
      </c>
      <c r="D1116" s="4" t="n">
        <v>45820</v>
      </c>
      <c r="E1116" s="2" t="inlineStr">
        <is>
          <t>14:46</t>
        </is>
      </c>
      <c r="F1116" s="5" t="n">
        <v>24.17</v>
      </c>
      <c r="G1116" s="5" t="n"/>
      <c r="H1116" s="5" t="n"/>
      <c r="I1116" s="5" t="n"/>
      <c r="J1116" s="5" t="n">
        <v>4.83</v>
      </c>
      <c r="K1116" s="5" t="n"/>
      <c r="L1116" s="5" t="n"/>
      <c r="M1116" s="5" t="n"/>
      <c r="N1116" s="5" t="n"/>
      <c r="O1116" s="5" t="n">
        <v>29</v>
      </c>
      <c r="P1116" s="5" t="n">
        <v>29</v>
      </c>
      <c r="Q1116" s="5" t="n"/>
      <c r="R1116" s="5" t="n"/>
      <c r="S1116" s="5">
        <f>F1116*20%</f>
        <v/>
      </c>
      <c r="T1116" s="5">
        <f>J1116-S1116</f>
        <v/>
      </c>
      <c r="U1116" s="5">
        <f>F1116+J1116</f>
        <v/>
      </c>
      <c r="V1116" s="5">
        <f>O1116-U1116</f>
        <v/>
      </c>
      <c r="W1116" s="5">
        <f>O1116-(P1116+R1116)</f>
        <v/>
      </c>
      <c r="X1116" s="5">
        <f>O1116-(P1116+Q1116+R1116)</f>
        <v/>
      </c>
    </row>
    <row r="1117">
      <c r="A1117" s="2" t="inlineStr">
        <is>
          <t>EJ010725.TXT</t>
        </is>
      </c>
      <c r="B1117" s="3" t="inlineStr">
        <is>
          <t>005826</t>
        </is>
      </c>
      <c r="C1117" s="3" t="inlineStr">
        <is>
          <t>004677</t>
        </is>
      </c>
      <c r="D1117" s="4" t="n">
        <v>45834</v>
      </c>
      <c r="E1117" s="2" t="inlineStr">
        <is>
          <t>15:26</t>
        </is>
      </c>
      <c r="F1117" s="5" t="n">
        <v>199.17</v>
      </c>
      <c r="G1117" s="5" t="n"/>
      <c r="H1117" s="5" t="n"/>
      <c r="I1117" s="5" t="n"/>
      <c r="J1117" s="5" t="n">
        <v>39.83</v>
      </c>
      <c r="K1117" s="5" t="n"/>
      <c r="L1117" s="5" t="n"/>
      <c r="M1117" s="5" t="n"/>
      <c r="N1117" s="5" t="n"/>
      <c r="O1117" s="5" t="n">
        <v>239</v>
      </c>
      <c r="P1117" s="5" t="n">
        <v>239</v>
      </c>
      <c r="Q1117" s="5" t="n"/>
      <c r="R1117" s="5" t="n"/>
      <c r="S1117" s="5">
        <f>F1117*20%</f>
        <v/>
      </c>
      <c r="T1117" s="5">
        <f>J1117-S1117</f>
        <v/>
      </c>
      <c r="U1117" s="5">
        <f>F1117+J1117</f>
        <v/>
      </c>
      <c r="V1117" s="5">
        <f>O1117-U1117</f>
        <v/>
      </c>
      <c r="W1117" s="5">
        <f>O1117-(P1117+R1117)</f>
        <v/>
      </c>
      <c r="X1117" s="5">
        <f>O1117-(P1117+Q1117+R1117)</f>
        <v/>
      </c>
    </row>
    <row r="1118">
      <c r="A1118" s="2" t="inlineStr">
        <is>
          <t>EJ010725.TXT</t>
        </is>
      </c>
      <c r="B1118" s="3" t="inlineStr">
        <is>
          <t>005827</t>
        </is>
      </c>
      <c r="C1118" s="3" t="inlineStr">
        <is>
          <t>004678</t>
        </is>
      </c>
      <c r="D1118" s="4" t="n">
        <v>45835</v>
      </c>
      <c r="E1118" s="2" t="inlineStr">
        <is>
          <t>17:12</t>
        </is>
      </c>
      <c r="F1118" s="5" t="n">
        <v>274.17</v>
      </c>
      <c r="G1118" s="5" t="n"/>
      <c r="H1118" s="5" t="n"/>
      <c r="I1118" s="5" t="n"/>
      <c r="J1118" s="5" t="n">
        <v>54.83</v>
      </c>
      <c r="K1118" s="5" t="n"/>
      <c r="L1118" s="5" t="n"/>
      <c r="M1118" s="5" t="n"/>
      <c r="N1118" s="5" t="n"/>
      <c r="O1118" s="5" t="n">
        <v>329</v>
      </c>
      <c r="P1118" s="5" t="n"/>
      <c r="Q1118" s="5" t="n">
        <v>329</v>
      </c>
      <c r="R1118" s="5" t="n"/>
      <c r="S1118" s="5">
        <f>F1118*20%</f>
        <v/>
      </c>
      <c r="T1118" s="5">
        <f>J1118-S1118</f>
        <v/>
      </c>
      <c r="U1118" s="5">
        <f>F1118+J1118</f>
        <v/>
      </c>
      <c r="V1118" s="5">
        <f>O1118-U1118</f>
        <v/>
      </c>
      <c r="W1118" s="5">
        <f>O1118-(P1118+R1118)</f>
        <v/>
      </c>
      <c r="X1118" s="5">
        <f>O1118-(P1118+Q1118+R1118)</f>
        <v/>
      </c>
    </row>
    <row r="1119">
      <c r="A1119" s="2" t="inlineStr">
        <is>
          <t>EJ310725.TXT</t>
        </is>
      </c>
      <c r="B1119" s="3" t="inlineStr">
        <is>
          <t>005835</t>
        </is>
      </c>
      <c r="C1119" s="3" t="inlineStr">
        <is>
          <t>004679</t>
        </is>
      </c>
      <c r="D1119" s="4" t="n">
        <v>45845</v>
      </c>
      <c r="E1119" s="2" t="inlineStr">
        <is>
          <t>10:59</t>
        </is>
      </c>
      <c r="F1119" s="5" t="n">
        <v>190.83</v>
      </c>
      <c r="G1119" s="5" t="n"/>
      <c r="H1119" s="5" t="n"/>
      <c r="I1119" s="5" t="n"/>
      <c r="J1119" s="5" t="n">
        <v>38.17</v>
      </c>
      <c r="K1119" s="5" t="n"/>
      <c r="L1119" s="5" t="n"/>
      <c r="M1119" s="5" t="n"/>
      <c r="N1119" s="5" t="n"/>
      <c r="O1119" s="5" t="n">
        <v>229</v>
      </c>
      <c r="P1119" s="5" t="n">
        <v>229</v>
      </c>
      <c r="Q1119" s="5" t="n"/>
      <c r="R1119" s="5" t="n"/>
      <c r="S1119" s="5">
        <f>F1119*20%</f>
        <v/>
      </c>
      <c r="T1119" s="5">
        <f>J1119-S1119</f>
        <v/>
      </c>
      <c r="U1119" s="5">
        <f>F1119+J1119</f>
        <v/>
      </c>
      <c r="V1119" s="5">
        <f>O1119-U1119</f>
        <v/>
      </c>
      <c r="W1119" s="5">
        <f>O1119-(P1119+R1119)</f>
        <v/>
      </c>
      <c r="X1119" s="5">
        <f>O1119-(P1119+Q1119+R1119)</f>
        <v/>
      </c>
    </row>
    <row r="1120">
      <c r="A1120" s="2" t="inlineStr">
        <is>
          <t>EJ310725.TXT</t>
        </is>
      </c>
      <c r="B1120" s="3" t="inlineStr">
        <is>
          <t>005836</t>
        </is>
      </c>
      <c r="C1120" s="3" t="inlineStr">
        <is>
          <t>004680</t>
        </is>
      </c>
      <c r="D1120" s="4" t="n">
        <v>45845</v>
      </c>
      <c r="E1120" s="2" t="inlineStr">
        <is>
          <t>16:48</t>
        </is>
      </c>
      <c r="F1120" s="5" t="n">
        <v>274.17</v>
      </c>
      <c r="G1120" s="5" t="n"/>
      <c r="H1120" s="5" t="n"/>
      <c r="I1120" s="5" t="n"/>
      <c r="J1120" s="5" t="n">
        <v>54.83</v>
      </c>
      <c r="K1120" s="5" t="n"/>
      <c r="L1120" s="5" t="n"/>
      <c r="M1120" s="5" t="n"/>
      <c r="N1120" s="5" t="n"/>
      <c r="O1120" s="5" t="n">
        <v>329</v>
      </c>
      <c r="P1120" s="5" t="n"/>
      <c r="Q1120" s="5" t="n">
        <v>329</v>
      </c>
      <c r="R1120" s="5" t="n"/>
      <c r="S1120" s="5">
        <f>F1120*20%</f>
        <v/>
      </c>
      <c r="T1120" s="5">
        <f>J1120-S1120</f>
        <v/>
      </c>
      <c r="U1120" s="5">
        <f>F1120+J1120</f>
        <v/>
      </c>
      <c r="V1120" s="5">
        <f>O1120-U1120</f>
        <v/>
      </c>
      <c r="W1120" s="5">
        <f>O1120-(P1120+R1120)</f>
        <v/>
      </c>
      <c r="X1120" s="5">
        <f>O1120-(P1120+Q1120+R1120)</f>
        <v/>
      </c>
    </row>
    <row r="1121">
      <c r="A1121" s="2" t="inlineStr">
        <is>
          <t>EJ310725.TXT</t>
        </is>
      </c>
      <c r="B1121" s="3" t="inlineStr">
        <is>
          <t>005837</t>
        </is>
      </c>
      <c r="C1121" s="3" t="inlineStr">
        <is>
          <t>004681</t>
        </is>
      </c>
      <c r="D1121" s="4" t="n">
        <v>45846</v>
      </c>
      <c r="E1121" s="2" t="inlineStr">
        <is>
          <t>11:39</t>
        </is>
      </c>
      <c r="F1121" s="5" t="n">
        <v>1645</v>
      </c>
      <c r="G1121" s="5" t="n"/>
      <c r="H1121" s="5" t="n"/>
      <c r="I1121" s="5" t="n"/>
      <c r="J1121" s="5" t="n">
        <v>329</v>
      </c>
      <c r="K1121" s="5" t="n"/>
      <c r="L1121" s="5" t="n"/>
      <c r="M1121" s="5" t="n"/>
      <c r="N1121" s="5" t="n"/>
      <c r="O1121" s="5" t="n">
        <v>1974</v>
      </c>
      <c r="P1121" s="5" t="n">
        <v>1974</v>
      </c>
      <c r="Q1121" s="5" t="n"/>
      <c r="R1121" s="5" t="n"/>
      <c r="S1121" s="5">
        <f>F1121*20%</f>
        <v/>
      </c>
      <c r="T1121" s="5">
        <f>J1121-S1121</f>
        <v/>
      </c>
      <c r="U1121" s="5">
        <f>F1121+J1121</f>
        <v/>
      </c>
      <c r="V1121" s="5">
        <f>O1121-U1121</f>
        <v/>
      </c>
      <c r="W1121" s="5">
        <f>O1121-(P1121+R1121)</f>
        <v/>
      </c>
      <c r="X1121" s="5">
        <f>O1121-(P1121+Q1121+R1121)</f>
        <v/>
      </c>
    </row>
    <row r="1122">
      <c r="A1122" s="2" t="inlineStr">
        <is>
          <t>EJ310725.TXT</t>
        </is>
      </c>
      <c r="B1122" s="3" t="inlineStr">
        <is>
          <t>005838</t>
        </is>
      </c>
      <c r="C1122" s="3" t="inlineStr">
        <is>
          <t>004682</t>
        </is>
      </c>
      <c r="D1122" s="4" t="n">
        <v>45849</v>
      </c>
      <c r="E1122" s="2" t="inlineStr">
        <is>
          <t>17:08</t>
        </is>
      </c>
      <c r="F1122" s="5" t="n">
        <v>190.83</v>
      </c>
      <c r="G1122" s="5" t="n"/>
      <c r="H1122" s="5" t="n"/>
      <c r="I1122" s="5" t="n"/>
      <c r="J1122" s="5" t="n">
        <v>38.17</v>
      </c>
      <c r="K1122" s="5" t="n"/>
      <c r="L1122" s="5" t="n"/>
      <c r="M1122" s="5" t="n"/>
      <c r="N1122" s="5" t="n"/>
      <c r="O1122" s="5" t="n">
        <v>229</v>
      </c>
      <c r="P1122" s="5" t="n">
        <v>229</v>
      </c>
      <c r="Q1122" s="5" t="n"/>
      <c r="R1122" s="5" t="n"/>
      <c r="S1122" s="5">
        <f>F1122*20%</f>
        <v/>
      </c>
      <c r="T1122" s="5">
        <f>J1122-S1122</f>
        <v/>
      </c>
      <c r="U1122" s="5">
        <f>F1122+J1122</f>
        <v/>
      </c>
      <c r="V1122" s="5">
        <f>O1122-U1122</f>
        <v/>
      </c>
      <c r="W1122" s="5">
        <f>O1122-(P1122+R1122)</f>
        <v/>
      </c>
      <c r="X1122" s="5">
        <f>O1122-(P1122+Q1122+R1122)</f>
        <v/>
      </c>
    </row>
    <row r="1123">
      <c r="A1123" s="2" t="inlineStr">
        <is>
          <t>EJ310725.TXT</t>
        </is>
      </c>
      <c r="B1123" s="3" t="inlineStr">
        <is>
          <t>005839</t>
        </is>
      </c>
      <c r="C1123" s="3" t="inlineStr">
        <is>
          <t>004683</t>
        </is>
      </c>
      <c r="D1123" s="4" t="n">
        <v>45853</v>
      </c>
      <c r="E1123" s="2" t="inlineStr">
        <is>
          <t>10:51</t>
        </is>
      </c>
      <c r="F1123" s="5" t="n">
        <v>832.5</v>
      </c>
      <c r="G1123" s="5" t="n"/>
      <c r="H1123" s="5" t="n"/>
      <c r="I1123" s="5" t="n"/>
      <c r="J1123" s="5" t="n">
        <v>166.5</v>
      </c>
      <c r="K1123" s="5" t="n"/>
      <c r="L1123" s="5" t="n"/>
      <c r="M1123" s="5" t="n"/>
      <c r="N1123" s="5" t="n"/>
      <c r="O1123" s="5" t="n">
        <v>999</v>
      </c>
      <c r="P1123" s="5" t="n"/>
      <c r="Q1123" s="5" t="n">
        <v>999</v>
      </c>
      <c r="R1123" s="5" t="n"/>
      <c r="S1123" s="5">
        <f>F1123*20%</f>
        <v/>
      </c>
      <c r="T1123" s="5">
        <f>J1123-S1123</f>
        <v/>
      </c>
      <c r="U1123" s="5">
        <f>F1123+J1123</f>
        <v/>
      </c>
      <c r="V1123" s="5">
        <f>O1123-U1123</f>
        <v/>
      </c>
      <c r="W1123" s="5">
        <f>O1123-(P1123+R1123)</f>
        <v/>
      </c>
      <c r="X1123" s="5">
        <f>O1123-(P1123+Q1123+R1123)</f>
        <v/>
      </c>
    </row>
    <row r="1124">
      <c r="A1124" s="2" t="inlineStr">
        <is>
          <t>EJ310725.TXT</t>
        </is>
      </c>
      <c r="B1124" s="3" t="inlineStr">
        <is>
          <t>005840</t>
        </is>
      </c>
      <c r="C1124" s="3" t="inlineStr">
        <is>
          <t>004684</t>
        </is>
      </c>
      <c r="D1124" s="4" t="n">
        <v>45853</v>
      </c>
      <c r="E1124" s="2" t="inlineStr">
        <is>
          <t>10:52</t>
        </is>
      </c>
      <c r="F1124" s="5" t="n">
        <v>833.33</v>
      </c>
      <c r="G1124" s="5" t="n"/>
      <c r="H1124" s="5" t="n"/>
      <c r="I1124" s="5" t="n"/>
      <c r="J1124" s="5" t="n">
        <v>166.67</v>
      </c>
      <c r="K1124" s="5" t="n"/>
      <c r="L1124" s="5" t="n"/>
      <c r="M1124" s="5" t="n"/>
      <c r="N1124" s="5" t="n"/>
      <c r="O1124" s="5" t="n">
        <v>1000</v>
      </c>
      <c r="P1124" s="5" t="n"/>
      <c r="Q1124" s="5" t="n">
        <v>1000</v>
      </c>
      <c r="R1124" s="5" t="n"/>
      <c r="S1124" s="5">
        <f>F1124*20%</f>
        <v/>
      </c>
      <c r="T1124" s="5">
        <f>J1124-S1124</f>
        <v/>
      </c>
      <c r="U1124" s="5">
        <f>F1124+J1124</f>
        <v/>
      </c>
      <c r="V1124" s="5">
        <f>O1124-U1124</f>
        <v/>
      </c>
      <c r="W1124" s="5">
        <f>O1124-(P1124+R1124)</f>
        <v/>
      </c>
      <c r="X1124" s="5">
        <f>O1124-(P1124+Q1124+R1124)</f>
        <v/>
      </c>
    </row>
    <row r="1125">
      <c r="A1125" s="2" t="inlineStr">
        <is>
          <t>EJ310725.TXT</t>
        </is>
      </c>
      <c r="B1125" s="3" t="inlineStr">
        <is>
          <t>005841</t>
        </is>
      </c>
      <c r="C1125" s="3" t="inlineStr">
        <is>
          <t>004685</t>
        </is>
      </c>
      <c r="D1125" s="4" t="n">
        <v>45853</v>
      </c>
      <c r="E1125" s="2" t="inlineStr">
        <is>
          <t>10:53</t>
        </is>
      </c>
      <c r="F1125" s="5" t="n">
        <v>825</v>
      </c>
      <c r="G1125" s="5" t="n"/>
      <c r="H1125" s="5" t="n"/>
      <c r="I1125" s="5" t="n"/>
      <c r="J1125" s="5" t="n">
        <v>165</v>
      </c>
      <c r="K1125" s="5" t="n"/>
      <c r="L1125" s="5" t="n"/>
      <c r="M1125" s="5" t="n"/>
      <c r="N1125" s="5" t="n"/>
      <c r="O1125" s="5" t="n">
        <v>990</v>
      </c>
      <c r="P1125" s="5" t="n"/>
      <c r="Q1125" s="5" t="n">
        <v>990</v>
      </c>
      <c r="R1125" s="5" t="n"/>
      <c r="S1125" s="5">
        <f>F1125*20%</f>
        <v/>
      </c>
      <c r="T1125" s="5">
        <f>J1125-S1125</f>
        <v/>
      </c>
      <c r="U1125" s="5">
        <f>F1125+J1125</f>
        <v/>
      </c>
      <c r="V1125" s="5">
        <f>O1125-U1125</f>
        <v/>
      </c>
      <c r="W1125" s="5">
        <f>O1125-(P1125+R1125)</f>
        <v/>
      </c>
      <c r="X1125" s="5">
        <f>O1125-(P1125+Q1125+R1125)</f>
        <v/>
      </c>
    </row>
    <row r="1126">
      <c r="A1126" s="2" t="inlineStr">
        <is>
          <t>EJ310725.TXT</t>
        </is>
      </c>
      <c r="B1126" s="3" t="inlineStr">
        <is>
          <t>005842</t>
        </is>
      </c>
      <c r="C1126" s="3" t="inlineStr">
        <is>
          <t>004686</t>
        </is>
      </c>
      <c r="D1126" s="4" t="n">
        <v>45853</v>
      </c>
      <c r="E1126" s="2" t="inlineStr">
        <is>
          <t>10:54</t>
        </is>
      </c>
      <c r="F1126" s="5" t="n">
        <v>690.83</v>
      </c>
      <c r="G1126" s="5" t="n"/>
      <c r="H1126" s="5" t="n"/>
      <c r="I1126" s="5" t="n"/>
      <c r="J1126" s="5" t="n">
        <v>138.17</v>
      </c>
      <c r="K1126" s="5" t="n"/>
      <c r="L1126" s="5" t="n"/>
      <c r="M1126" s="5" t="n"/>
      <c r="N1126" s="5" t="n"/>
      <c r="O1126" s="5" t="n">
        <v>829</v>
      </c>
      <c r="P1126" s="5" t="n"/>
      <c r="Q1126" s="5" t="n">
        <v>829</v>
      </c>
      <c r="R1126" s="5" t="n"/>
      <c r="S1126" s="5">
        <f>F1126*20%</f>
        <v/>
      </c>
      <c r="T1126" s="5">
        <f>J1126-S1126</f>
        <v/>
      </c>
      <c r="U1126" s="5">
        <f>F1126+J1126</f>
        <v/>
      </c>
      <c r="V1126" s="5">
        <f>O1126-U1126</f>
        <v/>
      </c>
      <c r="W1126" s="5">
        <f>O1126-(P1126+R1126)</f>
        <v/>
      </c>
      <c r="X1126" s="5">
        <f>O1126-(P1126+Q1126+R1126)</f>
        <v/>
      </c>
    </row>
    <row r="1127">
      <c r="A1127" s="2" t="inlineStr">
        <is>
          <t>EJ310725.TXT</t>
        </is>
      </c>
      <c r="B1127" s="3" t="inlineStr">
        <is>
          <t>005843</t>
        </is>
      </c>
      <c r="C1127" s="3" t="inlineStr">
        <is>
          <t>004687</t>
        </is>
      </c>
      <c r="D1127" s="4" t="n">
        <v>45853</v>
      </c>
      <c r="E1127" s="2" t="inlineStr">
        <is>
          <t>10:55</t>
        </is>
      </c>
      <c r="F1127" s="5" t="n">
        <v>833.33</v>
      </c>
      <c r="G1127" s="5" t="n"/>
      <c r="H1127" s="5" t="n"/>
      <c r="I1127" s="5" t="n"/>
      <c r="J1127" s="5" t="n">
        <v>166.67</v>
      </c>
      <c r="K1127" s="5" t="n"/>
      <c r="L1127" s="5" t="n"/>
      <c r="M1127" s="5" t="n"/>
      <c r="N1127" s="5" t="n"/>
      <c r="O1127" s="5" t="n">
        <v>1000</v>
      </c>
      <c r="P1127" s="5" t="n"/>
      <c r="Q1127" s="5" t="n">
        <v>1000</v>
      </c>
      <c r="R1127" s="5" t="n"/>
      <c r="S1127" s="5">
        <f>F1127*20%</f>
        <v/>
      </c>
      <c r="T1127" s="5">
        <f>J1127-S1127</f>
        <v/>
      </c>
      <c r="U1127" s="5">
        <f>F1127+J1127</f>
        <v/>
      </c>
      <c r="V1127" s="5">
        <f>O1127-U1127</f>
        <v/>
      </c>
      <c r="W1127" s="5">
        <f>O1127-(P1127+R1127)</f>
        <v/>
      </c>
      <c r="X1127" s="5">
        <f>O1127-(P1127+Q1127+R1127)</f>
        <v/>
      </c>
    </row>
    <row r="1128">
      <c r="A1128" s="2" t="inlineStr">
        <is>
          <t>EJ310725.TXT</t>
        </is>
      </c>
      <c r="B1128" s="3" t="inlineStr">
        <is>
          <t>005844</t>
        </is>
      </c>
      <c r="C1128" s="3" t="inlineStr">
        <is>
          <t>004688</t>
        </is>
      </c>
      <c r="D1128" s="4" t="n">
        <v>45853</v>
      </c>
      <c r="E1128" s="2" t="inlineStr">
        <is>
          <t>10:56</t>
        </is>
      </c>
      <c r="F1128" s="5" t="n">
        <v>674.17</v>
      </c>
      <c r="G1128" s="5" t="n"/>
      <c r="H1128" s="5" t="n"/>
      <c r="I1128" s="5" t="n"/>
      <c r="J1128" s="5" t="n">
        <v>134.83</v>
      </c>
      <c r="K1128" s="5" t="n"/>
      <c r="L1128" s="5" t="n"/>
      <c r="M1128" s="5" t="n"/>
      <c r="N1128" s="5" t="n"/>
      <c r="O1128" s="5" t="n">
        <v>809</v>
      </c>
      <c r="P1128" s="5" t="n"/>
      <c r="Q1128" s="5" t="n">
        <v>809</v>
      </c>
      <c r="R1128" s="5" t="n"/>
      <c r="S1128" s="5">
        <f>F1128*20%</f>
        <v/>
      </c>
      <c r="T1128" s="5">
        <f>J1128-S1128</f>
        <v/>
      </c>
      <c r="U1128" s="5">
        <f>F1128+J1128</f>
        <v/>
      </c>
      <c r="V1128" s="5">
        <f>O1128-U1128</f>
        <v/>
      </c>
      <c r="W1128" s="5">
        <f>O1128-(P1128+R1128)</f>
        <v/>
      </c>
      <c r="X1128" s="5">
        <f>O1128-(P1128+Q1128+R1128)</f>
        <v/>
      </c>
    </row>
    <row r="1129">
      <c r="A1129" s="2" t="inlineStr">
        <is>
          <t>EJ310725.TXT</t>
        </is>
      </c>
      <c r="B1129" s="3" t="inlineStr">
        <is>
          <t>005845</t>
        </is>
      </c>
      <c r="C1129" s="3" t="inlineStr">
        <is>
          <t>004689</t>
        </is>
      </c>
      <c r="D1129" s="4" t="n">
        <v>45853</v>
      </c>
      <c r="E1129" s="2" t="inlineStr">
        <is>
          <t>11:00</t>
        </is>
      </c>
      <c r="F1129" s="5" t="n">
        <v>40.75</v>
      </c>
      <c r="G1129" s="5" t="n"/>
      <c r="H1129" s="5" t="n"/>
      <c r="I1129" s="5" t="n"/>
      <c r="J1129" s="5" t="n">
        <v>8.15</v>
      </c>
      <c r="K1129" s="5" t="n"/>
      <c r="L1129" s="5" t="n"/>
      <c r="M1129" s="5" t="n"/>
      <c r="N1129" s="5" t="n"/>
      <c r="O1129" s="5" t="n">
        <v>48.9</v>
      </c>
      <c r="P1129" s="5" t="n"/>
      <c r="Q1129" s="5" t="n">
        <v>48.9</v>
      </c>
      <c r="R1129" s="5" t="n"/>
      <c r="S1129" s="5">
        <f>F1129*20%</f>
        <v/>
      </c>
      <c r="T1129" s="5">
        <f>J1129-S1129</f>
        <v/>
      </c>
      <c r="U1129" s="5">
        <f>F1129+J1129</f>
        <v/>
      </c>
      <c r="V1129" s="5">
        <f>O1129-U1129</f>
        <v/>
      </c>
      <c r="W1129" s="5">
        <f>O1129-(P1129+R1129)</f>
        <v/>
      </c>
      <c r="X1129" s="5">
        <f>O1129-(P1129+Q1129+R1129)</f>
        <v/>
      </c>
    </row>
    <row r="1130">
      <c r="A1130" s="2" t="inlineStr">
        <is>
          <t>EJ310725.TXT</t>
        </is>
      </c>
      <c r="B1130" s="3" t="inlineStr">
        <is>
          <t>005846</t>
        </is>
      </c>
      <c r="C1130" s="3" t="inlineStr">
        <is>
          <t>004690</t>
        </is>
      </c>
      <c r="D1130" s="4" t="n">
        <v>45854</v>
      </c>
      <c r="E1130" s="2" t="inlineStr">
        <is>
          <t>13:34</t>
        </is>
      </c>
      <c r="F1130" s="5" t="n">
        <v>375</v>
      </c>
      <c r="G1130" s="5" t="n"/>
      <c r="H1130" s="5" t="n"/>
      <c r="I1130" s="5" t="n"/>
      <c r="J1130" s="5" t="n">
        <v>75</v>
      </c>
      <c r="K1130" s="5" t="n"/>
      <c r="L1130" s="5" t="n"/>
      <c r="M1130" s="5" t="n"/>
      <c r="N1130" s="5" t="n"/>
      <c r="O1130" s="5" t="n">
        <v>450</v>
      </c>
      <c r="P1130" s="5" t="n"/>
      <c r="Q1130" s="5" t="n">
        <v>450</v>
      </c>
      <c r="R1130" s="5" t="n"/>
      <c r="S1130" s="5">
        <f>F1130*20%</f>
        <v/>
      </c>
      <c r="T1130" s="5">
        <f>J1130-S1130</f>
        <v/>
      </c>
      <c r="U1130" s="5">
        <f>F1130+J1130</f>
        <v/>
      </c>
      <c r="V1130" s="5">
        <f>O1130-U1130</f>
        <v/>
      </c>
      <c r="W1130" s="5">
        <f>O1130-(P1130+R1130)</f>
        <v/>
      </c>
      <c r="X1130" s="5">
        <f>O1130-(P1130+Q1130+R1130)</f>
        <v/>
      </c>
    </row>
    <row r="1131">
      <c r="A1131" s="2" t="inlineStr">
        <is>
          <t>EJ310725.TXT</t>
        </is>
      </c>
      <c r="B1131" s="3" t="inlineStr">
        <is>
          <t>005847</t>
        </is>
      </c>
      <c r="C1131" s="3" t="inlineStr">
        <is>
          <t>004691</t>
        </is>
      </c>
      <c r="D1131" s="4" t="n">
        <v>45854</v>
      </c>
      <c r="E1131" s="2" t="inlineStr">
        <is>
          <t>13:34</t>
        </is>
      </c>
      <c r="F1131" s="5" t="n">
        <v>525.83</v>
      </c>
      <c r="G1131" s="5" t="n"/>
      <c r="H1131" s="5" t="n"/>
      <c r="I1131" s="5" t="n"/>
      <c r="J1131" s="5" t="n">
        <v>105.17</v>
      </c>
      <c r="K1131" s="5" t="n"/>
      <c r="L1131" s="5" t="n"/>
      <c r="M1131" s="5" t="n"/>
      <c r="N1131" s="5" t="n"/>
      <c r="O1131" s="5" t="n">
        <v>631</v>
      </c>
      <c r="P1131" s="5" t="n"/>
      <c r="Q1131" s="5" t="n">
        <v>631</v>
      </c>
      <c r="R1131" s="5" t="n"/>
      <c r="S1131" s="5">
        <f>F1131*20%</f>
        <v/>
      </c>
      <c r="T1131" s="5">
        <f>J1131-S1131</f>
        <v/>
      </c>
      <c r="U1131" s="5">
        <f>F1131+J1131</f>
        <v/>
      </c>
      <c r="V1131" s="5">
        <f>O1131-U1131</f>
        <v/>
      </c>
      <c r="W1131" s="5">
        <f>O1131-(P1131+R1131)</f>
        <v/>
      </c>
      <c r="X1131" s="5">
        <f>O1131-(P1131+Q1131+R1131)</f>
        <v/>
      </c>
    </row>
    <row r="1132">
      <c r="A1132" s="2" t="inlineStr">
        <is>
          <t>EJ310725.TXT</t>
        </is>
      </c>
      <c r="B1132" s="3" t="inlineStr">
        <is>
          <t>005848</t>
        </is>
      </c>
      <c r="C1132" s="3" t="inlineStr">
        <is>
          <t>004692</t>
        </is>
      </c>
      <c r="D1132" s="4" t="n">
        <v>45854</v>
      </c>
      <c r="E1132" s="2" t="inlineStr">
        <is>
          <t>14:46</t>
        </is>
      </c>
      <c r="F1132" s="5" t="n">
        <v>822.5</v>
      </c>
      <c r="G1132" s="5" t="n"/>
      <c r="H1132" s="5" t="n"/>
      <c r="I1132" s="5" t="n"/>
      <c r="J1132" s="5" t="n">
        <v>164.5</v>
      </c>
      <c r="K1132" s="5" t="n"/>
      <c r="L1132" s="5" t="n"/>
      <c r="M1132" s="5" t="n"/>
      <c r="N1132" s="5" t="n"/>
      <c r="O1132" s="5" t="n">
        <v>987</v>
      </c>
      <c r="P1132" s="5" t="n"/>
      <c r="Q1132" s="5" t="n">
        <v>987</v>
      </c>
      <c r="R1132" s="5" t="n"/>
      <c r="S1132" s="5">
        <f>F1132*20%</f>
        <v/>
      </c>
      <c r="T1132" s="5">
        <f>J1132-S1132</f>
        <v/>
      </c>
      <c r="U1132" s="5">
        <f>F1132+J1132</f>
        <v/>
      </c>
      <c r="V1132" s="5">
        <f>O1132-U1132</f>
        <v/>
      </c>
      <c r="W1132" s="5">
        <f>O1132-(P1132+R1132)</f>
        <v/>
      </c>
      <c r="X1132" s="5">
        <f>O1132-(P1132+Q1132+R1132)</f>
        <v/>
      </c>
    </row>
    <row r="1133">
      <c r="A1133" s="2" t="inlineStr">
        <is>
          <t>EJ310725.TXT</t>
        </is>
      </c>
      <c r="B1133" s="3" t="inlineStr">
        <is>
          <t>005849</t>
        </is>
      </c>
      <c r="C1133" s="3" t="inlineStr">
        <is>
          <t>004693</t>
        </is>
      </c>
      <c r="D1133" s="4" t="n">
        <v>45854</v>
      </c>
      <c r="E1133" s="2" t="inlineStr">
        <is>
          <t>14:46</t>
        </is>
      </c>
      <c r="F1133" s="5" t="n">
        <v>822.5</v>
      </c>
      <c r="G1133" s="5" t="n"/>
      <c r="H1133" s="5" t="n"/>
      <c r="I1133" s="5" t="n"/>
      <c r="J1133" s="5" t="n">
        <v>164.5</v>
      </c>
      <c r="K1133" s="5" t="n"/>
      <c r="L1133" s="5" t="n"/>
      <c r="M1133" s="5" t="n"/>
      <c r="N1133" s="5" t="n"/>
      <c r="O1133" s="5" t="n">
        <v>987</v>
      </c>
      <c r="P1133" s="5" t="n"/>
      <c r="Q1133" s="5" t="n">
        <v>987</v>
      </c>
      <c r="R1133" s="5" t="n"/>
      <c r="S1133" s="5">
        <f>F1133*20%</f>
        <v/>
      </c>
      <c r="T1133" s="5">
        <f>J1133-S1133</f>
        <v/>
      </c>
      <c r="U1133" s="5">
        <f>F1133+J1133</f>
        <v/>
      </c>
      <c r="V1133" s="5">
        <f>O1133-U1133</f>
        <v/>
      </c>
      <c r="W1133" s="5">
        <f>O1133-(P1133+R1133)</f>
        <v/>
      </c>
      <c r="X1133" s="5">
        <f>O1133-(P1133+Q1133+R1133)</f>
        <v/>
      </c>
    </row>
    <row r="1134">
      <c r="A1134" s="2" t="inlineStr">
        <is>
          <t>EJ310725.TXT</t>
        </is>
      </c>
      <c r="B1134" s="3" t="inlineStr">
        <is>
          <t>005850</t>
        </is>
      </c>
      <c r="C1134" s="3" t="inlineStr">
        <is>
          <t>004694</t>
        </is>
      </c>
      <c r="D1134" s="4" t="n">
        <v>45854</v>
      </c>
      <c r="E1134" s="2" t="inlineStr">
        <is>
          <t>14:47</t>
        </is>
      </c>
      <c r="F1134" s="5" t="n">
        <v>274.17</v>
      </c>
      <c r="G1134" s="5" t="n"/>
      <c r="H1134" s="5" t="n"/>
      <c r="I1134" s="5" t="n"/>
      <c r="J1134" s="5" t="n">
        <v>54.83</v>
      </c>
      <c r="K1134" s="5" t="n"/>
      <c r="L1134" s="5" t="n"/>
      <c r="M1134" s="5" t="n"/>
      <c r="N1134" s="5" t="n"/>
      <c r="O1134" s="5" t="n">
        <v>329</v>
      </c>
      <c r="P1134" s="5" t="n"/>
      <c r="Q1134" s="5" t="n">
        <v>329</v>
      </c>
      <c r="R1134" s="5" t="n"/>
      <c r="S1134" s="5">
        <f>F1134*20%</f>
        <v/>
      </c>
      <c r="T1134" s="5">
        <f>J1134-S1134</f>
        <v/>
      </c>
      <c r="U1134" s="5">
        <f>F1134+J1134</f>
        <v/>
      </c>
      <c r="V1134" s="5">
        <f>O1134-U1134</f>
        <v/>
      </c>
      <c r="W1134" s="5">
        <f>O1134-(P1134+R1134)</f>
        <v/>
      </c>
      <c r="X1134" s="5">
        <f>O1134-(P1134+Q1134+R1134)</f>
        <v/>
      </c>
    </row>
    <row r="1135">
      <c r="A1135" s="2" t="inlineStr">
        <is>
          <t>EJ310725.TXT</t>
        </is>
      </c>
      <c r="B1135" s="3" t="inlineStr">
        <is>
          <t>005851</t>
        </is>
      </c>
      <c r="C1135" s="3" t="inlineStr">
        <is>
          <t>004695</t>
        </is>
      </c>
      <c r="D1135" s="4" t="n">
        <v>45856</v>
      </c>
      <c r="E1135" s="2" t="inlineStr">
        <is>
          <t>09:48</t>
        </is>
      </c>
      <c r="F1135" s="5" t="n">
        <v>799.17</v>
      </c>
      <c r="G1135" s="5" t="n"/>
      <c r="H1135" s="5" t="n"/>
      <c r="I1135" s="5" t="n"/>
      <c r="J1135" s="5" t="n">
        <v>159.83</v>
      </c>
      <c r="K1135" s="5" t="n"/>
      <c r="L1135" s="5" t="n"/>
      <c r="M1135" s="5" t="n"/>
      <c r="N1135" s="5" t="n"/>
      <c r="O1135" s="5" t="n">
        <v>959</v>
      </c>
      <c r="P1135" s="5" t="n"/>
      <c r="Q1135" s="5" t="n">
        <v>959</v>
      </c>
      <c r="R1135" s="5" t="n"/>
      <c r="S1135" s="5">
        <f>F1135*20%</f>
        <v/>
      </c>
      <c r="T1135" s="5">
        <f>J1135-S1135</f>
        <v/>
      </c>
      <c r="U1135" s="5">
        <f>F1135+J1135</f>
        <v/>
      </c>
      <c r="V1135" s="5">
        <f>O1135-U1135</f>
        <v/>
      </c>
      <c r="W1135" s="5">
        <f>O1135-(P1135+R1135)</f>
        <v/>
      </c>
      <c r="X1135" s="5">
        <f>O1135-(P1135+Q1135+R1135)</f>
        <v/>
      </c>
    </row>
    <row r="1136">
      <c r="A1136" s="2" t="inlineStr">
        <is>
          <t>EJ310725.TXT</t>
        </is>
      </c>
      <c r="B1136" s="3" t="inlineStr">
        <is>
          <t>005852</t>
        </is>
      </c>
      <c r="C1136" s="3" t="inlineStr">
        <is>
          <t>004696</t>
        </is>
      </c>
      <c r="D1136" s="4" t="n">
        <v>45856</v>
      </c>
      <c r="E1136" s="2" t="inlineStr">
        <is>
          <t>09:49</t>
        </is>
      </c>
      <c r="F1136" s="5" t="n">
        <v>799.17</v>
      </c>
      <c r="G1136" s="5" t="n"/>
      <c r="H1136" s="5" t="n"/>
      <c r="I1136" s="5" t="n"/>
      <c r="J1136" s="5" t="n">
        <v>159.83</v>
      </c>
      <c r="K1136" s="5" t="n"/>
      <c r="L1136" s="5" t="n"/>
      <c r="M1136" s="5" t="n"/>
      <c r="N1136" s="5" t="n"/>
      <c r="O1136" s="5" t="n">
        <v>959</v>
      </c>
      <c r="P1136" s="5" t="n"/>
      <c r="Q1136" s="5" t="n">
        <v>959</v>
      </c>
      <c r="R1136" s="5" t="n"/>
      <c r="S1136" s="5">
        <f>F1136*20%</f>
        <v/>
      </c>
      <c r="T1136" s="5">
        <f>J1136-S1136</f>
        <v/>
      </c>
      <c r="U1136" s="5">
        <f>F1136+J1136</f>
        <v/>
      </c>
      <c r="V1136" s="5">
        <f>O1136-U1136</f>
        <v/>
      </c>
      <c r="W1136" s="5">
        <f>O1136-(P1136+R1136)</f>
        <v/>
      </c>
      <c r="X1136" s="5">
        <f>O1136-(P1136+Q1136+R1136)</f>
        <v/>
      </c>
    </row>
    <row r="1137">
      <c r="A1137" s="2" t="inlineStr">
        <is>
          <t>EJ310725.TXT</t>
        </is>
      </c>
      <c r="B1137" s="3" t="inlineStr">
        <is>
          <t>005853</t>
        </is>
      </c>
      <c r="C1137" s="3" t="inlineStr">
        <is>
          <t>004697</t>
        </is>
      </c>
      <c r="D1137" s="4" t="n">
        <v>45856</v>
      </c>
      <c r="E1137" s="2" t="inlineStr">
        <is>
          <t>09:49</t>
        </is>
      </c>
      <c r="F1137" s="5" t="n">
        <v>799.17</v>
      </c>
      <c r="G1137" s="5" t="n"/>
      <c r="H1137" s="5" t="n"/>
      <c r="I1137" s="5" t="n"/>
      <c r="J1137" s="5" t="n">
        <v>159.83</v>
      </c>
      <c r="K1137" s="5" t="n"/>
      <c r="L1137" s="5" t="n"/>
      <c r="M1137" s="5" t="n"/>
      <c r="N1137" s="5" t="n"/>
      <c r="O1137" s="5" t="n">
        <v>959</v>
      </c>
      <c r="P1137" s="5" t="n"/>
      <c r="Q1137" s="5" t="n">
        <v>959</v>
      </c>
      <c r="R1137" s="5" t="n"/>
      <c r="S1137" s="5">
        <f>F1137*20%</f>
        <v/>
      </c>
      <c r="T1137" s="5">
        <f>J1137-S1137</f>
        <v/>
      </c>
      <c r="U1137" s="5">
        <f>F1137+J1137</f>
        <v/>
      </c>
      <c r="V1137" s="5">
        <f>O1137-U1137</f>
        <v/>
      </c>
      <c r="W1137" s="5">
        <f>O1137-(P1137+R1137)</f>
        <v/>
      </c>
      <c r="X1137" s="5">
        <f>O1137-(P1137+Q1137+R1137)</f>
        <v/>
      </c>
    </row>
    <row r="1138">
      <c r="A1138" s="2" t="inlineStr">
        <is>
          <t>EJ310725.TXT</t>
        </is>
      </c>
      <c r="B1138" s="3" t="inlineStr">
        <is>
          <t>005854</t>
        </is>
      </c>
      <c r="C1138" s="3" t="inlineStr">
        <is>
          <t>004698</t>
        </is>
      </c>
      <c r="D1138" s="4" t="n">
        <v>45856</v>
      </c>
      <c r="E1138" s="2" t="inlineStr">
        <is>
          <t>09:50</t>
        </is>
      </c>
      <c r="F1138" s="5" t="n">
        <v>799.17</v>
      </c>
      <c r="G1138" s="5" t="n"/>
      <c r="H1138" s="5" t="n"/>
      <c r="I1138" s="5" t="n"/>
      <c r="J1138" s="5" t="n">
        <v>159.83</v>
      </c>
      <c r="K1138" s="5" t="n"/>
      <c r="L1138" s="5" t="n"/>
      <c r="M1138" s="5" t="n"/>
      <c r="N1138" s="5" t="n"/>
      <c r="O1138" s="5" t="n">
        <v>959</v>
      </c>
      <c r="P1138" s="5" t="n"/>
      <c r="Q1138" s="5" t="n">
        <v>959</v>
      </c>
      <c r="R1138" s="5" t="n"/>
      <c r="S1138" s="5">
        <f>F1138*20%</f>
        <v/>
      </c>
      <c r="T1138" s="5">
        <f>J1138-S1138</f>
        <v/>
      </c>
      <c r="U1138" s="5">
        <f>F1138+J1138</f>
        <v/>
      </c>
      <c r="V1138" s="5">
        <f>O1138-U1138</f>
        <v/>
      </c>
      <c r="W1138" s="5">
        <f>O1138-(P1138+R1138)</f>
        <v/>
      </c>
      <c r="X1138" s="5">
        <f>O1138-(P1138+Q1138+R1138)</f>
        <v/>
      </c>
    </row>
    <row r="1139">
      <c r="A1139" s="2" t="inlineStr">
        <is>
          <t>EJ310725.TXT</t>
        </is>
      </c>
      <c r="B1139" s="3" t="inlineStr">
        <is>
          <t>005855</t>
        </is>
      </c>
      <c r="C1139" s="3" t="inlineStr">
        <is>
          <t>004699</t>
        </is>
      </c>
      <c r="D1139" s="4" t="n">
        <v>45856</v>
      </c>
      <c r="E1139" s="2" t="inlineStr">
        <is>
          <t>09:50</t>
        </is>
      </c>
      <c r="F1139" s="5" t="n">
        <v>799.17</v>
      </c>
      <c r="G1139" s="5" t="n"/>
      <c r="H1139" s="5" t="n"/>
      <c r="I1139" s="5" t="n"/>
      <c r="J1139" s="5" t="n">
        <v>159.83</v>
      </c>
      <c r="K1139" s="5" t="n"/>
      <c r="L1139" s="5" t="n"/>
      <c r="M1139" s="5" t="n"/>
      <c r="N1139" s="5" t="n"/>
      <c r="O1139" s="5" t="n">
        <v>959</v>
      </c>
      <c r="P1139" s="5" t="n"/>
      <c r="Q1139" s="5" t="n">
        <v>959</v>
      </c>
      <c r="R1139" s="5" t="n"/>
      <c r="S1139" s="5">
        <f>F1139*20%</f>
        <v/>
      </c>
      <c r="T1139" s="5">
        <f>J1139-S1139</f>
        <v/>
      </c>
      <c r="U1139" s="5">
        <f>F1139+J1139</f>
        <v/>
      </c>
      <c r="V1139" s="5">
        <f>O1139-U1139</f>
        <v/>
      </c>
      <c r="W1139" s="5">
        <f>O1139-(P1139+R1139)</f>
        <v/>
      </c>
      <c r="X1139" s="5">
        <f>O1139-(P1139+Q1139+R1139)</f>
        <v/>
      </c>
    </row>
    <row r="1140">
      <c r="A1140" s="2" t="inlineStr">
        <is>
          <t>EJ310725.TXT</t>
        </is>
      </c>
      <c r="B1140" s="3" t="inlineStr">
        <is>
          <t>005856</t>
        </is>
      </c>
      <c r="C1140" s="3" t="inlineStr">
        <is>
          <t>004700</t>
        </is>
      </c>
      <c r="D1140" s="4" t="n">
        <v>45856</v>
      </c>
      <c r="E1140" s="2" t="inlineStr">
        <is>
          <t>09:51</t>
        </is>
      </c>
      <c r="F1140" s="5" t="n">
        <v>799.17</v>
      </c>
      <c r="G1140" s="5" t="n"/>
      <c r="H1140" s="5" t="n"/>
      <c r="I1140" s="5" t="n"/>
      <c r="J1140" s="5" t="n">
        <v>159.83</v>
      </c>
      <c r="K1140" s="5" t="n"/>
      <c r="L1140" s="5" t="n"/>
      <c r="M1140" s="5" t="n"/>
      <c r="N1140" s="5" t="n"/>
      <c r="O1140" s="5" t="n">
        <v>959</v>
      </c>
      <c r="P1140" s="5" t="n"/>
      <c r="Q1140" s="5" t="n">
        <v>959</v>
      </c>
      <c r="R1140" s="5" t="n"/>
      <c r="S1140" s="5">
        <f>F1140*20%</f>
        <v/>
      </c>
      <c r="T1140" s="5">
        <f>J1140-S1140</f>
        <v/>
      </c>
      <c r="U1140" s="5">
        <f>F1140+J1140</f>
        <v/>
      </c>
      <c r="V1140" s="5">
        <f>O1140-U1140</f>
        <v/>
      </c>
      <c r="W1140" s="5">
        <f>O1140-(P1140+R1140)</f>
        <v/>
      </c>
      <c r="X1140" s="5">
        <f>O1140-(P1140+Q1140+R1140)</f>
        <v/>
      </c>
    </row>
    <row r="1141">
      <c r="A1141" s="2" t="inlineStr">
        <is>
          <t>EJ310725.TXT</t>
        </is>
      </c>
      <c r="B1141" s="3" t="inlineStr">
        <is>
          <t>005857</t>
        </is>
      </c>
      <c r="C1141" s="3" t="inlineStr">
        <is>
          <t>004701</t>
        </is>
      </c>
      <c r="D1141" s="4" t="n">
        <v>45856</v>
      </c>
      <c r="E1141" s="2" t="inlineStr">
        <is>
          <t>09:51</t>
        </is>
      </c>
      <c r="F1141" s="5" t="n">
        <v>795</v>
      </c>
      <c r="G1141" s="5" t="n"/>
      <c r="H1141" s="5" t="n"/>
      <c r="I1141" s="5" t="n"/>
      <c r="J1141" s="5" t="n">
        <v>159</v>
      </c>
      <c r="K1141" s="5" t="n"/>
      <c r="L1141" s="5" t="n"/>
      <c r="M1141" s="5" t="n"/>
      <c r="N1141" s="5" t="n"/>
      <c r="O1141" s="5" t="n">
        <v>954</v>
      </c>
      <c r="P1141" s="5" t="n"/>
      <c r="Q1141" s="5" t="n">
        <v>954</v>
      </c>
      <c r="R1141" s="5" t="n"/>
      <c r="S1141" s="5">
        <f>F1141*20%</f>
        <v/>
      </c>
      <c r="T1141" s="5">
        <f>J1141-S1141</f>
        <v/>
      </c>
      <c r="U1141" s="5">
        <f>F1141+J1141</f>
        <v/>
      </c>
      <c r="V1141" s="5">
        <f>O1141-U1141</f>
        <v/>
      </c>
      <c r="W1141" s="5">
        <f>O1141-(P1141+R1141)</f>
        <v/>
      </c>
      <c r="X1141" s="5">
        <f>O1141-(P1141+Q1141+R1141)</f>
        <v/>
      </c>
    </row>
    <row r="1142">
      <c r="A1142" s="2" t="inlineStr">
        <is>
          <t>EJ310725.TXT</t>
        </is>
      </c>
      <c r="B1142" s="3" t="inlineStr">
        <is>
          <t>005858</t>
        </is>
      </c>
      <c r="C1142" s="3" t="inlineStr">
        <is>
          <t>004702</t>
        </is>
      </c>
      <c r="D1142" s="4" t="n">
        <v>45861</v>
      </c>
      <c r="E1142" s="2" t="inlineStr">
        <is>
          <t>14:12</t>
        </is>
      </c>
      <c r="F1142" s="5" t="n">
        <v>548.33</v>
      </c>
      <c r="G1142" s="5" t="n"/>
      <c r="H1142" s="5" t="n"/>
      <c r="I1142" s="5" t="n"/>
      <c r="J1142" s="5" t="n">
        <v>109.67</v>
      </c>
      <c r="K1142" s="5" t="n"/>
      <c r="L1142" s="5" t="n"/>
      <c r="M1142" s="5" t="n"/>
      <c r="N1142" s="5" t="n"/>
      <c r="O1142" s="5" t="n">
        <v>658</v>
      </c>
      <c r="P1142" s="5" t="n"/>
      <c r="Q1142" s="5" t="n">
        <v>658</v>
      </c>
      <c r="R1142" s="5" t="n"/>
      <c r="S1142" s="5">
        <f>F1142*20%</f>
        <v/>
      </c>
      <c r="T1142" s="5">
        <f>J1142-S1142</f>
        <v/>
      </c>
      <c r="U1142" s="5">
        <f>F1142+J1142</f>
        <v/>
      </c>
      <c r="V1142" s="5">
        <f>O1142-U1142</f>
        <v/>
      </c>
      <c r="W1142" s="5">
        <f>O1142-(P1142+R1142)</f>
        <v/>
      </c>
      <c r="X1142" s="5">
        <f>O1142-(P1142+Q1142+R1142)</f>
        <v/>
      </c>
    </row>
    <row r="1143">
      <c r="A1143" s="2" t="inlineStr">
        <is>
          <t>EJ310725.TXT</t>
        </is>
      </c>
      <c r="B1143" s="3" t="inlineStr">
        <is>
          <t>005859</t>
        </is>
      </c>
      <c r="C1143" s="3" t="inlineStr">
        <is>
          <t>004703</t>
        </is>
      </c>
      <c r="D1143" s="4" t="n">
        <v>45861</v>
      </c>
      <c r="E1143" s="2" t="inlineStr">
        <is>
          <t>14:15</t>
        </is>
      </c>
      <c r="F1143" s="5" t="n">
        <v>110</v>
      </c>
      <c r="G1143" s="5" t="n"/>
      <c r="H1143" s="5" t="n"/>
      <c r="I1143" s="5" t="n"/>
      <c r="J1143" s="5" t="n">
        <v>22</v>
      </c>
      <c r="K1143" s="5" t="n"/>
      <c r="L1143" s="5" t="n"/>
      <c r="M1143" s="5" t="n"/>
      <c r="N1143" s="5" t="n"/>
      <c r="O1143" s="5" t="n">
        <v>132</v>
      </c>
      <c r="P1143" s="5" t="n"/>
      <c r="Q1143" s="5" t="n">
        <v>132</v>
      </c>
      <c r="R1143" s="5" t="n"/>
      <c r="S1143" s="5">
        <f>F1143*20%</f>
        <v/>
      </c>
      <c r="T1143" s="5">
        <f>J1143-S1143</f>
        <v/>
      </c>
      <c r="U1143" s="5">
        <f>F1143+J1143</f>
        <v/>
      </c>
      <c r="V1143" s="5">
        <f>O1143-U1143</f>
        <v/>
      </c>
      <c r="W1143" s="5">
        <f>O1143-(P1143+R1143)</f>
        <v/>
      </c>
      <c r="X1143" s="5">
        <f>O1143-(P1143+Q1143+R1143)</f>
        <v/>
      </c>
    </row>
    <row r="1144">
      <c r="A1144" s="2" t="inlineStr">
        <is>
          <t>EJ310725.TXT</t>
        </is>
      </c>
      <c r="B1144" s="3" t="inlineStr">
        <is>
          <t>005860</t>
        </is>
      </c>
      <c r="C1144" s="3" t="inlineStr">
        <is>
          <t>004704</t>
        </is>
      </c>
      <c r="D1144" s="4" t="n">
        <v>45863</v>
      </c>
      <c r="E1144" s="2" t="inlineStr">
        <is>
          <t>16:38</t>
        </is>
      </c>
      <c r="F1144" s="5" t="n">
        <v>124.17</v>
      </c>
      <c r="G1144" s="5" t="n"/>
      <c r="H1144" s="5" t="n"/>
      <c r="I1144" s="5" t="n"/>
      <c r="J1144" s="5" t="n">
        <v>24.83</v>
      </c>
      <c r="K1144" s="5" t="n"/>
      <c r="L1144" s="5" t="n"/>
      <c r="M1144" s="5" t="n"/>
      <c r="N1144" s="5" t="n"/>
      <c r="O1144" s="5" t="n">
        <v>149</v>
      </c>
      <c r="P1144" s="5" t="n">
        <v>149</v>
      </c>
      <c r="Q1144" s="5" t="n"/>
      <c r="R1144" s="5" t="n"/>
      <c r="S1144" s="5">
        <f>F1144*20%</f>
        <v/>
      </c>
      <c r="T1144" s="5">
        <f>J1144-S1144</f>
        <v/>
      </c>
      <c r="U1144" s="5">
        <f>F1144+J1144</f>
        <v/>
      </c>
      <c r="V1144" s="5">
        <f>O1144-U1144</f>
        <v/>
      </c>
      <c r="W1144" s="5">
        <f>O1144-(P1144+R1144)</f>
        <v/>
      </c>
      <c r="X1144" s="5">
        <f>O1144-(P1144+Q1144+R1144)</f>
        <v/>
      </c>
    </row>
    <row r="1145">
      <c r="A1145" s="2" t="inlineStr">
        <is>
          <t>EJ310725.TXT</t>
        </is>
      </c>
      <c r="B1145" s="3" t="inlineStr">
        <is>
          <t>005861</t>
        </is>
      </c>
      <c r="C1145" s="3" t="inlineStr">
        <is>
          <t>004705</t>
        </is>
      </c>
      <c r="D1145" s="4" t="n">
        <v>45868</v>
      </c>
      <c r="E1145" s="2" t="inlineStr">
        <is>
          <t>17:33</t>
        </is>
      </c>
      <c r="F1145" s="5" t="n">
        <v>597.5</v>
      </c>
      <c r="G1145" s="5" t="n"/>
      <c r="H1145" s="5" t="n"/>
      <c r="I1145" s="5" t="n"/>
      <c r="J1145" s="5" t="n">
        <v>119.5</v>
      </c>
      <c r="K1145" s="5" t="n"/>
      <c r="L1145" s="5" t="n"/>
      <c r="M1145" s="5" t="n"/>
      <c r="N1145" s="5" t="n"/>
      <c r="O1145" s="5" t="n">
        <v>717</v>
      </c>
      <c r="P1145" s="5" t="n"/>
      <c r="Q1145" s="5" t="n">
        <v>717</v>
      </c>
      <c r="R1145" s="5" t="n"/>
      <c r="S1145" s="5">
        <f>F1145*20%</f>
        <v/>
      </c>
      <c r="T1145" s="5">
        <f>J1145-S1145</f>
        <v/>
      </c>
      <c r="U1145" s="5">
        <f>F1145+J1145</f>
        <v/>
      </c>
      <c r="V1145" s="5">
        <f>O1145-U1145</f>
        <v/>
      </c>
      <c r="W1145" s="5">
        <f>O1145-(P1145+R1145)</f>
        <v/>
      </c>
      <c r="X1145" s="5">
        <f>O1145-(P1145+Q1145+R1145)</f>
        <v/>
      </c>
    </row>
    <row r="1146">
      <c r="A1146" s="2" t="inlineStr">
        <is>
          <t>EJ020925.TXT</t>
        </is>
      </c>
      <c r="B1146" s="3" t="inlineStr">
        <is>
          <t>005870</t>
        </is>
      </c>
      <c r="C1146" s="3" t="inlineStr">
        <is>
          <t>004706</t>
        </is>
      </c>
      <c r="D1146" s="4" t="n">
        <v>45875</v>
      </c>
      <c r="E1146" s="2" t="inlineStr">
        <is>
          <t>16:53</t>
        </is>
      </c>
      <c r="F1146" s="5" t="n">
        <v>82.5</v>
      </c>
      <c r="G1146" s="5" t="n"/>
      <c r="H1146" s="5" t="n"/>
      <c r="I1146" s="5" t="n"/>
      <c r="J1146" s="5" t="n">
        <v>16.5</v>
      </c>
      <c r="K1146" s="5" t="n"/>
      <c r="L1146" s="5" t="n"/>
      <c r="M1146" s="5" t="n"/>
      <c r="N1146" s="5" t="n"/>
      <c r="O1146" s="5" t="n">
        <v>99</v>
      </c>
      <c r="P1146" s="5" t="n"/>
      <c r="Q1146" s="5" t="n">
        <v>99</v>
      </c>
      <c r="R1146" s="5" t="n"/>
      <c r="S1146" s="5">
        <f>F1146*20%</f>
        <v/>
      </c>
      <c r="T1146" s="5">
        <f>J1146-S1146</f>
        <v/>
      </c>
      <c r="U1146" s="5">
        <f>F1146+J1146</f>
        <v/>
      </c>
      <c r="V1146" s="5">
        <f>O1146-U1146</f>
        <v/>
      </c>
      <c r="W1146" s="5">
        <f>O1146-(P1146+R1146)</f>
        <v/>
      </c>
      <c r="X1146" s="5">
        <f>O1146-(P1146+Q1146+R1146)</f>
        <v/>
      </c>
    </row>
    <row r="1147">
      <c r="A1147" s="2" t="inlineStr">
        <is>
          <t>EJ020925.TXT</t>
        </is>
      </c>
      <c r="B1147" s="3" t="inlineStr">
        <is>
          <t>005871</t>
        </is>
      </c>
      <c r="C1147" s="3" t="inlineStr">
        <is>
          <t>004707</t>
        </is>
      </c>
      <c r="D1147" s="4" t="n">
        <v>45883</v>
      </c>
      <c r="E1147" s="2" t="inlineStr">
        <is>
          <t>16:39</t>
        </is>
      </c>
      <c r="F1147" s="5" t="n">
        <v>548.33</v>
      </c>
      <c r="G1147" s="5" t="n"/>
      <c r="H1147" s="5" t="n"/>
      <c r="I1147" s="5" t="n"/>
      <c r="J1147" s="5" t="n">
        <v>109.67</v>
      </c>
      <c r="K1147" s="5" t="n"/>
      <c r="L1147" s="5" t="n"/>
      <c r="M1147" s="5" t="n"/>
      <c r="N1147" s="5" t="n"/>
      <c r="O1147" s="5" t="n">
        <v>658</v>
      </c>
      <c r="P1147" s="5" t="n">
        <v>658</v>
      </c>
      <c r="Q1147" s="5" t="n"/>
      <c r="R1147" s="5" t="n"/>
      <c r="S1147" s="5">
        <f>F1147*20%</f>
        <v/>
      </c>
      <c r="T1147" s="5">
        <f>J1147-S1147</f>
        <v/>
      </c>
      <c r="U1147" s="5">
        <f>F1147+J1147</f>
        <v/>
      </c>
      <c r="V1147" s="5">
        <f>O1147-U1147</f>
        <v/>
      </c>
      <c r="W1147" s="5">
        <f>O1147-(P1147+R1147)</f>
        <v/>
      </c>
      <c r="X1147" s="5">
        <f>O1147-(P1147+Q1147+R1147)</f>
        <v/>
      </c>
    </row>
    <row r="1148">
      <c r="A1148" s="2" t="inlineStr">
        <is>
          <t>EJ020925.TXT</t>
        </is>
      </c>
      <c r="B1148" s="3" t="inlineStr">
        <is>
          <t>005872</t>
        </is>
      </c>
      <c r="C1148" s="3" t="inlineStr">
        <is>
          <t>004708</t>
        </is>
      </c>
      <c r="D1148" s="4" t="n">
        <v>45889</v>
      </c>
      <c r="E1148" s="2" t="inlineStr">
        <is>
          <t>14:37</t>
        </is>
      </c>
      <c r="F1148" s="5" t="n">
        <v>274.17</v>
      </c>
      <c r="G1148" s="5" t="n"/>
      <c r="H1148" s="5" t="n"/>
      <c r="I1148" s="5" t="n"/>
      <c r="J1148" s="5" t="n">
        <v>54.83</v>
      </c>
      <c r="K1148" s="5" t="n"/>
      <c r="L1148" s="5" t="n"/>
      <c r="M1148" s="5" t="n"/>
      <c r="N1148" s="5" t="n"/>
      <c r="O1148" s="5" t="n">
        <v>329</v>
      </c>
      <c r="P1148" s="5" t="n"/>
      <c r="Q1148" s="5" t="n">
        <v>329</v>
      </c>
      <c r="R1148" s="5" t="n"/>
      <c r="S1148" s="5">
        <f>F1148*20%</f>
        <v/>
      </c>
      <c r="T1148" s="5">
        <f>J1148-S1148</f>
        <v/>
      </c>
      <c r="U1148" s="5">
        <f>F1148+J1148</f>
        <v/>
      </c>
      <c r="V1148" s="5">
        <f>O1148-U1148</f>
        <v/>
      </c>
      <c r="W1148" s="5">
        <f>O1148-(P1148+R1148)</f>
        <v/>
      </c>
      <c r="X1148" s="5">
        <f>O1148-(P1148+Q1148+R1148)</f>
        <v/>
      </c>
    </row>
    <row r="1149">
      <c r="A1149" s="2" t="inlineStr">
        <is>
          <t>EJ020925.TXT</t>
        </is>
      </c>
      <c r="B1149" s="3" t="inlineStr">
        <is>
          <t>005873</t>
        </is>
      </c>
      <c r="C1149" s="3" t="inlineStr">
        <is>
          <t>004709</t>
        </is>
      </c>
      <c r="D1149" s="4" t="n">
        <v>45890</v>
      </c>
      <c r="E1149" s="2" t="inlineStr">
        <is>
          <t>09:43</t>
        </is>
      </c>
      <c r="F1149" s="5" t="n">
        <v>82.5</v>
      </c>
      <c r="G1149" s="5" t="n"/>
      <c r="H1149" s="5" t="n"/>
      <c r="I1149" s="5" t="n"/>
      <c r="J1149" s="5" t="n">
        <v>16.5</v>
      </c>
      <c r="K1149" s="5" t="n"/>
      <c r="L1149" s="5" t="n"/>
      <c r="M1149" s="5" t="n"/>
      <c r="N1149" s="5" t="n"/>
      <c r="O1149" s="5" t="n">
        <v>99</v>
      </c>
      <c r="P1149" s="5" t="n"/>
      <c r="Q1149" s="5" t="n">
        <v>99</v>
      </c>
      <c r="R1149" s="5" t="n"/>
      <c r="S1149" s="5">
        <f>F1149*20%</f>
        <v/>
      </c>
      <c r="T1149" s="5">
        <f>J1149-S1149</f>
        <v/>
      </c>
      <c r="U1149" s="5">
        <f>F1149+J1149</f>
        <v/>
      </c>
      <c r="V1149" s="5">
        <f>O1149-U1149</f>
        <v/>
      </c>
      <c r="W1149" s="5">
        <f>O1149-(P1149+R1149)</f>
        <v/>
      </c>
      <c r="X1149" s="5">
        <f>O1149-(P1149+Q1149+R1149)</f>
        <v/>
      </c>
    </row>
    <row r="1150">
      <c r="A1150" s="2" t="inlineStr">
        <is>
          <t>EJ020925.TXT</t>
        </is>
      </c>
      <c r="B1150" s="3" t="inlineStr">
        <is>
          <t>005874</t>
        </is>
      </c>
      <c r="C1150" s="3" t="inlineStr">
        <is>
          <t>004710</t>
        </is>
      </c>
      <c r="D1150" s="4" t="n">
        <v>45891</v>
      </c>
      <c r="E1150" s="2" t="inlineStr">
        <is>
          <t>16:59</t>
        </is>
      </c>
      <c r="F1150" s="5" t="n">
        <v>548.33</v>
      </c>
      <c r="G1150" s="5" t="n"/>
      <c r="H1150" s="5" t="n"/>
      <c r="I1150" s="5" t="n"/>
      <c r="J1150" s="5" t="n">
        <v>109.67</v>
      </c>
      <c r="K1150" s="5" t="n"/>
      <c r="L1150" s="5" t="n"/>
      <c r="M1150" s="5" t="n"/>
      <c r="N1150" s="5" t="n"/>
      <c r="O1150" s="5" t="n">
        <v>658</v>
      </c>
      <c r="P1150" s="5" t="n"/>
      <c r="Q1150" s="5" t="n">
        <v>658</v>
      </c>
      <c r="R1150" s="5" t="n"/>
      <c r="S1150" s="5">
        <f>F1150*20%</f>
        <v/>
      </c>
      <c r="T1150" s="5">
        <f>J1150-S1150</f>
        <v/>
      </c>
      <c r="U1150" s="5">
        <f>F1150+J1150</f>
        <v/>
      </c>
      <c r="V1150" s="5">
        <f>O1150-U1150</f>
        <v/>
      </c>
      <c r="W1150" s="5">
        <f>O1150-(P1150+R1150)</f>
        <v/>
      </c>
      <c r="X1150" s="5">
        <f>O1150-(P1150+Q1150+R1150)</f>
        <v/>
      </c>
    </row>
    <row r="1151">
      <c r="A1151" s="2" t="inlineStr">
        <is>
          <t>EJ020925.TXT</t>
        </is>
      </c>
      <c r="B1151" s="3" t="inlineStr">
        <is>
          <t>005875</t>
        </is>
      </c>
      <c r="C1151" s="3" t="inlineStr">
        <is>
          <t>004711</t>
        </is>
      </c>
      <c r="D1151" s="4" t="n">
        <v>45896</v>
      </c>
      <c r="E1151" s="2" t="inlineStr">
        <is>
          <t>13:45</t>
        </is>
      </c>
      <c r="F1151" s="5" t="n">
        <v>822.5</v>
      </c>
      <c r="G1151" s="5" t="n"/>
      <c r="H1151" s="5" t="n"/>
      <c r="I1151" s="5" t="n"/>
      <c r="J1151" s="5" t="n">
        <v>164.5</v>
      </c>
      <c r="K1151" s="5" t="n"/>
      <c r="L1151" s="5" t="n"/>
      <c r="M1151" s="5" t="n"/>
      <c r="N1151" s="5" t="n"/>
      <c r="O1151" s="5" t="n">
        <v>987</v>
      </c>
      <c r="P1151" s="5" t="n">
        <v>987</v>
      </c>
      <c r="Q1151" s="5" t="n"/>
      <c r="R1151" s="5" t="n"/>
      <c r="S1151" s="5">
        <f>F1151*20%</f>
        <v/>
      </c>
      <c r="T1151" s="5">
        <f>J1151-S1151</f>
        <v/>
      </c>
      <c r="U1151" s="5">
        <f>F1151+J1151</f>
        <v/>
      </c>
      <c r="V1151" s="5">
        <f>O1151-U1151</f>
        <v/>
      </c>
      <c r="W1151" s="5">
        <f>O1151-(P1151+R1151)</f>
        <v/>
      </c>
      <c r="X1151" s="5">
        <f>O1151-(P1151+Q1151+R1151)</f>
        <v/>
      </c>
    </row>
    <row r="1152">
      <c r="A1152" s="2" t="inlineStr">
        <is>
          <t>EJ020925.TXT</t>
        </is>
      </c>
      <c r="B1152" s="3" t="inlineStr">
        <is>
          <t>005876</t>
        </is>
      </c>
      <c r="C1152" s="3" t="inlineStr">
        <is>
          <t>004712</t>
        </is>
      </c>
      <c r="D1152" s="4" t="n">
        <v>45896</v>
      </c>
      <c r="E1152" s="2" t="inlineStr">
        <is>
          <t>15:09</t>
        </is>
      </c>
      <c r="F1152" s="5" t="n">
        <v>333.33</v>
      </c>
      <c r="G1152" s="5" t="n"/>
      <c r="H1152" s="5" t="n"/>
      <c r="I1152" s="5" t="n"/>
      <c r="J1152" s="5" t="n">
        <v>66.67</v>
      </c>
      <c r="K1152" s="5" t="n"/>
      <c r="L1152" s="5" t="n"/>
      <c r="M1152" s="5" t="n"/>
      <c r="N1152" s="5" t="n"/>
      <c r="O1152" s="5" t="n">
        <v>400</v>
      </c>
      <c r="P1152" s="5" t="n"/>
      <c r="Q1152" s="5" t="n">
        <v>400</v>
      </c>
      <c r="R1152" s="5" t="n"/>
      <c r="S1152" s="5">
        <f>F1152*20%</f>
        <v/>
      </c>
      <c r="T1152" s="5">
        <f>J1152-S1152</f>
        <v/>
      </c>
      <c r="U1152" s="5">
        <f>F1152+J1152</f>
        <v/>
      </c>
      <c r="V1152" s="5">
        <f>O1152-U1152</f>
        <v/>
      </c>
      <c r="W1152" s="5">
        <f>O1152-(P1152+R1152)</f>
        <v/>
      </c>
      <c r="X1152" s="5">
        <f>O1152-(P1152+Q1152+R1152)</f>
        <v/>
      </c>
    </row>
    <row r="1153">
      <c r="A1153" s="2" t="inlineStr">
        <is>
          <t>EJ020925.TXT</t>
        </is>
      </c>
      <c r="B1153" s="3" t="inlineStr">
        <is>
          <t>005877</t>
        </is>
      </c>
      <c r="C1153" s="3" t="inlineStr">
        <is>
          <t>004713</t>
        </is>
      </c>
      <c r="D1153" s="4" t="n">
        <v>45896</v>
      </c>
      <c r="E1153" s="2" t="inlineStr">
        <is>
          <t>15:09</t>
        </is>
      </c>
      <c r="F1153" s="5" t="n">
        <v>355.83</v>
      </c>
      <c r="G1153" s="5" t="n"/>
      <c r="H1153" s="5" t="n"/>
      <c r="I1153" s="5" t="n"/>
      <c r="J1153" s="5" t="n">
        <v>71.17</v>
      </c>
      <c r="K1153" s="5" t="n"/>
      <c r="L1153" s="5" t="n"/>
      <c r="M1153" s="5" t="n"/>
      <c r="N1153" s="5" t="n"/>
      <c r="O1153" s="5" t="n">
        <v>427</v>
      </c>
      <c r="P1153" s="5" t="n">
        <v>427</v>
      </c>
      <c r="Q1153" s="5" t="n"/>
      <c r="R1153" s="5" t="n"/>
      <c r="S1153" s="5">
        <f>F1153*20%</f>
        <v/>
      </c>
      <c r="T1153" s="5">
        <f>J1153-S1153</f>
        <v/>
      </c>
      <c r="U1153" s="5">
        <f>F1153+J1153</f>
        <v/>
      </c>
      <c r="V1153" s="5">
        <f>O1153-U1153</f>
        <v/>
      </c>
      <c r="W1153" s="5">
        <f>O1153-(P1153+R1153)</f>
        <v/>
      </c>
      <c r="X1153" s="5">
        <f>O1153-(P1153+Q1153+R1153)</f>
        <v/>
      </c>
    </row>
    <row r="1154">
      <c r="A1154" s="2" t="inlineStr">
        <is>
          <t>EJ020925.TXT</t>
        </is>
      </c>
      <c r="B1154" s="3" t="inlineStr">
        <is>
          <t>005878</t>
        </is>
      </c>
      <c r="C1154" s="3" t="inlineStr">
        <is>
          <t>004714</t>
        </is>
      </c>
      <c r="D1154" s="4" t="n">
        <v>45896</v>
      </c>
      <c r="E1154" s="2" t="inlineStr">
        <is>
          <t>15:37</t>
        </is>
      </c>
      <c r="F1154" s="5" t="n">
        <v>274.17</v>
      </c>
      <c r="G1154" s="5" t="n"/>
      <c r="H1154" s="5" t="n"/>
      <c r="I1154" s="5" t="n"/>
      <c r="J1154" s="5" t="n">
        <v>54.83</v>
      </c>
      <c r="K1154" s="5" t="n"/>
      <c r="L1154" s="5" t="n"/>
      <c r="M1154" s="5" t="n"/>
      <c r="N1154" s="5" t="n"/>
      <c r="O1154" s="5" t="n">
        <v>329</v>
      </c>
      <c r="P1154" s="5" t="n"/>
      <c r="Q1154" s="5" t="n">
        <v>329</v>
      </c>
      <c r="R1154" s="5" t="n"/>
      <c r="S1154" s="5">
        <f>F1154*20%</f>
        <v/>
      </c>
      <c r="T1154" s="5">
        <f>J1154-S1154</f>
        <v/>
      </c>
      <c r="U1154" s="5">
        <f>F1154+J1154</f>
        <v/>
      </c>
      <c r="V1154" s="5">
        <f>O1154-U1154</f>
        <v/>
      </c>
      <c r="W1154" s="5">
        <f>O1154-(P1154+R1154)</f>
        <v/>
      </c>
      <c r="X1154" s="5">
        <f>O1154-(P1154+Q1154+R1154)</f>
        <v/>
      </c>
    </row>
  </sheetData>
  <autoFilter ref="A1:X1154"/>
  <conditionalFormatting sqref="T2:T1154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V2:V1154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X2:X1154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AJ_TROU_NUM_TICKET</t>
        </is>
      </c>
      <c r="G1" s="1" t="inlineStr">
        <is>
          <t>AJ_TROU_NUM_INTERNE</t>
        </is>
      </c>
      <c r="H1" s="1" t="inlineStr">
        <is>
          <t>OBSERVATION</t>
        </is>
      </c>
    </row>
    <row r="2">
      <c r="A2" s="2" t="inlineStr">
        <is>
          <t>EJ310123.TXT</t>
        </is>
      </c>
      <c r="B2" s="3" t="inlineStr">
        <is>
          <t>004517</t>
        </is>
      </c>
      <c r="C2" s="3" t="inlineStr">
        <is>
          <t>003562</t>
        </is>
      </c>
      <c r="D2" s="4" t="n">
        <v>44928</v>
      </c>
      <c r="E2" s="2" t="inlineStr">
        <is>
          <t>11:25</t>
        </is>
      </c>
      <c r="F2" s="5">
        <f>""</f>
        <v/>
      </c>
      <c r="G2" s="5">
        <f>""</f>
        <v/>
      </c>
      <c r="H2" s="2">
        <f>"Premier enregistrement"</f>
        <v/>
      </c>
    </row>
    <row r="3">
      <c r="A3" s="2" t="inlineStr">
        <is>
          <t>EJ310123.TXT</t>
        </is>
      </c>
      <c r="B3" s="3" t="inlineStr">
        <is>
          <t>004518</t>
        </is>
      </c>
      <c r="C3" s="3" t="inlineStr">
        <is>
          <t>003563</t>
        </is>
      </c>
      <c r="D3" s="4" t="n">
        <v>44928</v>
      </c>
      <c r="E3" s="2" t="inlineStr">
        <is>
          <t>12:34</t>
        </is>
      </c>
      <c r="F3" s="5">
        <f>C3-C2</f>
        <v/>
      </c>
      <c r="G3" s="5">
        <f>B3-B2</f>
        <v/>
      </c>
      <c r="H3" s="2">
        <f>IF(AND(F3=1,G3=1),"OK","À JUSTIFIER")</f>
        <v/>
      </c>
    </row>
    <row r="4">
      <c r="A4" s="2" t="inlineStr">
        <is>
          <t>EJ310123.TXT</t>
        </is>
      </c>
      <c r="B4" s="3" t="inlineStr">
        <is>
          <t>004519</t>
        </is>
      </c>
      <c r="C4" s="3" t="inlineStr">
        <is>
          <t>003564</t>
        </is>
      </c>
      <c r="D4" s="4" t="n">
        <v>44928</v>
      </c>
      <c r="E4" s="2" t="inlineStr">
        <is>
          <t>16:36</t>
        </is>
      </c>
      <c r="F4" s="5">
        <f>C4-C3</f>
        <v/>
      </c>
      <c r="G4" s="5">
        <f>B4-B3</f>
        <v/>
      </c>
      <c r="H4" s="2">
        <f>IF(AND(F4=1,G4=1),"OK","À JUSTIFIER")</f>
        <v/>
      </c>
    </row>
    <row r="5">
      <c r="A5" s="2" t="inlineStr">
        <is>
          <t>EJ310123.TXT</t>
        </is>
      </c>
      <c r="B5" s="3" t="inlineStr">
        <is>
          <t>004520</t>
        </is>
      </c>
      <c r="C5" s="3" t="inlineStr">
        <is>
          <t>003565</t>
        </is>
      </c>
      <c r="D5" s="4" t="n">
        <v>44929</v>
      </c>
      <c r="E5" s="2" t="inlineStr">
        <is>
          <t>15:02</t>
        </is>
      </c>
      <c r="F5" s="5">
        <f>C5-C4</f>
        <v/>
      </c>
      <c r="G5" s="5">
        <f>B5-B4</f>
        <v/>
      </c>
      <c r="H5" s="2">
        <f>IF(AND(F5=1,G5=1),"OK","À JUSTIFIER")</f>
        <v/>
      </c>
    </row>
    <row r="6">
      <c r="A6" s="2" t="inlineStr">
        <is>
          <t>EJ310123.TXT</t>
        </is>
      </c>
      <c r="B6" s="3" t="inlineStr">
        <is>
          <t>004521</t>
        </is>
      </c>
      <c r="C6" s="3" t="inlineStr">
        <is>
          <t>003566</t>
        </is>
      </c>
      <c r="D6" s="4" t="n">
        <v>44929</v>
      </c>
      <c r="E6" s="2" t="inlineStr">
        <is>
          <t>15:03</t>
        </is>
      </c>
      <c r="F6" s="5">
        <f>C6-C5</f>
        <v/>
      </c>
      <c r="G6" s="5">
        <f>B6-B5</f>
        <v/>
      </c>
      <c r="H6" s="2">
        <f>IF(AND(F6=1,G6=1),"OK","À JUSTIFIER")</f>
        <v/>
      </c>
    </row>
    <row r="7">
      <c r="A7" s="2" t="inlineStr">
        <is>
          <t>EJ310123.TXT</t>
        </is>
      </c>
      <c r="B7" s="3" t="inlineStr">
        <is>
          <t>004522</t>
        </is>
      </c>
      <c r="C7" s="3" t="inlineStr">
        <is>
          <t>003567</t>
        </is>
      </c>
      <c r="D7" s="4" t="n">
        <v>44929</v>
      </c>
      <c r="E7" s="2" t="inlineStr">
        <is>
          <t>15:19</t>
        </is>
      </c>
      <c r="F7" s="5">
        <f>C7-C6</f>
        <v/>
      </c>
      <c r="G7" s="5">
        <f>B7-B6</f>
        <v/>
      </c>
      <c r="H7" s="2">
        <f>IF(AND(F7=1,G7=1),"OK","À JUSTIFIER")</f>
        <v/>
      </c>
    </row>
    <row r="8">
      <c r="A8" s="2" t="inlineStr">
        <is>
          <t>EJ310123.TXT</t>
        </is>
      </c>
      <c r="B8" s="3" t="inlineStr">
        <is>
          <t>004523</t>
        </is>
      </c>
      <c r="C8" s="3" t="inlineStr">
        <is>
          <t>003568</t>
        </is>
      </c>
      <c r="D8" s="4" t="n">
        <v>44929</v>
      </c>
      <c r="E8" s="2" t="inlineStr">
        <is>
          <t>15:19</t>
        </is>
      </c>
      <c r="F8" s="5">
        <f>C8-C7</f>
        <v/>
      </c>
      <c r="G8" s="5">
        <f>B8-B7</f>
        <v/>
      </c>
      <c r="H8" s="2">
        <f>IF(AND(F8=1,G8=1),"OK","À JUSTIFIER")</f>
        <v/>
      </c>
    </row>
    <row r="9">
      <c r="A9" s="2" t="inlineStr">
        <is>
          <t>EJ310123.TXT</t>
        </is>
      </c>
      <c r="B9" s="3" t="inlineStr">
        <is>
          <t>004524</t>
        </is>
      </c>
      <c r="C9" s="3" t="inlineStr">
        <is>
          <t>003569</t>
        </is>
      </c>
      <c r="D9" s="4" t="n">
        <v>44929</v>
      </c>
      <c r="E9" s="2" t="inlineStr">
        <is>
          <t>15:45</t>
        </is>
      </c>
      <c r="F9" s="5">
        <f>C9-C8</f>
        <v/>
      </c>
      <c r="G9" s="5">
        <f>B9-B8</f>
        <v/>
      </c>
      <c r="H9" s="2">
        <f>IF(AND(F9=1,G9=1),"OK","À JUSTIFIER")</f>
        <v/>
      </c>
    </row>
    <row r="10">
      <c r="A10" s="2" t="inlineStr">
        <is>
          <t>EJ310123.TXT</t>
        </is>
      </c>
      <c r="B10" s="3" t="inlineStr">
        <is>
          <t>004525</t>
        </is>
      </c>
      <c r="C10" s="3" t="inlineStr">
        <is>
          <t>003570</t>
        </is>
      </c>
      <c r="D10" s="4" t="n">
        <v>44929</v>
      </c>
      <c r="E10" s="2" t="inlineStr">
        <is>
          <t>16:16</t>
        </is>
      </c>
      <c r="F10" s="5">
        <f>C10-C9</f>
        <v/>
      </c>
      <c r="G10" s="5">
        <f>B10-B9</f>
        <v/>
      </c>
      <c r="H10" s="2">
        <f>IF(AND(F10=1,G10=1),"OK","À JUSTIFIER")</f>
        <v/>
      </c>
    </row>
    <row r="11">
      <c r="A11" s="2" t="inlineStr">
        <is>
          <t>EJ310123.TXT</t>
        </is>
      </c>
      <c r="B11" s="3" t="inlineStr">
        <is>
          <t>004526</t>
        </is>
      </c>
      <c r="C11" s="3" t="inlineStr">
        <is>
          <t>003571</t>
        </is>
      </c>
      <c r="D11" s="4" t="n">
        <v>44930</v>
      </c>
      <c r="E11" s="2" t="inlineStr">
        <is>
          <t>10:54</t>
        </is>
      </c>
      <c r="F11" s="5">
        <f>C11-C10</f>
        <v/>
      </c>
      <c r="G11" s="5">
        <f>B11-B10</f>
        <v/>
      </c>
      <c r="H11" s="2">
        <f>IF(AND(F11=1,G11=1),"OK","À JUSTIFIER")</f>
        <v/>
      </c>
    </row>
    <row r="12">
      <c r="A12" s="2" t="inlineStr">
        <is>
          <t>EJ310123.TXT</t>
        </is>
      </c>
      <c r="B12" s="3" t="inlineStr">
        <is>
          <t>004527</t>
        </is>
      </c>
      <c r="C12" s="3" t="inlineStr">
        <is>
          <t>003572</t>
        </is>
      </c>
      <c r="D12" s="4" t="n">
        <v>44932</v>
      </c>
      <c r="E12" s="2" t="inlineStr">
        <is>
          <t>11:36</t>
        </is>
      </c>
      <c r="F12" s="5">
        <f>C12-C11</f>
        <v/>
      </c>
      <c r="G12" s="5">
        <f>B12-B11</f>
        <v/>
      </c>
      <c r="H12" s="2">
        <f>IF(AND(F12=1,G12=1),"OK","À JUSTIFIER")</f>
        <v/>
      </c>
    </row>
    <row r="13">
      <c r="A13" s="2" t="inlineStr">
        <is>
          <t>EJ310123.TXT</t>
        </is>
      </c>
      <c r="B13" s="3" t="inlineStr">
        <is>
          <t>004528</t>
        </is>
      </c>
      <c r="C13" s="3" t="inlineStr">
        <is>
          <t>003573</t>
        </is>
      </c>
      <c r="D13" s="4" t="n">
        <v>44932</v>
      </c>
      <c r="E13" s="2" t="inlineStr">
        <is>
          <t>13:56</t>
        </is>
      </c>
      <c r="F13" s="5">
        <f>C13-C12</f>
        <v/>
      </c>
      <c r="G13" s="5">
        <f>B13-B12</f>
        <v/>
      </c>
      <c r="H13" s="2">
        <f>IF(AND(F13=1,G13=1),"OK","À JUSTIFIER")</f>
        <v/>
      </c>
    </row>
    <row r="14">
      <c r="A14" s="2" t="inlineStr">
        <is>
          <t>EJ310123.TXT</t>
        </is>
      </c>
      <c r="B14" s="3" t="inlineStr">
        <is>
          <t>004529</t>
        </is>
      </c>
      <c r="C14" s="3" t="inlineStr">
        <is>
          <t>003574</t>
        </is>
      </c>
      <c r="D14" s="4" t="n">
        <v>44932</v>
      </c>
      <c r="E14" s="2" t="inlineStr">
        <is>
          <t>17:29</t>
        </is>
      </c>
      <c r="F14" s="5">
        <f>C14-C13</f>
        <v/>
      </c>
      <c r="G14" s="5">
        <f>B14-B13</f>
        <v/>
      </c>
      <c r="H14" s="2">
        <f>IF(AND(F14=1,G14=1),"OK","À JUSTIFIER")</f>
        <v/>
      </c>
    </row>
    <row r="15">
      <c r="A15" s="2" t="inlineStr">
        <is>
          <t>EJ310123.TXT</t>
        </is>
      </c>
      <c r="B15" s="3" t="inlineStr">
        <is>
          <t>004530</t>
        </is>
      </c>
      <c r="C15" s="3" t="inlineStr">
        <is>
          <t>003575</t>
        </is>
      </c>
      <c r="D15" s="4" t="n">
        <v>44933</v>
      </c>
      <c r="E15" s="2" t="inlineStr">
        <is>
          <t>15:33</t>
        </is>
      </c>
      <c r="F15" s="5">
        <f>C15-C14</f>
        <v/>
      </c>
      <c r="G15" s="5">
        <f>B15-B14</f>
        <v/>
      </c>
      <c r="H15" s="2">
        <f>IF(AND(F15=1,G15=1),"OK","À JUSTIFIER")</f>
        <v/>
      </c>
    </row>
    <row r="16">
      <c r="A16" s="2" t="inlineStr">
        <is>
          <t>EJ310123.TXT</t>
        </is>
      </c>
      <c r="B16" s="3" t="inlineStr">
        <is>
          <t>004531</t>
        </is>
      </c>
      <c r="C16" s="3" t="inlineStr">
        <is>
          <t>003576</t>
        </is>
      </c>
      <c r="D16" s="4" t="n">
        <v>44933</v>
      </c>
      <c r="E16" s="2" t="inlineStr">
        <is>
          <t>16:22</t>
        </is>
      </c>
      <c r="F16" s="5">
        <f>C16-C15</f>
        <v/>
      </c>
      <c r="G16" s="5">
        <f>B16-B15</f>
        <v/>
      </c>
      <c r="H16" s="2">
        <f>IF(AND(F16=1,G16=1),"OK","À JUSTIFIER")</f>
        <v/>
      </c>
    </row>
    <row r="17">
      <c r="A17" s="2" t="inlineStr">
        <is>
          <t>EJ310123.TXT</t>
        </is>
      </c>
      <c r="B17" s="3" t="inlineStr">
        <is>
          <t>004532</t>
        </is>
      </c>
      <c r="C17" s="3" t="inlineStr">
        <is>
          <t>003577</t>
        </is>
      </c>
      <c r="D17" s="4" t="n">
        <v>44935</v>
      </c>
      <c r="E17" s="2" t="inlineStr">
        <is>
          <t>15:13</t>
        </is>
      </c>
      <c r="F17" s="5">
        <f>C17-C16</f>
        <v/>
      </c>
      <c r="G17" s="5">
        <f>B17-B16</f>
        <v/>
      </c>
      <c r="H17" s="2">
        <f>IF(AND(F17=1,G17=1),"OK","À JUSTIFIER")</f>
        <v/>
      </c>
    </row>
    <row r="18">
      <c r="A18" s="2" t="inlineStr">
        <is>
          <t>EJ310123.TXT</t>
        </is>
      </c>
      <c r="B18" s="3" t="inlineStr">
        <is>
          <t>004533</t>
        </is>
      </c>
      <c r="C18" s="3" t="inlineStr">
        <is>
          <t>003578</t>
        </is>
      </c>
      <c r="D18" s="4" t="n">
        <v>44935</v>
      </c>
      <c r="E18" s="2" t="inlineStr">
        <is>
          <t>15:42</t>
        </is>
      </c>
      <c r="F18" s="5">
        <f>C18-C17</f>
        <v/>
      </c>
      <c r="G18" s="5">
        <f>B18-B17</f>
        <v/>
      </c>
      <c r="H18" s="2">
        <f>IF(AND(F18=1,G18=1),"OK","À JUSTIFIER")</f>
        <v/>
      </c>
    </row>
    <row r="19">
      <c r="A19" s="2" t="inlineStr">
        <is>
          <t>EJ310123.TXT</t>
        </is>
      </c>
      <c r="B19" s="3" t="inlineStr">
        <is>
          <t>004534</t>
        </is>
      </c>
      <c r="C19" s="3" t="inlineStr">
        <is>
          <t>003579</t>
        </is>
      </c>
      <c r="D19" s="4" t="n">
        <v>44936</v>
      </c>
      <c r="E19" s="2" t="inlineStr">
        <is>
          <t>15:49</t>
        </is>
      </c>
      <c r="F19" s="5">
        <f>C19-C18</f>
        <v/>
      </c>
      <c r="G19" s="5">
        <f>B19-B18</f>
        <v/>
      </c>
      <c r="H19" s="2">
        <f>IF(AND(F19=1,G19=1),"OK","À JUSTIFIER")</f>
        <v/>
      </c>
    </row>
    <row r="20">
      <c r="A20" s="2" t="inlineStr">
        <is>
          <t>EJ310123.TXT</t>
        </is>
      </c>
      <c r="B20" s="3" t="inlineStr">
        <is>
          <t>004535</t>
        </is>
      </c>
      <c r="C20" s="3" t="inlineStr">
        <is>
          <t>003580</t>
        </is>
      </c>
      <c r="D20" s="4" t="n">
        <v>44936</v>
      </c>
      <c r="E20" s="2" t="inlineStr">
        <is>
          <t>15:49</t>
        </is>
      </c>
      <c r="F20" s="5">
        <f>C20-C19</f>
        <v/>
      </c>
      <c r="G20" s="5">
        <f>B20-B19</f>
        <v/>
      </c>
      <c r="H20" s="2">
        <f>IF(AND(F20=1,G20=1),"OK","À JUSTIFIER")</f>
        <v/>
      </c>
    </row>
    <row r="21">
      <c r="A21" s="2" t="inlineStr">
        <is>
          <t>EJ310123.TXT</t>
        </is>
      </c>
      <c r="B21" s="3" t="inlineStr">
        <is>
          <t>004536</t>
        </is>
      </c>
      <c r="C21" s="3" t="inlineStr">
        <is>
          <t>003581</t>
        </is>
      </c>
      <c r="D21" s="4" t="n">
        <v>44938</v>
      </c>
      <c r="E21" s="2" t="inlineStr">
        <is>
          <t>15:51</t>
        </is>
      </c>
      <c r="F21" s="5">
        <f>C21-C20</f>
        <v/>
      </c>
      <c r="G21" s="5">
        <f>B21-B20</f>
        <v/>
      </c>
      <c r="H21" s="2">
        <f>IF(AND(F21=1,G21=1),"OK","À JUSTIFIER")</f>
        <v/>
      </c>
    </row>
    <row r="22">
      <c r="A22" s="2" t="inlineStr">
        <is>
          <t>EJ310123.TXT</t>
        </is>
      </c>
      <c r="B22" s="3" t="inlineStr">
        <is>
          <t>004537</t>
        </is>
      </c>
      <c r="C22" s="3" t="inlineStr">
        <is>
          <t>003582</t>
        </is>
      </c>
      <c r="D22" s="4" t="n">
        <v>44938</v>
      </c>
      <c r="E22" s="2" t="inlineStr">
        <is>
          <t>18:15</t>
        </is>
      </c>
      <c r="F22" s="5">
        <f>C22-C21</f>
        <v/>
      </c>
      <c r="G22" s="5">
        <f>B22-B21</f>
        <v/>
      </c>
      <c r="H22" s="2">
        <f>IF(AND(F22=1,G22=1),"OK","À JUSTIFIER")</f>
        <v/>
      </c>
    </row>
    <row r="23">
      <c r="A23" s="2" t="inlineStr">
        <is>
          <t>EJ310123.TXT</t>
        </is>
      </c>
      <c r="B23" s="3" t="inlineStr">
        <is>
          <t>004538</t>
        </is>
      </c>
      <c r="C23" s="3" t="inlineStr">
        <is>
          <t>003583</t>
        </is>
      </c>
      <c r="D23" s="4" t="n">
        <v>44938</v>
      </c>
      <c r="E23" s="2" t="inlineStr">
        <is>
          <t>18:15</t>
        </is>
      </c>
      <c r="F23" s="5">
        <f>C23-C22</f>
        <v/>
      </c>
      <c r="G23" s="5">
        <f>B23-B22</f>
        <v/>
      </c>
      <c r="H23" s="2">
        <f>IF(AND(F23=1,G23=1),"OK","À JUSTIFIER")</f>
        <v/>
      </c>
    </row>
    <row r="24">
      <c r="A24" s="2" t="inlineStr">
        <is>
          <t>EJ310123.TXT</t>
        </is>
      </c>
      <c r="B24" s="3" t="inlineStr">
        <is>
          <t>004539</t>
        </is>
      </c>
      <c r="C24" s="3" t="inlineStr">
        <is>
          <t>003584</t>
        </is>
      </c>
      <c r="D24" s="4" t="n">
        <v>44938</v>
      </c>
      <c r="E24" s="2" t="inlineStr">
        <is>
          <t>18:52</t>
        </is>
      </c>
      <c r="F24" s="5">
        <f>C24-C23</f>
        <v/>
      </c>
      <c r="G24" s="5">
        <f>B24-B23</f>
        <v/>
      </c>
      <c r="H24" s="2">
        <f>IF(AND(F24=1,G24=1),"OK","À JUSTIFIER")</f>
        <v/>
      </c>
    </row>
    <row r="25">
      <c r="A25" s="2" t="inlineStr">
        <is>
          <t>EJ310123.TXT</t>
        </is>
      </c>
      <c r="B25" s="3" t="inlineStr">
        <is>
          <t>004540</t>
        </is>
      </c>
      <c r="C25" s="3" t="inlineStr">
        <is>
          <t>003585</t>
        </is>
      </c>
      <c r="D25" s="4" t="n">
        <v>44939</v>
      </c>
      <c r="E25" s="2" t="inlineStr">
        <is>
          <t>10:29</t>
        </is>
      </c>
      <c r="F25" s="5">
        <f>C25-C24</f>
        <v/>
      </c>
      <c r="G25" s="5">
        <f>B25-B24</f>
        <v/>
      </c>
      <c r="H25" s="2">
        <f>IF(AND(F25=1,G25=1),"OK","À JUSTIFIER")</f>
        <v/>
      </c>
    </row>
    <row r="26">
      <c r="A26" s="2" t="inlineStr">
        <is>
          <t>EJ310123.TXT</t>
        </is>
      </c>
      <c r="B26" s="3" t="inlineStr">
        <is>
          <t>004541</t>
        </is>
      </c>
      <c r="C26" s="3" t="inlineStr">
        <is>
          <t>003586</t>
        </is>
      </c>
      <c r="D26" s="4" t="n">
        <v>44939</v>
      </c>
      <c r="E26" s="2" t="inlineStr">
        <is>
          <t>10:29</t>
        </is>
      </c>
      <c r="F26" s="5">
        <f>C26-C25</f>
        <v/>
      </c>
      <c r="G26" s="5">
        <f>B26-B25</f>
        <v/>
      </c>
      <c r="H26" s="2">
        <f>IF(AND(F26=1,G26=1),"OK","À JUSTIFIER")</f>
        <v/>
      </c>
    </row>
    <row r="27">
      <c r="A27" s="2" t="inlineStr">
        <is>
          <t>EJ310123.TXT</t>
        </is>
      </c>
      <c r="B27" s="3" t="inlineStr">
        <is>
          <t>004542</t>
        </is>
      </c>
      <c r="C27" s="3" t="inlineStr">
        <is>
          <t>003587</t>
        </is>
      </c>
      <c r="D27" s="4" t="n">
        <v>44939</v>
      </c>
      <c r="E27" s="2" t="inlineStr">
        <is>
          <t>14:36</t>
        </is>
      </c>
      <c r="F27" s="5">
        <f>C27-C26</f>
        <v/>
      </c>
      <c r="G27" s="5">
        <f>B27-B26</f>
        <v/>
      </c>
      <c r="H27" s="2">
        <f>IF(AND(F27=1,G27=1),"OK","À JUSTIFIER")</f>
        <v/>
      </c>
    </row>
    <row r="28">
      <c r="A28" s="2" t="inlineStr">
        <is>
          <t>EJ310123.TXT</t>
        </is>
      </c>
      <c r="B28" s="3" t="inlineStr">
        <is>
          <t>004543</t>
        </is>
      </c>
      <c r="C28" s="3" t="inlineStr">
        <is>
          <t>003588</t>
        </is>
      </c>
      <c r="D28" s="4" t="n">
        <v>44939</v>
      </c>
      <c r="E28" s="2" t="inlineStr">
        <is>
          <t>15:42</t>
        </is>
      </c>
      <c r="F28" s="5">
        <f>C28-C27</f>
        <v/>
      </c>
      <c r="G28" s="5">
        <f>B28-B27</f>
        <v/>
      </c>
      <c r="H28" s="2">
        <f>IF(AND(F28=1,G28=1),"OK","À JUSTIFIER")</f>
        <v/>
      </c>
    </row>
    <row r="29">
      <c r="A29" s="2" t="inlineStr">
        <is>
          <t>EJ310123.TXT</t>
        </is>
      </c>
      <c r="B29" s="3" t="inlineStr">
        <is>
          <t>004544</t>
        </is>
      </c>
      <c r="C29" s="3" t="inlineStr">
        <is>
          <t>003589</t>
        </is>
      </c>
      <c r="D29" s="4" t="n">
        <v>44939</v>
      </c>
      <c r="E29" s="2" t="inlineStr">
        <is>
          <t>15:43</t>
        </is>
      </c>
      <c r="F29" s="5">
        <f>C29-C28</f>
        <v/>
      </c>
      <c r="G29" s="5">
        <f>B29-B28</f>
        <v/>
      </c>
      <c r="H29" s="2">
        <f>IF(AND(F29=1,G29=1),"OK","À JUSTIFIER")</f>
        <v/>
      </c>
    </row>
    <row r="30">
      <c r="A30" s="2" t="inlineStr">
        <is>
          <t>EJ310123.TXT</t>
        </is>
      </c>
      <c r="B30" s="3" t="inlineStr">
        <is>
          <t>004545</t>
        </is>
      </c>
      <c r="C30" s="3" t="inlineStr">
        <is>
          <t>003590</t>
        </is>
      </c>
      <c r="D30" s="4" t="n">
        <v>44939</v>
      </c>
      <c r="E30" s="2" t="inlineStr">
        <is>
          <t>16:03</t>
        </is>
      </c>
      <c r="F30" s="5">
        <f>C30-C29</f>
        <v/>
      </c>
      <c r="G30" s="5">
        <f>B30-B29</f>
        <v/>
      </c>
      <c r="H30" s="2">
        <f>IF(AND(F30=1,G30=1),"OK","À JUSTIFIER")</f>
        <v/>
      </c>
    </row>
    <row r="31">
      <c r="A31" s="2" t="inlineStr">
        <is>
          <t>EJ310123.TXT</t>
        </is>
      </c>
      <c r="B31" s="3" t="inlineStr">
        <is>
          <t>004546</t>
        </is>
      </c>
      <c r="C31" s="3" t="inlineStr">
        <is>
          <t>003591</t>
        </is>
      </c>
      <c r="D31" s="4" t="n">
        <v>44939</v>
      </c>
      <c r="E31" s="2" t="inlineStr">
        <is>
          <t>16:04</t>
        </is>
      </c>
      <c r="F31" s="5">
        <f>C31-C30</f>
        <v/>
      </c>
      <c r="G31" s="5">
        <f>B31-B30</f>
        <v/>
      </c>
      <c r="H31" s="2">
        <f>IF(AND(F31=1,G31=1),"OK","À JUSTIFIER")</f>
        <v/>
      </c>
    </row>
    <row r="32">
      <c r="A32" s="2" t="inlineStr">
        <is>
          <t>EJ310123.TXT</t>
        </is>
      </c>
      <c r="B32" s="3" t="inlineStr">
        <is>
          <t>004547</t>
        </is>
      </c>
      <c r="C32" s="3" t="inlineStr">
        <is>
          <t>003592</t>
        </is>
      </c>
      <c r="D32" s="4" t="n">
        <v>44940</v>
      </c>
      <c r="E32" s="2" t="inlineStr">
        <is>
          <t>15:12</t>
        </is>
      </c>
      <c r="F32" s="5">
        <f>C32-C31</f>
        <v/>
      </c>
      <c r="G32" s="5">
        <f>B32-B31</f>
        <v/>
      </c>
      <c r="H32" s="2">
        <f>IF(AND(F32=1,G32=1),"OK","À JUSTIFIER")</f>
        <v/>
      </c>
    </row>
    <row r="33">
      <c r="A33" s="2" t="inlineStr">
        <is>
          <t>EJ310123.TXT</t>
        </is>
      </c>
      <c r="B33" s="3" t="inlineStr">
        <is>
          <t>004548</t>
        </is>
      </c>
      <c r="C33" s="3" t="inlineStr">
        <is>
          <t>003593</t>
        </is>
      </c>
      <c r="D33" s="4" t="n">
        <v>44942</v>
      </c>
      <c r="E33" s="2" t="inlineStr">
        <is>
          <t>11:27</t>
        </is>
      </c>
      <c r="F33" s="5">
        <f>C33-C32</f>
        <v/>
      </c>
      <c r="G33" s="5">
        <f>B33-B32</f>
        <v/>
      </c>
      <c r="H33" s="2">
        <f>IF(AND(F33=1,G33=1),"OK","À JUSTIFIER")</f>
        <v/>
      </c>
    </row>
    <row r="34">
      <c r="A34" s="2" t="inlineStr">
        <is>
          <t>EJ310123.TXT</t>
        </is>
      </c>
      <c r="B34" s="3" t="inlineStr">
        <is>
          <t>004549</t>
        </is>
      </c>
      <c r="C34" s="3" t="inlineStr">
        <is>
          <t>003594</t>
        </is>
      </c>
      <c r="D34" s="4" t="n">
        <v>44942</v>
      </c>
      <c r="E34" s="2" t="inlineStr">
        <is>
          <t>11:27</t>
        </is>
      </c>
      <c r="F34" s="5">
        <f>C34-C33</f>
        <v/>
      </c>
      <c r="G34" s="5">
        <f>B34-B33</f>
        <v/>
      </c>
      <c r="H34" s="2">
        <f>IF(AND(F34=1,G34=1),"OK","À JUSTIFIER")</f>
        <v/>
      </c>
    </row>
    <row r="35">
      <c r="A35" s="2" t="inlineStr">
        <is>
          <t>EJ310123.TXT</t>
        </is>
      </c>
      <c r="B35" s="3" t="inlineStr">
        <is>
          <t>004550</t>
        </is>
      </c>
      <c r="C35" s="3" t="inlineStr">
        <is>
          <t>003595</t>
        </is>
      </c>
      <c r="D35" s="4" t="n">
        <v>44942</v>
      </c>
      <c r="E35" s="2" t="inlineStr">
        <is>
          <t>11:28</t>
        </is>
      </c>
      <c r="F35" s="5">
        <f>C35-C34</f>
        <v/>
      </c>
      <c r="G35" s="5">
        <f>B35-B34</f>
        <v/>
      </c>
      <c r="H35" s="2">
        <f>IF(AND(F35=1,G35=1),"OK","À JUSTIFIER")</f>
        <v/>
      </c>
    </row>
    <row r="36">
      <c r="A36" s="2" t="inlineStr">
        <is>
          <t>EJ310123.TXT</t>
        </is>
      </c>
      <c r="B36" s="3" t="inlineStr">
        <is>
          <t>004551</t>
        </is>
      </c>
      <c r="C36" s="3" t="inlineStr">
        <is>
          <t>003596</t>
        </is>
      </c>
      <c r="D36" s="4" t="n">
        <v>44942</v>
      </c>
      <c r="E36" s="2" t="inlineStr">
        <is>
          <t>11:28</t>
        </is>
      </c>
      <c r="F36" s="5">
        <f>C36-C35</f>
        <v/>
      </c>
      <c r="G36" s="5">
        <f>B36-B35</f>
        <v/>
      </c>
      <c r="H36" s="2">
        <f>IF(AND(F36=1,G36=1),"OK","À JUSTIFIER")</f>
        <v/>
      </c>
    </row>
    <row r="37">
      <c r="A37" s="2" t="inlineStr">
        <is>
          <t>EJ310123.TXT</t>
        </is>
      </c>
      <c r="B37" s="3" t="inlineStr">
        <is>
          <t>004552</t>
        </is>
      </c>
      <c r="C37" s="3" t="inlineStr">
        <is>
          <t>003597</t>
        </is>
      </c>
      <c r="D37" s="4" t="n">
        <v>44942</v>
      </c>
      <c r="E37" s="2" t="inlineStr">
        <is>
          <t>11:42</t>
        </is>
      </c>
      <c r="F37" s="5">
        <f>C37-C36</f>
        <v/>
      </c>
      <c r="G37" s="5">
        <f>B37-B36</f>
        <v/>
      </c>
      <c r="H37" s="2">
        <f>IF(AND(F37=1,G37=1),"OK","À JUSTIFIER")</f>
        <v/>
      </c>
    </row>
    <row r="38">
      <c r="A38" s="2" t="inlineStr">
        <is>
          <t>EJ310123.TXT</t>
        </is>
      </c>
      <c r="B38" s="3" t="inlineStr">
        <is>
          <t>004553</t>
        </is>
      </c>
      <c r="C38" s="3" t="inlineStr">
        <is>
          <t>003598</t>
        </is>
      </c>
      <c r="D38" s="4" t="n">
        <v>44942</v>
      </c>
      <c r="E38" s="2" t="inlineStr">
        <is>
          <t>11:44</t>
        </is>
      </c>
      <c r="F38" s="5">
        <f>C38-C37</f>
        <v/>
      </c>
      <c r="G38" s="5">
        <f>B38-B37</f>
        <v/>
      </c>
      <c r="H38" s="2">
        <f>IF(AND(F38=1,G38=1),"OK","À JUSTIFIER")</f>
        <v/>
      </c>
    </row>
    <row r="39">
      <c r="A39" s="2" t="inlineStr">
        <is>
          <t>EJ310123.TXT</t>
        </is>
      </c>
      <c r="B39" s="3" t="inlineStr">
        <is>
          <t>004554</t>
        </is>
      </c>
      <c r="C39" s="3" t="inlineStr">
        <is>
          <t>003599</t>
        </is>
      </c>
      <c r="D39" s="4" t="n">
        <v>44942</v>
      </c>
      <c r="E39" s="2" t="inlineStr">
        <is>
          <t>11:45</t>
        </is>
      </c>
      <c r="F39" s="5">
        <f>C39-C38</f>
        <v/>
      </c>
      <c r="G39" s="5">
        <f>B39-B38</f>
        <v/>
      </c>
      <c r="H39" s="2">
        <f>IF(AND(F39=1,G39=1),"OK","À JUSTIFIER")</f>
        <v/>
      </c>
    </row>
    <row r="40">
      <c r="A40" s="2" t="inlineStr">
        <is>
          <t>EJ310123.TXT</t>
        </is>
      </c>
      <c r="B40" s="3" t="inlineStr">
        <is>
          <t>004555</t>
        </is>
      </c>
      <c r="C40" s="3" t="inlineStr">
        <is>
          <t>003600</t>
        </is>
      </c>
      <c r="D40" s="4" t="n">
        <v>44942</v>
      </c>
      <c r="E40" s="2" t="inlineStr">
        <is>
          <t>12:07</t>
        </is>
      </c>
      <c r="F40" s="5">
        <f>C40-C39</f>
        <v/>
      </c>
      <c r="G40" s="5">
        <f>B40-B39</f>
        <v/>
      </c>
      <c r="H40" s="2">
        <f>IF(AND(F40=1,G40=1),"OK","À JUSTIFIER")</f>
        <v/>
      </c>
    </row>
    <row r="41">
      <c r="A41" s="2" t="inlineStr">
        <is>
          <t>EJ310123.TXT</t>
        </is>
      </c>
      <c r="B41" s="3" t="inlineStr">
        <is>
          <t>004556</t>
        </is>
      </c>
      <c r="C41" s="3" t="inlineStr">
        <is>
          <t>003601</t>
        </is>
      </c>
      <c r="D41" s="4" t="n">
        <v>44942</v>
      </c>
      <c r="E41" s="2" t="inlineStr">
        <is>
          <t>16:10</t>
        </is>
      </c>
      <c r="F41" s="5">
        <f>C41-C40</f>
        <v/>
      </c>
      <c r="G41" s="5">
        <f>B41-B40</f>
        <v/>
      </c>
      <c r="H41" s="2">
        <f>IF(AND(F41=1,G41=1),"OK","À JUSTIFIER")</f>
        <v/>
      </c>
    </row>
    <row r="42">
      <c r="A42" s="2" t="inlineStr">
        <is>
          <t>EJ310123.TXT</t>
        </is>
      </c>
      <c r="B42" s="3" t="inlineStr">
        <is>
          <t>004557</t>
        </is>
      </c>
      <c r="C42" s="3" t="inlineStr">
        <is>
          <t>003602</t>
        </is>
      </c>
      <c r="D42" s="4" t="n">
        <v>44942</v>
      </c>
      <c r="E42" s="2" t="inlineStr">
        <is>
          <t>18:23</t>
        </is>
      </c>
      <c r="F42" s="5">
        <f>C42-C41</f>
        <v/>
      </c>
      <c r="G42" s="5">
        <f>B42-B41</f>
        <v/>
      </c>
      <c r="H42" s="2">
        <f>IF(AND(F42=1,G42=1),"OK","À JUSTIFIER")</f>
        <v/>
      </c>
    </row>
    <row r="43">
      <c r="A43" s="2" t="inlineStr">
        <is>
          <t>EJ310123.TXT</t>
        </is>
      </c>
      <c r="B43" s="3" t="inlineStr">
        <is>
          <t>004558</t>
        </is>
      </c>
      <c r="C43" s="3" t="inlineStr">
        <is>
          <t>003603</t>
        </is>
      </c>
      <c r="D43" s="4" t="n">
        <v>44942</v>
      </c>
      <c r="E43" s="2" t="inlineStr">
        <is>
          <t>18:25</t>
        </is>
      </c>
      <c r="F43" s="5">
        <f>C43-C42</f>
        <v/>
      </c>
      <c r="G43" s="5">
        <f>B43-B42</f>
        <v/>
      </c>
      <c r="H43" s="2">
        <f>IF(AND(F43=1,G43=1),"OK","À JUSTIFIER")</f>
        <v/>
      </c>
    </row>
    <row r="44">
      <c r="A44" s="2" t="inlineStr">
        <is>
          <t>EJ310123.TXT</t>
        </is>
      </c>
      <c r="B44" s="3" t="inlineStr">
        <is>
          <t>004559</t>
        </is>
      </c>
      <c r="C44" s="3" t="inlineStr">
        <is>
          <t>003604</t>
        </is>
      </c>
      <c r="D44" s="4" t="n">
        <v>44943</v>
      </c>
      <c r="E44" s="2" t="inlineStr">
        <is>
          <t>12:25</t>
        </is>
      </c>
      <c r="F44" s="5">
        <f>C44-C43</f>
        <v/>
      </c>
      <c r="G44" s="5">
        <f>B44-B43</f>
        <v/>
      </c>
      <c r="H44" s="2">
        <f>IF(AND(F44=1,G44=1),"OK","À JUSTIFIER")</f>
        <v/>
      </c>
    </row>
    <row r="45">
      <c r="A45" s="2" t="inlineStr">
        <is>
          <t>EJ310123.TXT</t>
        </is>
      </c>
      <c r="B45" s="3" t="inlineStr">
        <is>
          <t>004560</t>
        </is>
      </c>
      <c r="C45" s="3" t="inlineStr">
        <is>
          <t>003605</t>
        </is>
      </c>
      <c r="D45" s="4" t="n">
        <v>44943</v>
      </c>
      <c r="E45" s="2" t="inlineStr">
        <is>
          <t>12:25</t>
        </is>
      </c>
      <c r="F45" s="5">
        <f>C45-C44</f>
        <v/>
      </c>
      <c r="G45" s="5">
        <f>B45-B44</f>
        <v/>
      </c>
      <c r="H45" s="2">
        <f>IF(AND(F45=1,G45=1),"OK","À JUSTIFIER")</f>
        <v/>
      </c>
    </row>
    <row r="46">
      <c r="A46" s="2" t="inlineStr">
        <is>
          <t>EJ310123.TXT</t>
        </is>
      </c>
      <c r="B46" s="3" t="inlineStr">
        <is>
          <t>004561</t>
        </is>
      </c>
      <c r="C46" s="3" t="inlineStr">
        <is>
          <t>003606</t>
        </is>
      </c>
      <c r="D46" s="4" t="n">
        <v>44943</v>
      </c>
      <c r="E46" s="2" t="inlineStr">
        <is>
          <t>12:25</t>
        </is>
      </c>
      <c r="F46" s="5">
        <f>C46-C45</f>
        <v/>
      </c>
      <c r="G46" s="5">
        <f>B46-B45</f>
        <v/>
      </c>
      <c r="H46" s="2">
        <f>IF(AND(F46=1,G46=1),"OK","À JUSTIFIER")</f>
        <v/>
      </c>
    </row>
    <row r="47">
      <c r="A47" s="2" t="inlineStr">
        <is>
          <t>EJ310123.TXT</t>
        </is>
      </c>
      <c r="B47" s="3" t="inlineStr">
        <is>
          <t>004562</t>
        </is>
      </c>
      <c r="C47" s="3" t="inlineStr">
        <is>
          <t>003607</t>
        </is>
      </c>
      <c r="D47" s="4" t="n">
        <v>44943</v>
      </c>
      <c r="E47" s="2" t="inlineStr">
        <is>
          <t>15:31</t>
        </is>
      </c>
      <c r="F47" s="5">
        <f>C47-C46</f>
        <v/>
      </c>
      <c r="G47" s="5">
        <f>B47-B46</f>
        <v/>
      </c>
      <c r="H47" s="2">
        <f>IF(AND(F47=1,G47=1),"OK","À JUSTIFIER")</f>
        <v/>
      </c>
    </row>
    <row r="48">
      <c r="A48" s="2" t="inlineStr">
        <is>
          <t>EJ310123.TXT</t>
        </is>
      </c>
      <c r="B48" s="3" t="inlineStr">
        <is>
          <t>004563</t>
        </is>
      </c>
      <c r="C48" s="3" t="inlineStr">
        <is>
          <t>003608</t>
        </is>
      </c>
      <c r="D48" s="4" t="n">
        <v>44944</v>
      </c>
      <c r="E48" s="2" t="inlineStr">
        <is>
          <t>11:13</t>
        </is>
      </c>
      <c r="F48" s="5">
        <f>C48-C47</f>
        <v/>
      </c>
      <c r="G48" s="5">
        <f>B48-B47</f>
        <v/>
      </c>
      <c r="H48" s="2">
        <f>IF(AND(F48=1,G48=1),"OK","À JUSTIFIER")</f>
        <v/>
      </c>
    </row>
    <row r="49">
      <c r="A49" s="2" t="inlineStr">
        <is>
          <t>EJ310123.TXT</t>
        </is>
      </c>
      <c r="B49" s="3" t="inlineStr">
        <is>
          <t>004564</t>
        </is>
      </c>
      <c r="C49" s="3" t="inlineStr">
        <is>
          <t>003609</t>
        </is>
      </c>
      <c r="D49" s="4" t="n">
        <v>44944</v>
      </c>
      <c r="E49" s="2" t="inlineStr">
        <is>
          <t>12:09</t>
        </is>
      </c>
      <c r="F49" s="5">
        <f>C49-C48</f>
        <v/>
      </c>
      <c r="G49" s="5">
        <f>B49-B48</f>
        <v/>
      </c>
      <c r="H49" s="2">
        <f>IF(AND(F49=1,G49=1),"OK","À JUSTIFIER")</f>
        <v/>
      </c>
    </row>
    <row r="50">
      <c r="A50" s="2" t="inlineStr">
        <is>
          <t>EJ310123.TXT</t>
        </is>
      </c>
      <c r="B50" s="3" t="inlineStr">
        <is>
          <t>004565</t>
        </is>
      </c>
      <c r="C50" s="3" t="inlineStr">
        <is>
          <t>003610</t>
        </is>
      </c>
      <c r="D50" s="4" t="n">
        <v>44944</v>
      </c>
      <c r="E50" s="2" t="inlineStr">
        <is>
          <t>12:10</t>
        </is>
      </c>
      <c r="F50" s="5">
        <f>C50-C49</f>
        <v/>
      </c>
      <c r="G50" s="5">
        <f>B50-B49</f>
        <v/>
      </c>
      <c r="H50" s="2">
        <f>IF(AND(F50=1,G50=1),"OK","À JUSTIFIER")</f>
        <v/>
      </c>
    </row>
    <row r="51">
      <c r="A51" s="2" t="inlineStr">
        <is>
          <t>EJ310123.TXT</t>
        </is>
      </c>
      <c r="B51" s="3" t="inlineStr">
        <is>
          <t>004566</t>
        </is>
      </c>
      <c r="C51" s="3" t="inlineStr">
        <is>
          <t>003611</t>
        </is>
      </c>
      <c r="D51" s="4" t="n">
        <v>44944</v>
      </c>
      <c r="E51" s="2" t="inlineStr">
        <is>
          <t>15:26</t>
        </is>
      </c>
      <c r="F51" s="5">
        <f>C51-C50</f>
        <v/>
      </c>
      <c r="G51" s="5">
        <f>B51-B50</f>
        <v/>
      </c>
      <c r="H51" s="2">
        <f>IF(AND(F51=1,G51=1),"OK","À JUSTIFIER")</f>
        <v/>
      </c>
    </row>
    <row r="52">
      <c r="A52" s="2" t="inlineStr">
        <is>
          <t>EJ310123.TXT</t>
        </is>
      </c>
      <c r="B52" s="3" t="inlineStr">
        <is>
          <t>004567</t>
        </is>
      </c>
      <c r="C52" s="3" t="inlineStr">
        <is>
          <t>003612</t>
        </is>
      </c>
      <c r="D52" s="4" t="n">
        <v>44944</v>
      </c>
      <c r="E52" s="2" t="inlineStr">
        <is>
          <t>15:26</t>
        </is>
      </c>
      <c r="F52" s="5">
        <f>C52-C51</f>
        <v/>
      </c>
      <c r="G52" s="5">
        <f>B52-B51</f>
        <v/>
      </c>
      <c r="H52" s="2">
        <f>IF(AND(F52=1,G52=1),"OK","À JUSTIFIER")</f>
        <v/>
      </c>
    </row>
    <row r="53">
      <c r="A53" s="2" t="inlineStr">
        <is>
          <t>EJ310123.TXT</t>
        </is>
      </c>
      <c r="B53" s="3" t="inlineStr">
        <is>
          <t>004568</t>
        </is>
      </c>
      <c r="C53" s="3" t="inlineStr">
        <is>
          <t>003613</t>
        </is>
      </c>
      <c r="D53" s="4" t="n">
        <v>44944</v>
      </c>
      <c r="E53" s="2" t="inlineStr">
        <is>
          <t>15:27</t>
        </is>
      </c>
      <c r="F53" s="5">
        <f>C53-C52</f>
        <v/>
      </c>
      <c r="G53" s="5">
        <f>B53-B52</f>
        <v/>
      </c>
      <c r="H53" s="2">
        <f>IF(AND(F53=1,G53=1),"OK","À JUSTIFIER")</f>
        <v/>
      </c>
    </row>
    <row r="54">
      <c r="A54" s="2" t="inlineStr">
        <is>
          <t>EJ310123.TXT</t>
        </is>
      </c>
      <c r="B54" s="3" t="inlineStr">
        <is>
          <t>004569</t>
        </is>
      </c>
      <c r="C54" s="3" t="inlineStr">
        <is>
          <t>003614</t>
        </is>
      </c>
      <c r="D54" s="4" t="n">
        <v>44944</v>
      </c>
      <c r="E54" s="2" t="inlineStr">
        <is>
          <t>17:26</t>
        </is>
      </c>
      <c r="F54" s="5">
        <f>C54-C53</f>
        <v/>
      </c>
      <c r="G54" s="5">
        <f>B54-B53</f>
        <v/>
      </c>
      <c r="H54" s="2">
        <f>IF(AND(F54=1,G54=1),"OK","À JUSTIFIER")</f>
        <v/>
      </c>
    </row>
    <row r="55">
      <c r="A55" s="2" t="inlineStr">
        <is>
          <t>EJ310123.TXT</t>
        </is>
      </c>
      <c r="B55" s="3" t="inlineStr">
        <is>
          <t>004570</t>
        </is>
      </c>
      <c r="C55" s="3" t="inlineStr">
        <is>
          <t>003615</t>
        </is>
      </c>
      <c r="D55" s="4" t="n">
        <v>44944</v>
      </c>
      <c r="E55" s="2" t="inlineStr">
        <is>
          <t>18:12</t>
        </is>
      </c>
      <c r="F55" s="5">
        <f>C55-C54</f>
        <v/>
      </c>
      <c r="G55" s="5">
        <f>B55-B54</f>
        <v/>
      </c>
      <c r="H55" s="2">
        <f>IF(AND(F55=1,G55=1),"OK","À JUSTIFIER")</f>
        <v/>
      </c>
    </row>
    <row r="56">
      <c r="A56" s="2" t="inlineStr">
        <is>
          <t>EJ310123.TXT</t>
        </is>
      </c>
      <c r="B56" s="3" t="inlineStr">
        <is>
          <t>004571</t>
        </is>
      </c>
      <c r="C56" s="3" t="inlineStr">
        <is>
          <t>003616</t>
        </is>
      </c>
      <c r="D56" s="4" t="n">
        <v>44944</v>
      </c>
      <c r="E56" s="2" t="inlineStr">
        <is>
          <t>18:16</t>
        </is>
      </c>
      <c r="F56" s="5">
        <f>C56-C55</f>
        <v/>
      </c>
      <c r="G56" s="5">
        <f>B56-B55</f>
        <v/>
      </c>
      <c r="H56" s="2">
        <f>IF(AND(F56=1,G56=1),"OK","À JUSTIFIER")</f>
        <v/>
      </c>
    </row>
    <row r="57">
      <c r="A57" s="2" t="inlineStr">
        <is>
          <t>EJ310123.TXT</t>
        </is>
      </c>
      <c r="B57" s="3" t="inlineStr">
        <is>
          <t>004572</t>
        </is>
      </c>
      <c r="C57" s="3" t="inlineStr">
        <is>
          <t>003617</t>
        </is>
      </c>
      <c r="D57" s="4" t="n">
        <v>44944</v>
      </c>
      <c r="E57" s="2" t="inlineStr">
        <is>
          <t>18:18</t>
        </is>
      </c>
      <c r="F57" s="5">
        <f>C57-C56</f>
        <v/>
      </c>
      <c r="G57" s="5">
        <f>B57-B56</f>
        <v/>
      </c>
      <c r="H57" s="2">
        <f>IF(AND(F57=1,G57=1),"OK","À JUSTIFIER")</f>
        <v/>
      </c>
    </row>
    <row r="58">
      <c r="A58" s="2" t="inlineStr">
        <is>
          <t>EJ310123.TXT</t>
        </is>
      </c>
      <c r="B58" s="3" t="inlineStr">
        <is>
          <t>004573</t>
        </is>
      </c>
      <c r="C58" s="3" t="inlineStr">
        <is>
          <t>003618</t>
        </is>
      </c>
      <c r="D58" s="4" t="n">
        <v>44944</v>
      </c>
      <c r="E58" s="2" t="inlineStr">
        <is>
          <t>18:22</t>
        </is>
      </c>
      <c r="F58" s="5">
        <f>C58-C57</f>
        <v/>
      </c>
      <c r="G58" s="5">
        <f>B58-B57</f>
        <v/>
      </c>
      <c r="H58" s="2">
        <f>IF(AND(F58=1,G58=1),"OK","À JUSTIFIER")</f>
        <v/>
      </c>
    </row>
    <row r="59">
      <c r="A59" s="2" t="inlineStr">
        <is>
          <t>EJ310123.TXT</t>
        </is>
      </c>
      <c r="B59" s="3" t="inlineStr">
        <is>
          <t>004574</t>
        </is>
      </c>
      <c r="C59" s="3" t="inlineStr">
        <is>
          <t>003619</t>
        </is>
      </c>
      <c r="D59" s="4" t="n">
        <v>44945</v>
      </c>
      <c r="E59" s="2" t="inlineStr">
        <is>
          <t>15:50</t>
        </is>
      </c>
      <c r="F59" s="5">
        <f>C59-C58</f>
        <v/>
      </c>
      <c r="G59" s="5">
        <f>B59-B58</f>
        <v/>
      </c>
      <c r="H59" s="2">
        <f>IF(AND(F59=1,G59=1),"OK","À JUSTIFIER")</f>
        <v/>
      </c>
    </row>
    <row r="60">
      <c r="A60" s="2" t="inlineStr">
        <is>
          <t>EJ310123.TXT</t>
        </is>
      </c>
      <c r="B60" s="3" t="inlineStr">
        <is>
          <t>004575</t>
        </is>
      </c>
      <c r="C60" s="3" t="inlineStr">
        <is>
          <t>003620</t>
        </is>
      </c>
      <c r="D60" s="4" t="n">
        <v>44945</v>
      </c>
      <c r="E60" s="2" t="inlineStr">
        <is>
          <t>16:56</t>
        </is>
      </c>
      <c r="F60" s="5">
        <f>C60-C59</f>
        <v/>
      </c>
      <c r="G60" s="5">
        <f>B60-B59</f>
        <v/>
      </c>
      <c r="H60" s="2">
        <f>IF(AND(F60=1,G60=1),"OK","À JUSTIFIER")</f>
        <v/>
      </c>
    </row>
    <row r="61">
      <c r="A61" s="2" t="inlineStr">
        <is>
          <t>EJ310123.TXT</t>
        </is>
      </c>
      <c r="B61" s="3" t="inlineStr">
        <is>
          <t>004576</t>
        </is>
      </c>
      <c r="C61" s="3" t="inlineStr">
        <is>
          <t>003621</t>
        </is>
      </c>
      <c r="D61" s="4" t="n">
        <v>44945</v>
      </c>
      <c r="E61" s="2" t="inlineStr">
        <is>
          <t>18:15</t>
        </is>
      </c>
      <c r="F61" s="5">
        <f>C61-C60</f>
        <v/>
      </c>
      <c r="G61" s="5">
        <f>B61-B60</f>
        <v/>
      </c>
      <c r="H61" s="2">
        <f>IF(AND(F61=1,G61=1),"OK","À JUSTIFIER")</f>
        <v/>
      </c>
    </row>
    <row r="62">
      <c r="A62" s="2" t="inlineStr">
        <is>
          <t>EJ310123.TXT</t>
        </is>
      </c>
      <c r="B62" s="3" t="inlineStr">
        <is>
          <t>004577</t>
        </is>
      </c>
      <c r="C62" s="3" t="inlineStr">
        <is>
          <t>003622</t>
        </is>
      </c>
      <c r="D62" s="4" t="n">
        <v>44945</v>
      </c>
      <c r="E62" s="2" t="inlineStr">
        <is>
          <t>18:15</t>
        </is>
      </c>
      <c r="F62" s="5">
        <f>C62-C61</f>
        <v/>
      </c>
      <c r="G62" s="5">
        <f>B62-B61</f>
        <v/>
      </c>
      <c r="H62" s="2">
        <f>IF(AND(F62=1,G62=1),"OK","À JUSTIFIER")</f>
        <v/>
      </c>
    </row>
    <row r="63">
      <c r="A63" s="2" t="inlineStr">
        <is>
          <t>EJ310123.TXT</t>
        </is>
      </c>
      <c r="B63" s="3" t="inlineStr">
        <is>
          <t>004578</t>
        </is>
      </c>
      <c r="C63" s="3" t="inlineStr">
        <is>
          <t>003623</t>
        </is>
      </c>
      <c r="D63" s="4" t="n">
        <v>44946</v>
      </c>
      <c r="E63" s="2" t="inlineStr">
        <is>
          <t>11:51</t>
        </is>
      </c>
      <c r="F63" s="5">
        <f>C63-C62</f>
        <v/>
      </c>
      <c r="G63" s="5">
        <f>B63-B62</f>
        <v/>
      </c>
      <c r="H63" s="2">
        <f>IF(AND(F63=1,G63=1),"OK","À JUSTIFIER")</f>
        <v/>
      </c>
    </row>
    <row r="64">
      <c r="A64" s="2" t="inlineStr">
        <is>
          <t>EJ310123.TXT</t>
        </is>
      </c>
      <c r="B64" s="3" t="inlineStr">
        <is>
          <t>004579</t>
        </is>
      </c>
      <c r="C64" s="3" t="inlineStr">
        <is>
          <t>003624</t>
        </is>
      </c>
      <c r="D64" s="4" t="n">
        <v>44946</v>
      </c>
      <c r="E64" s="2" t="inlineStr">
        <is>
          <t>12:17</t>
        </is>
      </c>
      <c r="F64" s="5">
        <f>C64-C63</f>
        <v/>
      </c>
      <c r="G64" s="5">
        <f>B64-B63</f>
        <v/>
      </c>
      <c r="H64" s="2">
        <f>IF(AND(F64=1,G64=1),"OK","À JUSTIFIER")</f>
        <v/>
      </c>
    </row>
    <row r="65">
      <c r="A65" s="2" t="inlineStr">
        <is>
          <t>EJ310123.TXT</t>
        </is>
      </c>
      <c r="B65" s="3" t="inlineStr">
        <is>
          <t>004580</t>
        </is>
      </c>
      <c r="C65" s="3" t="inlineStr">
        <is>
          <t>003625</t>
        </is>
      </c>
      <c r="D65" s="4" t="n">
        <v>44946</v>
      </c>
      <c r="E65" s="2" t="inlineStr">
        <is>
          <t>12:32</t>
        </is>
      </c>
      <c r="F65" s="5">
        <f>C65-C64</f>
        <v/>
      </c>
      <c r="G65" s="5">
        <f>B65-B64</f>
        <v/>
      </c>
      <c r="H65" s="2">
        <f>IF(AND(F65=1,G65=1),"OK","À JUSTIFIER")</f>
        <v/>
      </c>
    </row>
    <row r="66">
      <c r="A66" s="2" t="inlineStr">
        <is>
          <t>EJ310123.TXT</t>
        </is>
      </c>
      <c r="B66" s="3" t="inlineStr">
        <is>
          <t>004581</t>
        </is>
      </c>
      <c r="C66" s="3" t="inlineStr">
        <is>
          <t>003626</t>
        </is>
      </c>
      <c r="D66" s="4" t="n">
        <v>44946</v>
      </c>
      <c r="E66" s="2" t="inlineStr">
        <is>
          <t>13:04</t>
        </is>
      </c>
      <c r="F66" s="5">
        <f>C66-C65</f>
        <v/>
      </c>
      <c r="G66" s="5">
        <f>B66-B65</f>
        <v/>
      </c>
      <c r="H66" s="2">
        <f>IF(AND(F66=1,G66=1),"OK","À JUSTIFIER")</f>
        <v/>
      </c>
    </row>
    <row r="67">
      <c r="A67" s="2" t="inlineStr">
        <is>
          <t>EJ310123.TXT</t>
        </is>
      </c>
      <c r="B67" s="3" t="inlineStr">
        <is>
          <t>004582</t>
        </is>
      </c>
      <c r="C67" s="3" t="inlineStr">
        <is>
          <t>003627</t>
        </is>
      </c>
      <c r="D67" s="4" t="n">
        <v>44946</v>
      </c>
      <c r="E67" s="2" t="inlineStr">
        <is>
          <t>14:32</t>
        </is>
      </c>
      <c r="F67" s="5">
        <f>C67-C66</f>
        <v/>
      </c>
      <c r="G67" s="5">
        <f>B67-B66</f>
        <v/>
      </c>
      <c r="H67" s="2">
        <f>IF(AND(F67=1,G67=1),"OK","À JUSTIFIER")</f>
        <v/>
      </c>
    </row>
    <row r="68">
      <c r="A68" s="2" t="inlineStr">
        <is>
          <t>EJ310123.TXT</t>
        </is>
      </c>
      <c r="B68" s="3" t="inlineStr">
        <is>
          <t>004583</t>
        </is>
      </c>
      <c r="C68" s="3" t="inlineStr">
        <is>
          <t>003628</t>
        </is>
      </c>
      <c r="D68" s="4" t="n">
        <v>44946</v>
      </c>
      <c r="E68" s="2" t="inlineStr">
        <is>
          <t>14:50</t>
        </is>
      </c>
      <c r="F68" s="5">
        <f>C68-C67</f>
        <v/>
      </c>
      <c r="G68" s="5">
        <f>B68-B67</f>
        <v/>
      </c>
      <c r="H68" s="2">
        <f>IF(AND(F68=1,G68=1),"OK","À JUSTIFIER")</f>
        <v/>
      </c>
    </row>
    <row r="69">
      <c r="A69" s="2" t="inlineStr">
        <is>
          <t>EJ310123.TXT</t>
        </is>
      </c>
      <c r="B69" s="3" t="inlineStr">
        <is>
          <t>004584</t>
        </is>
      </c>
      <c r="C69" s="3" t="inlineStr">
        <is>
          <t>003629</t>
        </is>
      </c>
      <c r="D69" s="4" t="n">
        <v>44946</v>
      </c>
      <c r="E69" s="2" t="inlineStr">
        <is>
          <t>15:10</t>
        </is>
      </c>
      <c r="F69" s="5">
        <f>C69-C68</f>
        <v/>
      </c>
      <c r="G69" s="5">
        <f>B69-B68</f>
        <v/>
      </c>
      <c r="H69" s="2">
        <f>IF(AND(F69=1,G69=1),"OK","À JUSTIFIER")</f>
        <v/>
      </c>
    </row>
    <row r="70">
      <c r="A70" s="2" t="inlineStr">
        <is>
          <t>EJ310123.TXT</t>
        </is>
      </c>
      <c r="B70" s="3" t="inlineStr">
        <is>
          <t>004585</t>
        </is>
      </c>
      <c r="C70" s="3" t="inlineStr">
        <is>
          <t>003630</t>
        </is>
      </c>
      <c r="D70" s="4" t="n">
        <v>44946</v>
      </c>
      <c r="E70" s="2" t="inlineStr">
        <is>
          <t>15:46</t>
        </is>
      </c>
      <c r="F70" s="5">
        <f>C70-C69</f>
        <v/>
      </c>
      <c r="G70" s="5">
        <f>B70-B69</f>
        <v/>
      </c>
      <c r="H70" s="2">
        <f>IF(AND(F70=1,G70=1),"OK","À JUSTIFIER")</f>
        <v/>
      </c>
    </row>
    <row r="71">
      <c r="A71" s="2" t="inlineStr">
        <is>
          <t>EJ310123.TXT</t>
        </is>
      </c>
      <c r="B71" s="3" t="inlineStr">
        <is>
          <t>004586</t>
        </is>
      </c>
      <c r="C71" s="3" t="inlineStr">
        <is>
          <t>003631</t>
        </is>
      </c>
      <c r="D71" s="4" t="n">
        <v>44946</v>
      </c>
      <c r="E71" s="2" t="inlineStr">
        <is>
          <t>18:22</t>
        </is>
      </c>
      <c r="F71" s="5">
        <f>C71-C70</f>
        <v/>
      </c>
      <c r="G71" s="5">
        <f>B71-B70</f>
        <v/>
      </c>
      <c r="H71" s="2">
        <f>IF(AND(F71=1,G71=1),"OK","À JUSTIFIER")</f>
        <v/>
      </c>
    </row>
    <row r="72">
      <c r="A72" s="2" t="inlineStr">
        <is>
          <t>EJ310123.TXT</t>
        </is>
      </c>
      <c r="B72" s="3" t="inlineStr">
        <is>
          <t>004587</t>
        </is>
      </c>
      <c r="C72" s="3" t="inlineStr">
        <is>
          <t>003632</t>
        </is>
      </c>
      <c r="D72" s="4" t="n">
        <v>44947</v>
      </c>
      <c r="E72" s="2" t="inlineStr">
        <is>
          <t>15:25</t>
        </is>
      </c>
      <c r="F72" s="5">
        <f>C72-C71</f>
        <v/>
      </c>
      <c r="G72" s="5">
        <f>B72-B71</f>
        <v/>
      </c>
      <c r="H72" s="2">
        <f>IF(AND(F72=1,G72=1),"OK","À JUSTIFIER")</f>
        <v/>
      </c>
    </row>
    <row r="73">
      <c r="A73" s="2" t="inlineStr">
        <is>
          <t>EJ310123.TXT</t>
        </is>
      </c>
      <c r="B73" s="3" t="inlineStr">
        <is>
          <t>004588</t>
        </is>
      </c>
      <c r="C73" s="3" t="inlineStr">
        <is>
          <t>003633</t>
        </is>
      </c>
      <c r="D73" s="4" t="n">
        <v>44947</v>
      </c>
      <c r="E73" s="2" t="inlineStr">
        <is>
          <t>15:37</t>
        </is>
      </c>
      <c r="F73" s="5">
        <f>C73-C72</f>
        <v/>
      </c>
      <c r="G73" s="5">
        <f>B73-B72</f>
        <v/>
      </c>
      <c r="H73" s="2">
        <f>IF(AND(F73=1,G73=1),"OK","À JUSTIFIER")</f>
        <v/>
      </c>
    </row>
    <row r="74">
      <c r="A74" s="2" t="inlineStr">
        <is>
          <t>EJ310123.TXT</t>
        </is>
      </c>
      <c r="B74" s="3" t="inlineStr">
        <is>
          <t>004589</t>
        </is>
      </c>
      <c r="C74" s="3" t="inlineStr">
        <is>
          <t>003634</t>
        </is>
      </c>
      <c r="D74" s="4" t="n">
        <v>44947</v>
      </c>
      <c r="E74" s="2" t="inlineStr">
        <is>
          <t>15:40</t>
        </is>
      </c>
      <c r="F74" s="5">
        <f>C74-C73</f>
        <v/>
      </c>
      <c r="G74" s="5">
        <f>B74-B73</f>
        <v/>
      </c>
      <c r="H74" s="2">
        <f>IF(AND(F74=1,G74=1),"OK","À JUSTIFIER")</f>
        <v/>
      </c>
    </row>
    <row r="75">
      <c r="A75" s="2" t="inlineStr">
        <is>
          <t>EJ310123.TXT</t>
        </is>
      </c>
      <c r="B75" s="3" t="inlineStr">
        <is>
          <t>004590</t>
        </is>
      </c>
      <c r="C75" s="3" t="inlineStr">
        <is>
          <t>003635</t>
        </is>
      </c>
      <c r="D75" s="4" t="n">
        <v>44947</v>
      </c>
      <c r="E75" s="2" t="inlineStr">
        <is>
          <t>15:44</t>
        </is>
      </c>
      <c r="F75" s="5">
        <f>C75-C74</f>
        <v/>
      </c>
      <c r="G75" s="5">
        <f>B75-B74</f>
        <v/>
      </c>
      <c r="H75" s="2">
        <f>IF(AND(F75=1,G75=1),"OK","À JUSTIFIER")</f>
        <v/>
      </c>
    </row>
    <row r="76">
      <c r="A76" s="2" t="inlineStr">
        <is>
          <t>EJ310123.TXT</t>
        </is>
      </c>
      <c r="B76" s="3" t="inlineStr">
        <is>
          <t>004591</t>
        </is>
      </c>
      <c r="C76" s="3" t="inlineStr">
        <is>
          <t>003636</t>
        </is>
      </c>
      <c r="D76" s="4" t="n">
        <v>44947</v>
      </c>
      <c r="E76" s="2" t="inlineStr">
        <is>
          <t>15:46</t>
        </is>
      </c>
      <c r="F76" s="5">
        <f>C76-C75</f>
        <v/>
      </c>
      <c r="G76" s="5">
        <f>B76-B75</f>
        <v/>
      </c>
      <c r="H76" s="2">
        <f>IF(AND(F76=1,G76=1),"OK","À JUSTIFIER")</f>
        <v/>
      </c>
    </row>
    <row r="77">
      <c r="A77" s="2" t="inlineStr">
        <is>
          <t>EJ310123.TXT</t>
        </is>
      </c>
      <c r="B77" s="3" t="inlineStr">
        <is>
          <t>004592</t>
        </is>
      </c>
      <c r="C77" s="3" t="inlineStr">
        <is>
          <t>003637</t>
        </is>
      </c>
      <c r="D77" s="4" t="n">
        <v>44947</v>
      </c>
      <c r="E77" s="2" t="inlineStr">
        <is>
          <t>15:47</t>
        </is>
      </c>
      <c r="F77" s="5">
        <f>C77-C76</f>
        <v/>
      </c>
      <c r="G77" s="5">
        <f>B77-B76</f>
        <v/>
      </c>
      <c r="H77" s="2">
        <f>IF(AND(F77=1,G77=1),"OK","À JUSTIFIER")</f>
        <v/>
      </c>
    </row>
    <row r="78">
      <c r="A78" s="2" t="inlineStr">
        <is>
          <t>EJ310123.TXT</t>
        </is>
      </c>
      <c r="B78" s="3" t="inlineStr">
        <is>
          <t>004593</t>
        </is>
      </c>
      <c r="C78" s="3" t="inlineStr">
        <is>
          <t>003638</t>
        </is>
      </c>
      <c r="D78" s="4" t="n">
        <v>44947</v>
      </c>
      <c r="E78" s="2" t="inlineStr">
        <is>
          <t>15:48</t>
        </is>
      </c>
      <c r="F78" s="5">
        <f>C78-C77</f>
        <v/>
      </c>
      <c r="G78" s="5">
        <f>B78-B77</f>
        <v/>
      </c>
      <c r="H78" s="2">
        <f>IF(AND(F78=1,G78=1),"OK","À JUSTIFIER")</f>
        <v/>
      </c>
    </row>
    <row r="79">
      <c r="A79" s="2" t="inlineStr">
        <is>
          <t>EJ310123.TXT</t>
        </is>
      </c>
      <c r="B79" s="3" t="inlineStr">
        <is>
          <t>004594</t>
        </is>
      </c>
      <c r="C79" s="3" t="inlineStr">
        <is>
          <t>003639</t>
        </is>
      </c>
      <c r="D79" s="4" t="n">
        <v>44947</v>
      </c>
      <c r="E79" s="2" t="inlineStr">
        <is>
          <t>15:49</t>
        </is>
      </c>
      <c r="F79" s="5">
        <f>C79-C78</f>
        <v/>
      </c>
      <c r="G79" s="5">
        <f>B79-B78</f>
        <v/>
      </c>
      <c r="H79" s="2">
        <f>IF(AND(F79=1,G79=1),"OK","À JUSTIFIER")</f>
        <v/>
      </c>
    </row>
    <row r="80">
      <c r="A80" s="2" t="inlineStr">
        <is>
          <t>EJ310123.TXT</t>
        </is>
      </c>
      <c r="B80" s="3" t="inlineStr">
        <is>
          <t>004595</t>
        </is>
      </c>
      <c r="C80" s="3" t="inlineStr">
        <is>
          <t>003640</t>
        </is>
      </c>
      <c r="D80" s="4" t="n">
        <v>44947</v>
      </c>
      <c r="E80" s="2" t="inlineStr">
        <is>
          <t>16:04</t>
        </is>
      </c>
      <c r="F80" s="5">
        <f>C80-C79</f>
        <v/>
      </c>
      <c r="G80" s="5">
        <f>B80-B79</f>
        <v/>
      </c>
      <c r="H80" s="2">
        <f>IF(AND(F80=1,G80=1),"OK","À JUSTIFIER")</f>
        <v/>
      </c>
    </row>
    <row r="81">
      <c r="A81" s="2" t="inlineStr">
        <is>
          <t>EJ310123.TXT</t>
        </is>
      </c>
      <c r="B81" s="3" t="inlineStr">
        <is>
          <t>004596</t>
        </is>
      </c>
      <c r="C81" s="3" t="inlineStr">
        <is>
          <t>003641</t>
        </is>
      </c>
      <c r="D81" s="4" t="n">
        <v>44947</v>
      </c>
      <c r="E81" s="2" t="inlineStr">
        <is>
          <t>16:52</t>
        </is>
      </c>
      <c r="F81" s="5">
        <f>C81-C80</f>
        <v/>
      </c>
      <c r="G81" s="5">
        <f>B81-B80</f>
        <v/>
      </c>
      <c r="H81" s="2">
        <f>IF(AND(F81=1,G81=1),"OK","À JUSTIFIER")</f>
        <v/>
      </c>
    </row>
    <row r="82">
      <c r="A82" s="2" t="inlineStr">
        <is>
          <t>EJ310123.TXT</t>
        </is>
      </c>
      <c r="B82" s="3" t="inlineStr">
        <is>
          <t>004597</t>
        </is>
      </c>
      <c r="C82" s="3" t="inlineStr">
        <is>
          <t>003642</t>
        </is>
      </c>
      <c r="D82" s="4" t="n">
        <v>44947</v>
      </c>
      <c r="E82" s="2" t="inlineStr">
        <is>
          <t>18:18</t>
        </is>
      </c>
      <c r="F82" s="5">
        <f>C82-C81</f>
        <v/>
      </c>
      <c r="G82" s="5">
        <f>B82-B81</f>
        <v/>
      </c>
      <c r="H82" s="2">
        <f>IF(AND(F82=1,G82=1),"OK","À JUSTIFIER")</f>
        <v/>
      </c>
    </row>
    <row r="83">
      <c r="A83" s="2" t="inlineStr">
        <is>
          <t>EJ310123.TXT</t>
        </is>
      </c>
      <c r="B83" s="3" t="inlineStr">
        <is>
          <t>004598</t>
        </is>
      </c>
      <c r="C83" s="3" t="inlineStr">
        <is>
          <t>003643</t>
        </is>
      </c>
      <c r="D83" s="4" t="n">
        <v>44947</v>
      </c>
      <c r="E83" s="2" t="inlineStr">
        <is>
          <t>18:40</t>
        </is>
      </c>
      <c r="F83" s="5">
        <f>C83-C82</f>
        <v/>
      </c>
      <c r="G83" s="5">
        <f>B83-B82</f>
        <v/>
      </c>
      <c r="H83" s="2">
        <f>IF(AND(F83=1,G83=1),"OK","À JUSTIFIER")</f>
        <v/>
      </c>
    </row>
    <row r="84">
      <c r="A84" s="2" t="inlineStr">
        <is>
          <t>EJ310123.TXT</t>
        </is>
      </c>
      <c r="B84" s="3" t="inlineStr">
        <is>
          <t>004599</t>
        </is>
      </c>
      <c r="C84" s="3" t="inlineStr">
        <is>
          <t>003644</t>
        </is>
      </c>
      <c r="D84" s="4" t="n">
        <v>44949</v>
      </c>
      <c r="E84" s="2" t="inlineStr">
        <is>
          <t>14:44</t>
        </is>
      </c>
      <c r="F84" s="5">
        <f>C84-C83</f>
        <v/>
      </c>
      <c r="G84" s="5">
        <f>B84-B83</f>
        <v/>
      </c>
      <c r="H84" s="2">
        <f>IF(AND(F84=1,G84=1),"OK","À JUSTIFIER")</f>
        <v/>
      </c>
    </row>
    <row r="85">
      <c r="A85" s="2" t="inlineStr">
        <is>
          <t>EJ310123.TXT</t>
        </is>
      </c>
      <c r="B85" s="3" t="inlineStr">
        <is>
          <t>004600</t>
        </is>
      </c>
      <c r="C85" s="3" t="inlineStr">
        <is>
          <t>003645</t>
        </is>
      </c>
      <c r="D85" s="4" t="n">
        <v>44949</v>
      </c>
      <c r="E85" s="2" t="inlineStr">
        <is>
          <t>14:45</t>
        </is>
      </c>
      <c r="F85" s="5">
        <f>C85-C84</f>
        <v/>
      </c>
      <c r="G85" s="5">
        <f>B85-B84</f>
        <v/>
      </c>
      <c r="H85" s="2">
        <f>IF(AND(F85=1,G85=1),"OK","À JUSTIFIER")</f>
        <v/>
      </c>
    </row>
    <row r="86">
      <c r="A86" s="2" t="inlineStr">
        <is>
          <t>EJ310123.TXT</t>
        </is>
      </c>
      <c r="B86" s="3" t="inlineStr">
        <is>
          <t>004601</t>
        </is>
      </c>
      <c r="C86" s="3" t="inlineStr">
        <is>
          <t>003646</t>
        </is>
      </c>
      <c r="D86" s="4" t="n">
        <v>44949</v>
      </c>
      <c r="E86" s="2" t="inlineStr">
        <is>
          <t>15:36</t>
        </is>
      </c>
      <c r="F86" s="5">
        <f>C86-C85</f>
        <v/>
      </c>
      <c r="G86" s="5">
        <f>B86-B85</f>
        <v/>
      </c>
      <c r="H86" s="2">
        <f>IF(AND(F86=1,G86=1),"OK","À JUSTIFIER")</f>
        <v/>
      </c>
    </row>
    <row r="87">
      <c r="A87" s="2" t="inlineStr">
        <is>
          <t>EJ310123.TXT</t>
        </is>
      </c>
      <c r="B87" s="3" t="inlineStr">
        <is>
          <t>004602</t>
        </is>
      </c>
      <c r="C87" s="3" t="inlineStr">
        <is>
          <t>003647</t>
        </is>
      </c>
      <c r="D87" s="4" t="n">
        <v>44949</v>
      </c>
      <c r="E87" s="2" t="inlineStr">
        <is>
          <t>15:36</t>
        </is>
      </c>
      <c r="F87" s="5">
        <f>C87-C86</f>
        <v/>
      </c>
      <c r="G87" s="5">
        <f>B87-B86</f>
        <v/>
      </c>
      <c r="H87" s="2">
        <f>IF(AND(F87=1,G87=1),"OK","À JUSTIFIER")</f>
        <v/>
      </c>
    </row>
    <row r="88">
      <c r="A88" s="2" t="inlineStr">
        <is>
          <t>EJ310123.TXT</t>
        </is>
      </c>
      <c r="B88" s="3" t="inlineStr">
        <is>
          <t>004603</t>
        </is>
      </c>
      <c r="C88" s="3" t="inlineStr">
        <is>
          <t>003648</t>
        </is>
      </c>
      <c r="D88" s="4" t="n">
        <v>44949</v>
      </c>
      <c r="E88" s="2" t="inlineStr">
        <is>
          <t>15:36</t>
        </is>
      </c>
      <c r="F88" s="5">
        <f>C88-C87</f>
        <v/>
      </c>
      <c r="G88" s="5">
        <f>B88-B87</f>
        <v/>
      </c>
      <c r="H88" s="2">
        <f>IF(AND(F88=1,G88=1),"OK","À JUSTIFIER")</f>
        <v/>
      </c>
    </row>
    <row r="89">
      <c r="A89" s="2" t="inlineStr">
        <is>
          <t>EJ310123.TXT</t>
        </is>
      </c>
      <c r="B89" s="3" t="inlineStr">
        <is>
          <t>004604</t>
        </is>
      </c>
      <c r="C89" s="3" t="inlineStr">
        <is>
          <t>003649</t>
        </is>
      </c>
      <c r="D89" s="4" t="n">
        <v>44949</v>
      </c>
      <c r="E89" s="2" t="inlineStr">
        <is>
          <t>15:36</t>
        </is>
      </c>
      <c r="F89" s="5">
        <f>C89-C88</f>
        <v/>
      </c>
      <c r="G89" s="5">
        <f>B89-B88</f>
        <v/>
      </c>
      <c r="H89" s="2">
        <f>IF(AND(F89=1,G89=1),"OK","À JUSTIFIER")</f>
        <v/>
      </c>
    </row>
    <row r="90">
      <c r="A90" s="2" t="inlineStr">
        <is>
          <t>EJ310123.TXT</t>
        </is>
      </c>
      <c r="B90" s="3" t="inlineStr">
        <is>
          <t>004605</t>
        </is>
      </c>
      <c r="C90" s="3" t="inlineStr">
        <is>
          <t>003650</t>
        </is>
      </c>
      <c r="D90" s="4" t="n">
        <v>44949</v>
      </c>
      <c r="E90" s="2" t="inlineStr">
        <is>
          <t>17:28</t>
        </is>
      </c>
      <c r="F90" s="5">
        <f>C90-C89</f>
        <v/>
      </c>
      <c r="G90" s="5">
        <f>B90-B89</f>
        <v/>
      </c>
      <c r="H90" s="2">
        <f>IF(AND(F90=1,G90=1),"OK","À JUSTIFIER")</f>
        <v/>
      </c>
    </row>
    <row r="91">
      <c r="A91" s="2" t="inlineStr">
        <is>
          <t>EJ310123.TXT</t>
        </is>
      </c>
      <c r="B91" s="3" t="inlineStr">
        <is>
          <t>004606</t>
        </is>
      </c>
      <c r="C91" s="3" t="inlineStr">
        <is>
          <t>003651</t>
        </is>
      </c>
      <c r="D91" s="4" t="n">
        <v>44949</v>
      </c>
      <c r="E91" s="2" t="inlineStr">
        <is>
          <t>17:50</t>
        </is>
      </c>
      <c r="F91" s="5">
        <f>C91-C90</f>
        <v/>
      </c>
      <c r="G91" s="5">
        <f>B91-B90</f>
        <v/>
      </c>
      <c r="H91" s="2">
        <f>IF(AND(F91=1,G91=1),"OK","À JUSTIFIER")</f>
        <v/>
      </c>
    </row>
    <row r="92">
      <c r="A92" s="2" t="inlineStr">
        <is>
          <t>EJ310123.TXT</t>
        </is>
      </c>
      <c r="B92" s="3" t="inlineStr">
        <is>
          <t>004607</t>
        </is>
      </c>
      <c r="C92" s="3" t="inlineStr">
        <is>
          <t>003652</t>
        </is>
      </c>
      <c r="D92" s="4" t="n">
        <v>44950</v>
      </c>
      <c r="E92" s="2" t="inlineStr">
        <is>
          <t>12:25</t>
        </is>
      </c>
      <c r="F92" s="5">
        <f>C92-C91</f>
        <v/>
      </c>
      <c r="G92" s="5">
        <f>B92-B91</f>
        <v/>
      </c>
      <c r="H92" s="2">
        <f>IF(AND(F92=1,G92=1),"OK","À JUSTIFIER")</f>
        <v/>
      </c>
    </row>
    <row r="93">
      <c r="A93" s="2" t="inlineStr">
        <is>
          <t>EJ310123.TXT</t>
        </is>
      </c>
      <c r="B93" s="3" t="inlineStr">
        <is>
          <t>004608</t>
        </is>
      </c>
      <c r="C93" s="3" t="inlineStr">
        <is>
          <t>003653</t>
        </is>
      </c>
      <c r="D93" s="4" t="n">
        <v>44950</v>
      </c>
      <c r="E93" s="2" t="inlineStr">
        <is>
          <t>12:27</t>
        </is>
      </c>
      <c r="F93" s="5">
        <f>C93-C92</f>
        <v/>
      </c>
      <c r="G93" s="5">
        <f>B93-B92</f>
        <v/>
      </c>
      <c r="H93" s="2">
        <f>IF(AND(F93=1,G93=1),"OK","À JUSTIFIER")</f>
        <v/>
      </c>
    </row>
    <row r="94">
      <c r="A94" s="2" t="inlineStr">
        <is>
          <t>EJ310123.TXT</t>
        </is>
      </c>
      <c r="B94" s="3" t="inlineStr">
        <is>
          <t>004609</t>
        </is>
      </c>
      <c r="C94" s="3" t="inlineStr">
        <is>
          <t>003654</t>
        </is>
      </c>
      <c r="D94" s="4" t="n">
        <v>44950</v>
      </c>
      <c r="E94" s="2" t="inlineStr">
        <is>
          <t>12:27</t>
        </is>
      </c>
      <c r="F94" s="5">
        <f>C94-C93</f>
        <v/>
      </c>
      <c r="G94" s="5">
        <f>B94-B93</f>
        <v/>
      </c>
      <c r="H94" s="2">
        <f>IF(AND(F94=1,G94=1),"OK","À JUSTIFIER")</f>
        <v/>
      </c>
    </row>
    <row r="95">
      <c r="A95" s="2" t="inlineStr">
        <is>
          <t>EJ310123.TXT</t>
        </is>
      </c>
      <c r="B95" s="3" t="inlineStr">
        <is>
          <t>004610</t>
        </is>
      </c>
      <c r="C95" s="3" t="inlineStr">
        <is>
          <t>003655</t>
        </is>
      </c>
      <c r="D95" s="4" t="n">
        <v>44950</v>
      </c>
      <c r="E95" s="2" t="inlineStr">
        <is>
          <t>12:27</t>
        </is>
      </c>
      <c r="F95" s="5">
        <f>C95-C94</f>
        <v/>
      </c>
      <c r="G95" s="5">
        <f>B95-B94</f>
        <v/>
      </c>
      <c r="H95" s="2">
        <f>IF(AND(F95=1,G95=1),"OK","À JUSTIFIER")</f>
        <v/>
      </c>
    </row>
    <row r="96">
      <c r="A96" s="2" t="inlineStr">
        <is>
          <t>EJ310123.TXT</t>
        </is>
      </c>
      <c r="B96" s="3" t="inlineStr">
        <is>
          <t>004611</t>
        </is>
      </c>
      <c r="C96" s="3" t="inlineStr">
        <is>
          <t>003656</t>
        </is>
      </c>
      <c r="D96" s="4" t="n">
        <v>44950</v>
      </c>
      <c r="E96" s="2" t="inlineStr">
        <is>
          <t>15:08</t>
        </is>
      </c>
      <c r="F96" s="5">
        <f>C96-C95</f>
        <v/>
      </c>
      <c r="G96" s="5">
        <f>B96-B95</f>
        <v/>
      </c>
      <c r="H96" s="2">
        <f>IF(AND(F96=1,G96=1),"OK","À JUSTIFIER")</f>
        <v/>
      </c>
    </row>
    <row r="97">
      <c r="A97" s="2" t="inlineStr">
        <is>
          <t>EJ310123.TXT</t>
        </is>
      </c>
      <c r="B97" s="3" t="inlineStr">
        <is>
          <t>004612</t>
        </is>
      </c>
      <c r="C97" s="3" t="inlineStr">
        <is>
          <t>003657</t>
        </is>
      </c>
      <c r="D97" s="4" t="n">
        <v>44950</v>
      </c>
      <c r="E97" s="2" t="inlineStr">
        <is>
          <t>15:08</t>
        </is>
      </c>
      <c r="F97" s="5">
        <f>C97-C96</f>
        <v/>
      </c>
      <c r="G97" s="5">
        <f>B97-B96</f>
        <v/>
      </c>
      <c r="H97" s="2">
        <f>IF(AND(F97=1,G97=1),"OK","À JUSTIFIER")</f>
        <v/>
      </c>
    </row>
    <row r="98">
      <c r="A98" s="2" t="inlineStr">
        <is>
          <t>EJ310123.TXT</t>
        </is>
      </c>
      <c r="B98" s="3" t="inlineStr">
        <is>
          <t>004613</t>
        </is>
      </c>
      <c r="C98" s="3" t="inlineStr">
        <is>
          <t>003658</t>
        </is>
      </c>
      <c r="D98" s="4" t="n">
        <v>44950</v>
      </c>
      <c r="E98" s="2" t="inlineStr">
        <is>
          <t>15:17</t>
        </is>
      </c>
      <c r="F98" s="5">
        <f>C98-C97</f>
        <v/>
      </c>
      <c r="G98" s="5">
        <f>B98-B97</f>
        <v/>
      </c>
      <c r="H98" s="2">
        <f>IF(AND(F98=1,G98=1),"OK","À JUSTIFIER")</f>
        <v/>
      </c>
    </row>
    <row r="99">
      <c r="A99" s="2" t="inlineStr">
        <is>
          <t>EJ310123.TXT</t>
        </is>
      </c>
      <c r="B99" s="3" t="inlineStr">
        <is>
          <t>004614</t>
        </is>
      </c>
      <c r="C99" s="3" t="inlineStr">
        <is>
          <t>003659</t>
        </is>
      </c>
      <c r="D99" s="4" t="n">
        <v>44950</v>
      </c>
      <c r="E99" s="2" t="inlineStr">
        <is>
          <t>15:52</t>
        </is>
      </c>
      <c r="F99" s="5">
        <f>C99-C98</f>
        <v/>
      </c>
      <c r="G99" s="5">
        <f>B99-B98</f>
        <v/>
      </c>
      <c r="H99" s="2">
        <f>IF(AND(F99=1,G99=1),"OK","À JUSTIFIER")</f>
        <v/>
      </c>
    </row>
    <row r="100">
      <c r="A100" s="2" t="inlineStr">
        <is>
          <t>EJ310123.TXT</t>
        </is>
      </c>
      <c r="B100" s="3" t="inlineStr">
        <is>
          <t>004615</t>
        </is>
      </c>
      <c r="C100" s="3" t="inlineStr">
        <is>
          <t>003660</t>
        </is>
      </c>
      <c r="D100" s="4" t="n">
        <v>44950</v>
      </c>
      <c r="E100" s="2" t="inlineStr">
        <is>
          <t>15:57</t>
        </is>
      </c>
      <c r="F100" s="5">
        <f>C100-C99</f>
        <v/>
      </c>
      <c r="G100" s="5">
        <f>B100-B99</f>
        <v/>
      </c>
      <c r="H100" s="2">
        <f>IF(AND(F100=1,G100=1),"OK","À JUSTIFIER")</f>
        <v/>
      </c>
    </row>
    <row r="101">
      <c r="A101" s="2" t="inlineStr">
        <is>
          <t>EJ310123.TXT</t>
        </is>
      </c>
      <c r="B101" s="3" t="inlineStr">
        <is>
          <t>004616</t>
        </is>
      </c>
      <c r="C101" s="3" t="inlineStr">
        <is>
          <t>003661</t>
        </is>
      </c>
      <c r="D101" s="4" t="n">
        <v>44950</v>
      </c>
      <c r="E101" s="2" t="inlineStr">
        <is>
          <t>18:33</t>
        </is>
      </c>
      <c r="F101" s="5">
        <f>C101-C100</f>
        <v/>
      </c>
      <c r="G101" s="5">
        <f>B101-B100</f>
        <v/>
      </c>
      <c r="H101" s="2">
        <f>IF(AND(F101=1,G101=1),"OK","À JUSTIFIER")</f>
        <v/>
      </c>
    </row>
    <row r="102">
      <c r="A102" s="2" t="inlineStr">
        <is>
          <t>EJ310123.TXT</t>
        </is>
      </c>
      <c r="B102" s="3" t="inlineStr">
        <is>
          <t>004617</t>
        </is>
      </c>
      <c r="C102" s="3" t="inlineStr">
        <is>
          <t>003662</t>
        </is>
      </c>
      <c r="D102" s="4" t="n">
        <v>44952</v>
      </c>
      <c r="E102" s="2" t="inlineStr">
        <is>
          <t>12:16</t>
        </is>
      </c>
      <c r="F102" s="5">
        <f>C102-C101</f>
        <v/>
      </c>
      <c r="G102" s="5">
        <f>B102-B101</f>
        <v/>
      </c>
      <c r="H102" s="2">
        <f>IF(AND(F102=1,G102=1),"OK","À JUSTIFIER")</f>
        <v/>
      </c>
    </row>
    <row r="103">
      <c r="A103" s="2" t="inlineStr">
        <is>
          <t>EJ310123.TXT</t>
        </is>
      </c>
      <c r="B103" s="3" t="inlineStr">
        <is>
          <t>004618</t>
        </is>
      </c>
      <c r="C103" s="3" t="inlineStr">
        <is>
          <t>003663</t>
        </is>
      </c>
      <c r="D103" s="4" t="n">
        <v>44952</v>
      </c>
      <c r="E103" s="2" t="inlineStr">
        <is>
          <t>12:16</t>
        </is>
      </c>
      <c r="F103" s="5">
        <f>C103-C102</f>
        <v/>
      </c>
      <c r="G103" s="5">
        <f>B103-B102</f>
        <v/>
      </c>
      <c r="H103" s="2">
        <f>IF(AND(F103=1,G103=1),"OK","À JUSTIFIER")</f>
        <v/>
      </c>
    </row>
    <row r="104">
      <c r="A104" s="2" t="inlineStr">
        <is>
          <t>EJ310123.TXT</t>
        </is>
      </c>
      <c r="B104" s="3" t="inlineStr">
        <is>
          <t>004619</t>
        </is>
      </c>
      <c r="C104" s="3" t="inlineStr">
        <is>
          <t>003664</t>
        </is>
      </c>
      <c r="D104" s="4" t="n">
        <v>44952</v>
      </c>
      <c r="E104" s="2" t="inlineStr">
        <is>
          <t>12:16</t>
        </is>
      </c>
      <c r="F104" s="5">
        <f>C104-C103</f>
        <v/>
      </c>
      <c r="G104" s="5">
        <f>B104-B103</f>
        <v/>
      </c>
      <c r="H104" s="2">
        <f>IF(AND(F104=1,G104=1),"OK","À JUSTIFIER")</f>
        <v/>
      </c>
    </row>
    <row r="105">
      <c r="A105" s="2" t="inlineStr">
        <is>
          <t>EJ310123.TXT</t>
        </is>
      </c>
      <c r="B105" s="3" t="inlineStr">
        <is>
          <t>004620</t>
        </is>
      </c>
      <c r="C105" s="3" t="inlineStr">
        <is>
          <t>003665</t>
        </is>
      </c>
      <c r="D105" s="4" t="n">
        <v>44952</v>
      </c>
      <c r="E105" s="2" t="inlineStr">
        <is>
          <t>12:23</t>
        </is>
      </c>
      <c r="F105" s="5">
        <f>C105-C104</f>
        <v/>
      </c>
      <c r="G105" s="5">
        <f>B105-B104</f>
        <v/>
      </c>
      <c r="H105" s="2">
        <f>IF(AND(F105=1,G105=1),"OK","À JUSTIFIER")</f>
        <v/>
      </c>
    </row>
    <row r="106">
      <c r="A106" s="2" t="inlineStr">
        <is>
          <t>EJ310123.TXT</t>
        </is>
      </c>
      <c r="B106" s="3" t="inlineStr">
        <is>
          <t>004621</t>
        </is>
      </c>
      <c r="C106" s="3" t="inlineStr">
        <is>
          <t>003666</t>
        </is>
      </c>
      <c r="D106" s="4" t="n">
        <v>44952</v>
      </c>
      <c r="E106" s="2" t="inlineStr">
        <is>
          <t>12:28</t>
        </is>
      </c>
      <c r="F106" s="5">
        <f>C106-C105</f>
        <v/>
      </c>
      <c r="G106" s="5">
        <f>B106-B105</f>
        <v/>
      </c>
      <c r="H106" s="2">
        <f>IF(AND(F106=1,G106=1),"OK","À JUSTIFIER")</f>
        <v/>
      </c>
    </row>
    <row r="107">
      <c r="A107" s="2" t="inlineStr">
        <is>
          <t>EJ310123.TXT</t>
        </is>
      </c>
      <c r="B107" s="3" t="inlineStr">
        <is>
          <t>004622</t>
        </is>
      </c>
      <c r="C107" s="3" t="inlineStr">
        <is>
          <t>003667</t>
        </is>
      </c>
      <c r="D107" s="4" t="n">
        <v>44952</v>
      </c>
      <c r="E107" s="2" t="inlineStr">
        <is>
          <t>14:55</t>
        </is>
      </c>
      <c r="F107" s="5">
        <f>C107-C106</f>
        <v/>
      </c>
      <c r="G107" s="5">
        <f>B107-B106</f>
        <v/>
      </c>
      <c r="H107" s="2">
        <f>IF(AND(F107=1,G107=1),"OK","À JUSTIFIER")</f>
        <v/>
      </c>
    </row>
    <row r="108">
      <c r="A108" s="2" t="inlineStr">
        <is>
          <t>EJ310123.TXT</t>
        </is>
      </c>
      <c r="B108" s="3" t="inlineStr">
        <is>
          <t>004623</t>
        </is>
      </c>
      <c r="C108" s="3" t="inlineStr">
        <is>
          <t>003668</t>
        </is>
      </c>
      <c r="D108" s="4" t="n">
        <v>44953</v>
      </c>
      <c r="E108" s="2" t="inlineStr">
        <is>
          <t>11:14</t>
        </is>
      </c>
      <c r="F108" s="5">
        <f>C108-C107</f>
        <v/>
      </c>
      <c r="G108" s="5">
        <f>B108-B107</f>
        <v/>
      </c>
      <c r="H108" s="2">
        <f>IF(AND(F108=1,G108=1),"OK","À JUSTIFIER")</f>
        <v/>
      </c>
    </row>
    <row r="109">
      <c r="A109" s="2" t="inlineStr">
        <is>
          <t>EJ310123.TXT</t>
        </is>
      </c>
      <c r="B109" s="3" t="inlineStr">
        <is>
          <t>004624</t>
        </is>
      </c>
      <c r="C109" s="3" t="inlineStr">
        <is>
          <t>003669</t>
        </is>
      </c>
      <c r="D109" s="4" t="n">
        <v>44953</v>
      </c>
      <c r="E109" s="2" t="inlineStr">
        <is>
          <t>16:22</t>
        </is>
      </c>
      <c r="F109" s="5">
        <f>C109-C108</f>
        <v/>
      </c>
      <c r="G109" s="5">
        <f>B109-B108</f>
        <v/>
      </c>
      <c r="H109" s="2">
        <f>IF(AND(F109=1,G109=1),"OK","À JUSTIFIER")</f>
        <v/>
      </c>
    </row>
    <row r="110">
      <c r="A110" s="2" t="inlineStr">
        <is>
          <t>EJ310123.TXT</t>
        </is>
      </c>
      <c r="B110" s="3" t="inlineStr">
        <is>
          <t>004625</t>
        </is>
      </c>
      <c r="C110" s="3" t="inlineStr">
        <is>
          <t>003670</t>
        </is>
      </c>
      <c r="D110" s="4" t="n">
        <v>44953</v>
      </c>
      <c r="E110" s="2" t="inlineStr">
        <is>
          <t>16:58</t>
        </is>
      </c>
      <c r="F110" s="5">
        <f>C110-C109</f>
        <v/>
      </c>
      <c r="G110" s="5">
        <f>B110-B109</f>
        <v/>
      </c>
      <c r="H110" s="2">
        <f>IF(AND(F110=1,G110=1),"OK","À JUSTIFIER")</f>
        <v/>
      </c>
    </row>
    <row r="111">
      <c r="A111" s="2" t="inlineStr">
        <is>
          <t>EJ310123.TXT</t>
        </is>
      </c>
      <c r="B111" s="3" t="inlineStr">
        <is>
          <t>004626</t>
        </is>
      </c>
      <c r="C111" s="3" t="inlineStr">
        <is>
          <t>003671</t>
        </is>
      </c>
      <c r="D111" s="4" t="n">
        <v>44953</v>
      </c>
      <c r="E111" s="2" t="inlineStr">
        <is>
          <t>17:40</t>
        </is>
      </c>
      <c r="F111" s="5">
        <f>C111-C110</f>
        <v/>
      </c>
      <c r="G111" s="5">
        <f>B111-B110</f>
        <v/>
      </c>
      <c r="H111" s="2">
        <f>IF(AND(F111=1,G111=1),"OK","À JUSTIFIER")</f>
        <v/>
      </c>
    </row>
    <row r="112">
      <c r="A112" s="2" t="inlineStr">
        <is>
          <t>EJ310123.TXT</t>
        </is>
      </c>
      <c r="B112" s="3" t="inlineStr">
        <is>
          <t>004627</t>
        </is>
      </c>
      <c r="C112" s="3" t="inlineStr">
        <is>
          <t>003672</t>
        </is>
      </c>
      <c r="D112" s="4" t="n">
        <v>44953</v>
      </c>
      <c r="E112" s="2" t="inlineStr">
        <is>
          <t>18:11</t>
        </is>
      </c>
      <c r="F112" s="5">
        <f>C112-C111</f>
        <v/>
      </c>
      <c r="G112" s="5">
        <f>B112-B111</f>
        <v/>
      </c>
      <c r="H112" s="2">
        <f>IF(AND(F112=1,G112=1),"OK","À JUSTIFIER")</f>
        <v/>
      </c>
    </row>
    <row r="113">
      <c r="A113" s="2" t="inlineStr">
        <is>
          <t>EJ310123.TXT</t>
        </is>
      </c>
      <c r="B113" s="3" t="inlineStr">
        <is>
          <t>004628</t>
        </is>
      </c>
      <c r="C113" s="3" t="inlineStr">
        <is>
          <t>003673</t>
        </is>
      </c>
      <c r="D113" s="4" t="n">
        <v>44953</v>
      </c>
      <c r="E113" s="2" t="inlineStr">
        <is>
          <t>18:36</t>
        </is>
      </c>
      <c r="F113" s="5">
        <f>C113-C112</f>
        <v/>
      </c>
      <c r="G113" s="5">
        <f>B113-B112</f>
        <v/>
      </c>
      <c r="H113" s="2">
        <f>IF(AND(F113=1,G113=1),"OK","À JUSTIFIER")</f>
        <v/>
      </c>
    </row>
    <row r="114">
      <c r="A114" s="2" t="inlineStr">
        <is>
          <t>EJ310123.TXT</t>
        </is>
      </c>
      <c r="B114" s="3" t="inlineStr">
        <is>
          <t>004629</t>
        </is>
      </c>
      <c r="C114" s="3" t="inlineStr">
        <is>
          <t>003674</t>
        </is>
      </c>
      <c r="D114" s="4" t="n">
        <v>44954</v>
      </c>
      <c r="E114" s="2" t="inlineStr">
        <is>
          <t>15:44</t>
        </is>
      </c>
      <c r="F114" s="5">
        <f>C114-C113</f>
        <v/>
      </c>
      <c r="G114" s="5">
        <f>B114-B113</f>
        <v/>
      </c>
      <c r="H114" s="2">
        <f>IF(AND(F114=1,G114=1),"OK","À JUSTIFIER")</f>
        <v/>
      </c>
    </row>
    <row r="115">
      <c r="A115" s="2" t="inlineStr">
        <is>
          <t>EJ310123.TXT</t>
        </is>
      </c>
      <c r="B115" s="3" t="inlineStr">
        <is>
          <t>004630</t>
        </is>
      </c>
      <c r="C115" s="3" t="inlineStr">
        <is>
          <t>003675</t>
        </is>
      </c>
      <c r="D115" s="4" t="n">
        <v>44954</v>
      </c>
      <c r="E115" s="2" t="inlineStr">
        <is>
          <t>16:02</t>
        </is>
      </c>
      <c r="F115" s="5">
        <f>C115-C114</f>
        <v/>
      </c>
      <c r="G115" s="5">
        <f>B115-B114</f>
        <v/>
      </c>
      <c r="H115" s="2">
        <f>IF(AND(F115=1,G115=1),"OK","À JUSTIFIER")</f>
        <v/>
      </c>
    </row>
    <row r="116">
      <c r="A116" s="2" t="inlineStr">
        <is>
          <t>EJ310123.TXT</t>
        </is>
      </c>
      <c r="B116" s="3" t="inlineStr">
        <is>
          <t>004631</t>
        </is>
      </c>
      <c r="C116" s="3" t="inlineStr">
        <is>
          <t>003676</t>
        </is>
      </c>
      <c r="D116" s="4" t="n">
        <v>44954</v>
      </c>
      <c r="E116" s="2" t="inlineStr">
        <is>
          <t>16:13</t>
        </is>
      </c>
      <c r="F116" s="5">
        <f>C116-C115</f>
        <v/>
      </c>
      <c r="G116" s="5">
        <f>B116-B115</f>
        <v/>
      </c>
      <c r="H116" s="2">
        <f>IF(AND(F116=1,G116=1),"OK","À JUSTIFIER")</f>
        <v/>
      </c>
    </row>
    <row r="117">
      <c r="A117" s="2" t="inlineStr">
        <is>
          <t>EJ310123.TXT</t>
        </is>
      </c>
      <c r="B117" s="3" t="inlineStr">
        <is>
          <t>004632</t>
        </is>
      </c>
      <c r="C117" s="3" t="inlineStr">
        <is>
          <t>003677</t>
        </is>
      </c>
      <c r="D117" s="4" t="n">
        <v>44954</v>
      </c>
      <c r="E117" s="2" t="inlineStr">
        <is>
          <t>16:51</t>
        </is>
      </c>
      <c r="F117" s="5">
        <f>C117-C116</f>
        <v/>
      </c>
      <c r="G117" s="5">
        <f>B117-B116</f>
        <v/>
      </c>
      <c r="H117" s="2">
        <f>IF(AND(F117=1,G117=1),"OK","À JUSTIFIER")</f>
        <v/>
      </c>
    </row>
    <row r="118">
      <c r="A118" s="2" t="inlineStr">
        <is>
          <t>EJ310123.TXT</t>
        </is>
      </c>
      <c r="B118" s="3" t="inlineStr">
        <is>
          <t>004633</t>
        </is>
      </c>
      <c r="C118" s="3" t="inlineStr">
        <is>
          <t>003678</t>
        </is>
      </c>
      <c r="D118" s="4" t="n">
        <v>44954</v>
      </c>
      <c r="E118" s="2" t="inlineStr">
        <is>
          <t>18:41</t>
        </is>
      </c>
      <c r="F118" s="5">
        <f>C118-C117</f>
        <v/>
      </c>
      <c r="G118" s="5">
        <f>B118-B117</f>
        <v/>
      </c>
      <c r="H118" s="2">
        <f>IF(AND(F118=1,G118=1),"OK","À JUSTIFIER")</f>
        <v/>
      </c>
    </row>
    <row r="119">
      <c r="A119" s="2" t="inlineStr">
        <is>
          <t>EJ310123.TXT</t>
        </is>
      </c>
      <c r="B119" s="3" t="inlineStr">
        <is>
          <t>004634</t>
        </is>
      </c>
      <c r="C119" s="3" t="inlineStr">
        <is>
          <t>003679</t>
        </is>
      </c>
      <c r="D119" s="4" t="n">
        <v>44954</v>
      </c>
      <c r="E119" s="2" t="inlineStr">
        <is>
          <t>18:42</t>
        </is>
      </c>
      <c r="F119" s="5">
        <f>C119-C118</f>
        <v/>
      </c>
      <c r="G119" s="5">
        <f>B119-B118</f>
        <v/>
      </c>
      <c r="H119" s="2">
        <f>IF(AND(F119=1,G119=1),"OK","À JUSTIFIER")</f>
        <v/>
      </c>
    </row>
    <row r="120">
      <c r="A120" s="2" t="inlineStr">
        <is>
          <t>EJ310123.TXT</t>
        </is>
      </c>
      <c r="B120" s="3" t="inlineStr">
        <is>
          <t>004635</t>
        </is>
      </c>
      <c r="C120" s="3" t="inlineStr">
        <is>
          <t>003680</t>
        </is>
      </c>
      <c r="D120" s="4" t="n">
        <v>44954</v>
      </c>
      <c r="E120" s="2" t="inlineStr">
        <is>
          <t>18:53</t>
        </is>
      </c>
      <c r="F120" s="5">
        <f>C120-C119</f>
        <v/>
      </c>
      <c r="G120" s="5">
        <f>B120-B119</f>
        <v/>
      </c>
      <c r="H120" s="2">
        <f>IF(AND(F120=1,G120=1),"OK","À JUSTIFIER")</f>
        <v/>
      </c>
    </row>
    <row r="121">
      <c r="A121" s="2" t="inlineStr">
        <is>
          <t>EJ310123.TXT</t>
        </is>
      </c>
      <c r="B121" s="3" t="inlineStr">
        <is>
          <t>004636</t>
        </is>
      </c>
      <c r="C121" s="3" t="inlineStr">
        <is>
          <t>003681</t>
        </is>
      </c>
      <c r="D121" s="4" t="n">
        <v>44956</v>
      </c>
      <c r="E121" s="2" t="inlineStr">
        <is>
          <t>18:18</t>
        </is>
      </c>
      <c r="F121" s="5">
        <f>C121-C120</f>
        <v/>
      </c>
      <c r="G121" s="5">
        <f>B121-B120</f>
        <v/>
      </c>
      <c r="H121" s="2">
        <f>IF(AND(F121=1,G121=1),"OK","À JUSTIFIER")</f>
        <v/>
      </c>
    </row>
    <row r="122">
      <c r="A122" s="2" t="inlineStr">
        <is>
          <t>EJ310123.TXT</t>
        </is>
      </c>
      <c r="B122" s="3" t="inlineStr">
        <is>
          <t>004637</t>
        </is>
      </c>
      <c r="C122" s="3" t="inlineStr">
        <is>
          <t>003682</t>
        </is>
      </c>
      <c r="D122" s="4" t="n">
        <v>44957</v>
      </c>
      <c r="E122" s="2" t="inlineStr">
        <is>
          <t>15:46</t>
        </is>
      </c>
      <c r="F122" s="5">
        <f>C122-C121</f>
        <v/>
      </c>
      <c r="G122" s="5">
        <f>B122-B121</f>
        <v/>
      </c>
      <c r="H122" s="2">
        <f>IF(AND(F122=1,G122=1),"OK","À JUSTIFIER")</f>
        <v/>
      </c>
    </row>
    <row r="123">
      <c r="A123" s="2" t="inlineStr">
        <is>
          <t>EJ030323.TXT</t>
        </is>
      </c>
      <c r="B123" s="3" t="inlineStr">
        <is>
          <t>004645</t>
        </is>
      </c>
      <c r="C123" s="3" t="inlineStr">
        <is>
          <t>003683</t>
        </is>
      </c>
      <c r="D123" s="4" t="n">
        <v>44958</v>
      </c>
      <c r="E123" s="2" t="inlineStr">
        <is>
          <t>13:11</t>
        </is>
      </c>
      <c r="F123" s="5">
        <f>C123-C122</f>
        <v/>
      </c>
      <c r="G123" s="5">
        <f>B123-B122</f>
        <v/>
      </c>
      <c r="H123" s="2">
        <f>IF(AND(F123=1,G123=1),"OK","À JUSTIFIER")</f>
        <v/>
      </c>
    </row>
    <row r="124">
      <c r="A124" s="2" t="inlineStr">
        <is>
          <t>EJ030323.TXT</t>
        </is>
      </c>
      <c r="B124" s="3" t="inlineStr">
        <is>
          <t>004646</t>
        </is>
      </c>
      <c r="C124" s="3" t="inlineStr">
        <is>
          <t>003684</t>
        </is>
      </c>
      <c r="D124" s="4" t="n">
        <v>44958</v>
      </c>
      <c r="E124" s="2" t="inlineStr">
        <is>
          <t>16:34</t>
        </is>
      </c>
      <c r="F124" s="5">
        <f>C124-C123</f>
        <v/>
      </c>
      <c r="G124" s="5">
        <f>B124-B123</f>
        <v/>
      </c>
      <c r="H124" s="2">
        <f>IF(AND(F124=1,G124=1),"OK","À JUSTIFIER")</f>
        <v/>
      </c>
    </row>
    <row r="125">
      <c r="A125" s="2" t="inlineStr">
        <is>
          <t>EJ030323.TXT</t>
        </is>
      </c>
      <c r="B125" s="3" t="inlineStr">
        <is>
          <t>004647</t>
        </is>
      </c>
      <c r="C125" s="3" t="inlineStr">
        <is>
          <t>003685</t>
        </is>
      </c>
      <c r="D125" s="4" t="n">
        <v>44958</v>
      </c>
      <c r="E125" s="2" t="inlineStr">
        <is>
          <t>16:39</t>
        </is>
      </c>
      <c r="F125" s="5">
        <f>C125-C124</f>
        <v/>
      </c>
      <c r="G125" s="5">
        <f>B125-B124</f>
        <v/>
      </c>
      <c r="H125" s="2">
        <f>IF(AND(F125=1,G125=1),"OK","À JUSTIFIER")</f>
        <v/>
      </c>
    </row>
    <row r="126">
      <c r="A126" s="2" t="inlineStr">
        <is>
          <t>EJ030323.TXT</t>
        </is>
      </c>
      <c r="B126" s="3" t="inlineStr">
        <is>
          <t>004648</t>
        </is>
      </c>
      <c r="C126" s="3" t="inlineStr">
        <is>
          <t>003686</t>
        </is>
      </c>
      <c r="D126" s="4" t="n">
        <v>44958</v>
      </c>
      <c r="E126" s="2" t="inlineStr">
        <is>
          <t>16:40</t>
        </is>
      </c>
      <c r="F126" s="5">
        <f>C126-C125</f>
        <v/>
      </c>
      <c r="G126" s="5">
        <f>B126-B125</f>
        <v/>
      </c>
      <c r="H126" s="2">
        <f>IF(AND(F126=1,G126=1),"OK","À JUSTIFIER")</f>
        <v/>
      </c>
    </row>
    <row r="127">
      <c r="A127" s="2" t="inlineStr">
        <is>
          <t>EJ030323.TXT</t>
        </is>
      </c>
      <c r="B127" s="3" t="inlineStr">
        <is>
          <t>004649</t>
        </is>
      </c>
      <c r="C127" s="3" t="inlineStr">
        <is>
          <t>003687</t>
        </is>
      </c>
      <c r="D127" s="4" t="n">
        <v>44958</v>
      </c>
      <c r="E127" s="2" t="inlineStr">
        <is>
          <t>16:41</t>
        </is>
      </c>
      <c r="F127" s="5">
        <f>C127-C126</f>
        <v/>
      </c>
      <c r="G127" s="5">
        <f>B127-B126</f>
        <v/>
      </c>
      <c r="H127" s="2">
        <f>IF(AND(F127=1,G127=1),"OK","À JUSTIFIER")</f>
        <v/>
      </c>
    </row>
    <row r="128">
      <c r="A128" s="2" t="inlineStr">
        <is>
          <t>EJ030323.TXT</t>
        </is>
      </c>
      <c r="B128" s="3" t="inlineStr">
        <is>
          <t>004650</t>
        </is>
      </c>
      <c r="C128" s="3" t="inlineStr">
        <is>
          <t>003688</t>
        </is>
      </c>
      <c r="D128" s="4" t="n">
        <v>44959</v>
      </c>
      <c r="E128" s="2" t="inlineStr">
        <is>
          <t>17:13</t>
        </is>
      </c>
      <c r="F128" s="5">
        <f>C128-C127</f>
        <v/>
      </c>
      <c r="G128" s="5">
        <f>B128-B127</f>
        <v/>
      </c>
      <c r="H128" s="2">
        <f>IF(AND(F128=1,G128=1),"OK","À JUSTIFIER")</f>
        <v/>
      </c>
    </row>
    <row r="129">
      <c r="A129" s="2" t="inlineStr">
        <is>
          <t>EJ030323.TXT</t>
        </is>
      </c>
      <c r="B129" s="3" t="inlineStr">
        <is>
          <t>004651</t>
        </is>
      </c>
      <c r="C129" s="3" t="inlineStr">
        <is>
          <t>003689</t>
        </is>
      </c>
      <c r="D129" s="4" t="n">
        <v>44959</v>
      </c>
      <c r="E129" s="2" t="inlineStr">
        <is>
          <t>17:30</t>
        </is>
      </c>
      <c r="F129" s="5">
        <f>C129-C128</f>
        <v/>
      </c>
      <c r="G129" s="5">
        <f>B129-B128</f>
        <v/>
      </c>
      <c r="H129" s="2">
        <f>IF(AND(F129=1,G129=1),"OK","À JUSTIFIER")</f>
        <v/>
      </c>
    </row>
    <row r="130">
      <c r="A130" s="2" t="inlineStr">
        <is>
          <t>EJ030323.TXT</t>
        </is>
      </c>
      <c r="B130" s="3" t="inlineStr">
        <is>
          <t>004652</t>
        </is>
      </c>
      <c r="C130" s="3" t="inlineStr">
        <is>
          <t>003690</t>
        </is>
      </c>
      <c r="D130" s="4" t="n">
        <v>44960</v>
      </c>
      <c r="E130" s="2" t="inlineStr">
        <is>
          <t>10:40</t>
        </is>
      </c>
      <c r="F130" s="5">
        <f>C130-C129</f>
        <v/>
      </c>
      <c r="G130" s="5">
        <f>B130-B129</f>
        <v/>
      </c>
      <c r="H130" s="2">
        <f>IF(AND(F130=1,G130=1),"OK","À JUSTIFIER")</f>
        <v/>
      </c>
    </row>
    <row r="131">
      <c r="A131" s="2" t="inlineStr">
        <is>
          <t>EJ030323.TXT</t>
        </is>
      </c>
      <c r="B131" s="3" t="inlineStr">
        <is>
          <t>004653</t>
        </is>
      </c>
      <c r="C131" s="3" t="inlineStr">
        <is>
          <t>003691</t>
        </is>
      </c>
      <c r="D131" s="4" t="n">
        <v>44960</v>
      </c>
      <c r="E131" s="2" t="inlineStr">
        <is>
          <t>11:55</t>
        </is>
      </c>
      <c r="F131" s="5">
        <f>C131-C130</f>
        <v/>
      </c>
      <c r="G131" s="5">
        <f>B131-B130</f>
        <v/>
      </c>
      <c r="H131" s="2">
        <f>IF(AND(F131=1,G131=1),"OK","À JUSTIFIER")</f>
        <v/>
      </c>
    </row>
    <row r="132">
      <c r="A132" s="2" t="inlineStr">
        <is>
          <t>EJ030323.TXT</t>
        </is>
      </c>
      <c r="B132" s="3" t="inlineStr">
        <is>
          <t>004654</t>
        </is>
      </c>
      <c r="C132" s="3" t="inlineStr">
        <is>
          <t>003692</t>
        </is>
      </c>
      <c r="D132" s="4" t="n">
        <v>44960</v>
      </c>
      <c r="E132" s="2" t="inlineStr">
        <is>
          <t>11:57</t>
        </is>
      </c>
      <c r="F132" s="5">
        <f>C132-C131</f>
        <v/>
      </c>
      <c r="G132" s="5">
        <f>B132-B131</f>
        <v/>
      </c>
      <c r="H132" s="2">
        <f>IF(AND(F132=1,G132=1),"OK","À JUSTIFIER")</f>
        <v/>
      </c>
    </row>
    <row r="133">
      <c r="A133" s="2" t="inlineStr">
        <is>
          <t>EJ030323.TXT</t>
        </is>
      </c>
      <c r="B133" s="3" t="inlineStr">
        <is>
          <t>004655</t>
        </is>
      </c>
      <c r="C133" s="3" t="inlineStr">
        <is>
          <t>003693</t>
        </is>
      </c>
      <c r="D133" s="4" t="n">
        <v>44960</v>
      </c>
      <c r="E133" s="2" t="inlineStr">
        <is>
          <t>14:51</t>
        </is>
      </c>
      <c r="F133" s="5">
        <f>C133-C132</f>
        <v/>
      </c>
      <c r="G133" s="5">
        <f>B133-B132</f>
        <v/>
      </c>
      <c r="H133" s="2">
        <f>IF(AND(F133=1,G133=1),"OK","À JUSTIFIER")</f>
        <v/>
      </c>
    </row>
    <row r="134">
      <c r="A134" s="2" t="inlineStr">
        <is>
          <t>EJ030323.TXT</t>
        </is>
      </c>
      <c r="B134" s="3" t="inlineStr">
        <is>
          <t>004656</t>
        </is>
      </c>
      <c r="C134" s="3" t="inlineStr">
        <is>
          <t>003694</t>
        </is>
      </c>
      <c r="D134" s="4" t="n">
        <v>44960</v>
      </c>
      <c r="E134" s="2" t="inlineStr">
        <is>
          <t>14:51</t>
        </is>
      </c>
      <c r="F134" s="5">
        <f>C134-C133</f>
        <v/>
      </c>
      <c r="G134" s="5">
        <f>B134-B133</f>
        <v/>
      </c>
      <c r="H134" s="2">
        <f>IF(AND(F134=1,G134=1),"OK","À JUSTIFIER")</f>
        <v/>
      </c>
    </row>
    <row r="135">
      <c r="A135" s="2" t="inlineStr">
        <is>
          <t>EJ030323.TXT</t>
        </is>
      </c>
      <c r="B135" s="3" t="inlineStr">
        <is>
          <t>004657</t>
        </is>
      </c>
      <c r="C135" s="3" t="inlineStr">
        <is>
          <t>003695</t>
        </is>
      </c>
      <c r="D135" s="4" t="n">
        <v>44960</v>
      </c>
      <c r="E135" s="2" t="inlineStr">
        <is>
          <t>14:51</t>
        </is>
      </c>
      <c r="F135" s="5">
        <f>C135-C134</f>
        <v/>
      </c>
      <c r="G135" s="5">
        <f>B135-B134</f>
        <v/>
      </c>
      <c r="H135" s="2">
        <f>IF(AND(F135=1,G135=1),"OK","À JUSTIFIER")</f>
        <v/>
      </c>
    </row>
    <row r="136">
      <c r="A136" s="2" t="inlineStr">
        <is>
          <t>EJ030323.TXT</t>
        </is>
      </c>
      <c r="B136" s="3" t="inlineStr">
        <is>
          <t>004658</t>
        </is>
      </c>
      <c r="C136" s="3" t="inlineStr">
        <is>
          <t>003696</t>
        </is>
      </c>
      <c r="D136" s="4" t="n">
        <v>44960</v>
      </c>
      <c r="E136" s="2" t="inlineStr">
        <is>
          <t>14:51</t>
        </is>
      </c>
      <c r="F136" s="5">
        <f>C136-C135</f>
        <v/>
      </c>
      <c r="G136" s="5">
        <f>B136-B135</f>
        <v/>
      </c>
      <c r="H136" s="2">
        <f>IF(AND(F136=1,G136=1),"OK","À JUSTIFIER")</f>
        <v/>
      </c>
    </row>
    <row r="137">
      <c r="A137" s="2" t="inlineStr">
        <is>
          <t>EJ030323.TXT</t>
        </is>
      </c>
      <c r="B137" s="3" t="inlineStr">
        <is>
          <t>004659</t>
        </is>
      </c>
      <c r="C137" s="3" t="inlineStr">
        <is>
          <t>003697</t>
        </is>
      </c>
      <c r="D137" s="4" t="n">
        <v>44960</v>
      </c>
      <c r="E137" s="2" t="inlineStr">
        <is>
          <t>14:51</t>
        </is>
      </c>
      <c r="F137" s="5">
        <f>C137-C136</f>
        <v/>
      </c>
      <c r="G137" s="5">
        <f>B137-B136</f>
        <v/>
      </c>
      <c r="H137" s="2">
        <f>IF(AND(F137=1,G137=1),"OK","À JUSTIFIER")</f>
        <v/>
      </c>
    </row>
    <row r="138">
      <c r="A138" s="2" t="inlineStr">
        <is>
          <t>EJ030323.TXT</t>
        </is>
      </c>
      <c r="B138" s="3" t="inlineStr">
        <is>
          <t>004660</t>
        </is>
      </c>
      <c r="C138" s="3" t="inlineStr">
        <is>
          <t>003698</t>
        </is>
      </c>
      <c r="D138" s="4" t="n">
        <v>44960</v>
      </c>
      <c r="E138" s="2" t="inlineStr">
        <is>
          <t>14:52</t>
        </is>
      </c>
      <c r="F138" s="5">
        <f>C138-C137</f>
        <v/>
      </c>
      <c r="G138" s="5">
        <f>B138-B137</f>
        <v/>
      </c>
      <c r="H138" s="2">
        <f>IF(AND(F138=1,G138=1),"OK","À JUSTIFIER")</f>
        <v/>
      </c>
    </row>
    <row r="139">
      <c r="A139" s="2" t="inlineStr">
        <is>
          <t>EJ030323.TXT</t>
        </is>
      </c>
      <c r="B139" s="3" t="inlineStr">
        <is>
          <t>004661</t>
        </is>
      </c>
      <c r="C139" s="3" t="inlineStr">
        <is>
          <t>003699</t>
        </is>
      </c>
      <c r="D139" s="4" t="n">
        <v>44960</v>
      </c>
      <c r="E139" s="2" t="inlineStr">
        <is>
          <t>16:40</t>
        </is>
      </c>
      <c r="F139" s="5">
        <f>C139-C138</f>
        <v/>
      </c>
      <c r="G139" s="5">
        <f>B139-B138</f>
        <v/>
      </c>
      <c r="H139" s="2">
        <f>IF(AND(F139=1,G139=1),"OK","À JUSTIFIER")</f>
        <v/>
      </c>
    </row>
    <row r="140">
      <c r="A140" s="2" t="inlineStr">
        <is>
          <t>EJ030323.TXT</t>
        </is>
      </c>
      <c r="B140" s="3" t="inlineStr">
        <is>
          <t>004662</t>
        </is>
      </c>
      <c r="C140" s="3" t="inlineStr">
        <is>
          <t>003700</t>
        </is>
      </c>
      <c r="D140" s="4" t="n">
        <v>44963</v>
      </c>
      <c r="E140" s="2" t="inlineStr">
        <is>
          <t>15:19</t>
        </is>
      </c>
      <c r="F140" s="5">
        <f>C140-C139</f>
        <v/>
      </c>
      <c r="G140" s="5">
        <f>B140-B139</f>
        <v/>
      </c>
      <c r="H140" s="2">
        <f>IF(AND(F140=1,G140=1),"OK","À JUSTIFIER")</f>
        <v/>
      </c>
    </row>
    <row r="141">
      <c r="A141" s="2" t="inlineStr">
        <is>
          <t>EJ030323.TXT</t>
        </is>
      </c>
      <c r="B141" s="3" t="inlineStr">
        <is>
          <t>004663</t>
        </is>
      </c>
      <c r="C141" s="3" t="inlineStr">
        <is>
          <t>003701</t>
        </is>
      </c>
      <c r="D141" s="4" t="n">
        <v>44963</v>
      </c>
      <c r="E141" s="2" t="inlineStr">
        <is>
          <t>15:46</t>
        </is>
      </c>
      <c r="F141" s="5">
        <f>C141-C140</f>
        <v/>
      </c>
      <c r="G141" s="5">
        <f>B141-B140</f>
        <v/>
      </c>
      <c r="H141" s="2">
        <f>IF(AND(F141=1,G141=1),"OK","À JUSTIFIER")</f>
        <v/>
      </c>
    </row>
    <row r="142">
      <c r="A142" s="2" t="inlineStr">
        <is>
          <t>EJ030323.TXT</t>
        </is>
      </c>
      <c r="B142" s="3" t="inlineStr">
        <is>
          <t>004664</t>
        </is>
      </c>
      <c r="C142" s="3" t="inlineStr">
        <is>
          <t>003702</t>
        </is>
      </c>
      <c r="D142" s="4" t="n">
        <v>44964</v>
      </c>
      <c r="E142" s="2" t="inlineStr">
        <is>
          <t>16:13</t>
        </is>
      </c>
      <c r="F142" s="5">
        <f>C142-C141</f>
        <v/>
      </c>
      <c r="G142" s="5">
        <f>B142-B141</f>
        <v/>
      </c>
      <c r="H142" s="2">
        <f>IF(AND(F142=1,G142=1),"OK","À JUSTIFIER")</f>
        <v/>
      </c>
    </row>
    <row r="143">
      <c r="A143" s="2" t="inlineStr">
        <is>
          <t>EJ030323.TXT</t>
        </is>
      </c>
      <c r="B143" s="3" t="inlineStr">
        <is>
          <t>004665</t>
        </is>
      </c>
      <c r="C143" s="3" t="inlineStr">
        <is>
          <t>003703</t>
        </is>
      </c>
      <c r="D143" s="4" t="n">
        <v>44964</v>
      </c>
      <c r="E143" s="2" t="inlineStr">
        <is>
          <t>16:13</t>
        </is>
      </c>
      <c r="F143" s="5">
        <f>C143-C142</f>
        <v/>
      </c>
      <c r="G143" s="5">
        <f>B143-B142</f>
        <v/>
      </c>
      <c r="H143" s="2">
        <f>IF(AND(F143=1,G143=1),"OK","À JUSTIFIER")</f>
        <v/>
      </c>
    </row>
    <row r="144">
      <c r="A144" s="2" t="inlineStr">
        <is>
          <t>EJ030323.TXT</t>
        </is>
      </c>
      <c r="B144" s="3" t="inlineStr">
        <is>
          <t>004666</t>
        </is>
      </c>
      <c r="C144" s="3" t="inlineStr">
        <is>
          <t>003704</t>
        </is>
      </c>
      <c r="D144" s="4" t="n">
        <v>44964</v>
      </c>
      <c r="E144" s="2" t="inlineStr">
        <is>
          <t>16:20</t>
        </is>
      </c>
      <c r="F144" s="5">
        <f>C144-C143</f>
        <v/>
      </c>
      <c r="G144" s="5">
        <f>B144-B143</f>
        <v/>
      </c>
      <c r="H144" s="2">
        <f>IF(AND(F144=1,G144=1),"OK","À JUSTIFIER")</f>
        <v/>
      </c>
    </row>
    <row r="145">
      <c r="A145" s="2" t="inlineStr">
        <is>
          <t>EJ030323.TXT</t>
        </is>
      </c>
      <c r="B145" s="3" t="inlineStr">
        <is>
          <t>004667</t>
        </is>
      </c>
      <c r="C145" s="3" t="inlineStr">
        <is>
          <t>003705</t>
        </is>
      </c>
      <c r="D145" s="4" t="n">
        <v>44964</v>
      </c>
      <c r="E145" s="2" t="inlineStr">
        <is>
          <t>16:29</t>
        </is>
      </c>
      <c r="F145" s="5">
        <f>C145-C144</f>
        <v/>
      </c>
      <c r="G145" s="5">
        <f>B145-B144</f>
        <v/>
      </c>
      <c r="H145" s="2">
        <f>IF(AND(F145=1,G145=1),"OK","À JUSTIFIER")</f>
        <v/>
      </c>
    </row>
    <row r="146">
      <c r="A146" s="2" t="inlineStr">
        <is>
          <t>EJ030323.TXT</t>
        </is>
      </c>
      <c r="B146" s="3" t="inlineStr">
        <is>
          <t>004668</t>
        </is>
      </c>
      <c r="C146" s="3" t="inlineStr">
        <is>
          <t>003706</t>
        </is>
      </c>
      <c r="D146" s="4" t="n">
        <v>44965</v>
      </c>
      <c r="E146" s="2" t="inlineStr">
        <is>
          <t>12:42</t>
        </is>
      </c>
      <c r="F146" s="5">
        <f>C146-C145</f>
        <v/>
      </c>
      <c r="G146" s="5">
        <f>B146-B145</f>
        <v/>
      </c>
      <c r="H146" s="2">
        <f>IF(AND(F146=1,G146=1),"OK","À JUSTIFIER")</f>
        <v/>
      </c>
    </row>
    <row r="147">
      <c r="A147" s="2" t="inlineStr">
        <is>
          <t>EJ030323.TXT</t>
        </is>
      </c>
      <c r="B147" s="3" t="inlineStr">
        <is>
          <t>004669</t>
        </is>
      </c>
      <c r="C147" s="3" t="inlineStr">
        <is>
          <t>003707</t>
        </is>
      </c>
      <c r="D147" s="4" t="n">
        <v>44965</v>
      </c>
      <c r="E147" s="2" t="inlineStr">
        <is>
          <t>13:04</t>
        </is>
      </c>
      <c r="F147" s="5">
        <f>C147-C146</f>
        <v/>
      </c>
      <c r="G147" s="5">
        <f>B147-B146</f>
        <v/>
      </c>
      <c r="H147" s="2">
        <f>IF(AND(F147=1,G147=1),"OK","À JUSTIFIER")</f>
        <v/>
      </c>
    </row>
    <row r="148">
      <c r="A148" s="2" t="inlineStr">
        <is>
          <t>EJ030323.TXT</t>
        </is>
      </c>
      <c r="B148" s="3" t="inlineStr">
        <is>
          <t>004670</t>
        </is>
      </c>
      <c r="C148" s="3" t="inlineStr">
        <is>
          <t>003708</t>
        </is>
      </c>
      <c r="D148" s="4" t="n">
        <v>44965</v>
      </c>
      <c r="E148" s="2" t="inlineStr">
        <is>
          <t>16:37</t>
        </is>
      </c>
      <c r="F148" s="5">
        <f>C148-C147</f>
        <v/>
      </c>
      <c r="G148" s="5">
        <f>B148-B147</f>
        <v/>
      </c>
      <c r="H148" s="2">
        <f>IF(AND(F148=1,G148=1),"OK","À JUSTIFIER")</f>
        <v/>
      </c>
    </row>
    <row r="149">
      <c r="A149" s="2" t="inlineStr">
        <is>
          <t>EJ030323.TXT</t>
        </is>
      </c>
      <c r="B149" s="3" t="inlineStr">
        <is>
          <t>004671</t>
        </is>
      </c>
      <c r="C149" s="3" t="inlineStr">
        <is>
          <t>003709</t>
        </is>
      </c>
      <c r="D149" s="4" t="n">
        <v>44966</v>
      </c>
      <c r="E149" s="2" t="inlineStr">
        <is>
          <t>11:15</t>
        </is>
      </c>
      <c r="F149" s="5">
        <f>C149-C148</f>
        <v/>
      </c>
      <c r="G149" s="5">
        <f>B149-B148</f>
        <v/>
      </c>
      <c r="H149" s="2">
        <f>IF(AND(F149=1,G149=1),"OK","À JUSTIFIER")</f>
        <v/>
      </c>
    </row>
    <row r="150">
      <c r="A150" s="2" t="inlineStr">
        <is>
          <t>EJ030323.TXT</t>
        </is>
      </c>
      <c r="B150" s="3" t="inlineStr">
        <is>
          <t>004672</t>
        </is>
      </c>
      <c r="C150" s="3" t="inlineStr">
        <is>
          <t>003710</t>
        </is>
      </c>
      <c r="D150" s="4" t="n">
        <v>44966</v>
      </c>
      <c r="E150" s="2" t="inlineStr">
        <is>
          <t>11:16</t>
        </is>
      </c>
      <c r="F150" s="5">
        <f>C150-C149</f>
        <v/>
      </c>
      <c r="G150" s="5">
        <f>B150-B149</f>
        <v/>
      </c>
      <c r="H150" s="2">
        <f>IF(AND(F150=1,G150=1),"OK","À JUSTIFIER")</f>
        <v/>
      </c>
    </row>
    <row r="151">
      <c r="A151" s="2" t="inlineStr">
        <is>
          <t>EJ030323.TXT</t>
        </is>
      </c>
      <c r="B151" s="3" t="inlineStr">
        <is>
          <t>004673</t>
        </is>
      </c>
      <c r="C151" s="3" t="inlineStr">
        <is>
          <t>003711</t>
        </is>
      </c>
      <c r="D151" s="4" t="n">
        <v>44966</v>
      </c>
      <c r="E151" s="2" t="inlineStr">
        <is>
          <t>16:22</t>
        </is>
      </c>
      <c r="F151" s="5">
        <f>C151-C150</f>
        <v/>
      </c>
      <c r="G151" s="5">
        <f>B151-B150</f>
        <v/>
      </c>
      <c r="H151" s="2">
        <f>IF(AND(F151=1,G151=1),"OK","À JUSTIFIER")</f>
        <v/>
      </c>
    </row>
    <row r="152">
      <c r="A152" s="2" t="inlineStr">
        <is>
          <t>EJ030323.TXT</t>
        </is>
      </c>
      <c r="B152" s="3" t="inlineStr">
        <is>
          <t>004674</t>
        </is>
      </c>
      <c r="C152" s="3" t="inlineStr">
        <is>
          <t>003712</t>
        </is>
      </c>
      <c r="D152" s="4" t="n">
        <v>44966</v>
      </c>
      <c r="E152" s="2" t="inlineStr">
        <is>
          <t>18:21</t>
        </is>
      </c>
      <c r="F152" s="5">
        <f>C152-C151</f>
        <v/>
      </c>
      <c r="G152" s="5">
        <f>B152-B151</f>
        <v/>
      </c>
      <c r="H152" s="2">
        <f>IF(AND(F152=1,G152=1),"OK","À JUSTIFIER")</f>
        <v/>
      </c>
    </row>
    <row r="153">
      <c r="A153" s="2" t="inlineStr">
        <is>
          <t>EJ030323.TXT</t>
        </is>
      </c>
      <c r="B153" s="3" t="inlineStr">
        <is>
          <t>004675</t>
        </is>
      </c>
      <c r="C153" s="3" t="inlineStr">
        <is>
          <t>003713</t>
        </is>
      </c>
      <c r="D153" s="4" t="n">
        <v>44968</v>
      </c>
      <c r="E153" s="2" t="inlineStr">
        <is>
          <t>16:19</t>
        </is>
      </c>
      <c r="F153" s="5">
        <f>C153-C152</f>
        <v/>
      </c>
      <c r="G153" s="5">
        <f>B153-B152</f>
        <v/>
      </c>
      <c r="H153" s="2">
        <f>IF(AND(F153=1,G153=1),"OK","À JUSTIFIER")</f>
        <v/>
      </c>
    </row>
    <row r="154">
      <c r="A154" s="2" t="inlineStr">
        <is>
          <t>EJ030323.TXT</t>
        </is>
      </c>
      <c r="B154" s="3" t="inlineStr">
        <is>
          <t>004676</t>
        </is>
      </c>
      <c r="C154" s="3" t="inlineStr">
        <is>
          <t>003714</t>
        </is>
      </c>
      <c r="D154" s="4" t="n">
        <v>44968</v>
      </c>
      <c r="E154" s="2" t="inlineStr">
        <is>
          <t>16:20</t>
        </is>
      </c>
      <c r="F154" s="5">
        <f>C154-C153</f>
        <v/>
      </c>
      <c r="G154" s="5">
        <f>B154-B153</f>
        <v/>
      </c>
      <c r="H154" s="2">
        <f>IF(AND(F154=1,G154=1),"OK","À JUSTIFIER")</f>
        <v/>
      </c>
    </row>
    <row r="155">
      <c r="A155" s="2" t="inlineStr">
        <is>
          <t>EJ030323.TXT</t>
        </is>
      </c>
      <c r="B155" s="3" t="inlineStr">
        <is>
          <t>004677</t>
        </is>
      </c>
      <c r="C155" s="3" t="inlineStr">
        <is>
          <t>003715</t>
        </is>
      </c>
      <c r="D155" s="4" t="n">
        <v>44970</v>
      </c>
      <c r="E155" s="2" t="inlineStr">
        <is>
          <t>14:39</t>
        </is>
      </c>
      <c r="F155" s="5">
        <f>C155-C154</f>
        <v/>
      </c>
      <c r="G155" s="5">
        <f>B155-B154</f>
        <v/>
      </c>
      <c r="H155" s="2">
        <f>IF(AND(F155=1,G155=1),"OK","À JUSTIFIER")</f>
        <v/>
      </c>
    </row>
    <row r="156">
      <c r="A156" s="2" t="inlineStr">
        <is>
          <t>EJ030323.TXT</t>
        </is>
      </c>
      <c r="B156" s="3" t="inlineStr">
        <is>
          <t>004678</t>
        </is>
      </c>
      <c r="C156" s="3" t="inlineStr">
        <is>
          <t>003716</t>
        </is>
      </c>
      <c r="D156" s="4" t="n">
        <v>44970</v>
      </c>
      <c r="E156" s="2" t="inlineStr">
        <is>
          <t>14:42</t>
        </is>
      </c>
      <c r="F156" s="5">
        <f>C156-C155</f>
        <v/>
      </c>
      <c r="G156" s="5">
        <f>B156-B155</f>
        <v/>
      </c>
      <c r="H156" s="2">
        <f>IF(AND(F156=1,G156=1),"OK","À JUSTIFIER")</f>
        <v/>
      </c>
    </row>
    <row r="157">
      <c r="A157" s="2" t="inlineStr">
        <is>
          <t>EJ030323.TXT</t>
        </is>
      </c>
      <c r="B157" s="3" t="inlineStr">
        <is>
          <t>004679</t>
        </is>
      </c>
      <c r="C157" s="3" t="inlineStr">
        <is>
          <t>003717</t>
        </is>
      </c>
      <c r="D157" s="4" t="n">
        <v>44971</v>
      </c>
      <c r="E157" s="2" t="inlineStr">
        <is>
          <t>12:11</t>
        </is>
      </c>
      <c r="F157" s="5">
        <f>C157-C156</f>
        <v/>
      </c>
      <c r="G157" s="5">
        <f>B157-B156</f>
        <v/>
      </c>
      <c r="H157" s="2">
        <f>IF(AND(F157=1,G157=1),"OK","À JUSTIFIER")</f>
        <v/>
      </c>
    </row>
    <row r="158">
      <c r="A158" s="2" t="inlineStr">
        <is>
          <t>EJ030323.TXT</t>
        </is>
      </c>
      <c r="B158" s="3" t="inlineStr">
        <is>
          <t>004680</t>
        </is>
      </c>
      <c r="C158" s="3" t="inlineStr">
        <is>
          <t>003718</t>
        </is>
      </c>
      <c r="D158" s="4" t="n">
        <v>44971</v>
      </c>
      <c r="E158" s="2" t="inlineStr">
        <is>
          <t>18:26</t>
        </is>
      </c>
      <c r="F158" s="5">
        <f>C158-C157</f>
        <v/>
      </c>
      <c r="G158" s="5">
        <f>B158-B157</f>
        <v/>
      </c>
      <c r="H158" s="2">
        <f>IF(AND(F158=1,G158=1),"OK","À JUSTIFIER")</f>
        <v/>
      </c>
    </row>
    <row r="159">
      <c r="A159" s="2" t="inlineStr">
        <is>
          <t>EJ030323.TXT</t>
        </is>
      </c>
      <c r="B159" s="3" t="inlineStr">
        <is>
          <t>004681</t>
        </is>
      </c>
      <c r="C159" s="3" t="inlineStr">
        <is>
          <t>003719</t>
        </is>
      </c>
      <c r="D159" s="4" t="n">
        <v>44974</v>
      </c>
      <c r="E159" s="2" t="inlineStr">
        <is>
          <t>16:29</t>
        </is>
      </c>
      <c r="F159" s="5">
        <f>C159-C158</f>
        <v/>
      </c>
      <c r="G159" s="5">
        <f>B159-B158</f>
        <v/>
      </c>
      <c r="H159" s="2">
        <f>IF(AND(F159=1,G159=1),"OK","À JUSTIFIER")</f>
        <v/>
      </c>
    </row>
    <row r="160">
      <c r="A160" s="2" t="inlineStr">
        <is>
          <t>EJ030323.TXT</t>
        </is>
      </c>
      <c r="B160" s="3" t="inlineStr">
        <is>
          <t>004682</t>
        </is>
      </c>
      <c r="C160" s="3" t="inlineStr">
        <is>
          <t>003720</t>
        </is>
      </c>
      <c r="D160" s="4" t="n">
        <v>44975</v>
      </c>
      <c r="E160" s="2" t="inlineStr">
        <is>
          <t>17:03</t>
        </is>
      </c>
      <c r="F160" s="5">
        <f>C160-C159</f>
        <v/>
      </c>
      <c r="G160" s="5">
        <f>B160-B159</f>
        <v/>
      </c>
      <c r="H160" s="2">
        <f>IF(AND(F160=1,G160=1),"OK","À JUSTIFIER")</f>
        <v/>
      </c>
    </row>
    <row r="161">
      <c r="A161" s="2" t="inlineStr">
        <is>
          <t>EJ030323.TXT</t>
        </is>
      </c>
      <c r="B161" s="3" t="inlineStr">
        <is>
          <t>004683</t>
        </is>
      </c>
      <c r="C161" s="3" t="inlineStr">
        <is>
          <t>003721</t>
        </is>
      </c>
      <c r="D161" s="4" t="n">
        <v>44977</v>
      </c>
      <c r="E161" s="2" t="inlineStr">
        <is>
          <t>10:49</t>
        </is>
      </c>
      <c r="F161" s="5">
        <f>C161-C160</f>
        <v/>
      </c>
      <c r="G161" s="5">
        <f>B161-B160</f>
        <v/>
      </c>
      <c r="H161" s="2">
        <f>IF(AND(F161=1,G161=1),"OK","À JUSTIFIER")</f>
        <v/>
      </c>
    </row>
    <row r="162">
      <c r="A162" s="2" t="inlineStr">
        <is>
          <t>EJ030323.TXT</t>
        </is>
      </c>
      <c r="B162" s="3" t="inlineStr">
        <is>
          <t>004684</t>
        </is>
      </c>
      <c r="C162" s="3" t="inlineStr">
        <is>
          <t>003722</t>
        </is>
      </c>
      <c r="D162" s="4" t="n">
        <v>44977</v>
      </c>
      <c r="E162" s="2" t="inlineStr">
        <is>
          <t>15:47</t>
        </is>
      </c>
      <c r="F162" s="5">
        <f>C162-C161</f>
        <v/>
      </c>
      <c r="G162" s="5">
        <f>B162-B161</f>
        <v/>
      </c>
      <c r="H162" s="2">
        <f>IF(AND(F162=1,G162=1),"OK","À JUSTIFIER")</f>
        <v/>
      </c>
    </row>
    <row r="163">
      <c r="A163" s="2" t="inlineStr">
        <is>
          <t>EJ030323.TXT</t>
        </is>
      </c>
      <c r="B163" s="3" t="inlineStr">
        <is>
          <t>004685</t>
        </is>
      </c>
      <c r="C163" s="3" t="inlineStr">
        <is>
          <t>003723</t>
        </is>
      </c>
      <c r="D163" s="4" t="n">
        <v>44977</v>
      </c>
      <c r="E163" s="2" t="inlineStr">
        <is>
          <t>15:51</t>
        </is>
      </c>
      <c r="F163" s="5">
        <f>C163-C162</f>
        <v/>
      </c>
      <c r="G163" s="5">
        <f>B163-B162</f>
        <v/>
      </c>
      <c r="H163" s="2">
        <f>IF(AND(F163=1,G163=1),"OK","À JUSTIFIER")</f>
        <v/>
      </c>
    </row>
    <row r="164">
      <c r="A164" s="2" t="inlineStr">
        <is>
          <t>EJ030323.TXT</t>
        </is>
      </c>
      <c r="B164" s="3" t="inlineStr">
        <is>
          <t>004686</t>
        </is>
      </c>
      <c r="C164" s="3" t="inlineStr">
        <is>
          <t>003724</t>
        </is>
      </c>
      <c r="D164" s="4" t="n">
        <v>44980</v>
      </c>
      <c r="E164" s="2" t="inlineStr">
        <is>
          <t>17:50</t>
        </is>
      </c>
      <c r="F164" s="5">
        <f>C164-C163</f>
        <v/>
      </c>
      <c r="G164" s="5">
        <f>B164-B163</f>
        <v/>
      </c>
      <c r="H164" s="2">
        <f>IF(AND(F164=1,G164=1),"OK","À JUSTIFIER")</f>
        <v/>
      </c>
    </row>
    <row r="165">
      <c r="A165" s="2" t="inlineStr">
        <is>
          <t>EJ030323.TXT</t>
        </is>
      </c>
      <c r="B165" s="3" t="inlineStr">
        <is>
          <t>004687</t>
        </is>
      </c>
      <c r="C165" s="3" t="inlineStr">
        <is>
          <t>003725</t>
        </is>
      </c>
      <c r="D165" s="4" t="n">
        <v>44980</v>
      </c>
      <c r="E165" s="2" t="inlineStr">
        <is>
          <t>18:32</t>
        </is>
      </c>
      <c r="F165" s="5">
        <f>C165-C164</f>
        <v/>
      </c>
      <c r="G165" s="5">
        <f>B165-B164</f>
        <v/>
      </c>
      <c r="H165" s="2">
        <f>IF(AND(F165=1,G165=1),"OK","À JUSTIFIER")</f>
        <v/>
      </c>
    </row>
    <row r="166">
      <c r="A166" s="2" t="inlineStr">
        <is>
          <t>EJ030323.TXT</t>
        </is>
      </c>
      <c r="B166" s="3" t="inlineStr">
        <is>
          <t>004688</t>
        </is>
      </c>
      <c r="C166" s="3" t="inlineStr">
        <is>
          <t>003726</t>
        </is>
      </c>
      <c r="D166" s="4" t="n">
        <v>44981</v>
      </c>
      <c r="E166" s="2" t="inlineStr">
        <is>
          <t>13:26</t>
        </is>
      </c>
      <c r="F166" s="5">
        <f>C166-C165</f>
        <v/>
      </c>
      <c r="G166" s="5">
        <f>B166-B165</f>
        <v/>
      </c>
      <c r="H166" s="2">
        <f>IF(AND(F166=1,G166=1),"OK","À JUSTIFIER")</f>
        <v/>
      </c>
    </row>
    <row r="167">
      <c r="A167" s="2" t="inlineStr">
        <is>
          <t>EJ030323.TXT</t>
        </is>
      </c>
      <c r="B167" s="3" t="inlineStr">
        <is>
          <t>004689</t>
        </is>
      </c>
      <c r="C167" s="3" t="inlineStr">
        <is>
          <t>003727</t>
        </is>
      </c>
      <c r="D167" s="4" t="n">
        <v>44981</v>
      </c>
      <c r="E167" s="2" t="inlineStr">
        <is>
          <t>15:56</t>
        </is>
      </c>
      <c r="F167" s="5">
        <f>C167-C166</f>
        <v/>
      </c>
      <c r="G167" s="5">
        <f>B167-B166</f>
        <v/>
      </c>
      <c r="H167" s="2">
        <f>IF(AND(F167=1,G167=1),"OK","À JUSTIFIER")</f>
        <v/>
      </c>
    </row>
    <row r="168">
      <c r="A168" s="2" t="inlineStr">
        <is>
          <t>EJ030323.TXT</t>
        </is>
      </c>
      <c r="B168" s="3" t="inlineStr">
        <is>
          <t>004690</t>
        </is>
      </c>
      <c r="C168" s="3" t="inlineStr">
        <is>
          <t>003728</t>
        </is>
      </c>
      <c r="D168" s="4" t="n">
        <v>44981</v>
      </c>
      <c r="E168" s="2" t="inlineStr">
        <is>
          <t>16:46</t>
        </is>
      </c>
      <c r="F168" s="5">
        <f>C168-C167</f>
        <v/>
      </c>
      <c r="G168" s="5">
        <f>B168-B167</f>
        <v/>
      </c>
      <c r="H168" s="2">
        <f>IF(AND(F168=1,G168=1),"OK","À JUSTIFIER")</f>
        <v/>
      </c>
    </row>
    <row r="169">
      <c r="A169" s="2" t="inlineStr">
        <is>
          <t>EJ030323.TXT</t>
        </is>
      </c>
      <c r="B169" s="3" t="inlineStr">
        <is>
          <t>004691</t>
        </is>
      </c>
      <c r="C169" s="3" t="inlineStr">
        <is>
          <t>003729</t>
        </is>
      </c>
      <c r="D169" s="4" t="n">
        <v>44981</v>
      </c>
      <c r="E169" s="2" t="inlineStr">
        <is>
          <t>16:47</t>
        </is>
      </c>
      <c r="F169" s="5">
        <f>C169-C168</f>
        <v/>
      </c>
      <c r="G169" s="5">
        <f>B169-B168</f>
        <v/>
      </c>
      <c r="H169" s="2">
        <f>IF(AND(F169=1,G169=1),"OK","À JUSTIFIER")</f>
        <v/>
      </c>
    </row>
    <row r="170">
      <c r="A170" s="2" t="inlineStr">
        <is>
          <t>EJ030323.TXT</t>
        </is>
      </c>
      <c r="B170" s="3" t="inlineStr">
        <is>
          <t>004692</t>
        </is>
      </c>
      <c r="C170" s="3" t="inlineStr">
        <is>
          <t>003730</t>
        </is>
      </c>
      <c r="D170" s="4" t="n">
        <v>44981</v>
      </c>
      <c r="E170" s="2" t="inlineStr">
        <is>
          <t>16:47</t>
        </is>
      </c>
      <c r="F170" s="5">
        <f>C170-C169</f>
        <v/>
      </c>
      <c r="G170" s="5">
        <f>B170-B169</f>
        <v/>
      </c>
      <c r="H170" s="2">
        <f>IF(AND(F170=1,G170=1),"OK","À JUSTIFIER")</f>
        <v/>
      </c>
    </row>
    <row r="171">
      <c r="A171" s="2" t="inlineStr">
        <is>
          <t>EJ030323.TXT</t>
        </is>
      </c>
      <c r="B171" s="3" t="inlineStr">
        <is>
          <t>004693</t>
        </is>
      </c>
      <c r="C171" s="3" t="inlineStr">
        <is>
          <t>003731</t>
        </is>
      </c>
      <c r="D171" s="4" t="n">
        <v>44982</v>
      </c>
      <c r="E171" s="2" t="inlineStr">
        <is>
          <t>14:55</t>
        </is>
      </c>
      <c r="F171" s="5">
        <f>C171-C170</f>
        <v/>
      </c>
      <c r="G171" s="5">
        <f>B171-B170</f>
        <v/>
      </c>
      <c r="H171" s="2">
        <f>IF(AND(F171=1,G171=1),"OK","À JUSTIFIER")</f>
        <v/>
      </c>
    </row>
    <row r="172">
      <c r="A172" s="2" t="inlineStr">
        <is>
          <t>EJ030323.TXT</t>
        </is>
      </c>
      <c r="B172" s="3" t="inlineStr">
        <is>
          <t>004694</t>
        </is>
      </c>
      <c r="C172" s="3" t="inlineStr">
        <is>
          <t>003732</t>
        </is>
      </c>
      <c r="D172" s="4" t="n">
        <v>44982</v>
      </c>
      <c r="E172" s="2" t="inlineStr">
        <is>
          <t>17:06</t>
        </is>
      </c>
      <c r="F172" s="5">
        <f>C172-C171</f>
        <v/>
      </c>
      <c r="G172" s="5">
        <f>B172-B171</f>
        <v/>
      </c>
      <c r="H172" s="2">
        <f>IF(AND(F172=1,G172=1),"OK","À JUSTIFIER")</f>
        <v/>
      </c>
    </row>
    <row r="173">
      <c r="A173" s="2" t="inlineStr">
        <is>
          <t>EJ030323.TXT</t>
        </is>
      </c>
      <c r="B173" s="3" t="inlineStr">
        <is>
          <t>004695</t>
        </is>
      </c>
      <c r="C173" s="3" t="inlineStr">
        <is>
          <t>003733</t>
        </is>
      </c>
      <c r="D173" s="4" t="n">
        <v>44982</v>
      </c>
      <c r="E173" s="2" t="inlineStr">
        <is>
          <t>17:06</t>
        </is>
      </c>
      <c r="F173" s="5">
        <f>C173-C172</f>
        <v/>
      </c>
      <c r="G173" s="5">
        <f>B173-B172</f>
        <v/>
      </c>
      <c r="H173" s="2">
        <f>IF(AND(F173=1,G173=1),"OK","À JUSTIFIER")</f>
        <v/>
      </c>
    </row>
    <row r="174">
      <c r="A174" s="2" t="inlineStr">
        <is>
          <t>EJ030323.TXT</t>
        </is>
      </c>
      <c r="B174" s="3" t="inlineStr">
        <is>
          <t>004696</t>
        </is>
      </c>
      <c r="C174" s="3" t="inlineStr">
        <is>
          <t>003734</t>
        </is>
      </c>
      <c r="D174" s="4" t="n">
        <v>44982</v>
      </c>
      <c r="E174" s="2" t="inlineStr">
        <is>
          <t>17:06</t>
        </is>
      </c>
      <c r="F174" s="5">
        <f>C174-C173</f>
        <v/>
      </c>
      <c r="G174" s="5">
        <f>B174-B173</f>
        <v/>
      </c>
      <c r="H174" s="2">
        <f>IF(AND(F174=1,G174=1),"OK","À JUSTIFIER")</f>
        <v/>
      </c>
    </row>
    <row r="175">
      <c r="A175" s="2" t="inlineStr">
        <is>
          <t>EJ030323.TXT</t>
        </is>
      </c>
      <c r="B175" s="3" t="inlineStr">
        <is>
          <t>004697</t>
        </is>
      </c>
      <c r="C175" s="3" t="inlineStr">
        <is>
          <t>003735</t>
        </is>
      </c>
      <c r="D175" s="4" t="n">
        <v>44982</v>
      </c>
      <c r="E175" s="2" t="inlineStr">
        <is>
          <t>17:07</t>
        </is>
      </c>
      <c r="F175" s="5">
        <f>C175-C174</f>
        <v/>
      </c>
      <c r="G175" s="5">
        <f>B175-B174</f>
        <v/>
      </c>
      <c r="H175" s="2">
        <f>IF(AND(F175=1,G175=1),"OK","À JUSTIFIER")</f>
        <v/>
      </c>
    </row>
    <row r="176">
      <c r="A176" s="2" t="inlineStr">
        <is>
          <t>EJ030323.TXT</t>
        </is>
      </c>
      <c r="B176" s="3" t="inlineStr">
        <is>
          <t>004698</t>
        </is>
      </c>
      <c r="C176" s="3" t="inlineStr">
        <is>
          <t>003736</t>
        </is>
      </c>
      <c r="D176" s="4" t="n">
        <v>44982</v>
      </c>
      <c r="E176" s="2" t="inlineStr">
        <is>
          <t>17:07</t>
        </is>
      </c>
      <c r="F176" s="5">
        <f>C176-C175</f>
        <v/>
      </c>
      <c r="G176" s="5">
        <f>B176-B175</f>
        <v/>
      </c>
      <c r="H176" s="2">
        <f>IF(AND(F176=1,G176=1),"OK","À JUSTIFIER")</f>
        <v/>
      </c>
    </row>
    <row r="177">
      <c r="A177" s="2" t="inlineStr">
        <is>
          <t>EJ030323.TXT</t>
        </is>
      </c>
      <c r="B177" s="3" t="inlineStr">
        <is>
          <t>004699</t>
        </is>
      </c>
      <c r="C177" s="3" t="inlineStr">
        <is>
          <t>003737</t>
        </is>
      </c>
      <c r="D177" s="4" t="n">
        <v>44982</v>
      </c>
      <c r="E177" s="2" t="inlineStr">
        <is>
          <t>17:08</t>
        </is>
      </c>
      <c r="F177" s="5">
        <f>C177-C176</f>
        <v/>
      </c>
      <c r="G177" s="5">
        <f>B177-B176</f>
        <v/>
      </c>
      <c r="H177" s="2">
        <f>IF(AND(F177=1,G177=1),"OK","À JUSTIFIER")</f>
        <v/>
      </c>
    </row>
    <row r="178">
      <c r="A178" s="2" t="inlineStr">
        <is>
          <t>EJ030323.TXT</t>
        </is>
      </c>
      <c r="B178" s="3" t="inlineStr">
        <is>
          <t>004700</t>
        </is>
      </c>
      <c r="C178" s="3" t="inlineStr">
        <is>
          <t>003738</t>
        </is>
      </c>
      <c r="D178" s="4" t="n">
        <v>44984</v>
      </c>
      <c r="E178" s="2" t="inlineStr">
        <is>
          <t>11:07</t>
        </is>
      </c>
      <c r="F178" s="5">
        <f>C178-C177</f>
        <v/>
      </c>
      <c r="G178" s="5">
        <f>B178-B177</f>
        <v/>
      </c>
      <c r="H178" s="2">
        <f>IF(AND(F178=1,G178=1),"OK","À JUSTIFIER")</f>
        <v/>
      </c>
    </row>
    <row r="179">
      <c r="A179" s="2" t="inlineStr">
        <is>
          <t>EJ030323.TXT</t>
        </is>
      </c>
      <c r="B179" s="3" t="inlineStr">
        <is>
          <t>004701</t>
        </is>
      </c>
      <c r="C179" s="3" t="inlineStr">
        <is>
          <t>003739</t>
        </is>
      </c>
      <c r="D179" s="4" t="n">
        <v>44984</v>
      </c>
      <c r="E179" s="2" t="inlineStr">
        <is>
          <t>15:37</t>
        </is>
      </c>
      <c r="F179" s="5">
        <f>C179-C178</f>
        <v/>
      </c>
      <c r="G179" s="5">
        <f>B179-B178</f>
        <v/>
      </c>
      <c r="H179" s="2">
        <f>IF(AND(F179=1,G179=1),"OK","À JUSTIFIER")</f>
        <v/>
      </c>
    </row>
    <row r="180">
      <c r="A180" s="2" t="inlineStr">
        <is>
          <t>EJ030323.TXT</t>
        </is>
      </c>
      <c r="B180" s="3" t="inlineStr">
        <is>
          <t>004702</t>
        </is>
      </c>
      <c r="C180" s="3" t="inlineStr">
        <is>
          <t>003740</t>
        </is>
      </c>
      <c r="D180" s="4" t="n">
        <v>44985</v>
      </c>
      <c r="E180" s="2" t="inlineStr">
        <is>
          <t>14:53</t>
        </is>
      </c>
      <c r="F180" s="5">
        <f>C180-C179</f>
        <v/>
      </c>
      <c r="G180" s="5">
        <f>B180-B179</f>
        <v/>
      </c>
      <c r="H180" s="2">
        <f>IF(AND(F180=1,G180=1),"OK","À JUSTIFIER")</f>
        <v/>
      </c>
    </row>
    <row r="181">
      <c r="A181" s="2" t="inlineStr">
        <is>
          <t>EJ030323.TXT</t>
        </is>
      </c>
      <c r="B181" s="3" t="inlineStr">
        <is>
          <t>004703</t>
        </is>
      </c>
      <c r="C181" s="3" t="inlineStr">
        <is>
          <t>003741</t>
        </is>
      </c>
      <c r="D181" s="4" t="n">
        <v>44985</v>
      </c>
      <c r="E181" s="2" t="inlineStr">
        <is>
          <t>14:56</t>
        </is>
      </c>
      <c r="F181" s="5">
        <f>C181-C180</f>
        <v/>
      </c>
      <c r="G181" s="5">
        <f>B181-B180</f>
        <v/>
      </c>
      <c r="H181" s="2">
        <f>IF(AND(F181=1,G181=1),"OK","À JUSTIFIER")</f>
        <v/>
      </c>
    </row>
    <row r="182">
      <c r="A182" s="2" t="inlineStr">
        <is>
          <t>EJ030323.TXT</t>
        </is>
      </c>
      <c r="B182" s="3" t="inlineStr">
        <is>
          <t>004704</t>
        </is>
      </c>
      <c r="C182" s="3" t="inlineStr">
        <is>
          <t>003742</t>
        </is>
      </c>
      <c r="D182" s="4" t="n">
        <v>44986</v>
      </c>
      <c r="E182" s="2" t="inlineStr">
        <is>
          <t>11:35</t>
        </is>
      </c>
      <c r="F182" s="5">
        <f>C182-C181</f>
        <v/>
      </c>
      <c r="G182" s="5">
        <f>B182-B181</f>
        <v/>
      </c>
      <c r="H182" s="2">
        <f>IF(AND(F182=1,G182=1),"OK","À JUSTIFIER")</f>
        <v/>
      </c>
    </row>
    <row r="183">
      <c r="A183" s="2" t="inlineStr">
        <is>
          <t>EJ030323.TXT</t>
        </is>
      </c>
      <c r="B183" s="3" t="inlineStr">
        <is>
          <t>004705</t>
        </is>
      </c>
      <c r="C183" s="3" t="inlineStr">
        <is>
          <t>003743</t>
        </is>
      </c>
      <c r="D183" s="4" t="n">
        <v>44987</v>
      </c>
      <c r="E183" s="2" t="inlineStr">
        <is>
          <t>11:43</t>
        </is>
      </c>
      <c r="F183" s="5">
        <f>C183-C182</f>
        <v/>
      </c>
      <c r="G183" s="5">
        <f>B183-B182</f>
        <v/>
      </c>
      <c r="H183" s="2">
        <f>IF(AND(F183=1,G183=1),"OK","À JUSTIFIER")</f>
        <v/>
      </c>
    </row>
    <row r="184">
      <c r="A184" s="2" t="inlineStr">
        <is>
          <t>EJ030323.TXT</t>
        </is>
      </c>
      <c r="B184" s="3" t="inlineStr">
        <is>
          <t>004706</t>
        </is>
      </c>
      <c r="C184" s="3" t="inlineStr">
        <is>
          <t>003744</t>
        </is>
      </c>
      <c r="D184" s="4" t="n">
        <v>44987</v>
      </c>
      <c r="E184" s="2" t="inlineStr">
        <is>
          <t>11:45</t>
        </is>
      </c>
      <c r="F184" s="5">
        <f>C184-C183</f>
        <v/>
      </c>
      <c r="G184" s="5">
        <f>B184-B183</f>
        <v/>
      </c>
      <c r="H184" s="2">
        <f>IF(AND(F184=1,G184=1),"OK","À JUSTIFIER")</f>
        <v/>
      </c>
    </row>
    <row r="185">
      <c r="A185" s="2" t="inlineStr">
        <is>
          <t>EJ030323.TXT</t>
        </is>
      </c>
      <c r="B185" s="3" t="inlineStr">
        <is>
          <t>004707</t>
        </is>
      </c>
      <c r="C185" s="3" t="inlineStr">
        <is>
          <t>003745</t>
        </is>
      </c>
      <c r="D185" s="4" t="n">
        <v>44987</v>
      </c>
      <c r="E185" s="2" t="inlineStr">
        <is>
          <t>11:47</t>
        </is>
      </c>
      <c r="F185" s="5">
        <f>C185-C184</f>
        <v/>
      </c>
      <c r="G185" s="5">
        <f>B185-B184</f>
        <v/>
      </c>
      <c r="H185" s="2">
        <f>IF(AND(F185=1,G185=1),"OK","À JUSTIFIER")</f>
        <v/>
      </c>
    </row>
    <row r="186">
      <c r="A186" s="2" t="inlineStr">
        <is>
          <t>EJ030323.TXT</t>
        </is>
      </c>
      <c r="B186" s="3" t="inlineStr">
        <is>
          <t>004708</t>
        </is>
      </c>
      <c r="C186" s="3" t="inlineStr">
        <is>
          <t>003746</t>
        </is>
      </c>
      <c r="D186" s="4" t="n">
        <v>44987</v>
      </c>
      <c r="E186" s="2" t="inlineStr">
        <is>
          <t>12:22</t>
        </is>
      </c>
      <c r="F186" s="5">
        <f>C186-C185</f>
        <v/>
      </c>
      <c r="G186" s="5">
        <f>B186-B185</f>
        <v/>
      </c>
      <c r="H186" s="2">
        <f>IF(AND(F186=1,G186=1),"OK","À JUSTIFIER")</f>
        <v/>
      </c>
    </row>
    <row r="187">
      <c r="A187" s="2" t="inlineStr">
        <is>
          <t>EJ030323.TXT</t>
        </is>
      </c>
      <c r="B187" s="3" t="inlineStr">
        <is>
          <t>004709</t>
        </is>
      </c>
      <c r="C187" s="3" t="inlineStr">
        <is>
          <t>003747</t>
        </is>
      </c>
      <c r="D187" s="4" t="n">
        <v>44987</v>
      </c>
      <c r="E187" s="2" t="inlineStr">
        <is>
          <t>13:02</t>
        </is>
      </c>
      <c r="F187" s="5">
        <f>C187-C186</f>
        <v/>
      </c>
      <c r="G187" s="5">
        <f>B187-B186</f>
        <v/>
      </c>
      <c r="H187" s="2">
        <f>IF(AND(F187=1,G187=1),"OK","À JUSTIFIER")</f>
        <v/>
      </c>
    </row>
    <row r="188">
      <c r="A188" s="2" t="inlineStr">
        <is>
          <t>EJ030323.TXT</t>
        </is>
      </c>
      <c r="B188" s="3" t="inlineStr">
        <is>
          <t>004710</t>
        </is>
      </c>
      <c r="C188" s="3" t="inlineStr">
        <is>
          <t>003748</t>
        </is>
      </c>
      <c r="D188" s="4" t="n">
        <v>44987</v>
      </c>
      <c r="E188" s="2" t="inlineStr">
        <is>
          <t>13:08</t>
        </is>
      </c>
      <c r="F188" s="5">
        <f>C188-C187</f>
        <v/>
      </c>
      <c r="G188" s="5">
        <f>B188-B187</f>
        <v/>
      </c>
      <c r="H188" s="2">
        <f>IF(AND(F188=1,G188=1),"OK","À JUSTIFIER")</f>
        <v/>
      </c>
    </row>
    <row r="189">
      <c r="A189" s="2" t="inlineStr">
        <is>
          <t>EJ030323.TXT</t>
        </is>
      </c>
      <c r="B189" s="3" t="inlineStr">
        <is>
          <t>004711</t>
        </is>
      </c>
      <c r="C189" s="3" t="inlineStr">
        <is>
          <t>003749</t>
        </is>
      </c>
      <c r="D189" s="4" t="n">
        <v>44987</v>
      </c>
      <c r="E189" s="2" t="inlineStr">
        <is>
          <t>13:12</t>
        </is>
      </c>
      <c r="F189" s="5">
        <f>C189-C188</f>
        <v/>
      </c>
      <c r="G189" s="5">
        <f>B189-B188</f>
        <v/>
      </c>
      <c r="H189" s="2">
        <f>IF(AND(F189=1,G189=1),"OK","À JUSTIFIER")</f>
        <v/>
      </c>
    </row>
    <row r="190">
      <c r="A190" s="2" t="inlineStr">
        <is>
          <t>EJ030323.TXT</t>
        </is>
      </c>
      <c r="B190" s="3" t="inlineStr">
        <is>
          <t>004712</t>
        </is>
      </c>
      <c r="C190" s="3" t="inlineStr">
        <is>
          <t>003750</t>
        </is>
      </c>
      <c r="D190" s="4" t="n">
        <v>44987</v>
      </c>
      <c r="E190" s="2" t="inlineStr">
        <is>
          <t>13:13</t>
        </is>
      </c>
      <c r="F190" s="5">
        <f>C190-C189</f>
        <v/>
      </c>
      <c r="G190" s="5">
        <f>B190-B189</f>
        <v/>
      </c>
      <c r="H190" s="2">
        <f>IF(AND(F190=1,G190=1),"OK","À JUSTIFIER")</f>
        <v/>
      </c>
    </row>
    <row r="191">
      <c r="A191" s="2" t="inlineStr">
        <is>
          <t>EJ030323.TXT</t>
        </is>
      </c>
      <c r="B191" s="3" t="inlineStr">
        <is>
          <t>004713</t>
        </is>
      </c>
      <c r="C191" s="3" t="inlineStr">
        <is>
          <t>003751</t>
        </is>
      </c>
      <c r="D191" s="4" t="n">
        <v>44987</v>
      </c>
      <c r="E191" s="2" t="inlineStr">
        <is>
          <t>15:23</t>
        </is>
      </c>
      <c r="F191" s="5">
        <f>C191-C190</f>
        <v/>
      </c>
      <c r="G191" s="5">
        <f>B191-B190</f>
        <v/>
      </c>
      <c r="H191" s="2">
        <f>IF(AND(F191=1,G191=1),"OK","À JUSTIFIER")</f>
        <v/>
      </c>
    </row>
    <row r="192">
      <c r="A192" s="2" t="inlineStr">
        <is>
          <t>EJ030323.TXT</t>
        </is>
      </c>
      <c r="B192" s="3" t="inlineStr">
        <is>
          <t>004714</t>
        </is>
      </c>
      <c r="C192" s="3" t="inlineStr">
        <is>
          <t>003752</t>
        </is>
      </c>
      <c r="D192" s="4" t="n">
        <v>44987</v>
      </c>
      <c r="E192" s="2" t="inlineStr">
        <is>
          <t>18:43</t>
        </is>
      </c>
      <c r="F192" s="5">
        <f>C192-C191</f>
        <v/>
      </c>
      <c r="G192" s="5">
        <f>B192-B191</f>
        <v/>
      </c>
      <c r="H192" s="2">
        <f>IF(AND(F192=1,G192=1),"OK","À JUSTIFIER")</f>
        <v/>
      </c>
    </row>
    <row r="193">
      <c r="A193" s="2" t="inlineStr">
        <is>
          <t>EJ030323.TXT</t>
        </is>
      </c>
      <c r="B193" s="3" t="inlineStr">
        <is>
          <t>004715</t>
        </is>
      </c>
      <c r="C193" s="3" t="inlineStr">
        <is>
          <t>003753</t>
        </is>
      </c>
      <c r="D193" s="4" t="n">
        <v>44988</v>
      </c>
      <c r="E193" s="2" t="inlineStr">
        <is>
          <t>12:41</t>
        </is>
      </c>
      <c r="F193" s="5">
        <f>C193-C192</f>
        <v/>
      </c>
      <c r="G193" s="5">
        <f>B193-B192</f>
        <v/>
      </c>
      <c r="H193" s="2">
        <f>IF(AND(F193=1,G193=1),"OK","À JUSTIFIER")</f>
        <v/>
      </c>
    </row>
    <row r="194">
      <c r="A194" s="2" t="inlineStr">
        <is>
          <t>EJ030323.TXT</t>
        </is>
      </c>
      <c r="B194" s="3" t="inlineStr">
        <is>
          <t>004716</t>
        </is>
      </c>
      <c r="C194" s="3" t="inlineStr">
        <is>
          <t>003754</t>
        </is>
      </c>
      <c r="D194" s="4" t="n">
        <v>44988</v>
      </c>
      <c r="E194" s="2" t="inlineStr">
        <is>
          <t>12:41</t>
        </is>
      </c>
      <c r="F194" s="5">
        <f>C194-C193</f>
        <v/>
      </c>
      <c r="G194" s="5">
        <f>B194-B193</f>
        <v/>
      </c>
      <c r="H194" s="2">
        <f>IF(AND(F194=1,G194=1),"OK","À JUSTIFIER")</f>
        <v/>
      </c>
    </row>
    <row r="195">
      <c r="A195" s="2" t="inlineStr">
        <is>
          <t>EJ010423.TXT</t>
        </is>
      </c>
      <c r="B195" s="3" t="inlineStr">
        <is>
          <t>004723</t>
        </is>
      </c>
      <c r="C195" s="3" t="inlineStr">
        <is>
          <t>003755</t>
        </is>
      </c>
      <c r="D195" s="4" t="n">
        <v>44991</v>
      </c>
      <c r="E195" s="2" t="inlineStr">
        <is>
          <t>11:08</t>
        </is>
      </c>
      <c r="F195" s="5">
        <f>C195-C194</f>
        <v/>
      </c>
      <c r="G195" s="5">
        <f>B195-B194</f>
        <v/>
      </c>
      <c r="H195" s="2">
        <f>IF(AND(F195=1,G195=1),"OK","À JUSTIFIER")</f>
        <v/>
      </c>
    </row>
    <row r="196">
      <c r="A196" s="2" t="inlineStr">
        <is>
          <t>EJ010423.TXT</t>
        </is>
      </c>
      <c r="B196" s="3" t="inlineStr">
        <is>
          <t>004724</t>
        </is>
      </c>
      <c r="C196" s="3" t="inlineStr">
        <is>
          <t>003756</t>
        </is>
      </c>
      <c r="D196" s="4" t="n">
        <v>44991</v>
      </c>
      <c r="E196" s="2" t="inlineStr">
        <is>
          <t>18:30</t>
        </is>
      </c>
      <c r="F196" s="5">
        <f>C196-C195</f>
        <v/>
      </c>
      <c r="G196" s="5">
        <f>B196-B195</f>
        <v/>
      </c>
      <c r="H196" s="2">
        <f>IF(AND(F196=1,G196=1),"OK","À JUSTIFIER")</f>
        <v/>
      </c>
    </row>
    <row r="197">
      <c r="A197" s="2" t="inlineStr">
        <is>
          <t>EJ010423.TXT</t>
        </is>
      </c>
      <c r="B197" s="3" t="inlineStr">
        <is>
          <t>004725</t>
        </is>
      </c>
      <c r="C197" s="3" t="inlineStr">
        <is>
          <t>003757</t>
        </is>
      </c>
      <c r="D197" s="4" t="n">
        <v>44992</v>
      </c>
      <c r="E197" s="2" t="inlineStr">
        <is>
          <t>12:32</t>
        </is>
      </c>
      <c r="F197" s="5">
        <f>C197-C196</f>
        <v/>
      </c>
      <c r="G197" s="5">
        <f>B197-B196</f>
        <v/>
      </c>
      <c r="H197" s="2">
        <f>IF(AND(F197=1,G197=1),"OK","À JUSTIFIER")</f>
        <v/>
      </c>
    </row>
    <row r="198">
      <c r="A198" s="2" t="inlineStr">
        <is>
          <t>EJ010423.TXT</t>
        </is>
      </c>
      <c r="B198" s="3" t="inlineStr">
        <is>
          <t>004726</t>
        </is>
      </c>
      <c r="C198" s="3" t="inlineStr">
        <is>
          <t>003758</t>
        </is>
      </c>
      <c r="D198" s="4" t="n">
        <v>44992</v>
      </c>
      <c r="E198" s="2" t="inlineStr">
        <is>
          <t>14:59</t>
        </is>
      </c>
      <c r="F198" s="5">
        <f>C198-C197</f>
        <v/>
      </c>
      <c r="G198" s="5">
        <f>B198-B197</f>
        <v/>
      </c>
      <c r="H198" s="2">
        <f>IF(AND(F198=1,G198=1),"OK","À JUSTIFIER")</f>
        <v/>
      </c>
    </row>
    <row r="199">
      <c r="A199" s="2" t="inlineStr">
        <is>
          <t>EJ010423.TXT</t>
        </is>
      </c>
      <c r="B199" s="3" t="inlineStr">
        <is>
          <t>004727</t>
        </is>
      </c>
      <c r="C199" s="3" t="inlineStr">
        <is>
          <t>003759</t>
        </is>
      </c>
      <c r="D199" s="4" t="n">
        <v>44992</v>
      </c>
      <c r="E199" s="2" t="inlineStr">
        <is>
          <t>14:59</t>
        </is>
      </c>
      <c r="F199" s="5">
        <f>C199-C198</f>
        <v/>
      </c>
      <c r="G199" s="5">
        <f>B199-B198</f>
        <v/>
      </c>
      <c r="H199" s="2">
        <f>IF(AND(F199=1,G199=1),"OK","À JUSTIFIER")</f>
        <v/>
      </c>
    </row>
    <row r="200">
      <c r="A200" s="2" t="inlineStr">
        <is>
          <t>EJ010423.TXT</t>
        </is>
      </c>
      <c r="B200" s="3" t="inlineStr">
        <is>
          <t>004728</t>
        </is>
      </c>
      <c r="C200" s="3" t="inlineStr">
        <is>
          <t>003760</t>
        </is>
      </c>
      <c r="D200" s="4" t="n">
        <v>44993</v>
      </c>
      <c r="E200" s="2" t="inlineStr">
        <is>
          <t>11:12</t>
        </is>
      </c>
      <c r="F200" s="5">
        <f>C200-C199</f>
        <v/>
      </c>
      <c r="G200" s="5">
        <f>B200-B199</f>
        <v/>
      </c>
      <c r="H200" s="2">
        <f>IF(AND(F200=1,G200=1),"OK","À JUSTIFIER")</f>
        <v/>
      </c>
    </row>
    <row r="201">
      <c r="A201" s="2" t="inlineStr">
        <is>
          <t>EJ010423.TXT</t>
        </is>
      </c>
      <c r="B201" s="3" t="inlineStr">
        <is>
          <t>004729</t>
        </is>
      </c>
      <c r="C201" s="3" t="inlineStr">
        <is>
          <t>003761</t>
        </is>
      </c>
      <c r="D201" s="4" t="n">
        <v>44993</v>
      </c>
      <c r="E201" s="2" t="inlineStr">
        <is>
          <t>12:20</t>
        </is>
      </c>
      <c r="F201" s="5">
        <f>C201-C200</f>
        <v/>
      </c>
      <c r="G201" s="5">
        <f>B201-B200</f>
        <v/>
      </c>
      <c r="H201" s="2">
        <f>IF(AND(F201=1,G201=1),"OK","À JUSTIFIER")</f>
        <v/>
      </c>
    </row>
    <row r="202">
      <c r="A202" s="2" t="inlineStr">
        <is>
          <t>EJ010423.TXT</t>
        </is>
      </c>
      <c r="B202" s="3" t="inlineStr">
        <is>
          <t>004730</t>
        </is>
      </c>
      <c r="C202" s="3" t="inlineStr">
        <is>
          <t>003762</t>
        </is>
      </c>
      <c r="D202" s="4" t="n">
        <v>44998</v>
      </c>
      <c r="E202" s="2" t="inlineStr">
        <is>
          <t>14:55</t>
        </is>
      </c>
      <c r="F202" s="5">
        <f>C202-C201</f>
        <v/>
      </c>
      <c r="G202" s="5">
        <f>B202-B201</f>
        <v/>
      </c>
      <c r="H202" s="2">
        <f>IF(AND(F202=1,G202=1),"OK","À JUSTIFIER")</f>
        <v/>
      </c>
    </row>
    <row r="203">
      <c r="A203" s="2" t="inlineStr">
        <is>
          <t>EJ010423.TXT</t>
        </is>
      </c>
      <c r="B203" s="3" t="inlineStr">
        <is>
          <t>004731</t>
        </is>
      </c>
      <c r="C203" s="3" t="inlineStr">
        <is>
          <t>003763</t>
        </is>
      </c>
      <c r="D203" s="4" t="n">
        <v>44999</v>
      </c>
      <c r="E203" s="2" t="inlineStr">
        <is>
          <t>15:07</t>
        </is>
      </c>
      <c r="F203" s="5">
        <f>C203-C202</f>
        <v/>
      </c>
      <c r="G203" s="5">
        <f>B203-B202</f>
        <v/>
      </c>
      <c r="H203" s="2">
        <f>IF(AND(F203=1,G203=1),"OK","À JUSTIFIER")</f>
        <v/>
      </c>
    </row>
    <row r="204">
      <c r="A204" s="2" t="inlineStr">
        <is>
          <t>EJ010423.TXT</t>
        </is>
      </c>
      <c r="B204" s="3" t="inlineStr">
        <is>
          <t>004732</t>
        </is>
      </c>
      <c r="C204" s="3" t="inlineStr">
        <is>
          <t>003764</t>
        </is>
      </c>
      <c r="D204" s="4" t="n">
        <v>44999</v>
      </c>
      <c r="E204" s="2" t="inlineStr">
        <is>
          <t>16:56</t>
        </is>
      </c>
      <c r="F204" s="5">
        <f>C204-C203</f>
        <v/>
      </c>
      <c r="G204" s="5">
        <f>B204-B203</f>
        <v/>
      </c>
      <c r="H204" s="2">
        <f>IF(AND(F204=1,G204=1),"OK","À JUSTIFIER")</f>
        <v/>
      </c>
    </row>
    <row r="205">
      <c r="A205" s="2" t="inlineStr">
        <is>
          <t>EJ010423.TXT</t>
        </is>
      </c>
      <c r="B205" s="3" t="inlineStr">
        <is>
          <t>004733</t>
        </is>
      </c>
      <c r="C205" s="3" t="inlineStr">
        <is>
          <t>003765</t>
        </is>
      </c>
      <c r="D205" s="4" t="n">
        <v>44999</v>
      </c>
      <c r="E205" s="2" t="inlineStr">
        <is>
          <t>18:58</t>
        </is>
      </c>
      <c r="F205" s="5">
        <f>C205-C204</f>
        <v/>
      </c>
      <c r="G205" s="5">
        <f>B205-B204</f>
        <v/>
      </c>
      <c r="H205" s="2">
        <f>IF(AND(F205=1,G205=1),"OK","À JUSTIFIER")</f>
        <v/>
      </c>
    </row>
    <row r="206">
      <c r="A206" s="2" t="inlineStr">
        <is>
          <t>EJ010423.TXT</t>
        </is>
      </c>
      <c r="B206" s="3" t="inlineStr">
        <is>
          <t>004734</t>
        </is>
      </c>
      <c r="C206" s="3" t="inlineStr">
        <is>
          <t>003766</t>
        </is>
      </c>
      <c r="D206" s="4" t="n">
        <v>44999</v>
      </c>
      <c r="E206" s="2" t="inlineStr">
        <is>
          <t>18:59</t>
        </is>
      </c>
      <c r="F206" s="5">
        <f>C206-C205</f>
        <v/>
      </c>
      <c r="G206" s="5">
        <f>B206-B205</f>
        <v/>
      </c>
      <c r="H206" s="2">
        <f>IF(AND(F206=1,G206=1),"OK","À JUSTIFIER")</f>
        <v/>
      </c>
    </row>
    <row r="207">
      <c r="A207" s="2" t="inlineStr">
        <is>
          <t>EJ010423.TXT</t>
        </is>
      </c>
      <c r="B207" s="3" t="inlineStr">
        <is>
          <t>004735</t>
        </is>
      </c>
      <c r="C207" s="3" t="inlineStr">
        <is>
          <t>003767</t>
        </is>
      </c>
      <c r="D207" s="4" t="n">
        <v>45000</v>
      </c>
      <c r="E207" s="2" t="inlineStr">
        <is>
          <t>17:19</t>
        </is>
      </c>
      <c r="F207" s="5">
        <f>C207-C206</f>
        <v/>
      </c>
      <c r="G207" s="5">
        <f>B207-B206</f>
        <v/>
      </c>
      <c r="H207" s="2">
        <f>IF(AND(F207=1,G207=1),"OK","À JUSTIFIER")</f>
        <v/>
      </c>
    </row>
    <row r="208">
      <c r="A208" s="2" t="inlineStr">
        <is>
          <t>EJ010423.TXT</t>
        </is>
      </c>
      <c r="B208" s="3" t="inlineStr">
        <is>
          <t>004736</t>
        </is>
      </c>
      <c r="C208" s="3" t="inlineStr">
        <is>
          <t>003768</t>
        </is>
      </c>
      <c r="D208" s="4" t="n">
        <v>45000</v>
      </c>
      <c r="E208" s="2" t="inlineStr">
        <is>
          <t>17:20</t>
        </is>
      </c>
      <c r="F208" s="5">
        <f>C208-C207</f>
        <v/>
      </c>
      <c r="G208" s="5">
        <f>B208-B207</f>
        <v/>
      </c>
      <c r="H208" s="2">
        <f>IF(AND(F208=1,G208=1),"OK","À JUSTIFIER")</f>
        <v/>
      </c>
    </row>
    <row r="209">
      <c r="A209" s="2" t="inlineStr">
        <is>
          <t>EJ010423.TXT</t>
        </is>
      </c>
      <c r="B209" s="3" t="inlineStr">
        <is>
          <t>004737</t>
        </is>
      </c>
      <c r="C209" s="3" t="inlineStr">
        <is>
          <t>003769</t>
        </is>
      </c>
      <c r="D209" s="4" t="n">
        <v>45000</v>
      </c>
      <c r="E209" s="2" t="inlineStr">
        <is>
          <t>18:30</t>
        </is>
      </c>
      <c r="F209" s="5">
        <f>C209-C208</f>
        <v/>
      </c>
      <c r="G209" s="5">
        <f>B209-B208</f>
        <v/>
      </c>
      <c r="H209" s="2">
        <f>IF(AND(F209=1,G209=1),"OK","À JUSTIFIER")</f>
        <v/>
      </c>
    </row>
    <row r="210">
      <c r="A210" s="2" t="inlineStr">
        <is>
          <t>EJ010423.TXT</t>
        </is>
      </c>
      <c r="B210" s="3" t="inlineStr">
        <is>
          <t>004738</t>
        </is>
      </c>
      <c r="C210" s="3" t="inlineStr">
        <is>
          <t>003770</t>
        </is>
      </c>
      <c r="D210" s="4" t="n">
        <v>45001</v>
      </c>
      <c r="E210" s="2" t="inlineStr">
        <is>
          <t>12:02</t>
        </is>
      </c>
      <c r="F210" s="5">
        <f>C210-C209</f>
        <v/>
      </c>
      <c r="G210" s="5">
        <f>B210-B209</f>
        <v/>
      </c>
      <c r="H210" s="2">
        <f>IF(AND(F210=1,G210=1),"OK","À JUSTIFIER")</f>
        <v/>
      </c>
    </row>
    <row r="211">
      <c r="A211" s="2" t="inlineStr">
        <is>
          <t>EJ010423.TXT</t>
        </is>
      </c>
      <c r="B211" s="3" t="inlineStr">
        <is>
          <t>004739</t>
        </is>
      </c>
      <c r="C211" s="3" t="inlineStr">
        <is>
          <t>003771</t>
        </is>
      </c>
      <c r="D211" s="4" t="n">
        <v>45001</v>
      </c>
      <c r="E211" s="2" t="inlineStr">
        <is>
          <t>18:12</t>
        </is>
      </c>
      <c r="F211" s="5">
        <f>C211-C210</f>
        <v/>
      </c>
      <c r="G211" s="5">
        <f>B211-B210</f>
        <v/>
      </c>
      <c r="H211" s="2">
        <f>IF(AND(F211=1,G211=1),"OK","À JUSTIFIER")</f>
        <v/>
      </c>
    </row>
    <row r="212">
      <c r="A212" s="2" t="inlineStr">
        <is>
          <t>EJ010423.TXT</t>
        </is>
      </c>
      <c r="B212" s="3" t="inlineStr">
        <is>
          <t>004740</t>
        </is>
      </c>
      <c r="C212" s="3" t="inlineStr">
        <is>
          <t>003772</t>
        </is>
      </c>
      <c r="D212" s="4" t="n">
        <v>45002</v>
      </c>
      <c r="E212" s="2" t="inlineStr">
        <is>
          <t>11:42</t>
        </is>
      </c>
      <c r="F212" s="5">
        <f>C212-C211</f>
        <v/>
      </c>
      <c r="G212" s="5">
        <f>B212-B211</f>
        <v/>
      </c>
      <c r="H212" s="2">
        <f>IF(AND(F212=1,G212=1),"OK","À JUSTIFIER")</f>
        <v/>
      </c>
    </row>
    <row r="213">
      <c r="A213" s="2" t="inlineStr">
        <is>
          <t>EJ010423.TXT</t>
        </is>
      </c>
      <c r="B213" s="3" t="inlineStr">
        <is>
          <t>004741</t>
        </is>
      </c>
      <c r="C213" s="3" t="inlineStr">
        <is>
          <t>003773</t>
        </is>
      </c>
      <c r="D213" s="4" t="n">
        <v>45003</v>
      </c>
      <c r="E213" s="2" t="inlineStr">
        <is>
          <t>15:04</t>
        </is>
      </c>
      <c r="F213" s="5">
        <f>C213-C212</f>
        <v/>
      </c>
      <c r="G213" s="5">
        <f>B213-B212</f>
        <v/>
      </c>
      <c r="H213" s="2">
        <f>IF(AND(F213=1,G213=1),"OK","À JUSTIFIER")</f>
        <v/>
      </c>
    </row>
    <row r="214">
      <c r="A214" s="2" t="inlineStr">
        <is>
          <t>EJ010423.TXT</t>
        </is>
      </c>
      <c r="B214" s="3" t="inlineStr">
        <is>
          <t>004742</t>
        </is>
      </c>
      <c r="C214" s="3" t="inlineStr">
        <is>
          <t>003774</t>
        </is>
      </c>
      <c r="D214" s="4" t="n">
        <v>45003</v>
      </c>
      <c r="E214" s="2" t="inlineStr">
        <is>
          <t>15:04</t>
        </is>
      </c>
      <c r="F214" s="5">
        <f>C214-C213</f>
        <v/>
      </c>
      <c r="G214" s="5">
        <f>B214-B213</f>
        <v/>
      </c>
      <c r="H214" s="2">
        <f>IF(AND(F214=1,G214=1),"OK","À JUSTIFIER")</f>
        <v/>
      </c>
    </row>
    <row r="215">
      <c r="A215" s="2" t="inlineStr">
        <is>
          <t>EJ010423.TXT</t>
        </is>
      </c>
      <c r="B215" s="3" t="inlineStr">
        <is>
          <t>004743</t>
        </is>
      </c>
      <c r="C215" s="3" t="inlineStr">
        <is>
          <t>003775</t>
        </is>
      </c>
      <c r="D215" s="4" t="n">
        <v>45003</v>
      </c>
      <c r="E215" s="2" t="inlineStr">
        <is>
          <t>15:05</t>
        </is>
      </c>
      <c r="F215" s="5">
        <f>C215-C214</f>
        <v/>
      </c>
      <c r="G215" s="5">
        <f>B215-B214</f>
        <v/>
      </c>
      <c r="H215" s="2">
        <f>IF(AND(F215=1,G215=1),"OK","À JUSTIFIER")</f>
        <v/>
      </c>
    </row>
    <row r="216">
      <c r="A216" s="2" t="inlineStr">
        <is>
          <t>EJ010423.TXT</t>
        </is>
      </c>
      <c r="B216" s="3" t="inlineStr">
        <is>
          <t>004744</t>
        </is>
      </c>
      <c r="C216" s="3" t="inlineStr">
        <is>
          <t>003776</t>
        </is>
      </c>
      <c r="D216" s="4" t="n">
        <v>45003</v>
      </c>
      <c r="E216" s="2" t="inlineStr">
        <is>
          <t>15:06</t>
        </is>
      </c>
      <c r="F216" s="5">
        <f>C216-C215</f>
        <v/>
      </c>
      <c r="G216" s="5">
        <f>B216-B215</f>
        <v/>
      </c>
      <c r="H216" s="2">
        <f>IF(AND(F216=1,G216=1),"OK","À JUSTIFIER")</f>
        <v/>
      </c>
    </row>
    <row r="217">
      <c r="A217" s="2" t="inlineStr">
        <is>
          <t>EJ010423.TXT</t>
        </is>
      </c>
      <c r="B217" s="3" t="inlineStr">
        <is>
          <t>004745</t>
        </is>
      </c>
      <c r="C217" s="3" t="inlineStr">
        <is>
          <t>003777</t>
        </is>
      </c>
      <c r="D217" s="4" t="n">
        <v>45003</v>
      </c>
      <c r="E217" s="2" t="inlineStr">
        <is>
          <t>15:07</t>
        </is>
      </c>
      <c r="F217" s="5">
        <f>C217-C216</f>
        <v/>
      </c>
      <c r="G217" s="5">
        <f>B217-B216</f>
        <v/>
      </c>
      <c r="H217" s="2">
        <f>IF(AND(F217=1,G217=1),"OK","À JUSTIFIER")</f>
        <v/>
      </c>
    </row>
    <row r="218">
      <c r="A218" s="2" t="inlineStr">
        <is>
          <t>EJ010423.TXT</t>
        </is>
      </c>
      <c r="B218" s="3" t="inlineStr">
        <is>
          <t>004746</t>
        </is>
      </c>
      <c r="C218" s="3" t="inlineStr">
        <is>
          <t>003778</t>
        </is>
      </c>
      <c r="D218" s="4" t="n">
        <v>45003</v>
      </c>
      <c r="E218" s="2" t="inlineStr">
        <is>
          <t>15:12</t>
        </is>
      </c>
      <c r="F218" s="5">
        <f>C218-C217</f>
        <v/>
      </c>
      <c r="G218" s="5">
        <f>B218-B217</f>
        <v/>
      </c>
      <c r="H218" s="2">
        <f>IF(AND(F218=1,G218=1),"OK","À JUSTIFIER")</f>
        <v/>
      </c>
    </row>
    <row r="219">
      <c r="A219" s="2" t="inlineStr">
        <is>
          <t>EJ010423.TXT</t>
        </is>
      </c>
      <c r="B219" s="3" t="inlineStr">
        <is>
          <t>004747</t>
        </is>
      </c>
      <c r="C219" s="3" t="inlineStr">
        <is>
          <t>003779</t>
        </is>
      </c>
      <c r="D219" s="4" t="n">
        <v>45003</v>
      </c>
      <c r="E219" s="2" t="inlineStr">
        <is>
          <t>15:15</t>
        </is>
      </c>
      <c r="F219" s="5">
        <f>C219-C218</f>
        <v/>
      </c>
      <c r="G219" s="5">
        <f>B219-B218</f>
        <v/>
      </c>
      <c r="H219" s="2">
        <f>IF(AND(F219=1,G219=1),"OK","À JUSTIFIER")</f>
        <v/>
      </c>
    </row>
    <row r="220">
      <c r="A220" s="2" t="inlineStr">
        <is>
          <t>EJ010423.TXT</t>
        </is>
      </c>
      <c r="B220" s="3" t="inlineStr">
        <is>
          <t>004748</t>
        </is>
      </c>
      <c r="C220" s="3" t="inlineStr">
        <is>
          <t>003780</t>
        </is>
      </c>
      <c r="D220" s="4" t="n">
        <v>45003</v>
      </c>
      <c r="E220" s="2" t="inlineStr">
        <is>
          <t>17:15</t>
        </is>
      </c>
      <c r="F220" s="5">
        <f>C220-C219</f>
        <v/>
      </c>
      <c r="G220" s="5">
        <f>B220-B219</f>
        <v/>
      </c>
      <c r="H220" s="2">
        <f>IF(AND(F220=1,G220=1),"OK","À JUSTIFIER")</f>
        <v/>
      </c>
    </row>
    <row r="221">
      <c r="A221" s="2" t="inlineStr">
        <is>
          <t>EJ010423.TXT</t>
        </is>
      </c>
      <c r="B221" s="3" t="inlineStr">
        <is>
          <t>004749</t>
        </is>
      </c>
      <c r="C221" s="3" t="inlineStr">
        <is>
          <t>003781</t>
        </is>
      </c>
      <c r="D221" s="4" t="n">
        <v>45003</v>
      </c>
      <c r="E221" s="2" t="inlineStr">
        <is>
          <t>18:23</t>
        </is>
      </c>
      <c r="F221" s="5">
        <f>C221-C220</f>
        <v/>
      </c>
      <c r="G221" s="5">
        <f>B221-B220</f>
        <v/>
      </c>
      <c r="H221" s="2">
        <f>IF(AND(F221=1,G221=1),"OK","À JUSTIFIER")</f>
        <v/>
      </c>
    </row>
    <row r="222">
      <c r="A222" s="2" t="inlineStr">
        <is>
          <t>EJ010423.TXT</t>
        </is>
      </c>
      <c r="B222" s="3" t="inlineStr">
        <is>
          <t>004750</t>
        </is>
      </c>
      <c r="C222" s="3" t="inlineStr">
        <is>
          <t>003782</t>
        </is>
      </c>
      <c r="D222" s="4" t="n">
        <v>45005</v>
      </c>
      <c r="E222" s="2" t="inlineStr">
        <is>
          <t>15:26</t>
        </is>
      </c>
      <c r="F222" s="5">
        <f>C222-C221</f>
        <v/>
      </c>
      <c r="G222" s="5">
        <f>B222-B221</f>
        <v/>
      </c>
      <c r="H222" s="2">
        <f>IF(AND(F222=1,G222=1),"OK","À JUSTIFIER")</f>
        <v/>
      </c>
    </row>
    <row r="223">
      <c r="A223" s="2" t="inlineStr">
        <is>
          <t>EJ010423.TXT</t>
        </is>
      </c>
      <c r="B223" s="3" t="inlineStr">
        <is>
          <t>004751</t>
        </is>
      </c>
      <c r="C223" s="3" t="inlineStr">
        <is>
          <t>003783</t>
        </is>
      </c>
      <c r="D223" s="4" t="n">
        <v>45005</v>
      </c>
      <c r="E223" s="2" t="inlineStr">
        <is>
          <t>15:33</t>
        </is>
      </c>
      <c r="F223" s="5">
        <f>C223-C222</f>
        <v/>
      </c>
      <c r="G223" s="5">
        <f>B223-B222</f>
        <v/>
      </c>
      <c r="H223" s="2">
        <f>IF(AND(F223=1,G223=1),"OK","À JUSTIFIER")</f>
        <v/>
      </c>
    </row>
    <row r="224">
      <c r="A224" s="2" t="inlineStr">
        <is>
          <t>EJ010423.TXT</t>
        </is>
      </c>
      <c r="B224" s="3" t="inlineStr">
        <is>
          <t>004752</t>
        </is>
      </c>
      <c r="C224" s="3" t="inlineStr">
        <is>
          <t>003784</t>
        </is>
      </c>
      <c r="D224" s="4" t="n">
        <v>45005</v>
      </c>
      <c r="E224" s="2" t="inlineStr">
        <is>
          <t>15:34</t>
        </is>
      </c>
      <c r="F224" s="5">
        <f>C224-C223</f>
        <v/>
      </c>
      <c r="G224" s="5">
        <f>B224-B223</f>
        <v/>
      </c>
      <c r="H224" s="2">
        <f>IF(AND(F224=1,G224=1),"OK","À JUSTIFIER")</f>
        <v/>
      </c>
    </row>
    <row r="225">
      <c r="A225" s="2" t="inlineStr">
        <is>
          <t>EJ010423.TXT</t>
        </is>
      </c>
      <c r="B225" s="3" t="inlineStr">
        <is>
          <t>004753</t>
        </is>
      </c>
      <c r="C225" s="3" t="inlineStr">
        <is>
          <t>003785</t>
        </is>
      </c>
      <c r="D225" s="4" t="n">
        <v>45006</v>
      </c>
      <c r="E225" s="2" t="inlineStr">
        <is>
          <t>16:56</t>
        </is>
      </c>
      <c r="F225" s="5">
        <f>C225-C224</f>
        <v/>
      </c>
      <c r="G225" s="5">
        <f>B225-B224</f>
        <v/>
      </c>
      <c r="H225" s="2">
        <f>IF(AND(F225=1,G225=1),"OK","À JUSTIFIER")</f>
        <v/>
      </c>
    </row>
    <row r="226">
      <c r="A226" s="2" t="inlineStr">
        <is>
          <t>EJ010423.TXT</t>
        </is>
      </c>
      <c r="B226" s="3" t="inlineStr">
        <is>
          <t>004754</t>
        </is>
      </c>
      <c r="C226" s="3" t="inlineStr">
        <is>
          <t>003786</t>
        </is>
      </c>
      <c r="D226" s="4" t="n">
        <v>45006</v>
      </c>
      <c r="E226" s="2" t="inlineStr">
        <is>
          <t>17:32</t>
        </is>
      </c>
      <c r="F226" s="5">
        <f>C226-C225</f>
        <v/>
      </c>
      <c r="G226" s="5">
        <f>B226-B225</f>
        <v/>
      </c>
      <c r="H226" s="2">
        <f>IF(AND(F226=1,G226=1),"OK","À JUSTIFIER")</f>
        <v/>
      </c>
    </row>
    <row r="227">
      <c r="A227" s="2" t="inlineStr">
        <is>
          <t>EJ010423.TXT</t>
        </is>
      </c>
      <c r="B227" s="3" t="inlineStr">
        <is>
          <t>004755</t>
        </is>
      </c>
      <c r="C227" s="3" t="inlineStr">
        <is>
          <t>003787</t>
        </is>
      </c>
      <c r="D227" s="4" t="n">
        <v>45007</v>
      </c>
      <c r="E227" s="2" t="inlineStr">
        <is>
          <t>12:24</t>
        </is>
      </c>
      <c r="F227" s="5">
        <f>C227-C226</f>
        <v/>
      </c>
      <c r="G227" s="5">
        <f>B227-B226</f>
        <v/>
      </c>
      <c r="H227" s="2">
        <f>IF(AND(F227=1,G227=1),"OK","À JUSTIFIER")</f>
        <v/>
      </c>
    </row>
    <row r="228">
      <c r="A228" s="2" t="inlineStr">
        <is>
          <t>EJ010423.TXT</t>
        </is>
      </c>
      <c r="B228" s="3" t="inlineStr">
        <is>
          <t>004756</t>
        </is>
      </c>
      <c r="C228" s="3" t="inlineStr">
        <is>
          <t>003788</t>
        </is>
      </c>
      <c r="D228" s="4" t="n">
        <v>45009</v>
      </c>
      <c r="E228" s="2" t="inlineStr">
        <is>
          <t>10:49</t>
        </is>
      </c>
      <c r="F228" s="5">
        <f>C228-C227</f>
        <v/>
      </c>
      <c r="G228" s="5">
        <f>B228-B227</f>
        <v/>
      </c>
      <c r="H228" s="2">
        <f>IF(AND(F228=1,G228=1),"OK","À JUSTIFIER")</f>
        <v/>
      </c>
    </row>
    <row r="229">
      <c r="A229" s="2" t="inlineStr">
        <is>
          <t>EJ010423.TXT</t>
        </is>
      </c>
      <c r="B229" s="3" t="inlineStr">
        <is>
          <t>004757</t>
        </is>
      </c>
      <c r="C229" s="3" t="inlineStr">
        <is>
          <t>003789</t>
        </is>
      </c>
      <c r="D229" s="4" t="n">
        <v>45009</v>
      </c>
      <c r="E229" s="2" t="inlineStr">
        <is>
          <t>18:19</t>
        </is>
      </c>
      <c r="F229" s="5">
        <f>C229-C228</f>
        <v/>
      </c>
      <c r="G229" s="5">
        <f>B229-B228</f>
        <v/>
      </c>
      <c r="H229" s="2">
        <f>IF(AND(F229=1,G229=1),"OK","À JUSTIFIER")</f>
        <v/>
      </c>
    </row>
    <row r="230">
      <c r="A230" s="2" t="inlineStr">
        <is>
          <t>EJ010423.TXT</t>
        </is>
      </c>
      <c r="B230" s="3" t="inlineStr">
        <is>
          <t>004758</t>
        </is>
      </c>
      <c r="C230" s="3" t="inlineStr">
        <is>
          <t>003790</t>
        </is>
      </c>
      <c r="D230" s="4" t="n">
        <v>45010</v>
      </c>
      <c r="E230" s="2" t="inlineStr">
        <is>
          <t>17:45</t>
        </is>
      </c>
      <c r="F230" s="5">
        <f>C230-C229</f>
        <v/>
      </c>
      <c r="G230" s="5">
        <f>B230-B229</f>
        <v/>
      </c>
      <c r="H230" s="2">
        <f>IF(AND(F230=1,G230=1),"OK","À JUSTIFIER")</f>
        <v/>
      </c>
    </row>
    <row r="231">
      <c r="A231" s="2" t="inlineStr">
        <is>
          <t>EJ010423.TXT</t>
        </is>
      </c>
      <c r="B231" s="3" t="inlineStr">
        <is>
          <t>004759</t>
        </is>
      </c>
      <c r="C231" s="3" t="inlineStr">
        <is>
          <t>003791</t>
        </is>
      </c>
      <c r="D231" s="4" t="n">
        <v>45012</v>
      </c>
      <c r="E231" s="2" t="inlineStr">
        <is>
          <t>10:05</t>
        </is>
      </c>
      <c r="F231" s="5">
        <f>C231-C230</f>
        <v/>
      </c>
      <c r="G231" s="5">
        <f>B231-B230</f>
        <v/>
      </c>
      <c r="H231" s="2">
        <f>IF(AND(F231=1,G231=1),"OK","À JUSTIFIER")</f>
        <v/>
      </c>
    </row>
    <row r="232">
      <c r="A232" s="2" t="inlineStr">
        <is>
          <t>EJ010423.TXT</t>
        </is>
      </c>
      <c r="B232" s="3" t="inlineStr">
        <is>
          <t>004760</t>
        </is>
      </c>
      <c r="C232" s="3" t="inlineStr">
        <is>
          <t>003792</t>
        </is>
      </c>
      <c r="D232" s="4" t="n">
        <v>45012</v>
      </c>
      <c r="E232" s="2" t="inlineStr">
        <is>
          <t>14:37</t>
        </is>
      </c>
      <c r="F232" s="5">
        <f>C232-C231</f>
        <v/>
      </c>
      <c r="G232" s="5">
        <f>B232-B231</f>
        <v/>
      </c>
      <c r="H232" s="2">
        <f>IF(AND(F232=1,G232=1),"OK","À JUSTIFIER")</f>
        <v/>
      </c>
    </row>
    <row r="233">
      <c r="A233" s="2" t="inlineStr">
        <is>
          <t>EJ010423.TXT</t>
        </is>
      </c>
      <c r="B233" s="3" t="inlineStr">
        <is>
          <t>004761</t>
        </is>
      </c>
      <c r="C233" s="3" t="inlineStr">
        <is>
          <t>003793</t>
        </is>
      </c>
      <c r="D233" s="4" t="n">
        <v>45012</v>
      </c>
      <c r="E233" s="2" t="inlineStr">
        <is>
          <t>14:57</t>
        </is>
      </c>
      <c r="F233" s="5">
        <f>C233-C232</f>
        <v/>
      </c>
      <c r="G233" s="5">
        <f>B233-B232</f>
        <v/>
      </c>
      <c r="H233" s="2">
        <f>IF(AND(F233=1,G233=1),"OK","À JUSTIFIER")</f>
        <v/>
      </c>
    </row>
    <row r="234">
      <c r="A234" s="2" t="inlineStr">
        <is>
          <t>EJ010423.TXT</t>
        </is>
      </c>
      <c r="B234" s="3" t="inlineStr">
        <is>
          <t>004762</t>
        </is>
      </c>
      <c r="C234" s="3" t="inlineStr">
        <is>
          <t>003794</t>
        </is>
      </c>
      <c r="D234" s="4" t="n">
        <v>45013</v>
      </c>
      <c r="E234" s="2" t="inlineStr">
        <is>
          <t>09:09</t>
        </is>
      </c>
      <c r="F234" s="5">
        <f>C234-C233</f>
        <v/>
      </c>
      <c r="G234" s="5">
        <f>B234-B233</f>
        <v/>
      </c>
      <c r="H234" s="2">
        <f>IF(AND(F234=1,G234=1),"OK","À JUSTIFIER")</f>
        <v/>
      </c>
    </row>
    <row r="235">
      <c r="A235" s="2" t="inlineStr">
        <is>
          <t>EJ010423.TXT</t>
        </is>
      </c>
      <c r="B235" s="3" t="inlineStr">
        <is>
          <t>004763</t>
        </is>
      </c>
      <c r="C235" s="3" t="inlineStr">
        <is>
          <t>003795</t>
        </is>
      </c>
      <c r="D235" s="4" t="n">
        <v>45013</v>
      </c>
      <c r="E235" s="2" t="inlineStr">
        <is>
          <t>12:12</t>
        </is>
      </c>
      <c r="F235" s="5">
        <f>C235-C234</f>
        <v/>
      </c>
      <c r="G235" s="5">
        <f>B235-B234</f>
        <v/>
      </c>
      <c r="H235" s="2">
        <f>IF(AND(F235=1,G235=1),"OK","À JUSTIFIER")</f>
        <v/>
      </c>
    </row>
    <row r="236">
      <c r="A236" s="2" t="inlineStr">
        <is>
          <t>EJ010423.TXT</t>
        </is>
      </c>
      <c r="B236" s="3" t="inlineStr">
        <is>
          <t>004764</t>
        </is>
      </c>
      <c r="C236" s="3" t="inlineStr">
        <is>
          <t>003796</t>
        </is>
      </c>
      <c r="D236" s="4" t="n">
        <v>45013</v>
      </c>
      <c r="E236" s="2" t="inlineStr">
        <is>
          <t>12:13</t>
        </is>
      </c>
      <c r="F236" s="5">
        <f>C236-C235</f>
        <v/>
      </c>
      <c r="G236" s="5">
        <f>B236-B235</f>
        <v/>
      </c>
      <c r="H236" s="2">
        <f>IF(AND(F236=1,G236=1),"OK","À JUSTIFIER")</f>
        <v/>
      </c>
    </row>
    <row r="237">
      <c r="A237" s="2" t="inlineStr">
        <is>
          <t>EJ010423.TXT</t>
        </is>
      </c>
      <c r="B237" s="3" t="inlineStr">
        <is>
          <t>004765</t>
        </is>
      </c>
      <c r="C237" s="3" t="inlineStr">
        <is>
          <t>003797</t>
        </is>
      </c>
      <c r="D237" s="4" t="n">
        <v>45014</v>
      </c>
      <c r="E237" s="2" t="inlineStr">
        <is>
          <t>10:57</t>
        </is>
      </c>
      <c r="F237" s="5">
        <f>C237-C236</f>
        <v/>
      </c>
      <c r="G237" s="5">
        <f>B237-B236</f>
        <v/>
      </c>
      <c r="H237" s="2">
        <f>IF(AND(F237=1,G237=1),"OK","À JUSTIFIER")</f>
        <v/>
      </c>
    </row>
    <row r="238">
      <c r="A238" s="2" t="inlineStr">
        <is>
          <t>EJ010423.TXT</t>
        </is>
      </c>
      <c r="B238" s="3" t="inlineStr">
        <is>
          <t>004766</t>
        </is>
      </c>
      <c r="C238" s="3" t="inlineStr">
        <is>
          <t>003798</t>
        </is>
      </c>
      <c r="D238" s="4" t="n">
        <v>45014</v>
      </c>
      <c r="E238" s="2" t="inlineStr">
        <is>
          <t>13:58</t>
        </is>
      </c>
      <c r="F238" s="5">
        <f>C238-C237</f>
        <v/>
      </c>
      <c r="G238" s="5">
        <f>B238-B237</f>
        <v/>
      </c>
      <c r="H238" s="2">
        <f>IF(AND(F238=1,G238=1),"OK","À JUSTIFIER")</f>
        <v/>
      </c>
    </row>
    <row r="239">
      <c r="A239" s="2" t="inlineStr">
        <is>
          <t>EJ010423.TXT</t>
        </is>
      </c>
      <c r="B239" s="3" t="inlineStr">
        <is>
          <t>004767</t>
        </is>
      </c>
      <c r="C239" s="3" t="inlineStr">
        <is>
          <t>003799</t>
        </is>
      </c>
      <c r="D239" s="4" t="n">
        <v>45014</v>
      </c>
      <c r="E239" s="2" t="inlineStr">
        <is>
          <t>14:16</t>
        </is>
      </c>
      <c r="F239" s="5">
        <f>C239-C238</f>
        <v/>
      </c>
      <c r="G239" s="5">
        <f>B239-B238</f>
        <v/>
      </c>
      <c r="H239" s="2">
        <f>IF(AND(F239=1,G239=1),"OK","À JUSTIFIER")</f>
        <v/>
      </c>
    </row>
    <row r="240">
      <c r="A240" s="2" t="inlineStr">
        <is>
          <t>EJ010423.TXT</t>
        </is>
      </c>
      <c r="B240" s="3" t="inlineStr">
        <is>
          <t>004768</t>
        </is>
      </c>
      <c r="C240" s="3" t="inlineStr">
        <is>
          <t>003800</t>
        </is>
      </c>
      <c r="D240" s="4" t="n">
        <v>45014</v>
      </c>
      <c r="E240" s="2" t="inlineStr">
        <is>
          <t>14:23</t>
        </is>
      </c>
      <c r="F240" s="5">
        <f>C240-C239</f>
        <v/>
      </c>
      <c r="G240" s="5">
        <f>B240-B239</f>
        <v/>
      </c>
      <c r="H240" s="2">
        <f>IF(AND(F240=1,G240=1),"OK","À JUSTIFIER")</f>
        <v/>
      </c>
    </row>
    <row r="241">
      <c r="A241" s="2" t="inlineStr">
        <is>
          <t>EJ010423.TXT</t>
        </is>
      </c>
      <c r="B241" s="3" t="inlineStr">
        <is>
          <t>004769</t>
        </is>
      </c>
      <c r="C241" s="3" t="inlineStr">
        <is>
          <t>003801</t>
        </is>
      </c>
      <c r="D241" s="4" t="n">
        <v>45014</v>
      </c>
      <c r="E241" s="2" t="inlineStr">
        <is>
          <t>14:29</t>
        </is>
      </c>
      <c r="F241" s="5">
        <f>C241-C240</f>
        <v/>
      </c>
      <c r="G241" s="5">
        <f>B241-B240</f>
        <v/>
      </c>
      <c r="H241" s="2">
        <f>IF(AND(F241=1,G241=1),"OK","À JUSTIFIER")</f>
        <v/>
      </c>
    </row>
    <row r="242">
      <c r="A242" s="2" t="inlineStr">
        <is>
          <t>EJ010423.TXT</t>
        </is>
      </c>
      <c r="B242" s="3" t="inlineStr">
        <is>
          <t>004770</t>
        </is>
      </c>
      <c r="C242" s="3" t="inlineStr">
        <is>
          <t>003802</t>
        </is>
      </c>
      <c r="D242" s="4" t="n">
        <v>45015</v>
      </c>
      <c r="E242" s="2" t="inlineStr">
        <is>
          <t>11:08</t>
        </is>
      </c>
      <c r="F242" s="5">
        <f>C242-C241</f>
        <v/>
      </c>
      <c r="G242" s="5">
        <f>B242-B241</f>
        <v/>
      </c>
      <c r="H242" s="2">
        <f>IF(AND(F242=1,G242=1),"OK","À JUSTIFIER")</f>
        <v/>
      </c>
    </row>
    <row r="243">
      <c r="A243" s="2" t="inlineStr">
        <is>
          <t>EJ010423.TXT</t>
        </is>
      </c>
      <c r="B243" s="3" t="inlineStr">
        <is>
          <t>004771</t>
        </is>
      </c>
      <c r="C243" s="3" t="inlineStr">
        <is>
          <t>003803</t>
        </is>
      </c>
      <c r="D243" s="4" t="n">
        <v>45016</v>
      </c>
      <c r="E243" s="2" t="inlineStr">
        <is>
          <t>09:47</t>
        </is>
      </c>
      <c r="F243" s="5">
        <f>C243-C242</f>
        <v/>
      </c>
      <c r="G243" s="5">
        <f>B243-B242</f>
        <v/>
      </c>
      <c r="H243" s="2">
        <f>IF(AND(F243=1,G243=1),"OK","À JUSTIFIER")</f>
        <v/>
      </c>
    </row>
    <row r="244">
      <c r="A244" s="2" t="inlineStr">
        <is>
          <t>EJ010423.TXT</t>
        </is>
      </c>
      <c r="B244" s="3" t="inlineStr">
        <is>
          <t>004772</t>
        </is>
      </c>
      <c r="C244" s="3" t="inlineStr">
        <is>
          <t>003804</t>
        </is>
      </c>
      <c r="D244" s="4" t="n">
        <v>45016</v>
      </c>
      <c r="E244" s="2" t="inlineStr">
        <is>
          <t>14:26</t>
        </is>
      </c>
      <c r="F244" s="5">
        <f>C244-C243</f>
        <v/>
      </c>
      <c r="G244" s="5">
        <f>B244-B243</f>
        <v/>
      </c>
      <c r="H244" s="2">
        <f>IF(AND(F244=1,G244=1),"OK","À JUSTIFIER")</f>
        <v/>
      </c>
    </row>
    <row r="245">
      <c r="A245" s="2" t="inlineStr">
        <is>
          <t>EJ010423.TXT</t>
        </is>
      </c>
      <c r="B245" s="3" t="inlineStr">
        <is>
          <t>004773</t>
        </is>
      </c>
      <c r="C245" s="3" t="inlineStr">
        <is>
          <t>003805</t>
        </is>
      </c>
      <c r="D245" s="4" t="n">
        <v>45016</v>
      </c>
      <c r="E245" s="2" t="inlineStr">
        <is>
          <t>14:33</t>
        </is>
      </c>
      <c r="F245" s="5">
        <f>C245-C244</f>
        <v/>
      </c>
      <c r="G245" s="5">
        <f>B245-B244</f>
        <v/>
      </c>
      <c r="H245" s="2">
        <f>IF(AND(F245=1,G245=1),"OK","À JUSTIFIER")</f>
        <v/>
      </c>
    </row>
    <row r="246">
      <c r="A246" s="2" t="inlineStr">
        <is>
          <t>EJ010423.TXT</t>
        </is>
      </c>
      <c r="B246" s="3" t="inlineStr">
        <is>
          <t>004774</t>
        </is>
      </c>
      <c r="C246" s="3" t="inlineStr">
        <is>
          <t>003806</t>
        </is>
      </c>
      <c r="D246" s="4" t="n">
        <v>45016</v>
      </c>
      <c r="E246" s="2" t="inlineStr">
        <is>
          <t>16:28</t>
        </is>
      </c>
      <c r="F246" s="5">
        <f>C246-C245</f>
        <v/>
      </c>
      <c r="G246" s="5">
        <f>B246-B245</f>
        <v/>
      </c>
      <c r="H246" s="2">
        <f>IF(AND(F246=1,G246=1),"OK","À JUSTIFIER")</f>
        <v/>
      </c>
    </row>
    <row r="247">
      <c r="A247" s="2" t="inlineStr">
        <is>
          <t>EJ010423.TXT</t>
        </is>
      </c>
      <c r="B247" s="3" t="inlineStr">
        <is>
          <t>004775</t>
        </is>
      </c>
      <c r="C247" s="3" t="inlineStr">
        <is>
          <t>003807</t>
        </is>
      </c>
      <c r="D247" s="4" t="n">
        <v>45016</v>
      </c>
      <c r="E247" s="2" t="inlineStr">
        <is>
          <t>16:28</t>
        </is>
      </c>
      <c r="F247" s="5">
        <f>C247-C246</f>
        <v/>
      </c>
      <c r="G247" s="5">
        <f>B247-B246</f>
        <v/>
      </c>
      <c r="H247" s="2">
        <f>IF(AND(F247=1,G247=1),"OK","À JUSTIFIER")</f>
        <v/>
      </c>
    </row>
    <row r="248">
      <c r="A248" s="2" t="inlineStr">
        <is>
          <t>EJ020523.TXT</t>
        </is>
      </c>
      <c r="B248" s="3" t="inlineStr">
        <is>
          <t>004783</t>
        </is>
      </c>
      <c r="C248" s="3" t="inlineStr">
        <is>
          <t>003808</t>
        </is>
      </c>
      <c r="D248" s="4" t="n">
        <v>45017</v>
      </c>
      <c r="E248" s="2" t="inlineStr">
        <is>
          <t>14:46</t>
        </is>
      </c>
      <c r="F248" s="5">
        <f>C248-C247</f>
        <v/>
      </c>
      <c r="G248" s="5">
        <f>B248-B247</f>
        <v/>
      </c>
      <c r="H248" s="2">
        <f>IF(AND(F248=1,G248=1),"OK","À JUSTIFIER")</f>
        <v/>
      </c>
    </row>
    <row r="249">
      <c r="A249" s="2" t="inlineStr">
        <is>
          <t>EJ020523.TXT</t>
        </is>
      </c>
      <c r="B249" s="3" t="inlineStr">
        <is>
          <t>004784</t>
        </is>
      </c>
      <c r="C249" s="3" t="inlineStr">
        <is>
          <t>003809</t>
        </is>
      </c>
      <c r="D249" s="4" t="n">
        <v>45019</v>
      </c>
      <c r="E249" s="2" t="inlineStr">
        <is>
          <t>14:30</t>
        </is>
      </c>
      <c r="F249" s="5">
        <f>C249-C248</f>
        <v/>
      </c>
      <c r="G249" s="5">
        <f>B249-B248</f>
        <v/>
      </c>
      <c r="H249" s="2">
        <f>IF(AND(F249=1,G249=1),"OK","À JUSTIFIER")</f>
        <v/>
      </c>
    </row>
    <row r="250">
      <c r="A250" s="2" t="inlineStr">
        <is>
          <t>EJ020523.TXT</t>
        </is>
      </c>
      <c r="B250" s="3" t="inlineStr">
        <is>
          <t>004785</t>
        </is>
      </c>
      <c r="C250" s="3" t="inlineStr">
        <is>
          <t>003810</t>
        </is>
      </c>
      <c r="D250" s="4" t="n">
        <v>45019</v>
      </c>
      <c r="E250" s="2" t="inlineStr">
        <is>
          <t>14:30</t>
        </is>
      </c>
      <c r="F250" s="5">
        <f>C250-C249</f>
        <v/>
      </c>
      <c r="G250" s="5">
        <f>B250-B249</f>
        <v/>
      </c>
      <c r="H250" s="2">
        <f>IF(AND(F250=1,G250=1),"OK","À JUSTIFIER")</f>
        <v/>
      </c>
    </row>
    <row r="251">
      <c r="A251" s="2" t="inlineStr">
        <is>
          <t>EJ020523.TXT</t>
        </is>
      </c>
      <c r="B251" s="3" t="inlineStr">
        <is>
          <t>004786</t>
        </is>
      </c>
      <c r="C251" s="3" t="inlineStr">
        <is>
          <t>003811</t>
        </is>
      </c>
      <c r="D251" s="4" t="n">
        <v>45019</v>
      </c>
      <c r="E251" s="2" t="inlineStr">
        <is>
          <t>17:35</t>
        </is>
      </c>
      <c r="F251" s="5">
        <f>C251-C250</f>
        <v/>
      </c>
      <c r="G251" s="5">
        <f>B251-B250</f>
        <v/>
      </c>
      <c r="H251" s="2">
        <f>IF(AND(F251=1,G251=1),"OK","À JUSTIFIER")</f>
        <v/>
      </c>
    </row>
    <row r="252">
      <c r="A252" s="2" t="inlineStr">
        <is>
          <t>EJ020523.TXT</t>
        </is>
      </c>
      <c r="B252" s="3" t="inlineStr">
        <is>
          <t>004787</t>
        </is>
      </c>
      <c r="C252" s="3" t="inlineStr">
        <is>
          <t>003812</t>
        </is>
      </c>
      <c r="D252" s="4" t="n">
        <v>45019</v>
      </c>
      <c r="E252" s="2" t="inlineStr">
        <is>
          <t>17:36</t>
        </is>
      </c>
      <c r="F252" s="5">
        <f>C252-C251</f>
        <v/>
      </c>
      <c r="G252" s="5">
        <f>B252-B251</f>
        <v/>
      </c>
      <c r="H252" s="2">
        <f>IF(AND(F252=1,G252=1),"OK","À JUSTIFIER")</f>
        <v/>
      </c>
    </row>
    <row r="253">
      <c r="A253" s="2" t="inlineStr">
        <is>
          <t>EJ020523.TXT</t>
        </is>
      </c>
      <c r="B253" s="3" t="inlineStr">
        <is>
          <t>004788</t>
        </is>
      </c>
      <c r="C253" s="3" t="inlineStr">
        <is>
          <t>003813</t>
        </is>
      </c>
      <c r="D253" s="4" t="n">
        <v>45019</v>
      </c>
      <c r="E253" s="2" t="inlineStr">
        <is>
          <t>17:36</t>
        </is>
      </c>
      <c r="F253" s="5">
        <f>C253-C252</f>
        <v/>
      </c>
      <c r="G253" s="5">
        <f>B253-B252</f>
        <v/>
      </c>
      <c r="H253" s="2">
        <f>IF(AND(F253=1,G253=1),"OK","À JUSTIFIER")</f>
        <v/>
      </c>
    </row>
    <row r="254">
      <c r="A254" s="2" t="inlineStr">
        <is>
          <t>EJ020523.TXT</t>
        </is>
      </c>
      <c r="B254" s="3" t="inlineStr">
        <is>
          <t>004789</t>
        </is>
      </c>
      <c r="C254" s="3" t="inlineStr">
        <is>
          <t>003814</t>
        </is>
      </c>
      <c r="D254" s="4" t="n">
        <v>45019</v>
      </c>
      <c r="E254" s="2" t="inlineStr">
        <is>
          <t>17:36</t>
        </is>
      </c>
      <c r="F254" s="5">
        <f>C254-C253</f>
        <v/>
      </c>
      <c r="G254" s="5">
        <f>B254-B253</f>
        <v/>
      </c>
      <c r="H254" s="2">
        <f>IF(AND(F254=1,G254=1),"OK","À JUSTIFIER")</f>
        <v/>
      </c>
    </row>
    <row r="255">
      <c r="A255" s="2" t="inlineStr">
        <is>
          <t>EJ020523.TXT</t>
        </is>
      </c>
      <c r="B255" s="3" t="inlineStr">
        <is>
          <t>004790</t>
        </is>
      </c>
      <c r="C255" s="3" t="inlineStr">
        <is>
          <t>003815</t>
        </is>
      </c>
      <c r="D255" s="4" t="n">
        <v>45019</v>
      </c>
      <c r="E255" s="2" t="inlineStr">
        <is>
          <t>17:37</t>
        </is>
      </c>
      <c r="F255" s="5">
        <f>C255-C254</f>
        <v/>
      </c>
      <c r="G255" s="5">
        <f>B255-B254</f>
        <v/>
      </c>
      <c r="H255" s="2">
        <f>IF(AND(F255=1,G255=1),"OK","À JUSTIFIER")</f>
        <v/>
      </c>
    </row>
    <row r="256">
      <c r="A256" s="2" t="inlineStr">
        <is>
          <t>EJ020523.TXT</t>
        </is>
      </c>
      <c r="B256" s="3" t="inlineStr">
        <is>
          <t>004791</t>
        </is>
      </c>
      <c r="C256" s="3" t="inlineStr">
        <is>
          <t>003816</t>
        </is>
      </c>
      <c r="D256" s="4" t="n">
        <v>45019</v>
      </c>
      <c r="E256" s="2" t="inlineStr">
        <is>
          <t>17:37</t>
        </is>
      </c>
      <c r="F256" s="5">
        <f>C256-C255</f>
        <v/>
      </c>
      <c r="G256" s="5">
        <f>B256-B255</f>
        <v/>
      </c>
      <c r="H256" s="2">
        <f>IF(AND(F256=1,G256=1),"OK","À JUSTIFIER")</f>
        <v/>
      </c>
    </row>
    <row r="257">
      <c r="A257" s="2" t="inlineStr">
        <is>
          <t>EJ020523.TXT</t>
        </is>
      </c>
      <c r="B257" s="3" t="inlineStr">
        <is>
          <t>004792</t>
        </is>
      </c>
      <c r="C257" s="3" t="inlineStr">
        <is>
          <t>003817</t>
        </is>
      </c>
      <c r="D257" s="4" t="n">
        <v>45019</v>
      </c>
      <c r="E257" s="2" t="inlineStr">
        <is>
          <t>17:37</t>
        </is>
      </c>
      <c r="F257" s="5">
        <f>C257-C256</f>
        <v/>
      </c>
      <c r="G257" s="5">
        <f>B257-B256</f>
        <v/>
      </c>
      <c r="H257" s="2">
        <f>IF(AND(F257=1,G257=1),"OK","À JUSTIFIER")</f>
        <v/>
      </c>
    </row>
    <row r="258">
      <c r="A258" s="2" t="inlineStr">
        <is>
          <t>EJ020523.TXT</t>
        </is>
      </c>
      <c r="B258" s="3" t="inlineStr">
        <is>
          <t>004793</t>
        </is>
      </c>
      <c r="C258" s="3" t="inlineStr">
        <is>
          <t>003818</t>
        </is>
      </c>
      <c r="D258" s="4" t="n">
        <v>45019</v>
      </c>
      <c r="E258" s="2" t="inlineStr">
        <is>
          <t>17:38</t>
        </is>
      </c>
      <c r="F258" s="5">
        <f>C258-C257</f>
        <v/>
      </c>
      <c r="G258" s="5">
        <f>B258-B257</f>
        <v/>
      </c>
      <c r="H258" s="2">
        <f>IF(AND(F258=1,G258=1),"OK","À JUSTIFIER")</f>
        <v/>
      </c>
    </row>
    <row r="259">
      <c r="A259" s="2" t="inlineStr">
        <is>
          <t>EJ020523.TXT</t>
        </is>
      </c>
      <c r="B259" s="3" t="inlineStr">
        <is>
          <t>004794</t>
        </is>
      </c>
      <c r="C259" s="3" t="inlineStr">
        <is>
          <t>003819</t>
        </is>
      </c>
      <c r="D259" s="4" t="n">
        <v>45019</v>
      </c>
      <c r="E259" s="2" t="inlineStr">
        <is>
          <t>17:38</t>
        </is>
      </c>
      <c r="F259" s="5">
        <f>C259-C258</f>
        <v/>
      </c>
      <c r="G259" s="5">
        <f>B259-B258</f>
        <v/>
      </c>
      <c r="H259" s="2">
        <f>IF(AND(F259=1,G259=1),"OK","À JUSTIFIER")</f>
        <v/>
      </c>
    </row>
    <row r="260">
      <c r="A260" s="2" t="inlineStr">
        <is>
          <t>EJ020523.TXT</t>
        </is>
      </c>
      <c r="B260" s="3" t="inlineStr">
        <is>
          <t>004795</t>
        </is>
      </c>
      <c r="C260" s="3" t="inlineStr">
        <is>
          <t>003820</t>
        </is>
      </c>
      <c r="D260" s="4" t="n">
        <v>45019</v>
      </c>
      <c r="E260" s="2" t="inlineStr">
        <is>
          <t>17:39</t>
        </is>
      </c>
      <c r="F260" s="5">
        <f>C260-C259</f>
        <v/>
      </c>
      <c r="G260" s="5">
        <f>B260-B259</f>
        <v/>
      </c>
      <c r="H260" s="2">
        <f>IF(AND(F260=1,G260=1),"OK","À JUSTIFIER")</f>
        <v/>
      </c>
    </row>
    <row r="261">
      <c r="A261" s="2" t="inlineStr">
        <is>
          <t>EJ020523.TXT</t>
        </is>
      </c>
      <c r="B261" s="3" t="inlineStr">
        <is>
          <t>004796</t>
        </is>
      </c>
      <c r="C261" s="3" t="inlineStr">
        <is>
          <t>003821</t>
        </is>
      </c>
      <c r="D261" s="4" t="n">
        <v>45020</v>
      </c>
      <c r="E261" s="2" t="inlineStr">
        <is>
          <t>09:08</t>
        </is>
      </c>
      <c r="F261" s="5">
        <f>C261-C260</f>
        <v/>
      </c>
      <c r="G261" s="5">
        <f>B261-B260</f>
        <v/>
      </c>
      <c r="H261" s="2">
        <f>IF(AND(F261=1,G261=1),"OK","À JUSTIFIER")</f>
        <v/>
      </c>
    </row>
    <row r="262">
      <c r="A262" s="2" t="inlineStr">
        <is>
          <t>EJ020523.TXT</t>
        </is>
      </c>
      <c r="B262" s="3" t="inlineStr">
        <is>
          <t>004797</t>
        </is>
      </c>
      <c r="C262" s="3" t="inlineStr">
        <is>
          <t>003822</t>
        </is>
      </c>
      <c r="D262" s="4" t="n">
        <v>45020</v>
      </c>
      <c r="E262" s="2" t="inlineStr">
        <is>
          <t>09:08</t>
        </is>
      </c>
      <c r="F262" s="5">
        <f>C262-C261</f>
        <v/>
      </c>
      <c r="G262" s="5">
        <f>B262-B261</f>
        <v/>
      </c>
      <c r="H262" s="2">
        <f>IF(AND(F262=1,G262=1),"OK","À JUSTIFIER")</f>
        <v/>
      </c>
    </row>
    <row r="263">
      <c r="A263" s="2" t="inlineStr">
        <is>
          <t>EJ020523.TXT</t>
        </is>
      </c>
      <c r="B263" s="3" t="inlineStr">
        <is>
          <t>004798</t>
        </is>
      </c>
      <c r="C263" s="3" t="inlineStr">
        <is>
          <t>003823</t>
        </is>
      </c>
      <c r="D263" s="4" t="n">
        <v>45020</v>
      </c>
      <c r="E263" s="2" t="inlineStr">
        <is>
          <t>09:13</t>
        </is>
      </c>
      <c r="F263" s="5">
        <f>C263-C262</f>
        <v/>
      </c>
      <c r="G263" s="5">
        <f>B263-B262</f>
        <v/>
      </c>
      <c r="H263" s="2">
        <f>IF(AND(F263=1,G263=1),"OK","À JUSTIFIER")</f>
        <v/>
      </c>
    </row>
    <row r="264">
      <c r="A264" s="2" t="inlineStr">
        <is>
          <t>EJ020523.TXT</t>
        </is>
      </c>
      <c r="B264" s="3" t="inlineStr">
        <is>
          <t>004799</t>
        </is>
      </c>
      <c r="C264" s="3" t="inlineStr">
        <is>
          <t>003824</t>
        </is>
      </c>
      <c r="D264" s="4" t="n">
        <v>45020</v>
      </c>
      <c r="E264" s="2" t="inlineStr">
        <is>
          <t>10:50</t>
        </is>
      </c>
      <c r="F264" s="5">
        <f>C264-C263</f>
        <v/>
      </c>
      <c r="G264" s="5">
        <f>B264-B263</f>
        <v/>
      </c>
      <c r="H264" s="2">
        <f>IF(AND(F264=1,G264=1),"OK","À JUSTIFIER")</f>
        <v/>
      </c>
    </row>
    <row r="265">
      <c r="A265" s="2" t="inlineStr">
        <is>
          <t>EJ020523.TXT</t>
        </is>
      </c>
      <c r="B265" s="3" t="inlineStr">
        <is>
          <t>004800</t>
        </is>
      </c>
      <c r="C265" s="3" t="inlineStr">
        <is>
          <t>003825</t>
        </is>
      </c>
      <c r="D265" s="4" t="n">
        <v>45020</v>
      </c>
      <c r="E265" s="2" t="inlineStr">
        <is>
          <t>16:48</t>
        </is>
      </c>
      <c r="F265" s="5">
        <f>C265-C264</f>
        <v/>
      </c>
      <c r="G265" s="5">
        <f>B265-B264</f>
        <v/>
      </c>
      <c r="H265" s="2">
        <f>IF(AND(F265=1,G265=1),"OK","À JUSTIFIER")</f>
        <v/>
      </c>
    </row>
    <row r="266">
      <c r="A266" s="2" t="inlineStr">
        <is>
          <t>EJ020523.TXT</t>
        </is>
      </c>
      <c r="B266" s="3" t="inlineStr">
        <is>
          <t>004801</t>
        </is>
      </c>
      <c r="C266" s="3" t="inlineStr">
        <is>
          <t>003826</t>
        </is>
      </c>
      <c r="D266" s="4" t="n">
        <v>45020</v>
      </c>
      <c r="E266" s="2" t="inlineStr">
        <is>
          <t>17:05</t>
        </is>
      </c>
      <c r="F266" s="5">
        <f>C266-C265</f>
        <v/>
      </c>
      <c r="G266" s="5">
        <f>B266-B265</f>
        <v/>
      </c>
      <c r="H266" s="2">
        <f>IF(AND(F266=1,G266=1),"OK","À JUSTIFIER")</f>
        <v/>
      </c>
    </row>
    <row r="267">
      <c r="A267" s="2" t="inlineStr">
        <is>
          <t>EJ020523.TXT</t>
        </is>
      </c>
      <c r="B267" s="3" t="inlineStr">
        <is>
          <t>004802</t>
        </is>
      </c>
      <c r="C267" s="3" t="inlineStr">
        <is>
          <t>003827</t>
        </is>
      </c>
      <c r="D267" s="4" t="n">
        <v>45021</v>
      </c>
      <c r="E267" s="2" t="inlineStr">
        <is>
          <t>11:14</t>
        </is>
      </c>
      <c r="F267" s="5">
        <f>C267-C266</f>
        <v/>
      </c>
      <c r="G267" s="5">
        <f>B267-B266</f>
        <v/>
      </c>
      <c r="H267" s="2">
        <f>IF(AND(F267=1,G267=1),"OK","À JUSTIFIER")</f>
        <v/>
      </c>
    </row>
    <row r="268">
      <c r="A268" s="2" t="inlineStr">
        <is>
          <t>EJ020523.TXT</t>
        </is>
      </c>
      <c r="B268" s="3" t="inlineStr">
        <is>
          <t>004803</t>
        </is>
      </c>
      <c r="C268" s="3" t="inlineStr">
        <is>
          <t>003828</t>
        </is>
      </c>
      <c r="D268" s="4" t="n">
        <v>45021</v>
      </c>
      <c r="E268" s="2" t="inlineStr">
        <is>
          <t>11:15</t>
        </is>
      </c>
      <c r="F268" s="5">
        <f>C268-C267</f>
        <v/>
      </c>
      <c r="G268" s="5">
        <f>B268-B267</f>
        <v/>
      </c>
      <c r="H268" s="2">
        <f>IF(AND(F268=1,G268=1),"OK","À JUSTIFIER")</f>
        <v/>
      </c>
    </row>
    <row r="269">
      <c r="A269" s="2" t="inlineStr">
        <is>
          <t>EJ020523.TXT</t>
        </is>
      </c>
      <c r="B269" s="3" t="inlineStr">
        <is>
          <t>004804</t>
        </is>
      </c>
      <c r="C269" s="3" t="inlineStr">
        <is>
          <t>003829</t>
        </is>
      </c>
      <c r="D269" s="4" t="n">
        <v>45021</v>
      </c>
      <c r="E269" s="2" t="inlineStr">
        <is>
          <t>13:55</t>
        </is>
      </c>
      <c r="F269" s="5">
        <f>C269-C268</f>
        <v/>
      </c>
      <c r="G269" s="5">
        <f>B269-B268</f>
        <v/>
      </c>
      <c r="H269" s="2">
        <f>IF(AND(F269=1,G269=1),"OK","À JUSTIFIER")</f>
        <v/>
      </c>
    </row>
    <row r="270">
      <c r="A270" s="2" t="inlineStr">
        <is>
          <t>EJ020523.TXT</t>
        </is>
      </c>
      <c r="B270" s="3" t="inlineStr">
        <is>
          <t>004805</t>
        </is>
      </c>
      <c r="C270" s="3" t="inlineStr">
        <is>
          <t>003830</t>
        </is>
      </c>
      <c r="D270" s="4" t="n">
        <v>45021</v>
      </c>
      <c r="E270" s="2" t="inlineStr">
        <is>
          <t>13:55</t>
        </is>
      </c>
      <c r="F270" s="5">
        <f>C270-C269</f>
        <v/>
      </c>
      <c r="G270" s="5">
        <f>B270-B269</f>
        <v/>
      </c>
      <c r="H270" s="2">
        <f>IF(AND(F270=1,G270=1),"OK","À JUSTIFIER")</f>
        <v/>
      </c>
    </row>
    <row r="271">
      <c r="A271" s="2" t="inlineStr">
        <is>
          <t>EJ020523.TXT</t>
        </is>
      </c>
      <c r="B271" s="3" t="inlineStr">
        <is>
          <t>004806</t>
        </is>
      </c>
      <c r="C271" s="3" t="inlineStr">
        <is>
          <t>003831</t>
        </is>
      </c>
      <c r="D271" s="4" t="n">
        <v>45022</v>
      </c>
      <c r="E271" s="2" t="inlineStr">
        <is>
          <t>10:13</t>
        </is>
      </c>
      <c r="F271" s="5">
        <f>C271-C270</f>
        <v/>
      </c>
      <c r="G271" s="5">
        <f>B271-B270</f>
        <v/>
      </c>
      <c r="H271" s="2">
        <f>IF(AND(F271=1,G271=1),"OK","À JUSTIFIER")</f>
        <v/>
      </c>
    </row>
    <row r="272">
      <c r="A272" s="2" t="inlineStr">
        <is>
          <t>EJ020523.TXT</t>
        </is>
      </c>
      <c r="B272" s="3" t="inlineStr">
        <is>
          <t>004807</t>
        </is>
      </c>
      <c r="C272" s="3" t="inlineStr">
        <is>
          <t>003832</t>
        </is>
      </c>
      <c r="D272" s="4" t="n">
        <v>45022</v>
      </c>
      <c r="E272" s="2" t="inlineStr">
        <is>
          <t>10:14</t>
        </is>
      </c>
      <c r="F272" s="5">
        <f>C272-C271</f>
        <v/>
      </c>
      <c r="G272" s="5">
        <f>B272-B271</f>
        <v/>
      </c>
      <c r="H272" s="2">
        <f>IF(AND(F272=1,G272=1),"OK","À JUSTIFIER")</f>
        <v/>
      </c>
    </row>
    <row r="273">
      <c r="A273" s="2" t="inlineStr">
        <is>
          <t>EJ020523.TXT</t>
        </is>
      </c>
      <c r="B273" s="3" t="inlineStr">
        <is>
          <t>004808</t>
        </is>
      </c>
      <c r="C273" s="3" t="inlineStr">
        <is>
          <t>003833</t>
        </is>
      </c>
      <c r="D273" s="4" t="n">
        <v>45022</v>
      </c>
      <c r="E273" s="2" t="inlineStr">
        <is>
          <t>12:09</t>
        </is>
      </c>
      <c r="F273" s="5">
        <f>C273-C272</f>
        <v/>
      </c>
      <c r="G273" s="5">
        <f>B273-B272</f>
        <v/>
      </c>
      <c r="H273" s="2">
        <f>IF(AND(F273=1,G273=1),"OK","À JUSTIFIER")</f>
        <v/>
      </c>
    </row>
    <row r="274">
      <c r="A274" s="2" t="inlineStr">
        <is>
          <t>EJ020523.TXT</t>
        </is>
      </c>
      <c r="B274" s="3" t="inlineStr">
        <is>
          <t>004809</t>
        </is>
      </c>
      <c r="C274" s="3" t="inlineStr">
        <is>
          <t>003834</t>
        </is>
      </c>
      <c r="D274" s="4" t="n">
        <v>45022</v>
      </c>
      <c r="E274" s="2" t="inlineStr">
        <is>
          <t>14:09</t>
        </is>
      </c>
      <c r="F274" s="5">
        <f>C274-C273</f>
        <v/>
      </c>
      <c r="G274" s="5">
        <f>B274-B273</f>
        <v/>
      </c>
      <c r="H274" s="2">
        <f>IF(AND(F274=1,G274=1),"OK","À JUSTIFIER")</f>
        <v/>
      </c>
    </row>
    <row r="275">
      <c r="A275" s="2" t="inlineStr">
        <is>
          <t>EJ020523.TXT</t>
        </is>
      </c>
      <c r="B275" s="3" t="inlineStr">
        <is>
          <t>004810</t>
        </is>
      </c>
      <c r="C275" s="3" t="inlineStr">
        <is>
          <t>003835</t>
        </is>
      </c>
      <c r="D275" s="4" t="n">
        <v>45023</v>
      </c>
      <c r="E275" s="2" t="inlineStr">
        <is>
          <t>09:40</t>
        </is>
      </c>
      <c r="F275" s="5">
        <f>C275-C274</f>
        <v/>
      </c>
      <c r="G275" s="5">
        <f>B275-B274</f>
        <v/>
      </c>
      <c r="H275" s="2">
        <f>IF(AND(F275=1,G275=1),"OK","À JUSTIFIER")</f>
        <v/>
      </c>
    </row>
    <row r="276">
      <c r="A276" s="2" t="inlineStr">
        <is>
          <t>EJ020523.TXT</t>
        </is>
      </c>
      <c r="B276" s="3" t="inlineStr">
        <is>
          <t>004811</t>
        </is>
      </c>
      <c r="C276" s="3" t="inlineStr">
        <is>
          <t>003836</t>
        </is>
      </c>
      <c r="D276" s="4" t="n">
        <v>45023</v>
      </c>
      <c r="E276" s="2" t="inlineStr">
        <is>
          <t>13:34</t>
        </is>
      </c>
      <c r="F276" s="5">
        <f>C276-C275</f>
        <v/>
      </c>
      <c r="G276" s="5">
        <f>B276-B275</f>
        <v/>
      </c>
      <c r="H276" s="2">
        <f>IF(AND(F276=1,G276=1),"OK","À JUSTIFIER")</f>
        <v/>
      </c>
    </row>
    <row r="277">
      <c r="A277" s="2" t="inlineStr">
        <is>
          <t>EJ020523.TXT</t>
        </is>
      </c>
      <c r="B277" s="3" t="inlineStr">
        <is>
          <t>004812</t>
        </is>
      </c>
      <c r="C277" s="3" t="inlineStr">
        <is>
          <t>003837</t>
        </is>
      </c>
      <c r="D277" s="4" t="n">
        <v>45023</v>
      </c>
      <c r="E277" s="2" t="inlineStr">
        <is>
          <t>16:11</t>
        </is>
      </c>
      <c r="F277" s="5">
        <f>C277-C276</f>
        <v/>
      </c>
      <c r="G277" s="5">
        <f>B277-B276</f>
        <v/>
      </c>
      <c r="H277" s="2">
        <f>IF(AND(F277=1,G277=1),"OK","À JUSTIFIER")</f>
        <v/>
      </c>
    </row>
    <row r="278">
      <c r="A278" s="2" t="inlineStr">
        <is>
          <t>EJ020523.TXT</t>
        </is>
      </c>
      <c r="B278" s="3" t="inlineStr">
        <is>
          <t>004813</t>
        </is>
      </c>
      <c r="C278" s="3" t="inlineStr">
        <is>
          <t>003838</t>
        </is>
      </c>
      <c r="D278" s="4" t="n">
        <v>45023</v>
      </c>
      <c r="E278" s="2" t="inlineStr">
        <is>
          <t>16:17</t>
        </is>
      </c>
      <c r="F278" s="5">
        <f>C278-C277</f>
        <v/>
      </c>
      <c r="G278" s="5">
        <f>B278-B277</f>
        <v/>
      </c>
      <c r="H278" s="2">
        <f>IF(AND(F278=1,G278=1),"OK","À JUSTIFIER")</f>
        <v/>
      </c>
    </row>
    <row r="279">
      <c r="A279" s="2" t="inlineStr">
        <is>
          <t>EJ020523.TXT</t>
        </is>
      </c>
      <c r="B279" s="3" t="inlineStr">
        <is>
          <t>004814</t>
        </is>
      </c>
      <c r="C279" s="3" t="inlineStr">
        <is>
          <t>003839</t>
        </is>
      </c>
      <c r="D279" s="4" t="n">
        <v>45024</v>
      </c>
      <c r="E279" s="2" t="inlineStr">
        <is>
          <t>16:00</t>
        </is>
      </c>
      <c r="F279" s="5">
        <f>C279-C278</f>
        <v/>
      </c>
      <c r="G279" s="5">
        <f>B279-B278</f>
        <v/>
      </c>
      <c r="H279" s="2">
        <f>IF(AND(F279=1,G279=1),"OK","À JUSTIFIER")</f>
        <v/>
      </c>
    </row>
    <row r="280">
      <c r="A280" s="2" t="inlineStr">
        <is>
          <t>EJ020523.TXT</t>
        </is>
      </c>
      <c r="B280" s="3" t="inlineStr">
        <is>
          <t>004815</t>
        </is>
      </c>
      <c r="C280" s="3" t="inlineStr">
        <is>
          <t>003840</t>
        </is>
      </c>
      <c r="D280" s="4" t="n">
        <v>45027</v>
      </c>
      <c r="E280" s="2" t="inlineStr">
        <is>
          <t>09:52</t>
        </is>
      </c>
      <c r="F280" s="5">
        <f>C280-C279</f>
        <v/>
      </c>
      <c r="G280" s="5">
        <f>B280-B279</f>
        <v/>
      </c>
      <c r="H280" s="2">
        <f>IF(AND(F280=1,G280=1),"OK","À JUSTIFIER")</f>
        <v/>
      </c>
    </row>
    <row r="281">
      <c r="A281" s="2" t="inlineStr">
        <is>
          <t>EJ020523.TXT</t>
        </is>
      </c>
      <c r="B281" s="3" t="inlineStr">
        <is>
          <t>004816</t>
        </is>
      </c>
      <c r="C281" s="3" t="inlineStr">
        <is>
          <t>003841</t>
        </is>
      </c>
      <c r="D281" s="4" t="n">
        <v>45028</v>
      </c>
      <c r="E281" s="2" t="inlineStr">
        <is>
          <t>10:11</t>
        </is>
      </c>
      <c r="F281" s="5">
        <f>C281-C280</f>
        <v/>
      </c>
      <c r="G281" s="5">
        <f>B281-B280</f>
        <v/>
      </c>
      <c r="H281" s="2">
        <f>IF(AND(F281=1,G281=1),"OK","À JUSTIFIER")</f>
        <v/>
      </c>
    </row>
    <row r="282">
      <c r="A282" s="2" t="inlineStr">
        <is>
          <t>EJ020523.TXT</t>
        </is>
      </c>
      <c r="B282" s="3" t="inlineStr">
        <is>
          <t>004817</t>
        </is>
      </c>
      <c r="C282" s="3" t="inlineStr">
        <is>
          <t>003842</t>
        </is>
      </c>
      <c r="D282" s="4" t="n">
        <v>45028</v>
      </c>
      <c r="E282" s="2" t="inlineStr">
        <is>
          <t>11:28</t>
        </is>
      </c>
      <c r="F282" s="5">
        <f>C282-C281</f>
        <v/>
      </c>
      <c r="G282" s="5">
        <f>B282-B281</f>
        <v/>
      </c>
      <c r="H282" s="2">
        <f>IF(AND(F282=1,G282=1),"OK","À JUSTIFIER")</f>
        <v/>
      </c>
    </row>
    <row r="283">
      <c r="A283" s="2" t="inlineStr">
        <is>
          <t>EJ020523.TXT</t>
        </is>
      </c>
      <c r="B283" s="3" t="inlineStr">
        <is>
          <t>004818</t>
        </is>
      </c>
      <c r="C283" s="3" t="inlineStr">
        <is>
          <t>003843</t>
        </is>
      </c>
      <c r="D283" s="4" t="n">
        <v>45028</v>
      </c>
      <c r="E283" s="2" t="inlineStr">
        <is>
          <t>11:32</t>
        </is>
      </c>
      <c r="F283" s="5">
        <f>C283-C282</f>
        <v/>
      </c>
      <c r="G283" s="5">
        <f>B283-B282</f>
        <v/>
      </c>
      <c r="H283" s="2">
        <f>IF(AND(F283=1,G283=1),"OK","À JUSTIFIER")</f>
        <v/>
      </c>
    </row>
    <row r="284">
      <c r="A284" s="2" t="inlineStr">
        <is>
          <t>EJ020523.TXT</t>
        </is>
      </c>
      <c r="B284" s="3" t="inlineStr">
        <is>
          <t>004819</t>
        </is>
      </c>
      <c r="C284" s="3" t="inlineStr">
        <is>
          <t>003844</t>
        </is>
      </c>
      <c r="D284" s="4" t="n">
        <v>45028</v>
      </c>
      <c r="E284" s="2" t="inlineStr">
        <is>
          <t>16:03</t>
        </is>
      </c>
      <c r="F284" s="5">
        <f>C284-C283</f>
        <v/>
      </c>
      <c r="G284" s="5">
        <f>B284-B283</f>
        <v/>
      </c>
      <c r="H284" s="2">
        <f>IF(AND(F284=1,G284=1),"OK","À JUSTIFIER")</f>
        <v/>
      </c>
    </row>
    <row r="285">
      <c r="A285" s="2" t="inlineStr">
        <is>
          <t>EJ020523.TXT</t>
        </is>
      </c>
      <c r="B285" s="3" t="inlineStr">
        <is>
          <t>004820</t>
        </is>
      </c>
      <c r="C285" s="3" t="inlineStr">
        <is>
          <t>003845</t>
        </is>
      </c>
      <c r="D285" s="4" t="n">
        <v>45028</v>
      </c>
      <c r="E285" s="2" t="inlineStr">
        <is>
          <t>16:03</t>
        </is>
      </c>
      <c r="F285" s="5">
        <f>C285-C284</f>
        <v/>
      </c>
      <c r="G285" s="5">
        <f>B285-B284</f>
        <v/>
      </c>
      <c r="H285" s="2">
        <f>IF(AND(F285=1,G285=1),"OK","À JUSTIFIER")</f>
        <v/>
      </c>
    </row>
    <row r="286">
      <c r="A286" s="2" t="inlineStr">
        <is>
          <t>EJ020523.TXT</t>
        </is>
      </c>
      <c r="B286" s="3" t="inlineStr">
        <is>
          <t>004821</t>
        </is>
      </c>
      <c r="C286" s="3" t="inlineStr">
        <is>
          <t>003846</t>
        </is>
      </c>
      <c r="D286" s="4" t="n">
        <v>45029</v>
      </c>
      <c r="E286" s="2" t="inlineStr">
        <is>
          <t>09:52</t>
        </is>
      </c>
      <c r="F286" s="5">
        <f>C286-C285</f>
        <v/>
      </c>
      <c r="G286" s="5">
        <f>B286-B285</f>
        <v/>
      </c>
      <c r="H286" s="2">
        <f>IF(AND(F286=1,G286=1),"OK","À JUSTIFIER")</f>
        <v/>
      </c>
    </row>
    <row r="287">
      <c r="A287" s="2" t="inlineStr">
        <is>
          <t>EJ020523.TXT</t>
        </is>
      </c>
      <c r="B287" s="3" t="inlineStr">
        <is>
          <t>004822</t>
        </is>
      </c>
      <c r="C287" s="3" t="inlineStr">
        <is>
          <t>003847</t>
        </is>
      </c>
      <c r="D287" s="4" t="n">
        <v>45029</v>
      </c>
      <c r="E287" s="2" t="inlineStr">
        <is>
          <t>11:02</t>
        </is>
      </c>
      <c r="F287" s="5">
        <f>C287-C286</f>
        <v/>
      </c>
      <c r="G287" s="5">
        <f>B287-B286</f>
        <v/>
      </c>
      <c r="H287" s="2">
        <f>IF(AND(F287=1,G287=1),"OK","À JUSTIFIER")</f>
        <v/>
      </c>
    </row>
    <row r="288">
      <c r="A288" s="2" t="inlineStr">
        <is>
          <t>EJ020523.TXT</t>
        </is>
      </c>
      <c r="B288" s="3" t="inlineStr">
        <is>
          <t>004823</t>
        </is>
      </c>
      <c r="C288" s="3" t="inlineStr">
        <is>
          <t>003848</t>
        </is>
      </c>
      <c r="D288" s="4" t="n">
        <v>45031</v>
      </c>
      <c r="E288" s="2" t="inlineStr">
        <is>
          <t>15:38</t>
        </is>
      </c>
      <c r="F288" s="5">
        <f>C288-C287</f>
        <v/>
      </c>
      <c r="G288" s="5">
        <f>B288-B287</f>
        <v/>
      </c>
      <c r="H288" s="2">
        <f>IF(AND(F288=1,G288=1),"OK","À JUSTIFIER")</f>
        <v/>
      </c>
    </row>
    <row r="289">
      <c r="A289" s="2" t="inlineStr">
        <is>
          <t>EJ020523.TXT</t>
        </is>
      </c>
      <c r="B289" s="3" t="inlineStr">
        <is>
          <t>004824</t>
        </is>
      </c>
      <c r="C289" s="3" t="inlineStr">
        <is>
          <t>003849</t>
        </is>
      </c>
      <c r="D289" s="4" t="n">
        <v>45031</v>
      </c>
      <c r="E289" s="2" t="inlineStr">
        <is>
          <t>16:43</t>
        </is>
      </c>
      <c r="F289" s="5">
        <f>C289-C288</f>
        <v/>
      </c>
      <c r="G289" s="5">
        <f>B289-B288</f>
        <v/>
      </c>
      <c r="H289" s="2">
        <f>IF(AND(F289=1,G289=1),"OK","À JUSTIFIER")</f>
        <v/>
      </c>
    </row>
    <row r="290">
      <c r="A290" s="2" t="inlineStr">
        <is>
          <t>EJ020523.TXT</t>
        </is>
      </c>
      <c r="B290" s="3" t="inlineStr">
        <is>
          <t>004825</t>
        </is>
      </c>
      <c r="C290" s="3" t="inlineStr">
        <is>
          <t>003850</t>
        </is>
      </c>
      <c r="D290" s="4" t="n">
        <v>45033</v>
      </c>
      <c r="E290" s="2" t="inlineStr">
        <is>
          <t>17:37</t>
        </is>
      </c>
      <c r="F290" s="5">
        <f>C290-C289</f>
        <v/>
      </c>
      <c r="G290" s="5">
        <f>B290-B289</f>
        <v/>
      </c>
      <c r="H290" s="2">
        <f>IF(AND(F290=1,G290=1),"OK","À JUSTIFIER")</f>
        <v/>
      </c>
    </row>
    <row r="291">
      <c r="A291" s="2" t="inlineStr">
        <is>
          <t>EJ020523.TXT</t>
        </is>
      </c>
      <c r="B291" s="3" t="inlineStr">
        <is>
          <t>004826</t>
        </is>
      </c>
      <c r="C291" s="3" t="inlineStr">
        <is>
          <t>003851</t>
        </is>
      </c>
      <c r="D291" s="4" t="n">
        <v>45034</v>
      </c>
      <c r="E291" s="2" t="inlineStr">
        <is>
          <t>17:18</t>
        </is>
      </c>
      <c r="F291" s="5">
        <f>C291-C290</f>
        <v/>
      </c>
      <c r="G291" s="5">
        <f>B291-B290</f>
        <v/>
      </c>
      <c r="H291" s="2">
        <f>IF(AND(F291=1,G291=1),"OK","À JUSTIFIER")</f>
        <v/>
      </c>
    </row>
    <row r="292">
      <c r="A292" s="2" t="inlineStr">
        <is>
          <t>EJ020523.TXT</t>
        </is>
      </c>
      <c r="B292" s="3" t="inlineStr">
        <is>
          <t>004827</t>
        </is>
      </c>
      <c r="C292" s="3" t="inlineStr">
        <is>
          <t>003852</t>
        </is>
      </c>
      <c r="D292" s="4" t="n">
        <v>45035</v>
      </c>
      <c r="E292" s="2" t="inlineStr">
        <is>
          <t>14:47</t>
        </is>
      </c>
      <c r="F292" s="5">
        <f>C292-C291</f>
        <v/>
      </c>
      <c r="G292" s="5">
        <f>B292-B291</f>
        <v/>
      </c>
      <c r="H292" s="2">
        <f>IF(AND(F292=1,G292=1),"OK","À JUSTIFIER")</f>
        <v/>
      </c>
    </row>
    <row r="293">
      <c r="A293" s="2" t="inlineStr">
        <is>
          <t>EJ020523.TXT</t>
        </is>
      </c>
      <c r="B293" s="3" t="inlineStr">
        <is>
          <t>004828</t>
        </is>
      </c>
      <c r="C293" s="3" t="inlineStr">
        <is>
          <t>003853</t>
        </is>
      </c>
      <c r="D293" s="4" t="n">
        <v>45035</v>
      </c>
      <c r="E293" s="2" t="inlineStr">
        <is>
          <t>14:47</t>
        </is>
      </c>
      <c r="F293" s="5">
        <f>C293-C292</f>
        <v/>
      </c>
      <c r="G293" s="5">
        <f>B293-B292</f>
        <v/>
      </c>
      <c r="H293" s="2">
        <f>IF(AND(F293=1,G293=1),"OK","À JUSTIFIER")</f>
        <v/>
      </c>
    </row>
    <row r="294">
      <c r="A294" s="2" t="inlineStr">
        <is>
          <t>EJ020523.TXT</t>
        </is>
      </c>
      <c r="B294" s="3" t="inlineStr">
        <is>
          <t>004829</t>
        </is>
      </c>
      <c r="C294" s="3" t="inlineStr">
        <is>
          <t>003854</t>
        </is>
      </c>
      <c r="D294" s="4" t="n">
        <v>45036</v>
      </c>
      <c r="E294" s="2" t="inlineStr">
        <is>
          <t>13:53</t>
        </is>
      </c>
      <c r="F294" s="5">
        <f>C294-C293</f>
        <v/>
      </c>
      <c r="G294" s="5">
        <f>B294-B293</f>
        <v/>
      </c>
      <c r="H294" s="2">
        <f>IF(AND(F294=1,G294=1),"OK","À JUSTIFIER")</f>
        <v/>
      </c>
    </row>
    <row r="295">
      <c r="A295" s="2" t="inlineStr">
        <is>
          <t>EJ020523.TXT</t>
        </is>
      </c>
      <c r="B295" s="3" t="inlineStr">
        <is>
          <t>004830</t>
        </is>
      </c>
      <c r="C295" s="3" t="inlineStr">
        <is>
          <t>003855</t>
        </is>
      </c>
      <c r="D295" s="4" t="n">
        <v>45036</v>
      </c>
      <c r="E295" s="2" t="inlineStr">
        <is>
          <t>13:53</t>
        </is>
      </c>
      <c r="F295" s="5">
        <f>C295-C294</f>
        <v/>
      </c>
      <c r="G295" s="5">
        <f>B295-B294</f>
        <v/>
      </c>
      <c r="H295" s="2">
        <f>IF(AND(F295=1,G295=1),"OK","À JUSTIFIER")</f>
        <v/>
      </c>
    </row>
    <row r="296">
      <c r="A296" s="2" t="inlineStr">
        <is>
          <t>EJ020523.TXT</t>
        </is>
      </c>
      <c r="B296" s="3" t="inlineStr">
        <is>
          <t>004831</t>
        </is>
      </c>
      <c r="C296" s="3" t="inlineStr">
        <is>
          <t>003856</t>
        </is>
      </c>
      <c r="D296" s="4" t="n">
        <v>45036</v>
      </c>
      <c r="E296" s="2" t="inlineStr">
        <is>
          <t>15:06</t>
        </is>
      </c>
      <c r="F296" s="5">
        <f>C296-C295</f>
        <v/>
      </c>
      <c r="G296" s="5">
        <f>B296-B295</f>
        <v/>
      </c>
      <c r="H296" s="2">
        <f>IF(AND(F296=1,G296=1),"OK","À JUSTIFIER")</f>
        <v/>
      </c>
    </row>
    <row r="297">
      <c r="A297" s="2" t="inlineStr">
        <is>
          <t>EJ020523.TXT</t>
        </is>
      </c>
      <c r="B297" s="3" t="inlineStr">
        <is>
          <t>004832</t>
        </is>
      </c>
      <c r="C297" s="3" t="inlineStr">
        <is>
          <t>003857</t>
        </is>
      </c>
      <c r="D297" s="4" t="n">
        <v>45037</v>
      </c>
      <c r="E297" s="2" t="inlineStr">
        <is>
          <t>11:10</t>
        </is>
      </c>
      <c r="F297" s="5">
        <f>C297-C296</f>
        <v/>
      </c>
      <c r="G297" s="5">
        <f>B297-B296</f>
        <v/>
      </c>
      <c r="H297" s="2">
        <f>IF(AND(F297=1,G297=1),"OK","À JUSTIFIER")</f>
        <v/>
      </c>
    </row>
    <row r="298">
      <c r="A298" s="2" t="inlineStr">
        <is>
          <t>EJ020523.TXT</t>
        </is>
      </c>
      <c r="B298" s="3" t="inlineStr">
        <is>
          <t>004833</t>
        </is>
      </c>
      <c r="C298" s="3" t="inlineStr">
        <is>
          <t>003858</t>
        </is>
      </c>
      <c r="D298" s="4" t="n">
        <v>45037</v>
      </c>
      <c r="E298" s="2" t="inlineStr">
        <is>
          <t>15:13</t>
        </is>
      </c>
      <c r="F298" s="5">
        <f>C298-C297</f>
        <v/>
      </c>
      <c r="G298" s="5">
        <f>B298-B297</f>
        <v/>
      </c>
      <c r="H298" s="2">
        <f>IF(AND(F298=1,G298=1),"OK","À JUSTIFIER")</f>
        <v/>
      </c>
    </row>
    <row r="299">
      <c r="A299" s="2" t="inlineStr">
        <is>
          <t>EJ020523.TXT</t>
        </is>
      </c>
      <c r="B299" s="3" t="inlineStr">
        <is>
          <t>004834</t>
        </is>
      </c>
      <c r="C299" s="3" t="inlineStr">
        <is>
          <t>003859</t>
        </is>
      </c>
      <c r="D299" s="4" t="n">
        <v>45037</v>
      </c>
      <c r="E299" s="2" t="inlineStr">
        <is>
          <t>16:51</t>
        </is>
      </c>
      <c r="F299" s="5">
        <f>C299-C298</f>
        <v/>
      </c>
      <c r="G299" s="5">
        <f>B299-B298</f>
        <v/>
      </c>
      <c r="H299" s="2">
        <f>IF(AND(F299=1,G299=1),"OK","À JUSTIFIER")</f>
        <v/>
      </c>
    </row>
    <row r="300">
      <c r="A300" s="2" t="inlineStr">
        <is>
          <t>EJ020523.TXT</t>
        </is>
      </c>
      <c r="B300" s="3" t="inlineStr">
        <is>
          <t>004835</t>
        </is>
      </c>
      <c r="C300" s="3" t="inlineStr">
        <is>
          <t>003860</t>
        </is>
      </c>
      <c r="D300" s="4" t="n">
        <v>45038</v>
      </c>
      <c r="E300" s="2" t="inlineStr">
        <is>
          <t>15:51</t>
        </is>
      </c>
      <c r="F300" s="5">
        <f>C300-C299</f>
        <v/>
      </c>
      <c r="G300" s="5">
        <f>B300-B299</f>
        <v/>
      </c>
      <c r="H300" s="2">
        <f>IF(AND(F300=1,G300=1),"OK","À JUSTIFIER")</f>
        <v/>
      </c>
    </row>
    <row r="301">
      <c r="A301" s="2" t="inlineStr">
        <is>
          <t>EJ020523.TXT</t>
        </is>
      </c>
      <c r="B301" s="3" t="inlineStr">
        <is>
          <t>004836</t>
        </is>
      </c>
      <c r="C301" s="3" t="inlineStr">
        <is>
          <t>003861</t>
        </is>
      </c>
      <c r="D301" s="4" t="n">
        <v>45040</v>
      </c>
      <c r="E301" s="2" t="inlineStr">
        <is>
          <t>10:05</t>
        </is>
      </c>
      <c r="F301" s="5">
        <f>C301-C300</f>
        <v/>
      </c>
      <c r="G301" s="5">
        <f>B301-B300</f>
        <v/>
      </c>
      <c r="H301" s="2">
        <f>IF(AND(F301=1,G301=1),"OK","À JUSTIFIER")</f>
        <v/>
      </c>
    </row>
    <row r="302">
      <c r="A302" s="2" t="inlineStr">
        <is>
          <t>EJ020523.TXT</t>
        </is>
      </c>
      <c r="B302" s="3" t="inlineStr">
        <is>
          <t>004837</t>
        </is>
      </c>
      <c r="C302" s="3" t="inlineStr">
        <is>
          <t>003862</t>
        </is>
      </c>
      <c r="D302" s="4" t="n">
        <v>45040</v>
      </c>
      <c r="E302" s="2" t="inlineStr">
        <is>
          <t>15:56</t>
        </is>
      </c>
      <c r="F302" s="5">
        <f>C302-C301</f>
        <v/>
      </c>
      <c r="G302" s="5">
        <f>B302-B301</f>
        <v/>
      </c>
      <c r="H302" s="2">
        <f>IF(AND(F302=1,G302=1),"OK","À JUSTIFIER")</f>
        <v/>
      </c>
    </row>
    <row r="303">
      <c r="A303" s="2" t="inlineStr">
        <is>
          <t>EJ020523.TXT</t>
        </is>
      </c>
      <c r="B303" s="3" t="inlineStr">
        <is>
          <t>004838</t>
        </is>
      </c>
      <c r="C303" s="3" t="inlineStr">
        <is>
          <t>003863</t>
        </is>
      </c>
      <c r="D303" s="4" t="n">
        <v>45041</v>
      </c>
      <c r="E303" s="2" t="inlineStr">
        <is>
          <t>15:14</t>
        </is>
      </c>
      <c r="F303" s="5">
        <f>C303-C302</f>
        <v/>
      </c>
      <c r="G303" s="5">
        <f>B303-B302</f>
        <v/>
      </c>
      <c r="H303" s="2">
        <f>IF(AND(F303=1,G303=1),"OK","À JUSTIFIER")</f>
        <v/>
      </c>
    </row>
    <row r="304">
      <c r="A304" s="2" t="inlineStr">
        <is>
          <t>EJ020523.TXT</t>
        </is>
      </c>
      <c r="B304" s="3" t="inlineStr">
        <is>
          <t>004839</t>
        </is>
      </c>
      <c r="C304" s="3" t="inlineStr">
        <is>
          <t>003864</t>
        </is>
      </c>
      <c r="D304" s="4" t="n">
        <v>45041</v>
      </c>
      <c r="E304" s="2" t="inlineStr">
        <is>
          <t>17:15</t>
        </is>
      </c>
      <c r="F304" s="5">
        <f>C304-C303</f>
        <v/>
      </c>
      <c r="G304" s="5">
        <f>B304-B303</f>
        <v/>
      </c>
      <c r="H304" s="2">
        <f>IF(AND(F304=1,G304=1),"OK","À JUSTIFIER")</f>
        <v/>
      </c>
    </row>
    <row r="305">
      <c r="A305" s="2" t="inlineStr">
        <is>
          <t>EJ020523.TXT</t>
        </is>
      </c>
      <c r="B305" s="3" t="inlineStr">
        <is>
          <t>004840</t>
        </is>
      </c>
      <c r="C305" s="3" t="inlineStr">
        <is>
          <t>003865</t>
        </is>
      </c>
      <c r="D305" s="4" t="n">
        <v>45042</v>
      </c>
      <c r="E305" s="2" t="inlineStr">
        <is>
          <t>13:46</t>
        </is>
      </c>
      <c r="F305" s="5">
        <f>C305-C304</f>
        <v/>
      </c>
      <c r="G305" s="5">
        <f>B305-B304</f>
        <v/>
      </c>
      <c r="H305" s="2">
        <f>IF(AND(F305=1,G305=1),"OK","À JUSTIFIER")</f>
        <v/>
      </c>
    </row>
    <row r="306">
      <c r="A306" s="2" t="inlineStr">
        <is>
          <t>EJ020523.TXT</t>
        </is>
      </c>
      <c r="B306" s="3" t="inlineStr">
        <is>
          <t>004841</t>
        </is>
      </c>
      <c r="C306" s="3" t="inlineStr">
        <is>
          <t>003866</t>
        </is>
      </c>
      <c r="D306" s="4" t="n">
        <v>45042</v>
      </c>
      <c r="E306" s="2" t="inlineStr">
        <is>
          <t>15:19</t>
        </is>
      </c>
      <c r="F306" s="5">
        <f>C306-C305</f>
        <v/>
      </c>
      <c r="G306" s="5">
        <f>B306-B305</f>
        <v/>
      </c>
      <c r="H306" s="2">
        <f>IF(AND(F306=1,G306=1),"OK","À JUSTIFIER")</f>
        <v/>
      </c>
    </row>
    <row r="307">
      <c r="A307" s="2" t="inlineStr">
        <is>
          <t>EJ020523.TXT</t>
        </is>
      </c>
      <c r="B307" s="3" t="inlineStr">
        <is>
          <t>004842</t>
        </is>
      </c>
      <c r="C307" s="3" t="inlineStr">
        <is>
          <t>003867</t>
        </is>
      </c>
      <c r="D307" s="4" t="n">
        <v>45043</v>
      </c>
      <c r="E307" s="2" t="inlineStr">
        <is>
          <t>14:01</t>
        </is>
      </c>
      <c r="F307" s="5">
        <f>C307-C306</f>
        <v/>
      </c>
      <c r="G307" s="5">
        <f>B307-B306</f>
        <v/>
      </c>
      <c r="H307" s="2">
        <f>IF(AND(F307=1,G307=1),"OK","À JUSTIFIER")</f>
        <v/>
      </c>
    </row>
    <row r="308">
      <c r="A308" s="2" t="inlineStr">
        <is>
          <t>EJ020523.TXT</t>
        </is>
      </c>
      <c r="B308" s="3" t="inlineStr">
        <is>
          <t>004843</t>
        </is>
      </c>
      <c r="C308" s="3" t="inlineStr">
        <is>
          <t>003868</t>
        </is>
      </c>
      <c r="D308" s="4" t="n">
        <v>45043</v>
      </c>
      <c r="E308" s="2" t="inlineStr">
        <is>
          <t>14:11</t>
        </is>
      </c>
      <c r="F308" s="5">
        <f>C308-C307</f>
        <v/>
      </c>
      <c r="G308" s="5">
        <f>B308-B307</f>
        <v/>
      </c>
      <c r="H308" s="2">
        <f>IF(AND(F308=1,G308=1),"OK","À JUSTIFIER")</f>
        <v/>
      </c>
    </row>
    <row r="309">
      <c r="A309" s="2" t="inlineStr">
        <is>
          <t>EJ020523.TXT</t>
        </is>
      </c>
      <c r="B309" s="3" t="inlineStr">
        <is>
          <t>004844</t>
        </is>
      </c>
      <c r="C309" s="3" t="inlineStr">
        <is>
          <t>003869</t>
        </is>
      </c>
      <c r="D309" s="4" t="n">
        <v>45043</v>
      </c>
      <c r="E309" s="2" t="inlineStr">
        <is>
          <t>15:33</t>
        </is>
      </c>
      <c r="F309" s="5">
        <f>C309-C308</f>
        <v/>
      </c>
      <c r="G309" s="5">
        <f>B309-B308</f>
        <v/>
      </c>
      <c r="H309" s="2">
        <f>IF(AND(F309=1,G309=1),"OK","À JUSTIFIER")</f>
        <v/>
      </c>
    </row>
    <row r="310">
      <c r="A310" s="2" t="inlineStr">
        <is>
          <t>EJ020523.TXT</t>
        </is>
      </c>
      <c r="B310" s="3" t="inlineStr">
        <is>
          <t>004845</t>
        </is>
      </c>
      <c r="C310" s="3" t="inlineStr">
        <is>
          <t>003870</t>
        </is>
      </c>
      <c r="D310" s="4" t="n">
        <v>45044</v>
      </c>
      <c r="E310" s="2" t="inlineStr">
        <is>
          <t>10:40</t>
        </is>
      </c>
      <c r="F310" s="5">
        <f>C310-C309</f>
        <v/>
      </c>
      <c r="G310" s="5">
        <f>B310-B309</f>
        <v/>
      </c>
      <c r="H310" s="2">
        <f>IF(AND(F310=1,G310=1),"OK","À JUSTIFIER")</f>
        <v/>
      </c>
    </row>
    <row r="311">
      <c r="A311" s="2" t="inlineStr">
        <is>
          <t>EJ020523.TXT</t>
        </is>
      </c>
      <c r="B311" s="3" t="inlineStr">
        <is>
          <t>004846</t>
        </is>
      </c>
      <c r="C311" s="3" t="inlineStr">
        <is>
          <t>003871</t>
        </is>
      </c>
      <c r="D311" s="4" t="n">
        <v>45044</v>
      </c>
      <c r="E311" s="2" t="inlineStr">
        <is>
          <t>10:40</t>
        </is>
      </c>
      <c r="F311" s="5">
        <f>C311-C310</f>
        <v/>
      </c>
      <c r="G311" s="5">
        <f>B311-B310</f>
        <v/>
      </c>
      <c r="H311" s="2">
        <f>IF(AND(F311=1,G311=1),"OK","À JUSTIFIER")</f>
        <v/>
      </c>
    </row>
    <row r="312">
      <c r="A312" s="2" t="inlineStr">
        <is>
          <t>EJ020523.TXT</t>
        </is>
      </c>
      <c r="B312" s="3" t="inlineStr">
        <is>
          <t>004847</t>
        </is>
      </c>
      <c r="C312" s="3" t="inlineStr">
        <is>
          <t>003872</t>
        </is>
      </c>
      <c r="D312" s="4" t="n">
        <v>45044</v>
      </c>
      <c r="E312" s="2" t="inlineStr">
        <is>
          <t>14:42</t>
        </is>
      </c>
      <c r="F312" s="5">
        <f>C312-C311</f>
        <v/>
      </c>
      <c r="G312" s="5">
        <f>B312-B311</f>
        <v/>
      </c>
      <c r="H312" s="2">
        <f>IF(AND(F312=1,G312=1),"OK","À JUSTIFIER")</f>
        <v/>
      </c>
    </row>
    <row r="313">
      <c r="A313" s="2" t="inlineStr">
        <is>
          <t>EJ020523.TXT</t>
        </is>
      </c>
      <c r="B313" s="3" t="inlineStr">
        <is>
          <t>004848</t>
        </is>
      </c>
      <c r="C313" s="3" t="inlineStr">
        <is>
          <t>003873</t>
        </is>
      </c>
      <c r="D313" s="4" t="n">
        <v>45044</v>
      </c>
      <c r="E313" s="2" t="inlineStr">
        <is>
          <t>14:42</t>
        </is>
      </c>
      <c r="F313" s="5">
        <f>C313-C312</f>
        <v/>
      </c>
      <c r="G313" s="5">
        <f>B313-B312</f>
        <v/>
      </c>
      <c r="H313" s="2">
        <f>IF(AND(F313=1,G313=1),"OK","À JUSTIFIER")</f>
        <v/>
      </c>
    </row>
    <row r="314">
      <c r="A314" s="2" t="inlineStr">
        <is>
          <t>EJ020523.TXT</t>
        </is>
      </c>
      <c r="B314" s="3" t="inlineStr">
        <is>
          <t>004849</t>
        </is>
      </c>
      <c r="C314" s="3" t="inlineStr">
        <is>
          <t>003874</t>
        </is>
      </c>
      <c r="D314" s="4" t="n">
        <v>45044</v>
      </c>
      <c r="E314" s="2" t="inlineStr">
        <is>
          <t>14:42</t>
        </is>
      </c>
      <c r="F314" s="5">
        <f>C314-C313</f>
        <v/>
      </c>
      <c r="G314" s="5">
        <f>B314-B313</f>
        <v/>
      </c>
      <c r="H314" s="2">
        <f>IF(AND(F314=1,G314=1),"OK","À JUSTIFIER")</f>
        <v/>
      </c>
    </row>
    <row r="315">
      <c r="A315" s="2" t="inlineStr">
        <is>
          <t>EJ020523.TXT</t>
        </is>
      </c>
      <c r="B315" s="3" t="inlineStr">
        <is>
          <t>004850</t>
        </is>
      </c>
      <c r="C315" s="3" t="inlineStr">
        <is>
          <t>003875</t>
        </is>
      </c>
      <c r="D315" s="4" t="n">
        <v>45045</v>
      </c>
      <c r="E315" s="2" t="inlineStr">
        <is>
          <t>11:03</t>
        </is>
      </c>
      <c r="F315" s="5">
        <f>C315-C314</f>
        <v/>
      </c>
      <c r="G315" s="5">
        <f>B315-B314</f>
        <v/>
      </c>
      <c r="H315" s="2">
        <f>IF(AND(F315=1,G315=1),"OK","À JUSTIFIER")</f>
        <v/>
      </c>
    </row>
    <row r="316">
      <c r="A316" s="2" t="inlineStr">
        <is>
          <t>EJ020523.TXT</t>
        </is>
      </c>
      <c r="B316" s="3" t="inlineStr">
        <is>
          <t>004851</t>
        </is>
      </c>
      <c r="C316" s="3" t="inlineStr">
        <is>
          <t>003876</t>
        </is>
      </c>
      <c r="D316" s="4" t="n">
        <v>45045</v>
      </c>
      <c r="E316" s="2" t="inlineStr">
        <is>
          <t>11:04</t>
        </is>
      </c>
      <c r="F316" s="5">
        <f>C316-C315</f>
        <v/>
      </c>
      <c r="G316" s="5">
        <f>B316-B315</f>
        <v/>
      </c>
      <c r="H316" s="2">
        <f>IF(AND(F316=1,G316=1),"OK","À JUSTIFIER")</f>
        <v/>
      </c>
    </row>
    <row r="317">
      <c r="A317" s="2" t="inlineStr">
        <is>
          <t>EJ020523.TXT</t>
        </is>
      </c>
      <c r="B317" s="3" t="inlineStr">
        <is>
          <t>004852</t>
        </is>
      </c>
      <c r="C317" s="3" t="inlineStr">
        <is>
          <t>003877</t>
        </is>
      </c>
      <c r="D317" s="4" t="n">
        <v>45045</v>
      </c>
      <c r="E317" s="2" t="inlineStr">
        <is>
          <t>11:05</t>
        </is>
      </c>
      <c r="F317" s="5">
        <f>C317-C316</f>
        <v/>
      </c>
      <c r="G317" s="5">
        <f>B317-B316</f>
        <v/>
      </c>
      <c r="H317" s="2">
        <f>IF(AND(F317=1,G317=1),"OK","À JUSTIFIER")</f>
        <v/>
      </c>
    </row>
    <row r="318">
      <c r="A318" s="2" t="inlineStr">
        <is>
          <t>EJ020523.TXT</t>
        </is>
      </c>
      <c r="B318" s="3" t="inlineStr">
        <is>
          <t>004853</t>
        </is>
      </c>
      <c r="C318" s="3" t="inlineStr">
        <is>
          <t>003878</t>
        </is>
      </c>
      <c r="D318" s="4" t="n">
        <v>45045</v>
      </c>
      <c r="E318" s="2" t="inlineStr">
        <is>
          <t>16:36</t>
        </is>
      </c>
      <c r="F318" s="5">
        <f>C318-C317</f>
        <v/>
      </c>
      <c r="G318" s="5">
        <f>B318-B317</f>
        <v/>
      </c>
      <c r="H318" s="2">
        <f>IF(AND(F318=1,G318=1),"OK","À JUSTIFIER")</f>
        <v/>
      </c>
    </row>
    <row r="319">
      <c r="A319" s="2" t="inlineStr">
        <is>
          <t>EJ020523.TXT</t>
        </is>
      </c>
      <c r="B319" s="3" t="inlineStr">
        <is>
          <t>004854</t>
        </is>
      </c>
      <c r="C319" s="3" t="inlineStr">
        <is>
          <t>003879</t>
        </is>
      </c>
      <c r="D319" s="4" t="n">
        <v>45045</v>
      </c>
      <c r="E319" s="2" t="inlineStr">
        <is>
          <t>16:37</t>
        </is>
      </c>
      <c r="F319" s="5">
        <f>C319-C318</f>
        <v/>
      </c>
      <c r="G319" s="5">
        <f>B319-B318</f>
        <v/>
      </c>
      <c r="H319" s="2">
        <f>IF(AND(F319=1,G319=1),"OK","À JUSTIFIER")</f>
        <v/>
      </c>
    </row>
    <row r="320">
      <c r="A320" s="2" t="inlineStr">
        <is>
          <t>EJ010623.TXT</t>
        </is>
      </c>
      <c r="B320" s="3" t="inlineStr">
        <is>
          <t>004862</t>
        </is>
      </c>
      <c r="C320" s="3" t="inlineStr">
        <is>
          <t>003880</t>
        </is>
      </c>
      <c r="D320" s="4" t="n">
        <v>45048</v>
      </c>
      <c r="E320" s="2" t="inlineStr">
        <is>
          <t>14:20</t>
        </is>
      </c>
      <c r="F320" s="5">
        <f>C320-C319</f>
        <v/>
      </c>
      <c r="G320" s="5">
        <f>B320-B319</f>
        <v/>
      </c>
      <c r="H320" s="2">
        <f>IF(AND(F320=1,G320=1),"OK","À JUSTIFIER")</f>
        <v/>
      </c>
    </row>
    <row r="321">
      <c r="A321" s="2" t="inlineStr">
        <is>
          <t>EJ010623.TXT</t>
        </is>
      </c>
      <c r="B321" s="3" t="inlineStr">
        <is>
          <t>004863</t>
        </is>
      </c>
      <c r="C321" s="3" t="inlineStr">
        <is>
          <t>003881</t>
        </is>
      </c>
      <c r="D321" s="4" t="n">
        <v>45048</v>
      </c>
      <c r="E321" s="2" t="inlineStr">
        <is>
          <t>14:22</t>
        </is>
      </c>
      <c r="F321" s="5">
        <f>C321-C320</f>
        <v/>
      </c>
      <c r="G321" s="5">
        <f>B321-B320</f>
        <v/>
      </c>
      <c r="H321" s="2">
        <f>IF(AND(F321=1,G321=1),"OK","À JUSTIFIER")</f>
        <v/>
      </c>
    </row>
    <row r="322">
      <c r="A322" s="2" t="inlineStr">
        <is>
          <t>EJ010623.TXT</t>
        </is>
      </c>
      <c r="B322" s="3" t="inlineStr">
        <is>
          <t>004864</t>
        </is>
      </c>
      <c r="C322" s="3" t="inlineStr">
        <is>
          <t>003882</t>
        </is>
      </c>
      <c r="D322" s="4" t="n">
        <v>45048</v>
      </c>
      <c r="E322" s="2" t="inlineStr">
        <is>
          <t>14:23</t>
        </is>
      </c>
      <c r="F322" s="5">
        <f>C322-C321</f>
        <v/>
      </c>
      <c r="G322" s="5">
        <f>B322-B321</f>
        <v/>
      </c>
      <c r="H322" s="2">
        <f>IF(AND(F322=1,G322=1),"OK","À JUSTIFIER")</f>
        <v/>
      </c>
    </row>
    <row r="323">
      <c r="A323" s="2" t="inlineStr">
        <is>
          <t>EJ010623.TXT</t>
        </is>
      </c>
      <c r="B323" s="3" t="inlineStr">
        <is>
          <t>004865</t>
        </is>
      </c>
      <c r="C323" s="3" t="inlineStr">
        <is>
          <t>003883</t>
        </is>
      </c>
      <c r="D323" s="4" t="n">
        <v>45048</v>
      </c>
      <c r="E323" s="2" t="inlineStr">
        <is>
          <t>15:25</t>
        </is>
      </c>
      <c r="F323" s="5">
        <f>C323-C322</f>
        <v/>
      </c>
      <c r="G323" s="5">
        <f>B323-B322</f>
        <v/>
      </c>
      <c r="H323" s="2">
        <f>IF(AND(F323=1,G323=1),"OK","À JUSTIFIER")</f>
        <v/>
      </c>
    </row>
    <row r="324">
      <c r="A324" s="2" t="inlineStr">
        <is>
          <t>EJ010623.TXT</t>
        </is>
      </c>
      <c r="B324" s="3" t="inlineStr">
        <is>
          <t>004866</t>
        </is>
      </c>
      <c r="C324" s="3" t="inlineStr">
        <is>
          <t>003884</t>
        </is>
      </c>
      <c r="D324" s="4" t="n">
        <v>45048</v>
      </c>
      <c r="E324" s="2" t="inlineStr">
        <is>
          <t>15:27</t>
        </is>
      </c>
      <c r="F324" s="5">
        <f>C324-C323</f>
        <v/>
      </c>
      <c r="G324" s="5">
        <f>B324-B323</f>
        <v/>
      </c>
      <c r="H324" s="2">
        <f>IF(AND(F324=1,G324=1),"OK","À JUSTIFIER")</f>
        <v/>
      </c>
    </row>
    <row r="325">
      <c r="A325" s="2" t="inlineStr">
        <is>
          <t>EJ010623.TXT</t>
        </is>
      </c>
      <c r="B325" s="3" t="inlineStr">
        <is>
          <t>004867</t>
        </is>
      </c>
      <c r="C325" s="3" t="inlineStr">
        <is>
          <t>003885</t>
        </is>
      </c>
      <c r="D325" s="4" t="n">
        <v>45048</v>
      </c>
      <c r="E325" s="2" t="inlineStr">
        <is>
          <t>17:20</t>
        </is>
      </c>
      <c r="F325" s="5">
        <f>C325-C324</f>
        <v/>
      </c>
      <c r="G325" s="5">
        <f>B325-B324</f>
        <v/>
      </c>
      <c r="H325" s="2">
        <f>IF(AND(F325=1,G325=1),"OK","À JUSTIFIER")</f>
        <v/>
      </c>
    </row>
    <row r="326">
      <c r="A326" s="2" t="inlineStr">
        <is>
          <t>EJ010623.TXT</t>
        </is>
      </c>
      <c r="B326" s="3" t="inlineStr">
        <is>
          <t>004868</t>
        </is>
      </c>
      <c r="C326" s="3" t="inlineStr">
        <is>
          <t>003886</t>
        </is>
      </c>
      <c r="D326" s="4" t="n">
        <v>45051</v>
      </c>
      <c r="E326" s="2" t="inlineStr">
        <is>
          <t>10:55</t>
        </is>
      </c>
      <c r="F326" s="5">
        <f>C326-C325</f>
        <v/>
      </c>
      <c r="G326" s="5">
        <f>B326-B325</f>
        <v/>
      </c>
      <c r="H326" s="2">
        <f>IF(AND(F326=1,G326=1),"OK","À JUSTIFIER")</f>
        <v/>
      </c>
    </row>
    <row r="327">
      <c r="A327" s="2" t="inlineStr">
        <is>
          <t>EJ010623.TXT</t>
        </is>
      </c>
      <c r="B327" s="3" t="inlineStr">
        <is>
          <t>004869</t>
        </is>
      </c>
      <c r="C327" s="3" t="inlineStr">
        <is>
          <t>003887</t>
        </is>
      </c>
      <c r="D327" s="4" t="n">
        <v>45051</v>
      </c>
      <c r="E327" s="2" t="inlineStr">
        <is>
          <t>15:45</t>
        </is>
      </c>
      <c r="F327" s="5">
        <f>C327-C326</f>
        <v/>
      </c>
      <c r="G327" s="5">
        <f>B327-B326</f>
        <v/>
      </c>
      <c r="H327" s="2">
        <f>IF(AND(F327=1,G327=1),"OK","À JUSTIFIER")</f>
        <v/>
      </c>
    </row>
    <row r="328">
      <c r="A328" s="2" t="inlineStr">
        <is>
          <t>EJ010623.TXT</t>
        </is>
      </c>
      <c r="B328" s="3" t="inlineStr">
        <is>
          <t>004870</t>
        </is>
      </c>
      <c r="C328" s="3" t="inlineStr">
        <is>
          <t>003888</t>
        </is>
      </c>
      <c r="D328" s="4" t="n">
        <v>45052</v>
      </c>
      <c r="E328" s="2" t="inlineStr">
        <is>
          <t>16:48</t>
        </is>
      </c>
      <c r="F328" s="5">
        <f>C328-C327</f>
        <v/>
      </c>
      <c r="G328" s="5">
        <f>B328-B327</f>
        <v/>
      </c>
      <c r="H328" s="2">
        <f>IF(AND(F328=1,G328=1),"OK","À JUSTIFIER")</f>
        <v/>
      </c>
    </row>
    <row r="329">
      <c r="A329" s="2" t="inlineStr">
        <is>
          <t>EJ010623.TXT</t>
        </is>
      </c>
      <c r="B329" s="3" t="inlineStr">
        <is>
          <t>004871</t>
        </is>
      </c>
      <c r="C329" s="3" t="inlineStr">
        <is>
          <t>003889</t>
        </is>
      </c>
      <c r="D329" s="4" t="n">
        <v>45055</v>
      </c>
      <c r="E329" s="2" t="inlineStr">
        <is>
          <t>11:11</t>
        </is>
      </c>
      <c r="F329" s="5">
        <f>C329-C328</f>
        <v/>
      </c>
      <c r="G329" s="5">
        <f>B329-B328</f>
        <v/>
      </c>
      <c r="H329" s="2">
        <f>IF(AND(F329=1,G329=1),"OK","À JUSTIFIER")</f>
        <v/>
      </c>
    </row>
    <row r="330">
      <c r="A330" s="2" t="inlineStr">
        <is>
          <t>EJ010623.TXT</t>
        </is>
      </c>
      <c r="B330" s="3" t="inlineStr">
        <is>
          <t>004872</t>
        </is>
      </c>
      <c r="C330" s="3" t="inlineStr">
        <is>
          <t>003890</t>
        </is>
      </c>
      <c r="D330" s="4" t="n">
        <v>45055</v>
      </c>
      <c r="E330" s="2" t="inlineStr">
        <is>
          <t>16:33</t>
        </is>
      </c>
      <c r="F330" s="5">
        <f>C330-C329</f>
        <v/>
      </c>
      <c r="G330" s="5">
        <f>B330-B329</f>
        <v/>
      </c>
      <c r="H330" s="2">
        <f>IF(AND(F330=1,G330=1),"OK","À JUSTIFIER")</f>
        <v/>
      </c>
    </row>
    <row r="331">
      <c r="A331" s="2" t="inlineStr">
        <is>
          <t>EJ010623.TXT</t>
        </is>
      </c>
      <c r="B331" s="3" t="inlineStr">
        <is>
          <t>004873</t>
        </is>
      </c>
      <c r="C331" s="3" t="inlineStr">
        <is>
          <t>003891</t>
        </is>
      </c>
      <c r="D331" s="4" t="n">
        <v>45056</v>
      </c>
      <c r="E331" s="2" t="inlineStr">
        <is>
          <t>13:39</t>
        </is>
      </c>
      <c r="F331" s="5">
        <f>C331-C330</f>
        <v/>
      </c>
      <c r="G331" s="5">
        <f>B331-B330</f>
        <v/>
      </c>
      <c r="H331" s="2">
        <f>IF(AND(F331=1,G331=1),"OK","À JUSTIFIER")</f>
        <v/>
      </c>
    </row>
    <row r="332">
      <c r="A332" s="2" t="inlineStr">
        <is>
          <t>EJ010623.TXT</t>
        </is>
      </c>
      <c r="B332" s="3" t="inlineStr">
        <is>
          <t>004874</t>
        </is>
      </c>
      <c r="C332" s="3" t="inlineStr">
        <is>
          <t>003892</t>
        </is>
      </c>
      <c r="D332" s="4" t="n">
        <v>45056</v>
      </c>
      <c r="E332" s="2" t="inlineStr">
        <is>
          <t>15:57</t>
        </is>
      </c>
      <c r="F332" s="5">
        <f>C332-C331</f>
        <v/>
      </c>
      <c r="G332" s="5">
        <f>B332-B331</f>
        <v/>
      </c>
      <c r="H332" s="2">
        <f>IF(AND(F332=1,G332=1),"OK","À JUSTIFIER")</f>
        <v/>
      </c>
    </row>
    <row r="333">
      <c r="A333" s="2" t="inlineStr">
        <is>
          <t>EJ010623.TXT</t>
        </is>
      </c>
      <c r="B333" s="3" t="inlineStr">
        <is>
          <t>004875</t>
        </is>
      </c>
      <c r="C333" s="3" t="inlineStr">
        <is>
          <t>003893</t>
        </is>
      </c>
      <c r="D333" s="4" t="n">
        <v>45057</v>
      </c>
      <c r="E333" s="2" t="inlineStr">
        <is>
          <t>14:08</t>
        </is>
      </c>
      <c r="F333" s="5">
        <f>C333-C332</f>
        <v/>
      </c>
      <c r="G333" s="5">
        <f>B333-B332</f>
        <v/>
      </c>
      <c r="H333" s="2">
        <f>IF(AND(F333=1,G333=1),"OK","À JUSTIFIER")</f>
        <v/>
      </c>
    </row>
    <row r="334">
      <c r="A334" s="2" t="inlineStr">
        <is>
          <t>EJ010623.TXT</t>
        </is>
      </c>
      <c r="B334" s="3" t="inlineStr">
        <is>
          <t>004876</t>
        </is>
      </c>
      <c r="C334" s="3" t="inlineStr">
        <is>
          <t>003894</t>
        </is>
      </c>
      <c r="D334" s="4" t="n">
        <v>45057</v>
      </c>
      <c r="E334" s="2" t="inlineStr">
        <is>
          <t>14:11</t>
        </is>
      </c>
      <c r="F334" s="5">
        <f>C334-C333</f>
        <v/>
      </c>
      <c r="G334" s="5">
        <f>B334-B333</f>
        <v/>
      </c>
      <c r="H334" s="2">
        <f>IF(AND(F334=1,G334=1),"OK","À JUSTIFIER")</f>
        <v/>
      </c>
    </row>
    <row r="335">
      <c r="A335" s="2" t="inlineStr">
        <is>
          <t>EJ010623.TXT</t>
        </is>
      </c>
      <c r="B335" s="3" t="inlineStr">
        <is>
          <t>004877</t>
        </is>
      </c>
      <c r="C335" s="3" t="inlineStr">
        <is>
          <t>003895</t>
        </is>
      </c>
      <c r="D335" s="4" t="n">
        <v>45057</v>
      </c>
      <c r="E335" s="2" t="inlineStr">
        <is>
          <t>14:53</t>
        </is>
      </c>
      <c r="F335" s="5">
        <f>C335-C334</f>
        <v/>
      </c>
      <c r="G335" s="5">
        <f>B335-B334</f>
        <v/>
      </c>
      <c r="H335" s="2">
        <f>IF(AND(F335=1,G335=1),"OK","À JUSTIFIER")</f>
        <v/>
      </c>
    </row>
    <row r="336">
      <c r="A336" s="2" t="inlineStr">
        <is>
          <t>EJ010623.TXT</t>
        </is>
      </c>
      <c r="B336" s="3" t="inlineStr">
        <is>
          <t>004878</t>
        </is>
      </c>
      <c r="C336" s="3" t="inlineStr">
        <is>
          <t>003896</t>
        </is>
      </c>
      <c r="D336" s="4" t="n">
        <v>45058</v>
      </c>
      <c r="E336" s="2" t="inlineStr">
        <is>
          <t>13:40</t>
        </is>
      </c>
      <c r="F336" s="5">
        <f>C336-C335</f>
        <v/>
      </c>
      <c r="G336" s="5">
        <f>B336-B335</f>
        <v/>
      </c>
      <c r="H336" s="2">
        <f>IF(AND(F336=1,G336=1),"OK","À JUSTIFIER")</f>
        <v/>
      </c>
    </row>
    <row r="337">
      <c r="A337" s="2" t="inlineStr">
        <is>
          <t>EJ010623.TXT</t>
        </is>
      </c>
      <c r="B337" s="3" t="inlineStr">
        <is>
          <t>004879</t>
        </is>
      </c>
      <c r="C337" s="3" t="inlineStr">
        <is>
          <t>003897</t>
        </is>
      </c>
      <c r="D337" s="4" t="n">
        <v>45058</v>
      </c>
      <c r="E337" s="2" t="inlineStr">
        <is>
          <t>15:50</t>
        </is>
      </c>
      <c r="F337" s="5">
        <f>C337-C336</f>
        <v/>
      </c>
      <c r="G337" s="5">
        <f>B337-B336</f>
        <v/>
      </c>
      <c r="H337" s="2">
        <f>IF(AND(F337=1,G337=1),"OK","À JUSTIFIER")</f>
        <v/>
      </c>
    </row>
    <row r="338">
      <c r="A338" s="2" t="inlineStr">
        <is>
          <t>EJ010623.TXT</t>
        </is>
      </c>
      <c r="B338" s="3" t="inlineStr">
        <is>
          <t>004880</t>
        </is>
      </c>
      <c r="C338" s="3" t="inlineStr">
        <is>
          <t>003898</t>
        </is>
      </c>
      <c r="D338" s="4" t="n">
        <v>45059</v>
      </c>
      <c r="E338" s="2" t="inlineStr">
        <is>
          <t>14:10</t>
        </is>
      </c>
      <c r="F338" s="5">
        <f>C338-C337</f>
        <v/>
      </c>
      <c r="G338" s="5">
        <f>B338-B337</f>
        <v/>
      </c>
      <c r="H338" s="2">
        <f>IF(AND(F338=1,G338=1),"OK","À JUSTIFIER")</f>
        <v/>
      </c>
    </row>
    <row r="339">
      <c r="A339" s="2" t="inlineStr">
        <is>
          <t>EJ010623.TXT</t>
        </is>
      </c>
      <c r="B339" s="3" t="inlineStr">
        <is>
          <t>004881</t>
        </is>
      </c>
      <c r="C339" s="3" t="inlineStr">
        <is>
          <t>003899</t>
        </is>
      </c>
      <c r="D339" s="4" t="n">
        <v>45059</v>
      </c>
      <c r="E339" s="2" t="inlineStr">
        <is>
          <t>15:44</t>
        </is>
      </c>
      <c r="F339" s="5">
        <f>C339-C338</f>
        <v/>
      </c>
      <c r="G339" s="5">
        <f>B339-B338</f>
        <v/>
      </c>
      <c r="H339" s="2">
        <f>IF(AND(F339=1,G339=1),"OK","À JUSTIFIER")</f>
        <v/>
      </c>
    </row>
    <row r="340">
      <c r="A340" s="2" t="inlineStr">
        <is>
          <t>EJ010623.TXT</t>
        </is>
      </c>
      <c r="B340" s="3" t="inlineStr">
        <is>
          <t>004882</t>
        </is>
      </c>
      <c r="C340" s="3" t="inlineStr">
        <is>
          <t>003900</t>
        </is>
      </c>
      <c r="D340" s="4" t="n">
        <v>45059</v>
      </c>
      <c r="E340" s="2" t="inlineStr">
        <is>
          <t>16:20</t>
        </is>
      </c>
      <c r="F340" s="5">
        <f>C340-C339</f>
        <v/>
      </c>
      <c r="G340" s="5">
        <f>B340-B339</f>
        <v/>
      </c>
      <c r="H340" s="2">
        <f>IF(AND(F340=1,G340=1),"OK","À JUSTIFIER")</f>
        <v/>
      </c>
    </row>
    <row r="341">
      <c r="A341" s="2" t="inlineStr">
        <is>
          <t>EJ010623.TXT</t>
        </is>
      </c>
      <c r="B341" s="3" t="inlineStr">
        <is>
          <t>004883</t>
        </is>
      </c>
      <c r="C341" s="3" t="inlineStr">
        <is>
          <t>003901</t>
        </is>
      </c>
      <c r="D341" s="4" t="n">
        <v>45061</v>
      </c>
      <c r="E341" s="2" t="inlineStr">
        <is>
          <t>09:23</t>
        </is>
      </c>
      <c r="F341" s="5">
        <f>C341-C340</f>
        <v/>
      </c>
      <c r="G341" s="5">
        <f>B341-B340</f>
        <v/>
      </c>
      <c r="H341" s="2">
        <f>IF(AND(F341=1,G341=1),"OK","À JUSTIFIER")</f>
        <v/>
      </c>
    </row>
    <row r="342">
      <c r="A342" s="2" t="inlineStr">
        <is>
          <t>EJ010623.TXT</t>
        </is>
      </c>
      <c r="B342" s="3" t="inlineStr">
        <is>
          <t>004884</t>
        </is>
      </c>
      <c r="C342" s="3" t="inlineStr">
        <is>
          <t>003902</t>
        </is>
      </c>
      <c r="D342" s="4" t="n">
        <v>45062</v>
      </c>
      <c r="E342" s="2" t="inlineStr">
        <is>
          <t>13:55</t>
        </is>
      </c>
      <c r="F342" s="5">
        <f>C342-C341</f>
        <v/>
      </c>
      <c r="G342" s="5">
        <f>B342-B341</f>
        <v/>
      </c>
      <c r="H342" s="2">
        <f>IF(AND(F342=1,G342=1),"OK","À JUSTIFIER")</f>
        <v/>
      </c>
    </row>
    <row r="343">
      <c r="A343" s="2" t="inlineStr">
        <is>
          <t>EJ010623.TXT</t>
        </is>
      </c>
      <c r="B343" s="3" t="inlineStr">
        <is>
          <t>004885</t>
        </is>
      </c>
      <c r="C343" s="3" t="inlineStr">
        <is>
          <t>003903</t>
        </is>
      </c>
      <c r="D343" s="4" t="n">
        <v>45065</v>
      </c>
      <c r="E343" s="2" t="inlineStr">
        <is>
          <t>11:05</t>
        </is>
      </c>
      <c r="F343" s="5">
        <f>C343-C342</f>
        <v/>
      </c>
      <c r="G343" s="5">
        <f>B343-B342</f>
        <v/>
      </c>
      <c r="H343" s="2">
        <f>IF(AND(F343=1,G343=1),"OK","À JUSTIFIER")</f>
        <v/>
      </c>
    </row>
    <row r="344">
      <c r="A344" s="2" t="inlineStr">
        <is>
          <t>EJ010623.TXT</t>
        </is>
      </c>
      <c r="B344" s="3" t="inlineStr">
        <is>
          <t>004886</t>
        </is>
      </c>
      <c r="C344" s="3" t="inlineStr">
        <is>
          <t>003904</t>
        </is>
      </c>
      <c r="D344" s="4" t="n">
        <v>45065</v>
      </c>
      <c r="E344" s="2" t="inlineStr">
        <is>
          <t>11:05</t>
        </is>
      </c>
      <c r="F344" s="5">
        <f>C344-C343</f>
        <v/>
      </c>
      <c r="G344" s="5">
        <f>B344-B343</f>
        <v/>
      </c>
      <c r="H344" s="2">
        <f>IF(AND(F344=1,G344=1),"OK","À JUSTIFIER")</f>
        <v/>
      </c>
    </row>
    <row r="345">
      <c r="A345" s="2" t="inlineStr">
        <is>
          <t>EJ010623.TXT</t>
        </is>
      </c>
      <c r="B345" s="3" t="inlineStr">
        <is>
          <t>004887</t>
        </is>
      </c>
      <c r="C345" s="3" t="inlineStr">
        <is>
          <t>003905</t>
        </is>
      </c>
      <c r="D345" s="4" t="n">
        <v>45065</v>
      </c>
      <c r="E345" s="2" t="inlineStr">
        <is>
          <t>16:50</t>
        </is>
      </c>
      <c r="F345" s="5">
        <f>C345-C344</f>
        <v/>
      </c>
      <c r="G345" s="5">
        <f>B345-B344</f>
        <v/>
      </c>
      <c r="H345" s="2">
        <f>IF(AND(F345=1,G345=1),"OK","À JUSTIFIER")</f>
        <v/>
      </c>
    </row>
    <row r="346">
      <c r="A346" s="2" t="inlineStr">
        <is>
          <t>EJ010623.TXT</t>
        </is>
      </c>
      <c r="B346" s="3" t="inlineStr">
        <is>
          <t>004888</t>
        </is>
      </c>
      <c r="C346" s="3" t="inlineStr">
        <is>
          <t>003906</t>
        </is>
      </c>
      <c r="D346" s="4" t="n">
        <v>45065</v>
      </c>
      <c r="E346" s="2" t="inlineStr">
        <is>
          <t>17:23</t>
        </is>
      </c>
      <c r="F346" s="5">
        <f>C346-C345</f>
        <v/>
      </c>
      <c r="G346" s="5">
        <f>B346-B345</f>
        <v/>
      </c>
      <c r="H346" s="2">
        <f>IF(AND(F346=1,G346=1),"OK","À JUSTIFIER")</f>
        <v/>
      </c>
    </row>
    <row r="347">
      <c r="A347" s="2" t="inlineStr">
        <is>
          <t>EJ010623.TXT</t>
        </is>
      </c>
      <c r="B347" s="3" t="inlineStr">
        <is>
          <t>004889</t>
        </is>
      </c>
      <c r="C347" s="3" t="inlineStr">
        <is>
          <t>003907</t>
        </is>
      </c>
      <c r="D347" s="4" t="n">
        <v>45066</v>
      </c>
      <c r="E347" s="2" t="inlineStr">
        <is>
          <t>14:27</t>
        </is>
      </c>
      <c r="F347" s="5">
        <f>C347-C346</f>
        <v/>
      </c>
      <c r="G347" s="5">
        <f>B347-B346</f>
        <v/>
      </c>
      <c r="H347" s="2">
        <f>IF(AND(F347=1,G347=1),"OK","À JUSTIFIER")</f>
        <v/>
      </c>
    </row>
    <row r="348">
      <c r="A348" s="2" t="inlineStr">
        <is>
          <t>EJ010623.TXT</t>
        </is>
      </c>
      <c r="B348" s="3" t="inlineStr">
        <is>
          <t>004890</t>
        </is>
      </c>
      <c r="C348" s="3" t="inlineStr">
        <is>
          <t>003908</t>
        </is>
      </c>
      <c r="D348" s="4" t="n">
        <v>45066</v>
      </c>
      <c r="E348" s="2" t="inlineStr">
        <is>
          <t>14:27</t>
        </is>
      </c>
      <c r="F348" s="5">
        <f>C348-C347</f>
        <v/>
      </c>
      <c r="G348" s="5">
        <f>B348-B347</f>
        <v/>
      </c>
      <c r="H348" s="2">
        <f>IF(AND(F348=1,G348=1),"OK","À JUSTIFIER")</f>
        <v/>
      </c>
    </row>
    <row r="349">
      <c r="A349" s="2" t="inlineStr">
        <is>
          <t>EJ010623.TXT</t>
        </is>
      </c>
      <c r="B349" s="3" t="inlineStr">
        <is>
          <t>004891</t>
        </is>
      </c>
      <c r="C349" s="3" t="inlineStr">
        <is>
          <t>003909</t>
        </is>
      </c>
      <c r="D349" s="4" t="n">
        <v>45066</v>
      </c>
      <c r="E349" s="2" t="inlineStr">
        <is>
          <t>14:28</t>
        </is>
      </c>
      <c r="F349" s="5">
        <f>C349-C348</f>
        <v/>
      </c>
      <c r="G349" s="5">
        <f>B349-B348</f>
        <v/>
      </c>
      <c r="H349" s="2">
        <f>IF(AND(F349=1,G349=1),"OK","À JUSTIFIER")</f>
        <v/>
      </c>
    </row>
    <row r="350">
      <c r="A350" s="2" t="inlineStr">
        <is>
          <t>EJ010623.TXT</t>
        </is>
      </c>
      <c r="B350" s="3" t="inlineStr">
        <is>
          <t>004892</t>
        </is>
      </c>
      <c r="C350" s="3" t="inlineStr">
        <is>
          <t>003910</t>
        </is>
      </c>
      <c r="D350" s="4" t="n">
        <v>45066</v>
      </c>
      <c r="E350" s="2" t="inlineStr">
        <is>
          <t>14:50</t>
        </is>
      </c>
      <c r="F350" s="5">
        <f>C350-C349</f>
        <v/>
      </c>
      <c r="G350" s="5">
        <f>B350-B349</f>
        <v/>
      </c>
      <c r="H350" s="2">
        <f>IF(AND(F350=1,G350=1),"OK","À JUSTIFIER")</f>
        <v/>
      </c>
    </row>
    <row r="351">
      <c r="A351" s="2" t="inlineStr">
        <is>
          <t>EJ010623.TXT</t>
        </is>
      </c>
      <c r="B351" s="3" t="inlineStr">
        <is>
          <t>004893</t>
        </is>
      </c>
      <c r="C351" s="3" t="inlineStr">
        <is>
          <t>003911</t>
        </is>
      </c>
      <c r="D351" s="4" t="n">
        <v>45066</v>
      </c>
      <c r="E351" s="2" t="inlineStr">
        <is>
          <t>14:51</t>
        </is>
      </c>
      <c r="F351" s="5">
        <f>C351-C350</f>
        <v/>
      </c>
      <c r="G351" s="5">
        <f>B351-B350</f>
        <v/>
      </c>
      <c r="H351" s="2">
        <f>IF(AND(F351=1,G351=1),"OK","À JUSTIFIER")</f>
        <v/>
      </c>
    </row>
    <row r="352">
      <c r="A352" s="2" t="inlineStr">
        <is>
          <t>EJ010623.TXT</t>
        </is>
      </c>
      <c r="B352" s="3" t="inlineStr">
        <is>
          <t>004894</t>
        </is>
      </c>
      <c r="C352" s="3" t="inlineStr">
        <is>
          <t>003912</t>
        </is>
      </c>
      <c r="D352" s="4" t="n">
        <v>45066</v>
      </c>
      <c r="E352" s="2" t="inlineStr">
        <is>
          <t>14:52</t>
        </is>
      </c>
      <c r="F352" s="5">
        <f>C352-C351</f>
        <v/>
      </c>
      <c r="G352" s="5">
        <f>B352-B351</f>
        <v/>
      </c>
      <c r="H352" s="2">
        <f>IF(AND(F352=1,G352=1),"OK","À JUSTIFIER")</f>
        <v/>
      </c>
    </row>
    <row r="353">
      <c r="A353" s="2" t="inlineStr">
        <is>
          <t>EJ010623.TXT</t>
        </is>
      </c>
      <c r="B353" s="3" t="inlineStr">
        <is>
          <t>004895</t>
        </is>
      </c>
      <c r="C353" s="3" t="inlineStr">
        <is>
          <t>003913</t>
        </is>
      </c>
      <c r="D353" s="4" t="n">
        <v>45066</v>
      </c>
      <c r="E353" s="2" t="inlineStr">
        <is>
          <t>14:59</t>
        </is>
      </c>
      <c r="F353" s="5">
        <f>C353-C352</f>
        <v/>
      </c>
      <c r="G353" s="5">
        <f>B353-B352</f>
        <v/>
      </c>
      <c r="H353" s="2">
        <f>IF(AND(F353=1,G353=1),"OK","À JUSTIFIER")</f>
        <v/>
      </c>
    </row>
    <row r="354">
      <c r="A354" s="2" t="inlineStr">
        <is>
          <t>EJ010623.TXT</t>
        </is>
      </c>
      <c r="B354" s="3" t="inlineStr">
        <is>
          <t>004896</t>
        </is>
      </c>
      <c r="C354" s="3" t="inlineStr">
        <is>
          <t>003914</t>
        </is>
      </c>
      <c r="D354" s="4" t="n">
        <v>45069</v>
      </c>
      <c r="E354" s="2" t="inlineStr">
        <is>
          <t>15:25</t>
        </is>
      </c>
      <c r="F354" s="5">
        <f>C354-C353</f>
        <v/>
      </c>
      <c r="G354" s="5">
        <f>B354-B353</f>
        <v/>
      </c>
      <c r="H354" s="2">
        <f>IF(AND(F354=1,G354=1),"OK","À JUSTIFIER")</f>
        <v/>
      </c>
    </row>
    <row r="355">
      <c r="A355" s="2" t="inlineStr">
        <is>
          <t>EJ010623.TXT</t>
        </is>
      </c>
      <c r="B355" s="3" t="inlineStr">
        <is>
          <t>004897</t>
        </is>
      </c>
      <c r="C355" s="3" t="inlineStr">
        <is>
          <t>003915</t>
        </is>
      </c>
      <c r="D355" s="4" t="n">
        <v>45070</v>
      </c>
      <c r="E355" s="2" t="inlineStr">
        <is>
          <t>10:19</t>
        </is>
      </c>
      <c r="F355" s="5">
        <f>C355-C354</f>
        <v/>
      </c>
      <c r="G355" s="5">
        <f>B355-B354</f>
        <v/>
      </c>
      <c r="H355" s="2">
        <f>IF(AND(F355=1,G355=1),"OK","À JUSTIFIER")</f>
        <v/>
      </c>
    </row>
    <row r="356">
      <c r="A356" s="2" t="inlineStr">
        <is>
          <t>EJ010623.TXT</t>
        </is>
      </c>
      <c r="B356" s="3" t="inlineStr">
        <is>
          <t>004898</t>
        </is>
      </c>
      <c r="C356" s="3" t="inlineStr">
        <is>
          <t>003916</t>
        </is>
      </c>
      <c r="D356" s="4" t="n">
        <v>45070</v>
      </c>
      <c r="E356" s="2" t="inlineStr">
        <is>
          <t>10:40</t>
        </is>
      </c>
      <c r="F356" s="5">
        <f>C356-C355</f>
        <v/>
      </c>
      <c r="G356" s="5">
        <f>B356-B355</f>
        <v/>
      </c>
      <c r="H356" s="2">
        <f>IF(AND(F356=1,G356=1),"OK","À JUSTIFIER")</f>
        <v/>
      </c>
    </row>
    <row r="357">
      <c r="A357" s="2" t="inlineStr">
        <is>
          <t>EJ010623.TXT</t>
        </is>
      </c>
      <c r="B357" s="3" t="inlineStr">
        <is>
          <t>004899</t>
        </is>
      </c>
      <c r="C357" s="3" t="inlineStr">
        <is>
          <t>003917</t>
        </is>
      </c>
      <c r="D357" s="4" t="n">
        <v>45070</v>
      </c>
      <c r="E357" s="2" t="inlineStr">
        <is>
          <t>11:38</t>
        </is>
      </c>
      <c r="F357" s="5">
        <f>C357-C356</f>
        <v/>
      </c>
      <c r="G357" s="5">
        <f>B357-B356</f>
        <v/>
      </c>
      <c r="H357" s="2">
        <f>IF(AND(F357=1,G357=1),"OK","À JUSTIFIER")</f>
        <v/>
      </c>
    </row>
    <row r="358">
      <c r="A358" s="2" t="inlineStr">
        <is>
          <t>EJ010623.TXT</t>
        </is>
      </c>
      <c r="B358" s="3" t="inlineStr">
        <is>
          <t>004900</t>
        </is>
      </c>
      <c r="C358" s="3" t="inlineStr">
        <is>
          <t>003918</t>
        </is>
      </c>
      <c r="D358" s="4" t="n">
        <v>45071</v>
      </c>
      <c r="E358" s="2" t="inlineStr">
        <is>
          <t>09:11</t>
        </is>
      </c>
      <c r="F358" s="5">
        <f>C358-C357</f>
        <v/>
      </c>
      <c r="G358" s="5">
        <f>B358-B357</f>
        <v/>
      </c>
      <c r="H358" s="2">
        <f>IF(AND(F358=1,G358=1),"OK","À JUSTIFIER")</f>
        <v/>
      </c>
    </row>
    <row r="359">
      <c r="A359" s="2" t="inlineStr">
        <is>
          <t>EJ010623.TXT</t>
        </is>
      </c>
      <c r="B359" s="3" t="inlineStr">
        <is>
          <t>004901</t>
        </is>
      </c>
      <c r="C359" s="3" t="inlineStr">
        <is>
          <t>003919</t>
        </is>
      </c>
      <c r="D359" s="4" t="n">
        <v>45071</v>
      </c>
      <c r="E359" s="2" t="inlineStr">
        <is>
          <t>15:56</t>
        </is>
      </c>
      <c r="F359" s="5">
        <f>C359-C358</f>
        <v/>
      </c>
      <c r="G359" s="5">
        <f>B359-B358</f>
        <v/>
      </c>
      <c r="H359" s="2">
        <f>IF(AND(F359=1,G359=1),"OK","À JUSTIFIER")</f>
        <v/>
      </c>
    </row>
    <row r="360">
      <c r="A360" s="2" t="inlineStr">
        <is>
          <t>EJ010623.TXT</t>
        </is>
      </c>
      <c r="B360" s="3" t="inlineStr">
        <is>
          <t>004902</t>
        </is>
      </c>
      <c r="C360" s="3" t="inlineStr">
        <is>
          <t>003920</t>
        </is>
      </c>
      <c r="D360" s="4" t="n">
        <v>45072</v>
      </c>
      <c r="E360" s="2" t="inlineStr">
        <is>
          <t>09:13</t>
        </is>
      </c>
      <c r="F360" s="5">
        <f>C360-C359</f>
        <v/>
      </c>
      <c r="G360" s="5">
        <f>B360-B359</f>
        <v/>
      </c>
      <c r="H360" s="2">
        <f>IF(AND(F360=1,G360=1),"OK","À JUSTIFIER")</f>
        <v/>
      </c>
    </row>
    <row r="361">
      <c r="A361" s="2" t="inlineStr">
        <is>
          <t>EJ010623.TXT</t>
        </is>
      </c>
      <c r="B361" s="3" t="inlineStr">
        <is>
          <t>004903</t>
        </is>
      </c>
      <c r="C361" s="3" t="inlineStr">
        <is>
          <t>003921</t>
        </is>
      </c>
      <c r="D361" s="4" t="n">
        <v>45072</v>
      </c>
      <c r="E361" s="2" t="inlineStr">
        <is>
          <t>10:11</t>
        </is>
      </c>
      <c r="F361" s="5">
        <f>C361-C360</f>
        <v/>
      </c>
      <c r="G361" s="5">
        <f>B361-B360</f>
        <v/>
      </c>
      <c r="H361" s="2">
        <f>IF(AND(F361=1,G361=1),"OK","À JUSTIFIER")</f>
        <v/>
      </c>
    </row>
    <row r="362">
      <c r="A362" s="2" t="inlineStr">
        <is>
          <t>EJ010623.TXT</t>
        </is>
      </c>
      <c r="B362" s="3" t="inlineStr">
        <is>
          <t>004904</t>
        </is>
      </c>
      <c r="C362" s="3" t="inlineStr">
        <is>
          <t>003922</t>
        </is>
      </c>
      <c r="D362" s="4" t="n">
        <v>45073</v>
      </c>
      <c r="E362" s="2" t="inlineStr">
        <is>
          <t>14:23</t>
        </is>
      </c>
      <c r="F362" s="5">
        <f>C362-C361</f>
        <v/>
      </c>
      <c r="G362" s="5">
        <f>B362-B361</f>
        <v/>
      </c>
      <c r="H362" s="2">
        <f>IF(AND(F362=1,G362=1),"OK","À JUSTIFIER")</f>
        <v/>
      </c>
    </row>
    <row r="363">
      <c r="A363" s="2" t="inlineStr">
        <is>
          <t>EJ010623.TXT</t>
        </is>
      </c>
      <c r="B363" s="3" t="inlineStr">
        <is>
          <t>004905</t>
        </is>
      </c>
      <c r="C363" s="3" t="inlineStr">
        <is>
          <t>003923</t>
        </is>
      </c>
      <c r="D363" s="4" t="n">
        <v>45073</v>
      </c>
      <c r="E363" s="2" t="inlineStr">
        <is>
          <t>17:42</t>
        </is>
      </c>
      <c r="F363" s="5">
        <f>C363-C362</f>
        <v/>
      </c>
      <c r="G363" s="5">
        <f>B363-B362</f>
        <v/>
      </c>
      <c r="H363" s="2">
        <f>IF(AND(F363=1,G363=1),"OK","À JUSTIFIER")</f>
        <v/>
      </c>
    </row>
    <row r="364">
      <c r="A364" s="2" t="inlineStr">
        <is>
          <t>EJ010623.TXT</t>
        </is>
      </c>
      <c r="B364" s="3" t="inlineStr">
        <is>
          <t>004906</t>
        </is>
      </c>
      <c r="C364" s="3" t="inlineStr">
        <is>
          <t>003924</t>
        </is>
      </c>
      <c r="D364" s="4" t="n">
        <v>45075</v>
      </c>
      <c r="E364" s="2" t="inlineStr">
        <is>
          <t>15:18</t>
        </is>
      </c>
      <c r="F364" s="5">
        <f>C364-C363</f>
        <v/>
      </c>
      <c r="G364" s="5">
        <f>B364-B363</f>
        <v/>
      </c>
      <c r="H364" s="2">
        <f>IF(AND(F364=1,G364=1),"OK","À JUSTIFIER")</f>
        <v/>
      </c>
    </row>
    <row r="365">
      <c r="A365" s="2" t="inlineStr">
        <is>
          <t>EJ010623.TXT</t>
        </is>
      </c>
      <c r="B365" s="3" t="inlineStr">
        <is>
          <t>004907</t>
        </is>
      </c>
      <c r="C365" s="3" t="inlineStr">
        <is>
          <t>003925</t>
        </is>
      </c>
      <c r="D365" s="4" t="n">
        <v>45075</v>
      </c>
      <c r="E365" s="2" t="inlineStr">
        <is>
          <t>16:05</t>
        </is>
      </c>
      <c r="F365" s="5">
        <f>C365-C364</f>
        <v/>
      </c>
      <c r="G365" s="5">
        <f>B365-B364</f>
        <v/>
      </c>
      <c r="H365" s="2">
        <f>IF(AND(F365=1,G365=1),"OK","À JUSTIFIER")</f>
        <v/>
      </c>
    </row>
    <row r="366">
      <c r="A366" s="2" t="inlineStr">
        <is>
          <t>EJ010623.TXT</t>
        </is>
      </c>
      <c r="B366" s="3" t="inlineStr">
        <is>
          <t>004908</t>
        </is>
      </c>
      <c r="C366" s="3" t="inlineStr">
        <is>
          <t>003926</t>
        </is>
      </c>
      <c r="D366" s="4" t="n">
        <v>45077</v>
      </c>
      <c r="E366" s="2" t="inlineStr">
        <is>
          <t>11:07</t>
        </is>
      </c>
      <c r="F366" s="5">
        <f>C366-C365</f>
        <v/>
      </c>
      <c r="G366" s="5">
        <f>B366-B365</f>
        <v/>
      </c>
      <c r="H366" s="2">
        <f>IF(AND(F366=1,G366=1),"OK","À JUSTIFIER")</f>
        <v/>
      </c>
    </row>
    <row r="367">
      <c r="A367" s="2" t="inlineStr">
        <is>
          <t>EJ010723.TXT</t>
        </is>
      </c>
      <c r="B367" s="3" t="inlineStr">
        <is>
          <t>004916</t>
        </is>
      </c>
      <c r="C367" s="3" t="inlineStr">
        <is>
          <t>003927</t>
        </is>
      </c>
      <c r="D367" s="4" t="n">
        <v>45078</v>
      </c>
      <c r="E367" s="2" t="inlineStr">
        <is>
          <t>10:44</t>
        </is>
      </c>
      <c r="F367" s="5">
        <f>C367-C366</f>
        <v/>
      </c>
      <c r="G367" s="5">
        <f>B367-B366</f>
        <v/>
      </c>
      <c r="H367" s="2">
        <f>IF(AND(F367=1,G367=1),"OK","À JUSTIFIER")</f>
        <v/>
      </c>
    </row>
    <row r="368">
      <c r="A368" s="2" t="inlineStr">
        <is>
          <t>EJ010723.TXT</t>
        </is>
      </c>
      <c r="B368" s="3" t="inlineStr">
        <is>
          <t>004917</t>
        </is>
      </c>
      <c r="C368" s="3" t="inlineStr">
        <is>
          <t>003928</t>
        </is>
      </c>
      <c r="D368" s="4" t="n">
        <v>45078</v>
      </c>
      <c r="E368" s="2" t="inlineStr">
        <is>
          <t>10:44</t>
        </is>
      </c>
      <c r="F368" s="5">
        <f>C368-C367</f>
        <v/>
      </c>
      <c r="G368" s="5">
        <f>B368-B367</f>
        <v/>
      </c>
      <c r="H368" s="2">
        <f>IF(AND(F368=1,G368=1),"OK","À JUSTIFIER")</f>
        <v/>
      </c>
    </row>
    <row r="369">
      <c r="A369" s="2" t="inlineStr">
        <is>
          <t>EJ010723.TXT</t>
        </is>
      </c>
      <c r="B369" s="3" t="inlineStr">
        <is>
          <t>004918</t>
        </is>
      </c>
      <c r="C369" s="3" t="inlineStr">
        <is>
          <t>003929</t>
        </is>
      </c>
      <c r="D369" s="4" t="n">
        <v>45078</v>
      </c>
      <c r="E369" s="2" t="inlineStr">
        <is>
          <t>10:48</t>
        </is>
      </c>
      <c r="F369" s="5">
        <f>C369-C368</f>
        <v/>
      </c>
      <c r="G369" s="5">
        <f>B369-B368</f>
        <v/>
      </c>
      <c r="H369" s="2">
        <f>IF(AND(F369=1,G369=1),"OK","À JUSTIFIER")</f>
        <v/>
      </c>
    </row>
    <row r="370">
      <c r="A370" s="2" t="inlineStr">
        <is>
          <t>EJ010723.TXT</t>
        </is>
      </c>
      <c r="B370" s="3" t="inlineStr">
        <is>
          <t>004919</t>
        </is>
      </c>
      <c r="C370" s="3" t="inlineStr">
        <is>
          <t>003930</t>
        </is>
      </c>
      <c r="D370" s="4" t="n">
        <v>45078</v>
      </c>
      <c r="E370" s="2" t="inlineStr">
        <is>
          <t>15:15</t>
        </is>
      </c>
      <c r="F370" s="5">
        <f>C370-C369</f>
        <v/>
      </c>
      <c r="G370" s="5">
        <f>B370-B369</f>
        <v/>
      </c>
      <c r="H370" s="2">
        <f>IF(AND(F370=1,G370=1),"OK","À JUSTIFIER")</f>
        <v/>
      </c>
    </row>
    <row r="371">
      <c r="A371" s="2" t="inlineStr">
        <is>
          <t>EJ010723.TXT</t>
        </is>
      </c>
      <c r="B371" s="3" t="inlineStr">
        <is>
          <t>004920</t>
        </is>
      </c>
      <c r="C371" s="3" t="inlineStr">
        <is>
          <t>003931</t>
        </is>
      </c>
      <c r="D371" s="4" t="n">
        <v>45080</v>
      </c>
      <c r="E371" s="2" t="inlineStr">
        <is>
          <t>14:59</t>
        </is>
      </c>
      <c r="F371" s="5">
        <f>C371-C370</f>
        <v/>
      </c>
      <c r="G371" s="5">
        <f>B371-B370</f>
        <v/>
      </c>
      <c r="H371" s="2">
        <f>IF(AND(F371=1,G371=1),"OK","À JUSTIFIER")</f>
        <v/>
      </c>
    </row>
    <row r="372">
      <c r="A372" s="2" t="inlineStr">
        <is>
          <t>EJ010723.TXT</t>
        </is>
      </c>
      <c r="B372" s="3" t="inlineStr">
        <is>
          <t>004921</t>
        </is>
      </c>
      <c r="C372" s="3" t="inlineStr">
        <is>
          <t>003932</t>
        </is>
      </c>
      <c r="D372" s="4" t="n">
        <v>45080</v>
      </c>
      <c r="E372" s="2" t="inlineStr">
        <is>
          <t>15:54</t>
        </is>
      </c>
      <c r="F372" s="5">
        <f>C372-C371</f>
        <v/>
      </c>
      <c r="G372" s="5">
        <f>B372-B371</f>
        <v/>
      </c>
      <c r="H372" s="2">
        <f>IF(AND(F372=1,G372=1),"OK","À JUSTIFIER")</f>
        <v/>
      </c>
    </row>
    <row r="373">
      <c r="A373" s="2" t="inlineStr">
        <is>
          <t>EJ010723.TXT</t>
        </is>
      </c>
      <c r="B373" s="3" t="inlineStr">
        <is>
          <t>004922</t>
        </is>
      </c>
      <c r="C373" s="3" t="inlineStr">
        <is>
          <t>003933</t>
        </is>
      </c>
      <c r="D373" s="4" t="n">
        <v>45080</v>
      </c>
      <c r="E373" s="2" t="inlineStr">
        <is>
          <t>16:42</t>
        </is>
      </c>
      <c r="F373" s="5">
        <f>C373-C372</f>
        <v/>
      </c>
      <c r="G373" s="5">
        <f>B373-B372</f>
        <v/>
      </c>
      <c r="H373" s="2">
        <f>IF(AND(F373=1,G373=1),"OK","À JUSTIFIER")</f>
        <v/>
      </c>
    </row>
    <row r="374">
      <c r="A374" s="2" t="inlineStr">
        <is>
          <t>EJ010723.TXT</t>
        </is>
      </c>
      <c r="B374" s="3" t="inlineStr">
        <is>
          <t>004923</t>
        </is>
      </c>
      <c r="C374" s="3" t="inlineStr">
        <is>
          <t>003934</t>
        </is>
      </c>
      <c r="D374" s="4" t="n">
        <v>45080</v>
      </c>
      <c r="E374" s="2" t="inlineStr">
        <is>
          <t>16:42</t>
        </is>
      </c>
      <c r="F374" s="5">
        <f>C374-C373</f>
        <v/>
      </c>
      <c r="G374" s="5">
        <f>B374-B373</f>
        <v/>
      </c>
      <c r="H374" s="2">
        <f>IF(AND(F374=1,G374=1),"OK","À JUSTIFIER")</f>
        <v/>
      </c>
    </row>
    <row r="375">
      <c r="A375" s="2" t="inlineStr">
        <is>
          <t>EJ010723.TXT</t>
        </is>
      </c>
      <c r="B375" s="3" t="inlineStr">
        <is>
          <t>004924</t>
        </is>
      </c>
      <c r="C375" s="3" t="inlineStr">
        <is>
          <t>003935</t>
        </is>
      </c>
      <c r="D375" s="4" t="n">
        <v>45080</v>
      </c>
      <c r="E375" s="2" t="inlineStr">
        <is>
          <t>16:52</t>
        </is>
      </c>
      <c r="F375" s="5">
        <f>C375-C374</f>
        <v/>
      </c>
      <c r="G375" s="5">
        <f>B375-B374</f>
        <v/>
      </c>
      <c r="H375" s="2">
        <f>IF(AND(F375=1,G375=1),"OK","À JUSTIFIER")</f>
        <v/>
      </c>
    </row>
    <row r="376">
      <c r="A376" s="2" t="inlineStr">
        <is>
          <t>EJ010723.TXT</t>
        </is>
      </c>
      <c r="B376" s="3" t="inlineStr">
        <is>
          <t>004925</t>
        </is>
      </c>
      <c r="C376" s="3" t="inlineStr">
        <is>
          <t>003936</t>
        </is>
      </c>
      <c r="D376" s="4" t="n">
        <v>45080</v>
      </c>
      <c r="E376" s="2" t="inlineStr">
        <is>
          <t>18:06</t>
        </is>
      </c>
      <c r="F376" s="5">
        <f>C376-C375</f>
        <v/>
      </c>
      <c r="G376" s="5">
        <f>B376-B375</f>
        <v/>
      </c>
      <c r="H376" s="2">
        <f>IF(AND(F376=1,G376=1),"OK","À JUSTIFIER")</f>
        <v/>
      </c>
    </row>
    <row r="377">
      <c r="A377" s="2" t="inlineStr">
        <is>
          <t>EJ010723.TXT</t>
        </is>
      </c>
      <c r="B377" s="3" t="inlineStr">
        <is>
          <t>004926</t>
        </is>
      </c>
      <c r="C377" s="3" t="inlineStr">
        <is>
          <t>003937</t>
        </is>
      </c>
      <c r="D377" s="4" t="n">
        <v>45082</v>
      </c>
      <c r="E377" s="2" t="inlineStr">
        <is>
          <t>15:27</t>
        </is>
      </c>
      <c r="F377" s="5">
        <f>C377-C376</f>
        <v/>
      </c>
      <c r="G377" s="5">
        <f>B377-B376</f>
        <v/>
      </c>
      <c r="H377" s="2">
        <f>IF(AND(F377=1,G377=1),"OK","À JUSTIFIER")</f>
        <v/>
      </c>
    </row>
    <row r="378">
      <c r="A378" s="2" t="inlineStr">
        <is>
          <t>EJ010723.TXT</t>
        </is>
      </c>
      <c r="B378" s="3" t="inlineStr">
        <is>
          <t>004927</t>
        </is>
      </c>
      <c r="C378" s="3" t="inlineStr">
        <is>
          <t>003938</t>
        </is>
      </c>
      <c r="D378" s="4" t="n">
        <v>45082</v>
      </c>
      <c r="E378" s="2" t="inlineStr">
        <is>
          <t>15:31</t>
        </is>
      </c>
      <c r="F378" s="5">
        <f>C378-C377</f>
        <v/>
      </c>
      <c r="G378" s="5">
        <f>B378-B377</f>
        <v/>
      </c>
      <c r="H378" s="2">
        <f>IF(AND(F378=1,G378=1),"OK","À JUSTIFIER")</f>
        <v/>
      </c>
    </row>
    <row r="379">
      <c r="A379" s="2" t="inlineStr">
        <is>
          <t>EJ010723.TXT</t>
        </is>
      </c>
      <c r="B379" s="3" t="inlineStr">
        <is>
          <t>004928</t>
        </is>
      </c>
      <c r="C379" s="3" t="inlineStr">
        <is>
          <t>003939</t>
        </is>
      </c>
      <c r="D379" s="4" t="n">
        <v>45083</v>
      </c>
      <c r="E379" s="2" t="inlineStr">
        <is>
          <t>10:02</t>
        </is>
      </c>
      <c r="F379" s="5">
        <f>C379-C378</f>
        <v/>
      </c>
      <c r="G379" s="5">
        <f>B379-B378</f>
        <v/>
      </c>
      <c r="H379" s="2">
        <f>IF(AND(F379=1,G379=1),"OK","À JUSTIFIER")</f>
        <v/>
      </c>
    </row>
    <row r="380">
      <c r="A380" s="2" t="inlineStr">
        <is>
          <t>EJ010723.TXT</t>
        </is>
      </c>
      <c r="B380" s="3" t="inlineStr">
        <is>
          <t>004929</t>
        </is>
      </c>
      <c r="C380" s="3" t="inlineStr">
        <is>
          <t>003940</t>
        </is>
      </c>
      <c r="D380" s="4" t="n">
        <v>45083</v>
      </c>
      <c r="E380" s="2" t="inlineStr">
        <is>
          <t>17:43</t>
        </is>
      </c>
      <c r="F380" s="5">
        <f>C380-C379</f>
        <v/>
      </c>
      <c r="G380" s="5">
        <f>B380-B379</f>
        <v/>
      </c>
      <c r="H380" s="2">
        <f>IF(AND(F380=1,G380=1),"OK","À JUSTIFIER")</f>
        <v/>
      </c>
    </row>
    <row r="381">
      <c r="A381" s="2" t="inlineStr">
        <is>
          <t>EJ010723.TXT</t>
        </is>
      </c>
      <c r="B381" s="3" t="inlineStr">
        <is>
          <t>004930</t>
        </is>
      </c>
      <c r="C381" s="3" t="inlineStr">
        <is>
          <t>003941</t>
        </is>
      </c>
      <c r="D381" s="4" t="n">
        <v>45084</v>
      </c>
      <c r="E381" s="2" t="inlineStr">
        <is>
          <t>10:00</t>
        </is>
      </c>
      <c r="F381" s="5">
        <f>C381-C380</f>
        <v/>
      </c>
      <c r="G381" s="5">
        <f>B381-B380</f>
        <v/>
      </c>
      <c r="H381" s="2">
        <f>IF(AND(F381=1,G381=1),"OK","À JUSTIFIER")</f>
        <v/>
      </c>
    </row>
    <row r="382">
      <c r="A382" s="2" t="inlineStr">
        <is>
          <t>EJ010723.TXT</t>
        </is>
      </c>
      <c r="B382" s="3" t="inlineStr">
        <is>
          <t>004931</t>
        </is>
      </c>
      <c r="C382" s="3" t="inlineStr">
        <is>
          <t>003942</t>
        </is>
      </c>
      <c r="D382" s="4" t="n">
        <v>45084</v>
      </c>
      <c r="E382" s="2" t="inlineStr">
        <is>
          <t>10:00</t>
        </is>
      </c>
      <c r="F382" s="5">
        <f>C382-C381</f>
        <v/>
      </c>
      <c r="G382" s="5">
        <f>B382-B381</f>
        <v/>
      </c>
      <c r="H382" s="2">
        <f>IF(AND(F382=1,G382=1),"OK","À JUSTIFIER")</f>
        <v/>
      </c>
    </row>
    <row r="383">
      <c r="A383" s="2" t="inlineStr">
        <is>
          <t>EJ010723.TXT</t>
        </is>
      </c>
      <c r="B383" s="3" t="inlineStr">
        <is>
          <t>004932</t>
        </is>
      </c>
      <c r="C383" s="3" t="inlineStr">
        <is>
          <t>003943</t>
        </is>
      </c>
      <c r="D383" s="4" t="n">
        <v>45090</v>
      </c>
      <c r="E383" s="2" t="inlineStr">
        <is>
          <t>14:33</t>
        </is>
      </c>
      <c r="F383" s="5">
        <f>C383-C382</f>
        <v/>
      </c>
      <c r="G383" s="5">
        <f>B383-B382</f>
        <v/>
      </c>
      <c r="H383" s="2">
        <f>IF(AND(F383=1,G383=1),"OK","À JUSTIFIER")</f>
        <v/>
      </c>
    </row>
    <row r="384">
      <c r="A384" s="2" t="inlineStr">
        <is>
          <t>EJ010723.TXT</t>
        </is>
      </c>
      <c r="B384" s="3" t="inlineStr">
        <is>
          <t>004933</t>
        </is>
      </c>
      <c r="C384" s="3" t="inlineStr">
        <is>
          <t>003944</t>
        </is>
      </c>
      <c r="D384" s="4" t="n">
        <v>45091</v>
      </c>
      <c r="E384" s="2" t="inlineStr">
        <is>
          <t>15:01</t>
        </is>
      </c>
      <c r="F384" s="5">
        <f>C384-C383</f>
        <v/>
      </c>
      <c r="G384" s="5">
        <f>B384-B383</f>
        <v/>
      </c>
      <c r="H384" s="2">
        <f>IF(AND(F384=1,G384=1),"OK","À JUSTIFIER")</f>
        <v/>
      </c>
    </row>
    <row r="385">
      <c r="A385" s="2" t="inlineStr">
        <is>
          <t>EJ010723.TXT</t>
        </is>
      </c>
      <c r="B385" s="3" t="inlineStr">
        <is>
          <t>004934</t>
        </is>
      </c>
      <c r="C385" s="3" t="inlineStr">
        <is>
          <t>003945</t>
        </is>
      </c>
      <c r="D385" s="4" t="n">
        <v>45094</v>
      </c>
      <c r="E385" s="2" t="inlineStr">
        <is>
          <t>16:58</t>
        </is>
      </c>
      <c r="F385" s="5">
        <f>C385-C384</f>
        <v/>
      </c>
      <c r="G385" s="5">
        <f>B385-B384</f>
        <v/>
      </c>
      <c r="H385" s="2">
        <f>IF(AND(F385=1,G385=1),"OK","À JUSTIFIER")</f>
        <v/>
      </c>
    </row>
    <row r="386">
      <c r="A386" s="2" t="inlineStr">
        <is>
          <t>EJ010723.TXT</t>
        </is>
      </c>
      <c r="B386" s="3" t="inlineStr">
        <is>
          <t>004935</t>
        </is>
      </c>
      <c r="C386" s="3" t="inlineStr">
        <is>
          <t>003946</t>
        </is>
      </c>
      <c r="D386" s="4" t="n">
        <v>45096</v>
      </c>
      <c r="E386" s="2" t="inlineStr">
        <is>
          <t>12:41</t>
        </is>
      </c>
      <c r="F386" s="5">
        <f>C386-C385</f>
        <v/>
      </c>
      <c r="G386" s="5">
        <f>B386-B385</f>
        <v/>
      </c>
      <c r="H386" s="2">
        <f>IF(AND(F386=1,G386=1),"OK","À JUSTIFIER")</f>
        <v/>
      </c>
    </row>
    <row r="387">
      <c r="A387" s="2" t="inlineStr">
        <is>
          <t>EJ010723.TXT</t>
        </is>
      </c>
      <c r="B387" s="3" t="inlineStr">
        <is>
          <t>004936</t>
        </is>
      </c>
      <c r="C387" s="3" t="inlineStr">
        <is>
          <t>003947</t>
        </is>
      </c>
      <c r="D387" s="4" t="n">
        <v>45096</v>
      </c>
      <c r="E387" s="2" t="inlineStr">
        <is>
          <t>12:41</t>
        </is>
      </c>
      <c r="F387" s="5">
        <f>C387-C386</f>
        <v/>
      </c>
      <c r="G387" s="5">
        <f>B387-B386</f>
        <v/>
      </c>
      <c r="H387" s="2">
        <f>IF(AND(F387=1,G387=1),"OK","À JUSTIFIER")</f>
        <v/>
      </c>
    </row>
    <row r="388">
      <c r="A388" s="2" t="inlineStr">
        <is>
          <t>EJ010723.TXT</t>
        </is>
      </c>
      <c r="B388" s="3" t="inlineStr">
        <is>
          <t>004937</t>
        </is>
      </c>
      <c r="C388" s="3" t="inlineStr">
        <is>
          <t>003948</t>
        </is>
      </c>
      <c r="D388" s="4" t="n">
        <v>45096</v>
      </c>
      <c r="E388" s="2" t="inlineStr">
        <is>
          <t>12:42</t>
        </is>
      </c>
      <c r="F388" s="5">
        <f>C388-C387</f>
        <v/>
      </c>
      <c r="G388" s="5">
        <f>B388-B387</f>
        <v/>
      </c>
      <c r="H388" s="2">
        <f>IF(AND(F388=1,G388=1),"OK","À JUSTIFIER")</f>
        <v/>
      </c>
    </row>
    <row r="389">
      <c r="A389" s="2" t="inlineStr">
        <is>
          <t>EJ010723.TXT</t>
        </is>
      </c>
      <c r="B389" s="3" t="inlineStr">
        <is>
          <t>004938</t>
        </is>
      </c>
      <c r="C389" s="3" t="inlineStr">
        <is>
          <t>003949</t>
        </is>
      </c>
      <c r="D389" s="4" t="n">
        <v>45096</v>
      </c>
      <c r="E389" s="2" t="inlineStr">
        <is>
          <t>12:42</t>
        </is>
      </c>
      <c r="F389" s="5">
        <f>C389-C388</f>
        <v/>
      </c>
      <c r="G389" s="5">
        <f>B389-B388</f>
        <v/>
      </c>
      <c r="H389" s="2">
        <f>IF(AND(F389=1,G389=1),"OK","À JUSTIFIER")</f>
        <v/>
      </c>
    </row>
    <row r="390">
      <c r="A390" s="2" t="inlineStr">
        <is>
          <t>EJ010723.TXT</t>
        </is>
      </c>
      <c r="B390" s="3" t="inlineStr">
        <is>
          <t>004939</t>
        </is>
      </c>
      <c r="C390" s="3" t="inlineStr">
        <is>
          <t>003950</t>
        </is>
      </c>
      <c r="D390" s="4" t="n">
        <v>45096</v>
      </c>
      <c r="E390" s="2" t="inlineStr">
        <is>
          <t>12:42</t>
        </is>
      </c>
      <c r="F390" s="5">
        <f>C390-C389</f>
        <v/>
      </c>
      <c r="G390" s="5">
        <f>B390-B389</f>
        <v/>
      </c>
      <c r="H390" s="2">
        <f>IF(AND(F390=1,G390=1),"OK","À JUSTIFIER")</f>
        <v/>
      </c>
    </row>
    <row r="391">
      <c r="A391" s="2" t="inlineStr">
        <is>
          <t>EJ010723.TXT</t>
        </is>
      </c>
      <c r="B391" s="3" t="inlineStr">
        <is>
          <t>004940</t>
        </is>
      </c>
      <c r="C391" s="3" t="inlineStr">
        <is>
          <t>003951</t>
        </is>
      </c>
      <c r="D391" s="4" t="n">
        <v>45096</v>
      </c>
      <c r="E391" s="2" t="inlineStr">
        <is>
          <t>12:42</t>
        </is>
      </c>
      <c r="F391" s="5">
        <f>C391-C390</f>
        <v/>
      </c>
      <c r="G391" s="5">
        <f>B391-B390</f>
        <v/>
      </c>
      <c r="H391" s="2">
        <f>IF(AND(F391=1,G391=1),"OK","À JUSTIFIER")</f>
        <v/>
      </c>
    </row>
    <row r="392">
      <c r="A392" s="2" t="inlineStr">
        <is>
          <t>EJ010723.TXT</t>
        </is>
      </c>
      <c r="B392" s="3" t="inlineStr">
        <is>
          <t>004941</t>
        </is>
      </c>
      <c r="C392" s="3" t="inlineStr">
        <is>
          <t>003952</t>
        </is>
      </c>
      <c r="D392" s="4" t="n">
        <v>45096</v>
      </c>
      <c r="E392" s="2" t="inlineStr">
        <is>
          <t>16:23</t>
        </is>
      </c>
      <c r="F392" s="5">
        <f>C392-C391</f>
        <v/>
      </c>
      <c r="G392" s="5">
        <f>B392-B391</f>
        <v/>
      </c>
      <c r="H392" s="2">
        <f>IF(AND(F392=1,G392=1),"OK","À JUSTIFIER")</f>
        <v/>
      </c>
    </row>
    <row r="393">
      <c r="A393" s="2" t="inlineStr">
        <is>
          <t>EJ010723.TXT</t>
        </is>
      </c>
      <c r="B393" s="3" t="inlineStr">
        <is>
          <t>004942</t>
        </is>
      </c>
      <c r="C393" s="3" t="inlineStr">
        <is>
          <t>003953</t>
        </is>
      </c>
      <c r="D393" s="4" t="n">
        <v>45096</v>
      </c>
      <c r="E393" s="2" t="inlineStr">
        <is>
          <t>16:25</t>
        </is>
      </c>
      <c r="F393" s="5">
        <f>C393-C392</f>
        <v/>
      </c>
      <c r="G393" s="5">
        <f>B393-B392</f>
        <v/>
      </c>
      <c r="H393" s="2">
        <f>IF(AND(F393=1,G393=1),"OK","À JUSTIFIER")</f>
        <v/>
      </c>
    </row>
    <row r="394">
      <c r="A394" s="2" t="inlineStr">
        <is>
          <t>EJ010723.TXT</t>
        </is>
      </c>
      <c r="B394" s="3" t="inlineStr">
        <is>
          <t>004943</t>
        </is>
      </c>
      <c r="C394" s="3" t="inlineStr">
        <is>
          <t>003954</t>
        </is>
      </c>
      <c r="D394" s="4" t="n">
        <v>45097</v>
      </c>
      <c r="E394" s="2" t="inlineStr">
        <is>
          <t>09:50</t>
        </is>
      </c>
      <c r="F394" s="5">
        <f>C394-C393</f>
        <v/>
      </c>
      <c r="G394" s="5">
        <f>B394-B393</f>
        <v/>
      </c>
      <c r="H394" s="2">
        <f>IF(AND(F394=1,G394=1),"OK","À JUSTIFIER")</f>
        <v/>
      </c>
    </row>
    <row r="395">
      <c r="A395" s="2" t="inlineStr">
        <is>
          <t>EJ010723.TXT</t>
        </is>
      </c>
      <c r="B395" s="3" t="inlineStr">
        <is>
          <t>004944</t>
        </is>
      </c>
      <c r="C395" s="3" t="inlineStr">
        <is>
          <t>003955</t>
        </is>
      </c>
      <c r="D395" s="4" t="n">
        <v>45097</v>
      </c>
      <c r="E395" s="2" t="inlineStr">
        <is>
          <t>14:24</t>
        </is>
      </c>
      <c r="F395" s="5">
        <f>C395-C394</f>
        <v/>
      </c>
      <c r="G395" s="5">
        <f>B395-B394</f>
        <v/>
      </c>
      <c r="H395" s="2">
        <f>IF(AND(F395=1,G395=1),"OK","À JUSTIFIER")</f>
        <v/>
      </c>
    </row>
    <row r="396">
      <c r="A396" s="2" t="inlineStr">
        <is>
          <t>EJ010723.TXT</t>
        </is>
      </c>
      <c r="B396" s="3" t="inlineStr">
        <is>
          <t>004945</t>
        </is>
      </c>
      <c r="C396" s="3" t="inlineStr">
        <is>
          <t>003956</t>
        </is>
      </c>
      <c r="D396" s="4" t="n">
        <v>45097</v>
      </c>
      <c r="E396" s="2" t="inlineStr">
        <is>
          <t>15:04</t>
        </is>
      </c>
      <c r="F396" s="5">
        <f>C396-C395</f>
        <v/>
      </c>
      <c r="G396" s="5">
        <f>B396-B395</f>
        <v/>
      </c>
      <c r="H396" s="2">
        <f>IF(AND(F396=1,G396=1),"OK","À JUSTIFIER")</f>
        <v/>
      </c>
    </row>
    <row r="397">
      <c r="A397" s="2" t="inlineStr">
        <is>
          <t>EJ010723.TXT</t>
        </is>
      </c>
      <c r="B397" s="3" t="inlineStr">
        <is>
          <t>004946</t>
        </is>
      </c>
      <c r="C397" s="3" t="inlineStr">
        <is>
          <t>003957</t>
        </is>
      </c>
      <c r="D397" s="4" t="n">
        <v>45098</v>
      </c>
      <c r="E397" s="2" t="inlineStr">
        <is>
          <t>09:24</t>
        </is>
      </c>
      <c r="F397" s="5">
        <f>C397-C396</f>
        <v/>
      </c>
      <c r="G397" s="5">
        <f>B397-B396</f>
        <v/>
      </c>
      <c r="H397" s="2">
        <f>IF(AND(F397=1,G397=1),"OK","À JUSTIFIER")</f>
        <v/>
      </c>
    </row>
    <row r="398">
      <c r="A398" s="2" t="inlineStr">
        <is>
          <t>EJ010723.TXT</t>
        </is>
      </c>
      <c r="B398" s="3" t="inlineStr">
        <is>
          <t>004947</t>
        </is>
      </c>
      <c r="C398" s="3" t="inlineStr">
        <is>
          <t>003958</t>
        </is>
      </c>
      <c r="D398" s="4" t="n">
        <v>45098</v>
      </c>
      <c r="E398" s="2" t="inlineStr">
        <is>
          <t>10:16</t>
        </is>
      </c>
      <c r="F398" s="5">
        <f>C398-C397</f>
        <v/>
      </c>
      <c r="G398" s="5">
        <f>B398-B397</f>
        <v/>
      </c>
      <c r="H398" s="2">
        <f>IF(AND(F398=1,G398=1),"OK","À JUSTIFIER")</f>
        <v/>
      </c>
    </row>
    <row r="399">
      <c r="A399" s="2" t="inlineStr">
        <is>
          <t>EJ010723.TXT</t>
        </is>
      </c>
      <c r="B399" s="3" t="inlineStr">
        <is>
          <t>004948</t>
        </is>
      </c>
      <c r="C399" s="3" t="inlineStr">
        <is>
          <t>003959</t>
        </is>
      </c>
      <c r="D399" s="4" t="n">
        <v>45098</v>
      </c>
      <c r="E399" s="2" t="inlineStr">
        <is>
          <t>10:17</t>
        </is>
      </c>
      <c r="F399" s="5">
        <f>C399-C398</f>
        <v/>
      </c>
      <c r="G399" s="5">
        <f>B399-B398</f>
        <v/>
      </c>
      <c r="H399" s="2">
        <f>IF(AND(F399=1,G399=1),"OK","À JUSTIFIER")</f>
        <v/>
      </c>
    </row>
    <row r="400">
      <c r="A400" s="2" t="inlineStr">
        <is>
          <t>EJ010723.TXT</t>
        </is>
      </c>
      <c r="B400" s="3" t="inlineStr">
        <is>
          <t>004949</t>
        </is>
      </c>
      <c r="C400" s="3" t="inlineStr">
        <is>
          <t>003960</t>
        </is>
      </c>
      <c r="D400" s="4" t="n">
        <v>45098</v>
      </c>
      <c r="E400" s="2" t="inlineStr">
        <is>
          <t>12:06</t>
        </is>
      </c>
      <c r="F400" s="5">
        <f>C400-C399</f>
        <v/>
      </c>
      <c r="G400" s="5">
        <f>B400-B399</f>
        <v/>
      </c>
      <c r="H400" s="2">
        <f>IF(AND(F400=1,G400=1),"OK","À JUSTIFIER")</f>
        <v/>
      </c>
    </row>
    <row r="401">
      <c r="A401" s="2" t="inlineStr">
        <is>
          <t>EJ010723.TXT</t>
        </is>
      </c>
      <c r="B401" s="3" t="inlineStr">
        <is>
          <t>004950</t>
        </is>
      </c>
      <c r="C401" s="3" t="inlineStr">
        <is>
          <t>003961</t>
        </is>
      </c>
      <c r="D401" s="4" t="n">
        <v>45099</v>
      </c>
      <c r="E401" s="2" t="inlineStr">
        <is>
          <t>09:51</t>
        </is>
      </c>
      <c r="F401" s="5">
        <f>C401-C400</f>
        <v/>
      </c>
      <c r="G401" s="5">
        <f>B401-B400</f>
        <v/>
      </c>
      <c r="H401" s="2">
        <f>IF(AND(F401=1,G401=1),"OK","À JUSTIFIER")</f>
        <v/>
      </c>
    </row>
    <row r="402">
      <c r="A402" s="2" t="inlineStr">
        <is>
          <t>EJ010723.TXT</t>
        </is>
      </c>
      <c r="B402" s="3" t="inlineStr">
        <is>
          <t>004951</t>
        </is>
      </c>
      <c r="C402" s="3" t="inlineStr">
        <is>
          <t>003962</t>
        </is>
      </c>
      <c r="D402" s="4" t="n">
        <v>45103</v>
      </c>
      <c r="E402" s="2" t="inlineStr">
        <is>
          <t>11:49</t>
        </is>
      </c>
      <c r="F402" s="5">
        <f>C402-C401</f>
        <v/>
      </c>
      <c r="G402" s="5">
        <f>B402-B401</f>
        <v/>
      </c>
      <c r="H402" s="2">
        <f>IF(AND(F402=1,G402=1),"OK","À JUSTIFIER")</f>
        <v/>
      </c>
    </row>
    <row r="403">
      <c r="A403" s="2" t="inlineStr">
        <is>
          <t>EJ010723.TXT</t>
        </is>
      </c>
      <c r="B403" s="3" t="inlineStr">
        <is>
          <t>004952</t>
        </is>
      </c>
      <c r="C403" s="3" t="inlineStr">
        <is>
          <t>003963</t>
        </is>
      </c>
      <c r="D403" s="4" t="n">
        <v>45104</v>
      </c>
      <c r="E403" s="2" t="inlineStr">
        <is>
          <t>10:14</t>
        </is>
      </c>
      <c r="F403" s="5">
        <f>C403-C402</f>
        <v/>
      </c>
      <c r="G403" s="5">
        <f>B403-B402</f>
        <v/>
      </c>
      <c r="H403" s="2">
        <f>IF(AND(F403=1,G403=1),"OK","À JUSTIFIER")</f>
        <v/>
      </c>
    </row>
    <row r="404">
      <c r="A404" s="2" t="inlineStr">
        <is>
          <t>EJ010723.TXT</t>
        </is>
      </c>
      <c r="B404" s="3" t="inlineStr">
        <is>
          <t>004953</t>
        </is>
      </c>
      <c r="C404" s="3" t="inlineStr">
        <is>
          <t>003964</t>
        </is>
      </c>
      <c r="D404" s="4" t="n">
        <v>45104</v>
      </c>
      <c r="E404" s="2" t="inlineStr">
        <is>
          <t>10:15</t>
        </is>
      </c>
      <c r="F404" s="5">
        <f>C404-C403</f>
        <v/>
      </c>
      <c r="G404" s="5">
        <f>B404-B403</f>
        <v/>
      </c>
      <c r="H404" s="2">
        <f>IF(AND(F404=1,G404=1),"OK","À JUSTIFIER")</f>
        <v/>
      </c>
    </row>
    <row r="405">
      <c r="A405" s="2" t="inlineStr">
        <is>
          <t>EJ010723.TXT</t>
        </is>
      </c>
      <c r="B405" s="3" t="inlineStr">
        <is>
          <t>004954</t>
        </is>
      </c>
      <c r="C405" s="3" t="inlineStr">
        <is>
          <t>003965</t>
        </is>
      </c>
      <c r="D405" s="4" t="n">
        <v>45104</v>
      </c>
      <c r="E405" s="2" t="inlineStr">
        <is>
          <t>10:56</t>
        </is>
      </c>
      <c r="F405" s="5">
        <f>C405-C404</f>
        <v/>
      </c>
      <c r="G405" s="5">
        <f>B405-B404</f>
        <v/>
      </c>
      <c r="H405" s="2">
        <f>IF(AND(F405=1,G405=1),"OK","À JUSTIFIER")</f>
        <v/>
      </c>
    </row>
    <row r="406">
      <c r="A406" s="2" t="inlineStr">
        <is>
          <t>EJ010723.TXT</t>
        </is>
      </c>
      <c r="B406" s="3" t="inlineStr">
        <is>
          <t>004955</t>
        </is>
      </c>
      <c r="C406" s="3" t="inlineStr">
        <is>
          <t>003966</t>
        </is>
      </c>
      <c r="D406" s="4" t="n">
        <v>45104</v>
      </c>
      <c r="E406" s="2" t="inlineStr">
        <is>
          <t>11:04</t>
        </is>
      </c>
      <c r="F406" s="5">
        <f>C406-C405</f>
        <v/>
      </c>
      <c r="G406" s="5">
        <f>B406-B405</f>
        <v/>
      </c>
      <c r="H406" s="2">
        <f>IF(AND(F406=1,G406=1),"OK","À JUSTIFIER")</f>
        <v/>
      </c>
    </row>
    <row r="407">
      <c r="A407" s="2" t="inlineStr">
        <is>
          <t>EJ010723.TXT</t>
        </is>
      </c>
      <c r="B407" s="3" t="inlineStr">
        <is>
          <t>004956</t>
        </is>
      </c>
      <c r="C407" s="3" t="inlineStr">
        <is>
          <t>003967</t>
        </is>
      </c>
      <c r="D407" s="4" t="n">
        <v>45104</v>
      </c>
      <c r="E407" s="2" t="inlineStr">
        <is>
          <t>11:04</t>
        </is>
      </c>
      <c r="F407" s="5">
        <f>C407-C406</f>
        <v/>
      </c>
      <c r="G407" s="5">
        <f>B407-B406</f>
        <v/>
      </c>
      <c r="H407" s="2">
        <f>IF(AND(F407=1,G407=1),"OK","À JUSTIFIER")</f>
        <v/>
      </c>
    </row>
    <row r="408">
      <c r="A408" s="2" t="inlineStr">
        <is>
          <t>EJ010723.TXT</t>
        </is>
      </c>
      <c r="B408" s="3" t="inlineStr">
        <is>
          <t>004957</t>
        </is>
      </c>
      <c r="C408" s="3" t="inlineStr">
        <is>
          <t>003968</t>
        </is>
      </c>
      <c r="D408" s="4" t="n">
        <v>45104</v>
      </c>
      <c r="E408" s="2" t="inlineStr">
        <is>
          <t>11:05</t>
        </is>
      </c>
      <c r="F408" s="5">
        <f>C408-C407</f>
        <v/>
      </c>
      <c r="G408" s="5">
        <f>B408-B407</f>
        <v/>
      </c>
      <c r="H408" s="2">
        <f>IF(AND(F408=1,G408=1),"OK","À JUSTIFIER")</f>
        <v/>
      </c>
    </row>
    <row r="409">
      <c r="A409" s="2" t="inlineStr">
        <is>
          <t>EJ010723.TXT</t>
        </is>
      </c>
      <c r="B409" s="3" t="inlineStr">
        <is>
          <t>004958</t>
        </is>
      </c>
      <c r="C409" s="3" t="inlineStr">
        <is>
          <t>003969</t>
        </is>
      </c>
      <c r="D409" s="4" t="n">
        <v>45104</v>
      </c>
      <c r="E409" s="2" t="inlineStr">
        <is>
          <t>11:05</t>
        </is>
      </c>
      <c r="F409" s="5">
        <f>C409-C408</f>
        <v/>
      </c>
      <c r="G409" s="5">
        <f>B409-B408</f>
        <v/>
      </c>
      <c r="H409" s="2">
        <f>IF(AND(F409=1,G409=1),"OK","À JUSTIFIER")</f>
        <v/>
      </c>
    </row>
    <row r="410">
      <c r="A410" s="2" t="inlineStr">
        <is>
          <t>EJ010723.TXT</t>
        </is>
      </c>
      <c r="B410" s="3" t="inlineStr">
        <is>
          <t>004959</t>
        </is>
      </c>
      <c r="C410" s="3" t="inlineStr">
        <is>
          <t>003970</t>
        </is>
      </c>
      <c r="D410" s="4" t="n">
        <v>45104</v>
      </c>
      <c r="E410" s="2" t="inlineStr">
        <is>
          <t>11:12</t>
        </is>
      </c>
      <c r="F410" s="5">
        <f>C410-C409</f>
        <v/>
      </c>
      <c r="G410" s="5">
        <f>B410-B409</f>
        <v/>
      </c>
      <c r="H410" s="2">
        <f>IF(AND(F410=1,G410=1),"OK","À JUSTIFIER")</f>
        <v/>
      </c>
    </row>
    <row r="411">
      <c r="A411" s="2" t="inlineStr">
        <is>
          <t>EJ010723.TXT</t>
        </is>
      </c>
      <c r="B411" s="3" t="inlineStr">
        <is>
          <t>004960</t>
        </is>
      </c>
      <c r="C411" s="3" t="inlineStr">
        <is>
          <t>003971</t>
        </is>
      </c>
      <c r="D411" s="4" t="n">
        <v>45107</v>
      </c>
      <c r="E411" s="2" t="inlineStr">
        <is>
          <t>13:37</t>
        </is>
      </c>
      <c r="F411" s="5">
        <f>C411-C410</f>
        <v/>
      </c>
      <c r="G411" s="5">
        <f>B411-B410</f>
        <v/>
      </c>
      <c r="H411" s="2">
        <f>IF(AND(F411=1,G411=1),"OK","À JUSTIFIER")</f>
        <v/>
      </c>
    </row>
    <row r="412">
      <c r="A412" s="2" t="inlineStr">
        <is>
          <t>EJ010723.TXT</t>
        </is>
      </c>
      <c r="B412" s="3" t="inlineStr">
        <is>
          <t>004961</t>
        </is>
      </c>
      <c r="C412" s="3" t="inlineStr">
        <is>
          <t>003972</t>
        </is>
      </c>
      <c r="D412" s="4" t="n">
        <v>45107</v>
      </c>
      <c r="E412" s="2" t="inlineStr">
        <is>
          <t>13:38</t>
        </is>
      </c>
      <c r="F412" s="5">
        <f>C412-C411</f>
        <v/>
      </c>
      <c r="G412" s="5">
        <f>B412-B411</f>
        <v/>
      </c>
      <c r="H412" s="2">
        <f>IF(AND(F412=1,G412=1),"OK","À JUSTIFIER")</f>
        <v/>
      </c>
    </row>
    <row r="413">
      <c r="A413" s="2" t="inlineStr">
        <is>
          <t>EJ010723.TXT</t>
        </is>
      </c>
      <c r="B413" s="3" t="inlineStr">
        <is>
          <t>004962</t>
        </is>
      </c>
      <c r="C413" s="3" t="inlineStr">
        <is>
          <t>003973</t>
        </is>
      </c>
      <c r="D413" s="4" t="n">
        <v>45108</v>
      </c>
      <c r="E413" s="2" t="inlineStr">
        <is>
          <t>14:46</t>
        </is>
      </c>
      <c r="F413" s="5">
        <f>C413-C412</f>
        <v/>
      </c>
      <c r="G413" s="5">
        <f>B413-B412</f>
        <v/>
      </c>
      <c r="H413" s="2">
        <f>IF(AND(F413=1,G413=1),"OK","À JUSTIFIER")</f>
        <v/>
      </c>
    </row>
    <row r="414">
      <c r="A414" s="2" t="inlineStr">
        <is>
          <t>EJ010823.TXT</t>
        </is>
      </c>
      <c r="B414" s="3" t="inlineStr">
        <is>
          <t>004970</t>
        </is>
      </c>
      <c r="C414" s="3" t="inlineStr">
        <is>
          <t>003974</t>
        </is>
      </c>
      <c r="D414" s="4" t="n">
        <v>45108</v>
      </c>
      <c r="E414" s="2" t="inlineStr">
        <is>
          <t>16:34</t>
        </is>
      </c>
      <c r="F414" s="5">
        <f>C414-C413</f>
        <v/>
      </c>
      <c r="G414" s="5">
        <f>B414-B413</f>
        <v/>
      </c>
      <c r="H414" s="2">
        <f>IF(AND(F414=1,G414=1),"OK","À JUSTIFIER")</f>
        <v/>
      </c>
    </row>
    <row r="415">
      <c r="A415" s="2" t="inlineStr">
        <is>
          <t>EJ010823.TXT</t>
        </is>
      </c>
      <c r="B415" s="3" t="inlineStr">
        <is>
          <t>004971</t>
        </is>
      </c>
      <c r="C415" s="3" t="inlineStr">
        <is>
          <t>003975</t>
        </is>
      </c>
      <c r="D415" s="4" t="n">
        <v>45110</v>
      </c>
      <c r="E415" s="2" t="inlineStr">
        <is>
          <t>15:51</t>
        </is>
      </c>
      <c r="F415" s="5">
        <f>C415-C414</f>
        <v/>
      </c>
      <c r="G415" s="5">
        <f>B415-B414</f>
        <v/>
      </c>
      <c r="H415" s="2">
        <f>IF(AND(F415=1,G415=1),"OK","À JUSTIFIER")</f>
        <v/>
      </c>
    </row>
    <row r="416">
      <c r="A416" s="2" t="inlineStr">
        <is>
          <t>EJ010823.TXT</t>
        </is>
      </c>
      <c r="B416" s="3" t="inlineStr">
        <is>
          <t>004972</t>
        </is>
      </c>
      <c r="C416" s="3" t="inlineStr">
        <is>
          <t>003976</t>
        </is>
      </c>
      <c r="D416" s="4" t="n">
        <v>45111</v>
      </c>
      <c r="E416" s="2" t="inlineStr">
        <is>
          <t>15:19</t>
        </is>
      </c>
      <c r="F416" s="5">
        <f>C416-C415</f>
        <v/>
      </c>
      <c r="G416" s="5">
        <f>B416-B415</f>
        <v/>
      </c>
      <c r="H416" s="2">
        <f>IF(AND(F416=1,G416=1),"OK","À JUSTIFIER")</f>
        <v/>
      </c>
    </row>
    <row r="417">
      <c r="A417" s="2" t="inlineStr">
        <is>
          <t>EJ010823.TXT</t>
        </is>
      </c>
      <c r="B417" s="3" t="inlineStr">
        <is>
          <t>004973</t>
        </is>
      </c>
      <c r="C417" s="3" t="inlineStr">
        <is>
          <t>003977</t>
        </is>
      </c>
      <c r="D417" s="4" t="n">
        <v>45113</v>
      </c>
      <c r="E417" s="2" t="inlineStr">
        <is>
          <t>10:21</t>
        </is>
      </c>
      <c r="F417" s="5">
        <f>C417-C416</f>
        <v/>
      </c>
      <c r="G417" s="5">
        <f>B417-B416</f>
        <v/>
      </c>
      <c r="H417" s="2">
        <f>IF(AND(F417=1,G417=1),"OK","À JUSTIFIER")</f>
        <v/>
      </c>
    </row>
    <row r="418">
      <c r="A418" s="2" t="inlineStr">
        <is>
          <t>EJ010823.TXT</t>
        </is>
      </c>
      <c r="B418" s="3" t="inlineStr">
        <is>
          <t>004974</t>
        </is>
      </c>
      <c r="C418" s="3" t="inlineStr">
        <is>
          <t>003978</t>
        </is>
      </c>
      <c r="D418" s="4" t="n">
        <v>45113</v>
      </c>
      <c r="E418" s="2" t="inlineStr">
        <is>
          <t>12:21</t>
        </is>
      </c>
      <c r="F418" s="5">
        <f>C418-C417</f>
        <v/>
      </c>
      <c r="G418" s="5">
        <f>B418-B417</f>
        <v/>
      </c>
      <c r="H418" s="2">
        <f>IF(AND(F418=1,G418=1),"OK","À JUSTIFIER")</f>
        <v/>
      </c>
    </row>
    <row r="419">
      <c r="A419" s="2" t="inlineStr">
        <is>
          <t>EJ010823.TXT</t>
        </is>
      </c>
      <c r="B419" s="3" t="inlineStr">
        <is>
          <t>004975</t>
        </is>
      </c>
      <c r="C419" s="3" t="inlineStr">
        <is>
          <t>003979</t>
        </is>
      </c>
      <c r="D419" s="4" t="n">
        <v>45113</v>
      </c>
      <c r="E419" s="2" t="inlineStr">
        <is>
          <t>16:59</t>
        </is>
      </c>
      <c r="F419" s="5">
        <f>C419-C418</f>
        <v/>
      </c>
      <c r="G419" s="5">
        <f>B419-B418</f>
        <v/>
      </c>
      <c r="H419" s="2">
        <f>IF(AND(F419=1,G419=1),"OK","À JUSTIFIER")</f>
        <v/>
      </c>
    </row>
    <row r="420">
      <c r="A420" s="2" t="inlineStr">
        <is>
          <t>EJ010823.TXT</t>
        </is>
      </c>
      <c r="B420" s="3" t="inlineStr">
        <is>
          <t>004976</t>
        </is>
      </c>
      <c r="C420" s="3" t="inlineStr">
        <is>
          <t>003980</t>
        </is>
      </c>
      <c r="D420" s="4" t="n">
        <v>45114</v>
      </c>
      <c r="E420" s="2" t="inlineStr">
        <is>
          <t>13:41</t>
        </is>
      </c>
      <c r="F420" s="5">
        <f>C420-C419</f>
        <v/>
      </c>
      <c r="G420" s="5">
        <f>B420-B419</f>
        <v/>
      </c>
      <c r="H420" s="2">
        <f>IF(AND(F420=1,G420=1),"OK","À JUSTIFIER")</f>
        <v/>
      </c>
    </row>
    <row r="421">
      <c r="A421" s="2" t="inlineStr">
        <is>
          <t>EJ010823.TXT</t>
        </is>
      </c>
      <c r="B421" s="3" t="inlineStr">
        <is>
          <t>004977</t>
        </is>
      </c>
      <c r="C421" s="3" t="inlineStr">
        <is>
          <t>003981</t>
        </is>
      </c>
      <c r="D421" s="4" t="n">
        <v>45115</v>
      </c>
      <c r="E421" s="2" t="inlineStr">
        <is>
          <t>15:51</t>
        </is>
      </c>
      <c r="F421" s="5">
        <f>C421-C420</f>
        <v/>
      </c>
      <c r="G421" s="5">
        <f>B421-B420</f>
        <v/>
      </c>
      <c r="H421" s="2">
        <f>IF(AND(F421=1,G421=1),"OK","À JUSTIFIER")</f>
        <v/>
      </c>
    </row>
    <row r="422">
      <c r="A422" s="2" t="inlineStr">
        <is>
          <t>EJ010823.TXT</t>
        </is>
      </c>
      <c r="B422" s="3" t="inlineStr">
        <is>
          <t>004978</t>
        </is>
      </c>
      <c r="C422" s="3" t="inlineStr">
        <is>
          <t>003982</t>
        </is>
      </c>
      <c r="D422" s="4" t="n">
        <v>45117</v>
      </c>
      <c r="E422" s="2" t="inlineStr">
        <is>
          <t>09:45</t>
        </is>
      </c>
      <c r="F422" s="5">
        <f>C422-C421</f>
        <v/>
      </c>
      <c r="G422" s="5">
        <f>B422-B421</f>
        <v/>
      </c>
      <c r="H422" s="2">
        <f>IF(AND(F422=1,G422=1),"OK","À JUSTIFIER")</f>
        <v/>
      </c>
    </row>
    <row r="423">
      <c r="A423" s="2" t="inlineStr">
        <is>
          <t>EJ010823.TXT</t>
        </is>
      </c>
      <c r="B423" s="3" t="inlineStr">
        <is>
          <t>004979</t>
        </is>
      </c>
      <c r="C423" s="3" t="inlineStr">
        <is>
          <t>003983</t>
        </is>
      </c>
      <c r="D423" s="4" t="n">
        <v>45117</v>
      </c>
      <c r="E423" s="2" t="inlineStr">
        <is>
          <t>11:59</t>
        </is>
      </c>
      <c r="F423" s="5">
        <f>C423-C422</f>
        <v/>
      </c>
      <c r="G423" s="5">
        <f>B423-B422</f>
        <v/>
      </c>
      <c r="H423" s="2">
        <f>IF(AND(F423=1,G423=1),"OK","À JUSTIFIER")</f>
        <v/>
      </c>
    </row>
    <row r="424">
      <c r="A424" s="2" t="inlineStr">
        <is>
          <t>EJ010823.TXT</t>
        </is>
      </c>
      <c r="B424" s="3" t="inlineStr">
        <is>
          <t>004980</t>
        </is>
      </c>
      <c r="C424" s="3" t="inlineStr">
        <is>
          <t>003984</t>
        </is>
      </c>
      <c r="D424" s="4" t="n">
        <v>45117</v>
      </c>
      <c r="E424" s="2" t="inlineStr">
        <is>
          <t>14:42</t>
        </is>
      </c>
      <c r="F424" s="5">
        <f>C424-C423</f>
        <v/>
      </c>
      <c r="G424" s="5">
        <f>B424-B423</f>
        <v/>
      </c>
      <c r="H424" s="2">
        <f>IF(AND(F424=1,G424=1),"OK","À JUSTIFIER")</f>
        <v/>
      </c>
    </row>
    <row r="425">
      <c r="A425" s="2" t="inlineStr">
        <is>
          <t>EJ010823.TXT</t>
        </is>
      </c>
      <c r="B425" s="3" t="inlineStr">
        <is>
          <t>004981</t>
        </is>
      </c>
      <c r="C425" s="3" t="inlineStr">
        <is>
          <t>003985</t>
        </is>
      </c>
      <c r="D425" s="4" t="n">
        <v>45117</v>
      </c>
      <c r="E425" s="2" t="inlineStr">
        <is>
          <t>15:00</t>
        </is>
      </c>
      <c r="F425" s="5">
        <f>C425-C424</f>
        <v/>
      </c>
      <c r="G425" s="5">
        <f>B425-B424</f>
        <v/>
      </c>
      <c r="H425" s="2">
        <f>IF(AND(F425=1,G425=1),"OK","À JUSTIFIER")</f>
        <v/>
      </c>
    </row>
    <row r="426">
      <c r="A426" s="2" t="inlineStr">
        <is>
          <t>EJ010823.TXT</t>
        </is>
      </c>
      <c r="B426" s="3" t="inlineStr">
        <is>
          <t>004982</t>
        </is>
      </c>
      <c r="C426" s="3" t="inlineStr">
        <is>
          <t>003986</t>
        </is>
      </c>
      <c r="D426" s="4" t="n">
        <v>45124</v>
      </c>
      <c r="E426" s="2" t="inlineStr">
        <is>
          <t>15:20</t>
        </is>
      </c>
      <c r="F426" s="5">
        <f>C426-C425</f>
        <v/>
      </c>
      <c r="G426" s="5">
        <f>B426-B425</f>
        <v/>
      </c>
      <c r="H426" s="2">
        <f>IF(AND(F426=1,G426=1),"OK","À JUSTIFIER")</f>
        <v/>
      </c>
    </row>
    <row r="427">
      <c r="A427" s="2" t="inlineStr">
        <is>
          <t>EJ010823.TXT</t>
        </is>
      </c>
      <c r="B427" s="3" t="inlineStr">
        <is>
          <t>004983</t>
        </is>
      </c>
      <c r="C427" s="3" t="inlineStr">
        <is>
          <t>003987</t>
        </is>
      </c>
      <c r="D427" s="4" t="n">
        <v>45125</v>
      </c>
      <c r="E427" s="2" t="inlineStr">
        <is>
          <t>16:07</t>
        </is>
      </c>
      <c r="F427" s="5">
        <f>C427-C426</f>
        <v/>
      </c>
      <c r="G427" s="5">
        <f>B427-B426</f>
        <v/>
      </c>
      <c r="H427" s="2">
        <f>IF(AND(F427=1,G427=1),"OK","À JUSTIFIER")</f>
        <v/>
      </c>
    </row>
    <row r="428">
      <c r="A428" s="2" t="inlineStr">
        <is>
          <t>EJ010823.TXT</t>
        </is>
      </c>
      <c r="B428" s="3" t="inlineStr">
        <is>
          <t>004984</t>
        </is>
      </c>
      <c r="C428" s="3" t="inlineStr">
        <is>
          <t>003988</t>
        </is>
      </c>
      <c r="D428" s="4" t="n">
        <v>45125</v>
      </c>
      <c r="E428" s="2" t="inlineStr">
        <is>
          <t>16:07</t>
        </is>
      </c>
      <c r="F428" s="5">
        <f>C428-C427</f>
        <v/>
      </c>
      <c r="G428" s="5">
        <f>B428-B427</f>
        <v/>
      </c>
      <c r="H428" s="2">
        <f>IF(AND(F428=1,G428=1),"OK","À JUSTIFIER")</f>
        <v/>
      </c>
    </row>
    <row r="429">
      <c r="A429" s="2" t="inlineStr">
        <is>
          <t>EJ010823.TXT</t>
        </is>
      </c>
      <c r="B429" s="3" t="inlineStr">
        <is>
          <t>004985</t>
        </is>
      </c>
      <c r="C429" s="3" t="inlineStr">
        <is>
          <t>003989</t>
        </is>
      </c>
      <c r="D429" s="4" t="n">
        <v>45126</v>
      </c>
      <c r="E429" s="2" t="inlineStr">
        <is>
          <t>10:33</t>
        </is>
      </c>
      <c r="F429" s="5">
        <f>C429-C428</f>
        <v/>
      </c>
      <c r="G429" s="5">
        <f>B429-B428</f>
        <v/>
      </c>
      <c r="H429" s="2">
        <f>IF(AND(F429=1,G429=1),"OK","À JUSTIFIER")</f>
        <v/>
      </c>
    </row>
    <row r="430">
      <c r="A430" s="2" t="inlineStr">
        <is>
          <t>EJ010823.TXT</t>
        </is>
      </c>
      <c r="B430" s="3" t="inlineStr">
        <is>
          <t>004986</t>
        </is>
      </c>
      <c r="C430" s="3" t="inlineStr">
        <is>
          <t>003990</t>
        </is>
      </c>
      <c r="D430" s="4" t="n">
        <v>45126</v>
      </c>
      <c r="E430" s="2" t="inlineStr">
        <is>
          <t>11:23</t>
        </is>
      </c>
      <c r="F430" s="5">
        <f>C430-C429</f>
        <v/>
      </c>
      <c r="G430" s="5">
        <f>B430-B429</f>
        <v/>
      </c>
      <c r="H430" s="2">
        <f>IF(AND(F430=1,G430=1),"OK","À JUSTIFIER")</f>
        <v/>
      </c>
    </row>
    <row r="431">
      <c r="A431" s="2" t="inlineStr">
        <is>
          <t>EJ010823.TXT</t>
        </is>
      </c>
      <c r="B431" s="3" t="inlineStr">
        <is>
          <t>004987</t>
        </is>
      </c>
      <c r="C431" s="3" t="inlineStr">
        <is>
          <t>003991</t>
        </is>
      </c>
      <c r="D431" s="4" t="n">
        <v>45126</v>
      </c>
      <c r="E431" s="2" t="inlineStr">
        <is>
          <t>11:23</t>
        </is>
      </c>
      <c r="F431" s="5">
        <f>C431-C430</f>
        <v/>
      </c>
      <c r="G431" s="5">
        <f>B431-B430</f>
        <v/>
      </c>
      <c r="H431" s="2">
        <f>IF(AND(F431=1,G431=1),"OK","À JUSTIFIER")</f>
        <v/>
      </c>
    </row>
    <row r="432">
      <c r="A432" s="2" t="inlineStr">
        <is>
          <t>EJ010823.TXT</t>
        </is>
      </c>
      <c r="B432" s="3" t="inlineStr">
        <is>
          <t>004988</t>
        </is>
      </c>
      <c r="C432" s="3" t="inlineStr">
        <is>
          <t>003992</t>
        </is>
      </c>
      <c r="D432" s="4" t="n">
        <v>45126</v>
      </c>
      <c r="E432" s="2" t="inlineStr">
        <is>
          <t>13:53</t>
        </is>
      </c>
      <c r="F432" s="5">
        <f>C432-C431</f>
        <v/>
      </c>
      <c r="G432" s="5">
        <f>B432-B431</f>
        <v/>
      </c>
      <c r="H432" s="2">
        <f>IF(AND(F432=1,G432=1),"OK","À JUSTIFIER")</f>
        <v/>
      </c>
    </row>
    <row r="433">
      <c r="A433" s="2" t="inlineStr">
        <is>
          <t>EJ010823.TXT</t>
        </is>
      </c>
      <c r="B433" s="3" t="inlineStr">
        <is>
          <t>004989</t>
        </is>
      </c>
      <c r="C433" s="3" t="inlineStr">
        <is>
          <t>003993</t>
        </is>
      </c>
      <c r="D433" s="4" t="n">
        <v>45128</v>
      </c>
      <c r="E433" s="2" t="inlineStr">
        <is>
          <t>15:09</t>
        </is>
      </c>
      <c r="F433" s="5">
        <f>C433-C432</f>
        <v/>
      </c>
      <c r="G433" s="5">
        <f>B433-B432</f>
        <v/>
      </c>
      <c r="H433" s="2">
        <f>IF(AND(F433=1,G433=1),"OK","À JUSTIFIER")</f>
        <v/>
      </c>
    </row>
    <row r="434">
      <c r="A434" s="2" t="inlineStr">
        <is>
          <t>EJ010823.TXT</t>
        </is>
      </c>
      <c r="B434" s="3" t="inlineStr">
        <is>
          <t>004990</t>
        </is>
      </c>
      <c r="C434" s="3" t="inlineStr">
        <is>
          <t>003994</t>
        </is>
      </c>
      <c r="D434" s="4" t="n">
        <v>45128</v>
      </c>
      <c r="E434" s="2" t="inlineStr">
        <is>
          <t>15:15</t>
        </is>
      </c>
      <c r="F434" s="5">
        <f>C434-C433</f>
        <v/>
      </c>
      <c r="G434" s="5">
        <f>B434-B433</f>
        <v/>
      </c>
      <c r="H434" s="2">
        <f>IF(AND(F434=1,G434=1),"OK","À JUSTIFIER")</f>
        <v/>
      </c>
    </row>
    <row r="435">
      <c r="A435" s="2" t="inlineStr">
        <is>
          <t>EJ010823.TXT</t>
        </is>
      </c>
      <c r="B435" s="3" t="inlineStr">
        <is>
          <t>004991</t>
        </is>
      </c>
      <c r="C435" s="3" t="inlineStr">
        <is>
          <t>003995</t>
        </is>
      </c>
      <c r="D435" s="4" t="n">
        <v>45131</v>
      </c>
      <c r="E435" s="2" t="inlineStr">
        <is>
          <t>09:30</t>
        </is>
      </c>
      <c r="F435" s="5">
        <f>C435-C434</f>
        <v/>
      </c>
      <c r="G435" s="5">
        <f>B435-B434</f>
        <v/>
      </c>
      <c r="H435" s="2">
        <f>IF(AND(F435=1,G435=1),"OK","À JUSTIFIER")</f>
        <v/>
      </c>
    </row>
    <row r="436">
      <c r="A436" s="2" t="inlineStr">
        <is>
          <t>EJ010823.TXT</t>
        </is>
      </c>
      <c r="B436" s="3" t="inlineStr">
        <is>
          <t>004992</t>
        </is>
      </c>
      <c r="C436" s="3" t="inlineStr">
        <is>
          <t>003996</t>
        </is>
      </c>
      <c r="D436" s="4" t="n">
        <v>45131</v>
      </c>
      <c r="E436" s="2" t="inlineStr">
        <is>
          <t>17:10</t>
        </is>
      </c>
      <c r="F436" s="5">
        <f>C436-C435</f>
        <v/>
      </c>
      <c r="G436" s="5">
        <f>B436-B435</f>
        <v/>
      </c>
      <c r="H436" s="2">
        <f>IF(AND(F436=1,G436=1),"OK","À JUSTIFIER")</f>
        <v/>
      </c>
    </row>
    <row r="437">
      <c r="A437" s="2" t="inlineStr">
        <is>
          <t>EJ010823.TXT</t>
        </is>
      </c>
      <c r="B437" s="3" t="inlineStr">
        <is>
          <t>004993</t>
        </is>
      </c>
      <c r="C437" s="3" t="inlineStr">
        <is>
          <t>003997</t>
        </is>
      </c>
      <c r="D437" s="4" t="n">
        <v>45132</v>
      </c>
      <c r="E437" s="2" t="inlineStr">
        <is>
          <t>11:14</t>
        </is>
      </c>
      <c r="F437" s="5">
        <f>C437-C436</f>
        <v/>
      </c>
      <c r="G437" s="5">
        <f>B437-B436</f>
        <v/>
      </c>
      <c r="H437" s="2">
        <f>IF(AND(F437=1,G437=1),"OK","À JUSTIFIER")</f>
        <v/>
      </c>
    </row>
    <row r="438">
      <c r="A438" s="2" t="inlineStr">
        <is>
          <t>EJ010823.TXT</t>
        </is>
      </c>
      <c r="B438" s="3" t="inlineStr">
        <is>
          <t>004994</t>
        </is>
      </c>
      <c r="C438" s="3" t="inlineStr">
        <is>
          <t>003998</t>
        </is>
      </c>
      <c r="D438" s="4" t="n">
        <v>45132</v>
      </c>
      <c r="E438" s="2" t="inlineStr">
        <is>
          <t>15:16</t>
        </is>
      </c>
      <c r="F438" s="5">
        <f>C438-C437</f>
        <v/>
      </c>
      <c r="G438" s="5">
        <f>B438-B437</f>
        <v/>
      </c>
      <c r="H438" s="2">
        <f>IF(AND(F438=1,G438=1),"OK","À JUSTIFIER")</f>
        <v/>
      </c>
    </row>
    <row r="439">
      <c r="A439" s="2" t="inlineStr">
        <is>
          <t>EJ010823.TXT</t>
        </is>
      </c>
      <c r="B439" s="3" t="inlineStr">
        <is>
          <t>004995</t>
        </is>
      </c>
      <c r="C439" s="3" t="inlineStr">
        <is>
          <t>003999</t>
        </is>
      </c>
      <c r="D439" s="4" t="n">
        <v>45134</v>
      </c>
      <c r="E439" s="2" t="inlineStr">
        <is>
          <t>14:18</t>
        </is>
      </c>
      <c r="F439" s="5">
        <f>C439-C438</f>
        <v/>
      </c>
      <c r="G439" s="5">
        <f>B439-B438</f>
        <v/>
      </c>
      <c r="H439" s="2">
        <f>IF(AND(F439=1,G439=1),"OK","À JUSTIFIER")</f>
        <v/>
      </c>
    </row>
    <row r="440">
      <c r="A440" s="2" t="inlineStr">
        <is>
          <t>EJ010823.TXT</t>
        </is>
      </c>
      <c r="B440" s="3" t="inlineStr">
        <is>
          <t>004996</t>
        </is>
      </c>
      <c r="C440" s="3" t="inlineStr">
        <is>
          <t>004000</t>
        </is>
      </c>
      <c r="D440" s="4" t="n">
        <v>45134</v>
      </c>
      <c r="E440" s="2" t="inlineStr">
        <is>
          <t>14:20</t>
        </is>
      </c>
      <c r="F440" s="5">
        <f>C440-C439</f>
        <v/>
      </c>
      <c r="G440" s="5">
        <f>B440-B439</f>
        <v/>
      </c>
      <c r="H440" s="2">
        <f>IF(AND(F440=1,G440=1),"OK","À JUSTIFIER")</f>
        <v/>
      </c>
    </row>
    <row r="441">
      <c r="A441" s="2" t="inlineStr">
        <is>
          <t>EJ010823.TXT</t>
        </is>
      </c>
      <c r="B441" s="3" t="inlineStr">
        <is>
          <t>004997</t>
        </is>
      </c>
      <c r="C441" s="3" t="inlineStr">
        <is>
          <t>004001</t>
        </is>
      </c>
      <c r="D441" s="4" t="n">
        <v>45134</v>
      </c>
      <c r="E441" s="2" t="inlineStr">
        <is>
          <t>14:21</t>
        </is>
      </c>
      <c r="F441" s="5">
        <f>C441-C440</f>
        <v/>
      </c>
      <c r="G441" s="5">
        <f>B441-B440</f>
        <v/>
      </c>
      <c r="H441" s="2">
        <f>IF(AND(F441=1,G441=1),"OK","À JUSTIFIER")</f>
        <v/>
      </c>
    </row>
    <row r="442">
      <c r="A442" s="2" t="inlineStr">
        <is>
          <t>EJ010823.TXT</t>
        </is>
      </c>
      <c r="B442" s="3" t="inlineStr">
        <is>
          <t>004998</t>
        </is>
      </c>
      <c r="C442" s="3" t="inlineStr">
        <is>
          <t>004002</t>
        </is>
      </c>
      <c r="D442" s="4" t="n">
        <v>45134</v>
      </c>
      <c r="E442" s="2" t="inlineStr">
        <is>
          <t>15:42</t>
        </is>
      </c>
      <c r="F442" s="5">
        <f>C442-C441</f>
        <v/>
      </c>
      <c r="G442" s="5">
        <f>B442-B441</f>
        <v/>
      </c>
      <c r="H442" s="2">
        <f>IF(AND(F442=1,G442=1),"OK","À JUSTIFIER")</f>
        <v/>
      </c>
    </row>
    <row r="443">
      <c r="A443" s="2" t="inlineStr">
        <is>
          <t>EJ010823.TXT</t>
        </is>
      </c>
      <c r="B443" s="3" t="inlineStr">
        <is>
          <t>004999</t>
        </is>
      </c>
      <c r="C443" s="3" t="inlineStr">
        <is>
          <t>004003</t>
        </is>
      </c>
      <c r="D443" s="4" t="n">
        <v>45136</v>
      </c>
      <c r="E443" s="2" t="inlineStr">
        <is>
          <t>11:01</t>
        </is>
      </c>
      <c r="F443" s="5">
        <f>C443-C442</f>
        <v/>
      </c>
      <c r="G443" s="5">
        <f>B443-B442</f>
        <v/>
      </c>
      <c r="H443" s="2">
        <f>IF(AND(F443=1,G443=1),"OK","À JUSTIFIER")</f>
        <v/>
      </c>
    </row>
    <row r="444">
      <c r="A444" s="2" t="inlineStr">
        <is>
          <t>EJ010823.TXT</t>
        </is>
      </c>
      <c r="B444" s="3" t="inlineStr">
        <is>
          <t>005000</t>
        </is>
      </c>
      <c r="C444" s="3" t="inlineStr">
        <is>
          <t>004004</t>
        </is>
      </c>
      <c r="D444" s="4" t="n">
        <v>45136</v>
      </c>
      <c r="E444" s="2" t="inlineStr">
        <is>
          <t>11:04</t>
        </is>
      </c>
      <c r="F444" s="5">
        <f>C444-C443</f>
        <v/>
      </c>
      <c r="G444" s="5">
        <f>B444-B443</f>
        <v/>
      </c>
      <c r="H444" s="2">
        <f>IF(AND(F444=1,G444=1),"OK","À JUSTIFIER")</f>
        <v/>
      </c>
    </row>
    <row r="445">
      <c r="A445" s="2" t="inlineStr">
        <is>
          <t>EJ010823.TXT</t>
        </is>
      </c>
      <c r="B445" s="3" t="inlineStr">
        <is>
          <t>005001</t>
        </is>
      </c>
      <c r="C445" s="3" t="inlineStr">
        <is>
          <t>004005</t>
        </is>
      </c>
      <c r="D445" s="4" t="n">
        <v>45136</v>
      </c>
      <c r="E445" s="2" t="inlineStr">
        <is>
          <t>11:05</t>
        </is>
      </c>
      <c r="F445" s="5">
        <f>C445-C444</f>
        <v/>
      </c>
      <c r="G445" s="5">
        <f>B445-B444</f>
        <v/>
      </c>
      <c r="H445" s="2">
        <f>IF(AND(F445=1,G445=1),"OK","À JUSTIFIER")</f>
        <v/>
      </c>
    </row>
    <row r="446">
      <c r="A446" s="2" t="inlineStr">
        <is>
          <t>EJ010823.TXT</t>
        </is>
      </c>
      <c r="B446" s="3" t="inlineStr">
        <is>
          <t>005002</t>
        </is>
      </c>
      <c r="C446" s="3" t="inlineStr">
        <is>
          <t>004006</t>
        </is>
      </c>
      <c r="D446" s="4" t="n">
        <v>45136</v>
      </c>
      <c r="E446" s="2" t="inlineStr">
        <is>
          <t>11:23</t>
        </is>
      </c>
      <c r="F446" s="5">
        <f>C446-C445</f>
        <v/>
      </c>
      <c r="G446" s="5">
        <f>B446-B445</f>
        <v/>
      </c>
      <c r="H446" s="2">
        <f>IF(AND(F446=1,G446=1),"OK","À JUSTIFIER")</f>
        <v/>
      </c>
    </row>
    <row r="447">
      <c r="A447" s="2" t="inlineStr">
        <is>
          <t>EJ010823.TXT</t>
        </is>
      </c>
      <c r="B447" s="3" t="inlineStr">
        <is>
          <t>005003</t>
        </is>
      </c>
      <c r="C447" s="3" t="inlineStr">
        <is>
          <t>004007</t>
        </is>
      </c>
      <c r="D447" s="4" t="n">
        <v>45136</v>
      </c>
      <c r="E447" s="2" t="inlineStr">
        <is>
          <t>11:24</t>
        </is>
      </c>
      <c r="F447" s="5">
        <f>C447-C446</f>
        <v/>
      </c>
      <c r="G447" s="5">
        <f>B447-B446</f>
        <v/>
      </c>
      <c r="H447" s="2">
        <f>IF(AND(F447=1,G447=1),"OK","À JUSTIFIER")</f>
        <v/>
      </c>
    </row>
    <row r="448">
      <c r="A448" s="2" t="inlineStr">
        <is>
          <t>EJ010823.TXT</t>
        </is>
      </c>
      <c r="B448" s="3" t="inlineStr">
        <is>
          <t>005004</t>
        </is>
      </c>
      <c r="C448" s="3" t="inlineStr">
        <is>
          <t>004008</t>
        </is>
      </c>
      <c r="D448" s="4" t="n">
        <v>45136</v>
      </c>
      <c r="E448" s="2" t="inlineStr">
        <is>
          <t>16:15</t>
        </is>
      </c>
      <c r="F448" s="5">
        <f>C448-C447</f>
        <v/>
      </c>
      <c r="G448" s="5">
        <f>B448-B447</f>
        <v/>
      </c>
      <c r="H448" s="2">
        <f>IF(AND(F448=1,G448=1),"OK","À JUSTIFIER")</f>
        <v/>
      </c>
    </row>
    <row r="449">
      <c r="A449" s="2" t="inlineStr">
        <is>
          <t>EJ010823.TXT</t>
        </is>
      </c>
      <c r="B449" s="3" t="inlineStr">
        <is>
          <t>005005</t>
        </is>
      </c>
      <c r="C449" s="3" t="inlineStr">
        <is>
          <t>004009</t>
        </is>
      </c>
      <c r="D449" s="4" t="n">
        <v>45136</v>
      </c>
      <c r="E449" s="2" t="inlineStr">
        <is>
          <t>17:17</t>
        </is>
      </c>
      <c r="F449" s="5">
        <f>C449-C448</f>
        <v/>
      </c>
      <c r="G449" s="5">
        <f>B449-B448</f>
        <v/>
      </c>
      <c r="H449" s="2">
        <f>IF(AND(F449=1,G449=1),"OK","À JUSTIFIER")</f>
        <v/>
      </c>
    </row>
    <row r="450">
      <c r="A450" s="2" t="inlineStr">
        <is>
          <t>EJ010823.TXT</t>
        </is>
      </c>
      <c r="B450" s="3" t="inlineStr">
        <is>
          <t>005006</t>
        </is>
      </c>
      <c r="C450" s="3" t="inlineStr">
        <is>
          <t>004010</t>
        </is>
      </c>
      <c r="D450" s="4" t="n">
        <v>45138</v>
      </c>
      <c r="E450" s="2" t="inlineStr">
        <is>
          <t>15:27</t>
        </is>
      </c>
      <c r="F450" s="5">
        <f>C450-C449</f>
        <v/>
      </c>
      <c r="G450" s="5">
        <f>B450-B449</f>
        <v/>
      </c>
      <c r="H450" s="2">
        <f>IF(AND(F450=1,G450=1),"OK","À JUSTIFIER")</f>
        <v/>
      </c>
    </row>
    <row r="451">
      <c r="A451" s="2" t="inlineStr">
        <is>
          <t>EJ010823.TXT</t>
        </is>
      </c>
      <c r="B451" s="3" t="inlineStr">
        <is>
          <t>005007</t>
        </is>
      </c>
      <c r="C451" s="3" t="inlineStr">
        <is>
          <t>004011</t>
        </is>
      </c>
      <c r="D451" s="4" t="n">
        <v>45138</v>
      </c>
      <c r="E451" s="2" t="inlineStr">
        <is>
          <t>15:28</t>
        </is>
      </c>
      <c r="F451" s="5">
        <f>C451-C450</f>
        <v/>
      </c>
      <c r="G451" s="5">
        <f>B451-B450</f>
        <v/>
      </c>
      <c r="H451" s="2">
        <f>IF(AND(F451=1,G451=1),"OK","À JUSTIFIER")</f>
        <v/>
      </c>
    </row>
    <row r="452">
      <c r="A452" s="2" t="inlineStr">
        <is>
          <t>EJ010923.TXT</t>
        </is>
      </c>
      <c r="B452" s="3" t="inlineStr">
        <is>
          <t>005015</t>
        </is>
      </c>
      <c r="C452" s="3" t="inlineStr">
        <is>
          <t>004012</t>
        </is>
      </c>
      <c r="D452" s="4" t="n">
        <v>45140</v>
      </c>
      <c r="E452" s="2" t="inlineStr">
        <is>
          <t>13:41</t>
        </is>
      </c>
      <c r="F452" s="5">
        <f>C452-C451</f>
        <v/>
      </c>
      <c r="G452" s="5">
        <f>B452-B451</f>
        <v/>
      </c>
      <c r="H452" s="2">
        <f>IF(AND(F452=1,G452=1),"OK","À JUSTIFIER")</f>
        <v/>
      </c>
    </row>
    <row r="453">
      <c r="A453" s="2" t="inlineStr">
        <is>
          <t>EJ010923.TXT</t>
        </is>
      </c>
      <c r="B453" s="3" t="inlineStr">
        <is>
          <t>005016</t>
        </is>
      </c>
      <c r="C453" s="3" t="inlineStr">
        <is>
          <t>004013</t>
        </is>
      </c>
      <c r="D453" s="4" t="n">
        <v>45142</v>
      </c>
      <c r="E453" s="2" t="inlineStr">
        <is>
          <t>16:38</t>
        </is>
      </c>
      <c r="F453" s="5">
        <f>C453-C452</f>
        <v/>
      </c>
      <c r="G453" s="5">
        <f>B453-B452</f>
        <v/>
      </c>
      <c r="H453" s="2">
        <f>IF(AND(F453=1,G453=1),"OK","À JUSTIFIER")</f>
        <v/>
      </c>
    </row>
    <row r="454">
      <c r="A454" s="2" t="inlineStr">
        <is>
          <t>EJ010923.TXT</t>
        </is>
      </c>
      <c r="B454" s="3" t="inlineStr">
        <is>
          <t>005017</t>
        </is>
      </c>
      <c r="C454" s="3" t="inlineStr">
        <is>
          <t>004014</t>
        </is>
      </c>
      <c r="D454" s="4" t="n">
        <v>45142</v>
      </c>
      <c r="E454" s="2" t="inlineStr">
        <is>
          <t>16:38</t>
        </is>
      </c>
      <c r="F454" s="5">
        <f>C454-C453</f>
        <v/>
      </c>
      <c r="G454" s="5">
        <f>B454-B453</f>
        <v/>
      </c>
      <c r="H454" s="2">
        <f>IF(AND(F454=1,G454=1),"OK","À JUSTIFIER")</f>
        <v/>
      </c>
    </row>
    <row r="455">
      <c r="A455" s="2" t="inlineStr">
        <is>
          <t>EJ010923.TXT</t>
        </is>
      </c>
      <c r="B455" s="3" t="inlineStr">
        <is>
          <t>005018</t>
        </is>
      </c>
      <c r="C455" s="3" t="inlineStr">
        <is>
          <t>004015</t>
        </is>
      </c>
      <c r="D455" s="4" t="n">
        <v>45142</v>
      </c>
      <c r="E455" s="2" t="inlineStr">
        <is>
          <t>16:38</t>
        </is>
      </c>
      <c r="F455" s="5">
        <f>C455-C454</f>
        <v/>
      </c>
      <c r="G455" s="5">
        <f>B455-B454</f>
        <v/>
      </c>
      <c r="H455" s="2">
        <f>IF(AND(F455=1,G455=1),"OK","À JUSTIFIER")</f>
        <v/>
      </c>
    </row>
    <row r="456">
      <c r="A456" s="2" t="inlineStr">
        <is>
          <t>EJ010923.TXT</t>
        </is>
      </c>
      <c r="B456" s="3" t="inlineStr">
        <is>
          <t>005019</t>
        </is>
      </c>
      <c r="C456" s="3" t="inlineStr">
        <is>
          <t>004016</t>
        </is>
      </c>
      <c r="D456" s="4" t="n">
        <v>45143</v>
      </c>
      <c r="E456" s="2" t="inlineStr">
        <is>
          <t>15:09</t>
        </is>
      </c>
      <c r="F456" s="5">
        <f>C456-C455</f>
        <v/>
      </c>
      <c r="G456" s="5">
        <f>B456-B455</f>
        <v/>
      </c>
      <c r="H456" s="2">
        <f>IF(AND(F456=1,G456=1),"OK","À JUSTIFIER")</f>
        <v/>
      </c>
    </row>
    <row r="457">
      <c r="A457" s="2" t="inlineStr">
        <is>
          <t>EJ010923.TXT</t>
        </is>
      </c>
      <c r="B457" s="3" t="inlineStr">
        <is>
          <t>005020</t>
        </is>
      </c>
      <c r="C457" s="3" t="inlineStr">
        <is>
          <t>004017</t>
        </is>
      </c>
      <c r="D457" s="4" t="n">
        <v>45143</v>
      </c>
      <c r="E457" s="2" t="inlineStr">
        <is>
          <t>16:10</t>
        </is>
      </c>
      <c r="F457" s="5">
        <f>C457-C456</f>
        <v/>
      </c>
      <c r="G457" s="5">
        <f>B457-B456</f>
        <v/>
      </c>
      <c r="H457" s="2">
        <f>IF(AND(F457=1,G457=1),"OK","À JUSTIFIER")</f>
        <v/>
      </c>
    </row>
    <row r="458">
      <c r="A458" s="2" t="inlineStr">
        <is>
          <t>EJ010923.TXT</t>
        </is>
      </c>
      <c r="B458" s="3" t="inlineStr">
        <is>
          <t>005021</t>
        </is>
      </c>
      <c r="C458" s="3" t="inlineStr">
        <is>
          <t>004018</t>
        </is>
      </c>
      <c r="D458" s="4" t="n">
        <v>45146</v>
      </c>
      <c r="E458" s="2" t="inlineStr">
        <is>
          <t>13:43</t>
        </is>
      </c>
      <c r="F458" s="5">
        <f>C458-C457</f>
        <v/>
      </c>
      <c r="G458" s="5">
        <f>B458-B457</f>
        <v/>
      </c>
      <c r="H458" s="2">
        <f>IF(AND(F458=1,G458=1),"OK","À JUSTIFIER")</f>
        <v/>
      </c>
    </row>
    <row r="459">
      <c r="A459" s="2" t="inlineStr">
        <is>
          <t>EJ010923.TXT</t>
        </is>
      </c>
      <c r="B459" s="3" t="inlineStr">
        <is>
          <t>005022</t>
        </is>
      </c>
      <c r="C459" s="3" t="inlineStr">
        <is>
          <t>004019</t>
        </is>
      </c>
      <c r="D459" s="4" t="n">
        <v>45147</v>
      </c>
      <c r="E459" s="2" t="inlineStr">
        <is>
          <t>10:47</t>
        </is>
      </c>
      <c r="F459" s="5">
        <f>C459-C458</f>
        <v/>
      </c>
      <c r="G459" s="5">
        <f>B459-B458</f>
        <v/>
      </c>
      <c r="H459" s="2">
        <f>IF(AND(F459=1,G459=1),"OK","À JUSTIFIER")</f>
        <v/>
      </c>
    </row>
    <row r="460">
      <c r="A460" s="2" t="inlineStr">
        <is>
          <t>EJ010923.TXT</t>
        </is>
      </c>
      <c r="B460" s="3" t="inlineStr">
        <is>
          <t>005023</t>
        </is>
      </c>
      <c r="C460" s="3" t="inlineStr">
        <is>
          <t>004020</t>
        </is>
      </c>
      <c r="D460" s="4" t="n">
        <v>45148</v>
      </c>
      <c r="E460" s="2" t="inlineStr">
        <is>
          <t>12:05</t>
        </is>
      </c>
      <c r="F460" s="5">
        <f>C460-C459</f>
        <v/>
      </c>
      <c r="G460" s="5">
        <f>B460-B459</f>
        <v/>
      </c>
      <c r="H460" s="2">
        <f>IF(AND(F460=1,G460=1),"OK","À JUSTIFIER")</f>
        <v/>
      </c>
    </row>
    <row r="461">
      <c r="A461" s="2" t="inlineStr">
        <is>
          <t>EJ010923.TXT</t>
        </is>
      </c>
      <c r="B461" s="3" t="inlineStr">
        <is>
          <t>005024</t>
        </is>
      </c>
      <c r="C461" s="3" t="inlineStr">
        <is>
          <t>004021</t>
        </is>
      </c>
      <c r="D461" s="4" t="n">
        <v>45148</v>
      </c>
      <c r="E461" s="2" t="inlineStr">
        <is>
          <t>12:05</t>
        </is>
      </c>
      <c r="F461" s="5">
        <f>C461-C460</f>
        <v/>
      </c>
      <c r="G461" s="5">
        <f>B461-B460</f>
        <v/>
      </c>
      <c r="H461" s="2">
        <f>IF(AND(F461=1,G461=1),"OK","À JUSTIFIER")</f>
        <v/>
      </c>
    </row>
    <row r="462">
      <c r="A462" s="2" t="inlineStr">
        <is>
          <t>EJ010923.TXT</t>
        </is>
      </c>
      <c r="B462" s="3" t="inlineStr">
        <is>
          <t>005025</t>
        </is>
      </c>
      <c r="C462" s="3" t="inlineStr">
        <is>
          <t>004022</t>
        </is>
      </c>
      <c r="D462" s="4" t="n">
        <v>45150</v>
      </c>
      <c r="E462" s="2" t="inlineStr">
        <is>
          <t>16:34</t>
        </is>
      </c>
      <c r="F462" s="5">
        <f>C462-C461</f>
        <v/>
      </c>
      <c r="G462" s="5">
        <f>B462-B461</f>
        <v/>
      </c>
      <c r="H462" s="2">
        <f>IF(AND(F462=1,G462=1),"OK","À JUSTIFIER")</f>
        <v/>
      </c>
    </row>
    <row r="463">
      <c r="A463" s="2" t="inlineStr">
        <is>
          <t>EJ010923.TXT</t>
        </is>
      </c>
      <c r="B463" s="3" t="inlineStr">
        <is>
          <t>005026</t>
        </is>
      </c>
      <c r="C463" s="3" t="inlineStr">
        <is>
          <t>004023</t>
        </is>
      </c>
      <c r="D463" s="4" t="n">
        <v>45152</v>
      </c>
      <c r="E463" s="2" t="inlineStr">
        <is>
          <t>15:37</t>
        </is>
      </c>
      <c r="F463" s="5">
        <f>C463-C462</f>
        <v/>
      </c>
      <c r="G463" s="5">
        <f>B463-B462</f>
        <v/>
      </c>
      <c r="H463" s="2">
        <f>IF(AND(F463=1,G463=1),"OK","À JUSTIFIER")</f>
        <v/>
      </c>
    </row>
    <row r="464">
      <c r="A464" s="2" t="inlineStr">
        <is>
          <t>EJ010923.TXT</t>
        </is>
      </c>
      <c r="B464" s="3" t="inlineStr">
        <is>
          <t>005027</t>
        </is>
      </c>
      <c r="C464" s="3" t="inlineStr">
        <is>
          <t>004024</t>
        </is>
      </c>
      <c r="D464" s="4" t="n">
        <v>45154</v>
      </c>
      <c r="E464" s="2" t="inlineStr">
        <is>
          <t>11:32</t>
        </is>
      </c>
      <c r="F464" s="5">
        <f>C464-C463</f>
        <v/>
      </c>
      <c r="G464" s="5">
        <f>B464-B463</f>
        <v/>
      </c>
      <c r="H464" s="2">
        <f>IF(AND(F464=1,G464=1),"OK","À JUSTIFIER")</f>
        <v/>
      </c>
    </row>
    <row r="465">
      <c r="A465" s="2" t="inlineStr">
        <is>
          <t>EJ010923.TXT</t>
        </is>
      </c>
      <c r="B465" s="3" t="inlineStr">
        <is>
          <t>005028</t>
        </is>
      </c>
      <c r="C465" s="3" t="inlineStr">
        <is>
          <t>004025</t>
        </is>
      </c>
      <c r="D465" s="4" t="n">
        <v>45154</v>
      </c>
      <c r="E465" s="2" t="inlineStr">
        <is>
          <t>17:21</t>
        </is>
      </c>
      <c r="F465" s="5">
        <f>C465-C464</f>
        <v/>
      </c>
      <c r="G465" s="5">
        <f>B465-B464</f>
        <v/>
      </c>
      <c r="H465" s="2">
        <f>IF(AND(F465=1,G465=1),"OK","À JUSTIFIER")</f>
        <v/>
      </c>
    </row>
    <row r="466">
      <c r="A466" s="2" t="inlineStr">
        <is>
          <t>EJ010923.TXT</t>
        </is>
      </c>
      <c r="B466" s="3" t="inlineStr">
        <is>
          <t>005029</t>
        </is>
      </c>
      <c r="C466" s="3" t="inlineStr">
        <is>
          <t>004026</t>
        </is>
      </c>
      <c r="D466" s="4" t="n">
        <v>45156</v>
      </c>
      <c r="E466" s="2" t="inlineStr">
        <is>
          <t>14:19</t>
        </is>
      </c>
      <c r="F466" s="5">
        <f>C466-C465</f>
        <v/>
      </c>
      <c r="G466" s="5">
        <f>B466-B465</f>
        <v/>
      </c>
      <c r="H466" s="2">
        <f>IF(AND(F466=1,G466=1),"OK","À JUSTIFIER")</f>
        <v/>
      </c>
    </row>
    <row r="467">
      <c r="A467" s="2" t="inlineStr">
        <is>
          <t>EJ010923.TXT</t>
        </is>
      </c>
      <c r="B467" s="3" t="inlineStr">
        <is>
          <t>005030</t>
        </is>
      </c>
      <c r="C467" s="3" t="inlineStr">
        <is>
          <t>004027</t>
        </is>
      </c>
      <c r="D467" s="4" t="n">
        <v>45159</v>
      </c>
      <c r="E467" s="2" t="inlineStr">
        <is>
          <t>10:03</t>
        </is>
      </c>
      <c r="F467" s="5">
        <f>C467-C466</f>
        <v/>
      </c>
      <c r="G467" s="5">
        <f>B467-B466</f>
        <v/>
      </c>
      <c r="H467" s="2">
        <f>IF(AND(F467=1,G467=1),"OK","À JUSTIFIER")</f>
        <v/>
      </c>
    </row>
    <row r="468">
      <c r="A468" s="2" t="inlineStr">
        <is>
          <t>EJ010923.TXT</t>
        </is>
      </c>
      <c r="B468" s="3" t="inlineStr">
        <is>
          <t>005031</t>
        </is>
      </c>
      <c r="C468" s="3" t="inlineStr">
        <is>
          <t>004028</t>
        </is>
      </c>
      <c r="D468" s="4" t="n">
        <v>45160</v>
      </c>
      <c r="E468" s="2" t="inlineStr">
        <is>
          <t>16:54</t>
        </is>
      </c>
      <c r="F468" s="5">
        <f>C468-C467</f>
        <v/>
      </c>
      <c r="G468" s="5">
        <f>B468-B467</f>
        <v/>
      </c>
      <c r="H468" s="2">
        <f>IF(AND(F468=1,G468=1),"OK","À JUSTIFIER")</f>
        <v/>
      </c>
    </row>
    <row r="469">
      <c r="A469" s="2" t="inlineStr">
        <is>
          <t>EJ010923.TXT</t>
        </is>
      </c>
      <c r="B469" s="3" t="inlineStr">
        <is>
          <t>005032</t>
        </is>
      </c>
      <c r="C469" s="3" t="inlineStr">
        <is>
          <t>004029</t>
        </is>
      </c>
      <c r="D469" s="4" t="n">
        <v>45160</v>
      </c>
      <c r="E469" s="2" t="inlineStr">
        <is>
          <t>16:55</t>
        </is>
      </c>
      <c r="F469" s="5">
        <f>C469-C468</f>
        <v/>
      </c>
      <c r="G469" s="5">
        <f>B469-B468</f>
        <v/>
      </c>
      <c r="H469" s="2">
        <f>IF(AND(F469=1,G469=1),"OK","À JUSTIFIER")</f>
        <v/>
      </c>
    </row>
    <row r="470">
      <c r="A470" s="2" t="inlineStr">
        <is>
          <t>EJ010923.TXT</t>
        </is>
      </c>
      <c r="B470" s="3" t="inlineStr">
        <is>
          <t>005033</t>
        </is>
      </c>
      <c r="C470" s="3" t="inlineStr">
        <is>
          <t>004030</t>
        </is>
      </c>
      <c r="D470" s="4" t="n">
        <v>45161</v>
      </c>
      <c r="E470" s="2" t="inlineStr">
        <is>
          <t>10:16</t>
        </is>
      </c>
      <c r="F470" s="5">
        <f>C470-C469</f>
        <v/>
      </c>
      <c r="G470" s="5">
        <f>B470-B469</f>
        <v/>
      </c>
      <c r="H470" s="2">
        <f>IF(AND(F470=1,G470=1),"OK","À JUSTIFIER")</f>
        <v/>
      </c>
    </row>
    <row r="471">
      <c r="A471" s="2" t="inlineStr">
        <is>
          <t>EJ010923.TXT</t>
        </is>
      </c>
      <c r="B471" s="3" t="inlineStr">
        <is>
          <t>005034</t>
        </is>
      </c>
      <c r="C471" s="3" t="inlineStr">
        <is>
          <t>004031</t>
        </is>
      </c>
      <c r="D471" s="4" t="n">
        <v>45161</v>
      </c>
      <c r="E471" s="2" t="inlineStr">
        <is>
          <t>16:41</t>
        </is>
      </c>
      <c r="F471" s="5">
        <f>C471-C470</f>
        <v/>
      </c>
      <c r="G471" s="5">
        <f>B471-B470</f>
        <v/>
      </c>
      <c r="H471" s="2">
        <f>IF(AND(F471=1,G471=1),"OK","À JUSTIFIER")</f>
        <v/>
      </c>
    </row>
    <row r="472">
      <c r="A472" s="2" t="inlineStr">
        <is>
          <t>EJ010923.TXT</t>
        </is>
      </c>
      <c r="B472" s="3" t="inlineStr">
        <is>
          <t>005035</t>
        </is>
      </c>
      <c r="C472" s="3" t="inlineStr">
        <is>
          <t>004032</t>
        </is>
      </c>
      <c r="D472" s="4" t="n">
        <v>45163</v>
      </c>
      <c r="E472" s="2" t="inlineStr">
        <is>
          <t>14:40</t>
        </is>
      </c>
      <c r="F472" s="5">
        <f>C472-C471</f>
        <v/>
      </c>
      <c r="G472" s="5">
        <f>B472-B471</f>
        <v/>
      </c>
      <c r="H472" s="2">
        <f>IF(AND(F472=1,G472=1),"OK","À JUSTIFIER")</f>
        <v/>
      </c>
    </row>
    <row r="473">
      <c r="A473" s="2" t="inlineStr">
        <is>
          <t>EJ010923.TXT</t>
        </is>
      </c>
      <c r="B473" s="3" t="inlineStr">
        <is>
          <t>005036</t>
        </is>
      </c>
      <c r="C473" s="3" t="inlineStr">
        <is>
          <t>004033</t>
        </is>
      </c>
      <c r="D473" s="4" t="n">
        <v>45163</v>
      </c>
      <c r="E473" s="2" t="inlineStr">
        <is>
          <t>16:32</t>
        </is>
      </c>
      <c r="F473" s="5">
        <f>C473-C472</f>
        <v/>
      </c>
      <c r="G473" s="5">
        <f>B473-B472</f>
        <v/>
      </c>
      <c r="H473" s="2">
        <f>IF(AND(F473=1,G473=1),"OK","À JUSTIFIER")</f>
        <v/>
      </c>
    </row>
    <row r="474">
      <c r="A474" s="2" t="inlineStr">
        <is>
          <t>EJ010923.TXT</t>
        </is>
      </c>
      <c r="B474" s="3" t="inlineStr">
        <is>
          <t>005037</t>
        </is>
      </c>
      <c r="C474" s="3" t="inlineStr">
        <is>
          <t>004034</t>
        </is>
      </c>
      <c r="D474" s="4" t="n">
        <v>45166</v>
      </c>
      <c r="E474" s="2" t="inlineStr">
        <is>
          <t>11:45</t>
        </is>
      </c>
      <c r="F474" s="5">
        <f>C474-C473</f>
        <v/>
      </c>
      <c r="G474" s="5">
        <f>B474-B473</f>
        <v/>
      </c>
      <c r="H474" s="2">
        <f>IF(AND(F474=1,G474=1),"OK","À JUSTIFIER")</f>
        <v/>
      </c>
    </row>
    <row r="475">
      <c r="A475" s="2" t="inlineStr">
        <is>
          <t>EJ010923.TXT</t>
        </is>
      </c>
      <c r="B475" s="3" t="inlineStr">
        <is>
          <t>005038</t>
        </is>
      </c>
      <c r="C475" s="3" t="inlineStr">
        <is>
          <t>004035</t>
        </is>
      </c>
      <c r="D475" s="4" t="n">
        <v>45167</v>
      </c>
      <c r="E475" s="2" t="inlineStr">
        <is>
          <t>14:18</t>
        </is>
      </c>
      <c r="F475" s="5">
        <f>C475-C474</f>
        <v/>
      </c>
      <c r="G475" s="5">
        <f>B475-B474</f>
        <v/>
      </c>
      <c r="H475" s="2">
        <f>IF(AND(F475=1,G475=1),"OK","À JUSTIFIER")</f>
        <v/>
      </c>
    </row>
    <row r="476">
      <c r="A476" s="2" t="inlineStr">
        <is>
          <t>EJ010923.TXT</t>
        </is>
      </c>
      <c r="B476" s="3" t="inlineStr">
        <is>
          <t>005039</t>
        </is>
      </c>
      <c r="C476" s="3" t="inlineStr">
        <is>
          <t>004036</t>
        </is>
      </c>
      <c r="D476" s="4" t="n">
        <v>45167</v>
      </c>
      <c r="E476" s="2" t="inlineStr">
        <is>
          <t>14:45</t>
        </is>
      </c>
      <c r="F476" s="5">
        <f>C476-C475</f>
        <v/>
      </c>
      <c r="G476" s="5">
        <f>B476-B475</f>
        <v/>
      </c>
      <c r="H476" s="2">
        <f>IF(AND(F476=1,G476=1),"OK","À JUSTIFIER")</f>
        <v/>
      </c>
    </row>
    <row r="477">
      <c r="A477" s="2" t="inlineStr">
        <is>
          <t>EJ010923.TXT</t>
        </is>
      </c>
      <c r="B477" s="3" t="inlineStr">
        <is>
          <t>005040</t>
        </is>
      </c>
      <c r="C477" s="3" t="inlineStr">
        <is>
          <t>004037</t>
        </is>
      </c>
      <c r="D477" s="4" t="n">
        <v>45167</v>
      </c>
      <c r="E477" s="2" t="inlineStr">
        <is>
          <t>14:46</t>
        </is>
      </c>
      <c r="F477" s="5">
        <f>C477-C476</f>
        <v/>
      </c>
      <c r="G477" s="5">
        <f>B477-B476</f>
        <v/>
      </c>
      <c r="H477" s="2">
        <f>IF(AND(F477=1,G477=1),"OK","À JUSTIFIER")</f>
        <v/>
      </c>
    </row>
    <row r="478">
      <c r="A478" s="2" t="inlineStr">
        <is>
          <t>EJ010923.TXT</t>
        </is>
      </c>
      <c r="B478" s="3" t="inlineStr">
        <is>
          <t>005041</t>
        </is>
      </c>
      <c r="C478" s="3" t="inlineStr">
        <is>
          <t>004038</t>
        </is>
      </c>
      <c r="D478" s="4" t="n">
        <v>45167</v>
      </c>
      <c r="E478" s="2" t="inlineStr">
        <is>
          <t>14:47</t>
        </is>
      </c>
      <c r="F478" s="5">
        <f>C478-C477</f>
        <v/>
      </c>
      <c r="G478" s="5">
        <f>B478-B477</f>
        <v/>
      </c>
      <c r="H478" s="2">
        <f>IF(AND(F478=1,G478=1),"OK","À JUSTIFIER")</f>
        <v/>
      </c>
    </row>
    <row r="479">
      <c r="A479" s="2" t="inlineStr">
        <is>
          <t>EJ010923.TXT</t>
        </is>
      </c>
      <c r="B479" s="3" t="inlineStr">
        <is>
          <t>005042</t>
        </is>
      </c>
      <c r="C479" s="3" t="inlineStr">
        <is>
          <t>004039</t>
        </is>
      </c>
      <c r="D479" s="4" t="n">
        <v>45167</v>
      </c>
      <c r="E479" s="2" t="inlineStr">
        <is>
          <t>15:32</t>
        </is>
      </c>
      <c r="F479" s="5">
        <f>C479-C478</f>
        <v/>
      </c>
      <c r="G479" s="5">
        <f>B479-B478</f>
        <v/>
      </c>
      <c r="H479" s="2">
        <f>IF(AND(F479=1,G479=1),"OK","À JUSTIFIER")</f>
        <v/>
      </c>
    </row>
    <row r="480">
      <c r="A480" s="2" t="inlineStr">
        <is>
          <t>EJ010923.TXT</t>
        </is>
      </c>
      <c r="B480" s="3" t="inlineStr">
        <is>
          <t>005043</t>
        </is>
      </c>
      <c r="C480" s="3" t="inlineStr">
        <is>
          <t>004040</t>
        </is>
      </c>
      <c r="D480" s="4" t="n">
        <v>45167</v>
      </c>
      <c r="E480" s="2" t="inlineStr">
        <is>
          <t>15:58</t>
        </is>
      </c>
      <c r="F480" s="5">
        <f>C480-C479</f>
        <v/>
      </c>
      <c r="G480" s="5">
        <f>B480-B479</f>
        <v/>
      </c>
      <c r="H480" s="2">
        <f>IF(AND(F480=1,G480=1),"OK","À JUSTIFIER")</f>
        <v/>
      </c>
    </row>
    <row r="481">
      <c r="A481" s="2" t="inlineStr">
        <is>
          <t>EJ010923.TXT</t>
        </is>
      </c>
      <c r="B481" s="3" t="inlineStr">
        <is>
          <t>005044</t>
        </is>
      </c>
      <c r="C481" s="3" t="inlineStr">
        <is>
          <t>004041</t>
        </is>
      </c>
      <c r="D481" s="4" t="n">
        <v>45167</v>
      </c>
      <c r="E481" s="2" t="inlineStr">
        <is>
          <t>15:58</t>
        </is>
      </c>
      <c r="F481" s="5">
        <f>C481-C480</f>
        <v/>
      </c>
      <c r="G481" s="5">
        <f>B481-B480</f>
        <v/>
      </c>
      <c r="H481" s="2">
        <f>IF(AND(F481=1,G481=1),"OK","À JUSTIFIER")</f>
        <v/>
      </c>
    </row>
    <row r="482">
      <c r="A482" s="2" t="inlineStr">
        <is>
          <t>EJ010923.TXT</t>
        </is>
      </c>
      <c r="B482" s="3" t="inlineStr">
        <is>
          <t>005045</t>
        </is>
      </c>
      <c r="C482" s="3" t="inlineStr">
        <is>
          <t>004042</t>
        </is>
      </c>
      <c r="D482" s="4" t="n">
        <v>45167</v>
      </c>
      <c r="E482" s="2" t="inlineStr">
        <is>
          <t>16:11</t>
        </is>
      </c>
      <c r="F482" s="5">
        <f>C482-C481</f>
        <v/>
      </c>
      <c r="G482" s="5">
        <f>B482-B481</f>
        <v/>
      </c>
      <c r="H482" s="2">
        <f>IF(AND(F482=1,G482=1),"OK","À JUSTIFIER")</f>
        <v/>
      </c>
    </row>
    <row r="483">
      <c r="A483" s="2" t="inlineStr">
        <is>
          <t>EJ010923.TXT</t>
        </is>
      </c>
      <c r="B483" s="3" t="inlineStr">
        <is>
          <t>005046</t>
        </is>
      </c>
      <c r="C483" s="3" t="inlineStr">
        <is>
          <t>004043</t>
        </is>
      </c>
      <c r="D483" s="4" t="n">
        <v>45167</v>
      </c>
      <c r="E483" s="2" t="inlineStr">
        <is>
          <t>16:11</t>
        </is>
      </c>
      <c r="F483" s="5">
        <f>C483-C482</f>
        <v/>
      </c>
      <c r="G483" s="5">
        <f>B483-B482</f>
        <v/>
      </c>
      <c r="H483" s="2">
        <f>IF(AND(F483=1,G483=1),"OK","À JUSTIFIER")</f>
        <v/>
      </c>
    </row>
    <row r="484">
      <c r="A484" s="2" t="inlineStr">
        <is>
          <t>EJ010923.TXT</t>
        </is>
      </c>
      <c r="B484" s="3" t="inlineStr">
        <is>
          <t>005047</t>
        </is>
      </c>
      <c r="C484" s="3" t="inlineStr">
        <is>
          <t>004044</t>
        </is>
      </c>
      <c r="D484" s="4" t="n">
        <v>45168</v>
      </c>
      <c r="E484" s="2" t="inlineStr">
        <is>
          <t>15:04</t>
        </is>
      </c>
      <c r="F484" s="5">
        <f>C484-C483</f>
        <v/>
      </c>
      <c r="G484" s="5">
        <f>B484-B483</f>
        <v/>
      </c>
      <c r="H484" s="2">
        <f>IF(AND(F484=1,G484=1),"OK","À JUSTIFIER")</f>
        <v/>
      </c>
    </row>
    <row r="485">
      <c r="A485" s="2" t="inlineStr">
        <is>
          <t>EJ010923.TXT</t>
        </is>
      </c>
      <c r="B485" s="3" t="inlineStr">
        <is>
          <t>005048</t>
        </is>
      </c>
      <c r="C485" s="3" t="inlineStr">
        <is>
          <t>004045</t>
        </is>
      </c>
      <c r="D485" s="4" t="n">
        <v>45169</v>
      </c>
      <c r="E485" s="2" t="inlineStr">
        <is>
          <t>15:52</t>
        </is>
      </c>
      <c r="F485" s="5">
        <f>C485-C484</f>
        <v/>
      </c>
      <c r="G485" s="5">
        <f>B485-B484</f>
        <v/>
      </c>
      <c r="H485" s="2">
        <f>IF(AND(F485=1,G485=1),"OK","À JUSTIFIER")</f>
        <v/>
      </c>
    </row>
    <row r="486">
      <c r="A486" s="2" t="inlineStr">
        <is>
          <t>EJ010923.TXT</t>
        </is>
      </c>
      <c r="B486" s="3" t="inlineStr">
        <is>
          <t>005049</t>
        </is>
      </c>
      <c r="C486" s="3" t="inlineStr">
        <is>
          <t>004046</t>
        </is>
      </c>
      <c r="D486" s="4" t="n">
        <v>45169</v>
      </c>
      <c r="E486" s="2" t="inlineStr">
        <is>
          <t>16:18</t>
        </is>
      </c>
      <c r="F486" s="5">
        <f>C486-C485</f>
        <v/>
      </c>
      <c r="G486" s="5">
        <f>B486-B485</f>
        <v/>
      </c>
      <c r="H486" s="2">
        <f>IF(AND(F486=1,G486=1),"OK","À JUSTIFIER")</f>
        <v/>
      </c>
    </row>
    <row r="487">
      <c r="A487" s="2" t="inlineStr">
        <is>
          <t>EJ010923.TXT</t>
        </is>
      </c>
      <c r="B487" s="3" t="inlineStr">
        <is>
          <t>005050</t>
        </is>
      </c>
      <c r="C487" s="3" t="inlineStr">
        <is>
          <t>004047</t>
        </is>
      </c>
      <c r="D487" s="4" t="n">
        <v>45169</v>
      </c>
      <c r="E487" s="2" t="inlineStr">
        <is>
          <t>16:19</t>
        </is>
      </c>
      <c r="F487" s="5">
        <f>C487-C486</f>
        <v/>
      </c>
      <c r="G487" s="5">
        <f>B487-B486</f>
        <v/>
      </c>
      <c r="H487" s="2">
        <f>IF(AND(F487=1,G487=1),"OK","À JUSTIFIER")</f>
        <v/>
      </c>
    </row>
    <row r="488">
      <c r="A488" s="2" t="inlineStr">
        <is>
          <t>EJ010923.TXT</t>
        </is>
      </c>
      <c r="B488" s="3" t="inlineStr">
        <is>
          <t>005051</t>
        </is>
      </c>
      <c r="C488" s="3" t="inlineStr">
        <is>
          <t>004048</t>
        </is>
      </c>
      <c r="D488" s="4" t="n">
        <v>45169</v>
      </c>
      <c r="E488" s="2" t="inlineStr">
        <is>
          <t>17:12</t>
        </is>
      </c>
      <c r="F488" s="5">
        <f>C488-C487</f>
        <v/>
      </c>
      <c r="G488" s="5">
        <f>B488-B487</f>
        <v/>
      </c>
      <c r="H488" s="2">
        <f>IF(AND(F488=1,G488=1),"OK","À JUSTIFIER")</f>
        <v/>
      </c>
    </row>
    <row r="489">
      <c r="A489" s="2" t="inlineStr">
        <is>
          <t>EJ010923.TXT</t>
        </is>
      </c>
      <c r="B489" s="3" t="inlineStr">
        <is>
          <t>005052</t>
        </is>
      </c>
      <c r="C489" s="3" t="inlineStr">
        <is>
          <t>004049</t>
        </is>
      </c>
      <c r="D489" s="4" t="n">
        <v>45169</v>
      </c>
      <c r="E489" s="2" t="inlineStr">
        <is>
          <t>17:13</t>
        </is>
      </c>
      <c r="F489" s="5">
        <f>C489-C488</f>
        <v/>
      </c>
      <c r="G489" s="5">
        <f>B489-B488</f>
        <v/>
      </c>
      <c r="H489" s="2">
        <f>IF(AND(F489=1,G489=1),"OK","À JUSTIFIER")</f>
        <v/>
      </c>
    </row>
    <row r="490">
      <c r="A490" s="2" t="inlineStr">
        <is>
          <t>EJ010923.TXT</t>
        </is>
      </c>
      <c r="B490" s="3" t="inlineStr">
        <is>
          <t>005053</t>
        </is>
      </c>
      <c r="C490" s="3" t="inlineStr">
        <is>
          <t>004050</t>
        </is>
      </c>
      <c r="D490" s="4" t="n">
        <v>45170</v>
      </c>
      <c r="E490" s="2" t="inlineStr">
        <is>
          <t>17:41</t>
        </is>
      </c>
      <c r="F490" s="5">
        <f>C490-C489</f>
        <v/>
      </c>
      <c r="G490" s="5">
        <f>B490-B489</f>
        <v/>
      </c>
      <c r="H490" s="2">
        <f>IF(AND(F490=1,G490=1),"OK","À JUSTIFIER")</f>
        <v/>
      </c>
    </row>
    <row r="491">
      <c r="A491" s="2" t="inlineStr">
        <is>
          <t>EJ011023.TXT</t>
        </is>
      </c>
      <c r="B491" s="3" t="inlineStr">
        <is>
          <t>005061</t>
        </is>
      </c>
      <c r="C491" s="3" t="inlineStr">
        <is>
          <t>004051</t>
        </is>
      </c>
      <c r="D491" s="4" t="n">
        <v>45170</v>
      </c>
      <c r="E491" s="2" t="inlineStr">
        <is>
          <t>19:18</t>
        </is>
      </c>
      <c r="F491" s="5">
        <f>C491-C490</f>
        <v/>
      </c>
      <c r="G491" s="5">
        <f>B491-B490</f>
        <v/>
      </c>
      <c r="H491" s="2">
        <f>IF(AND(F491=1,G491=1),"OK","À JUSTIFIER")</f>
        <v/>
      </c>
    </row>
    <row r="492">
      <c r="A492" s="2" t="inlineStr">
        <is>
          <t>EJ011023.TXT</t>
        </is>
      </c>
      <c r="B492" s="3" t="inlineStr">
        <is>
          <t>005062</t>
        </is>
      </c>
      <c r="C492" s="3" t="inlineStr">
        <is>
          <t>004052</t>
        </is>
      </c>
      <c r="D492" s="4" t="n">
        <v>45171</v>
      </c>
      <c r="E492" s="2" t="inlineStr">
        <is>
          <t>14:54</t>
        </is>
      </c>
      <c r="F492" s="5">
        <f>C492-C491</f>
        <v/>
      </c>
      <c r="G492" s="5">
        <f>B492-B491</f>
        <v/>
      </c>
      <c r="H492" s="2">
        <f>IF(AND(F492=1,G492=1),"OK","À JUSTIFIER")</f>
        <v/>
      </c>
    </row>
    <row r="493">
      <c r="A493" s="2" t="inlineStr">
        <is>
          <t>EJ011023.TXT</t>
        </is>
      </c>
      <c r="B493" s="3" t="inlineStr">
        <is>
          <t>005063</t>
        </is>
      </c>
      <c r="C493" s="3" t="inlineStr">
        <is>
          <t>004053</t>
        </is>
      </c>
      <c r="D493" s="4" t="n">
        <v>45171</v>
      </c>
      <c r="E493" s="2" t="inlineStr">
        <is>
          <t>15:37</t>
        </is>
      </c>
      <c r="F493" s="5">
        <f>C493-C492</f>
        <v/>
      </c>
      <c r="G493" s="5">
        <f>B493-B492</f>
        <v/>
      </c>
      <c r="H493" s="2">
        <f>IF(AND(F493=1,G493=1),"OK","À JUSTIFIER")</f>
        <v/>
      </c>
    </row>
    <row r="494">
      <c r="A494" s="2" t="inlineStr">
        <is>
          <t>EJ011023.TXT</t>
        </is>
      </c>
      <c r="B494" s="3" t="inlineStr">
        <is>
          <t>005064</t>
        </is>
      </c>
      <c r="C494" s="3" t="inlineStr">
        <is>
          <t>004054</t>
        </is>
      </c>
      <c r="D494" s="4" t="n">
        <v>45171</v>
      </c>
      <c r="E494" s="2" t="inlineStr">
        <is>
          <t>17:12</t>
        </is>
      </c>
      <c r="F494" s="5">
        <f>C494-C493</f>
        <v/>
      </c>
      <c r="G494" s="5">
        <f>B494-B493</f>
        <v/>
      </c>
      <c r="H494" s="2">
        <f>IF(AND(F494=1,G494=1),"OK","À JUSTIFIER")</f>
        <v/>
      </c>
    </row>
    <row r="495">
      <c r="A495" s="2" t="inlineStr">
        <is>
          <t>EJ011023.TXT</t>
        </is>
      </c>
      <c r="B495" s="3" t="inlineStr">
        <is>
          <t>005065</t>
        </is>
      </c>
      <c r="C495" s="3" t="inlineStr">
        <is>
          <t>004055</t>
        </is>
      </c>
      <c r="D495" s="4" t="n">
        <v>45173</v>
      </c>
      <c r="E495" s="2" t="inlineStr">
        <is>
          <t>14:00</t>
        </is>
      </c>
      <c r="F495" s="5">
        <f>C495-C494</f>
        <v/>
      </c>
      <c r="G495" s="5">
        <f>B495-B494</f>
        <v/>
      </c>
      <c r="H495" s="2">
        <f>IF(AND(F495=1,G495=1),"OK","À JUSTIFIER")</f>
        <v/>
      </c>
    </row>
    <row r="496">
      <c r="A496" s="2" t="inlineStr">
        <is>
          <t>EJ011023.TXT</t>
        </is>
      </c>
      <c r="B496" s="3" t="inlineStr">
        <is>
          <t>005066</t>
        </is>
      </c>
      <c r="C496" s="3" t="inlineStr">
        <is>
          <t>004056</t>
        </is>
      </c>
      <c r="D496" s="4" t="n">
        <v>45174</v>
      </c>
      <c r="E496" s="2" t="inlineStr">
        <is>
          <t>17:27</t>
        </is>
      </c>
      <c r="F496" s="5">
        <f>C496-C495</f>
        <v/>
      </c>
      <c r="G496" s="5">
        <f>B496-B495</f>
        <v/>
      </c>
      <c r="H496" s="2">
        <f>IF(AND(F496=1,G496=1),"OK","À JUSTIFIER")</f>
        <v/>
      </c>
    </row>
    <row r="497">
      <c r="A497" s="2" t="inlineStr">
        <is>
          <t>EJ011023.TXT</t>
        </is>
      </c>
      <c r="B497" s="3" t="inlineStr">
        <is>
          <t>005067</t>
        </is>
      </c>
      <c r="C497" s="3" t="inlineStr">
        <is>
          <t>004057</t>
        </is>
      </c>
      <c r="D497" s="4" t="n">
        <v>45175</v>
      </c>
      <c r="E497" s="2" t="inlineStr">
        <is>
          <t>14:21</t>
        </is>
      </c>
      <c r="F497" s="5">
        <f>C497-C496</f>
        <v/>
      </c>
      <c r="G497" s="5">
        <f>B497-B496</f>
        <v/>
      </c>
      <c r="H497" s="2">
        <f>IF(AND(F497=1,G497=1),"OK","À JUSTIFIER")</f>
        <v/>
      </c>
    </row>
    <row r="498">
      <c r="A498" s="2" t="inlineStr">
        <is>
          <t>EJ011023.TXT</t>
        </is>
      </c>
      <c r="B498" s="3" t="inlineStr">
        <is>
          <t>005068</t>
        </is>
      </c>
      <c r="C498" s="3" t="inlineStr">
        <is>
          <t>004058</t>
        </is>
      </c>
      <c r="D498" s="4" t="n">
        <v>45175</v>
      </c>
      <c r="E498" s="2" t="inlineStr">
        <is>
          <t>14:23</t>
        </is>
      </c>
      <c r="F498" s="5">
        <f>C498-C497</f>
        <v/>
      </c>
      <c r="G498" s="5">
        <f>B498-B497</f>
        <v/>
      </c>
      <c r="H498" s="2">
        <f>IF(AND(F498=1,G498=1),"OK","À JUSTIFIER")</f>
        <v/>
      </c>
    </row>
    <row r="499">
      <c r="A499" s="2" t="inlineStr">
        <is>
          <t>EJ011023.TXT</t>
        </is>
      </c>
      <c r="B499" s="3" t="inlineStr">
        <is>
          <t>005069</t>
        </is>
      </c>
      <c r="C499" s="3" t="inlineStr">
        <is>
          <t>004059</t>
        </is>
      </c>
      <c r="D499" s="4" t="n">
        <v>45175</v>
      </c>
      <c r="E499" s="2" t="inlineStr">
        <is>
          <t>14:23</t>
        </is>
      </c>
      <c r="F499" s="5">
        <f>C499-C498</f>
        <v/>
      </c>
      <c r="G499" s="5">
        <f>B499-B498</f>
        <v/>
      </c>
      <c r="H499" s="2">
        <f>IF(AND(F499=1,G499=1),"OK","À JUSTIFIER")</f>
        <v/>
      </c>
    </row>
    <row r="500">
      <c r="A500" s="2" t="inlineStr">
        <is>
          <t>EJ011023.TXT</t>
        </is>
      </c>
      <c r="B500" s="3" t="inlineStr">
        <is>
          <t>005070</t>
        </is>
      </c>
      <c r="C500" s="3" t="inlineStr">
        <is>
          <t>004060</t>
        </is>
      </c>
      <c r="D500" s="4" t="n">
        <v>45176</v>
      </c>
      <c r="E500" s="2" t="inlineStr">
        <is>
          <t>10:21</t>
        </is>
      </c>
      <c r="F500" s="5">
        <f>C500-C499</f>
        <v/>
      </c>
      <c r="G500" s="5">
        <f>B500-B499</f>
        <v/>
      </c>
      <c r="H500" s="2">
        <f>IF(AND(F500=1,G500=1),"OK","À JUSTIFIER")</f>
        <v/>
      </c>
    </row>
    <row r="501">
      <c r="A501" s="2" t="inlineStr">
        <is>
          <t>EJ011023.TXT</t>
        </is>
      </c>
      <c r="B501" s="3" t="inlineStr">
        <is>
          <t>005071</t>
        </is>
      </c>
      <c r="C501" s="3" t="inlineStr">
        <is>
          <t>004061</t>
        </is>
      </c>
      <c r="D501" s="4" t="n">
        <v>45177</v>
      </c>
      <c r="E501" s="2" t="inlineStr">
        <is>
          <t>09:54</t>
        </is>
      </c>
      <c r="F501" s="5">
        <f>C501-C500</f>
        <v/>
      </c>
      <c r="G501" s="5">
        <f>B501-B500</f>
        <v/>
      </c>
      <c r="H501" s="2">
        <f>IF(AND(F501=1,G501=1),"OK","À JUSTIFIER")</f>
        <v/>
      </c>
    </row>
    <row r="502">
      <c r="A502" s="2" t="inlineStr">
        <is>
          <t>EJ011023.TXT</t>
        </is>
      </c>
      <c r="B502" s="3" t="inlineStr">
        <is>
          <t>005072</t>
        </is>
      </c>
      <c r="C502" s="3" t="inlineStr">
        <is>
          <t>004062</t>
        </is>
      </c>
      <c r="D502" s="4" t="n">
        <v>45178</v>
      </c>
      <c r="E502" s="2" t="inlineStr">
        <is>
          <t>13:44</t>
        </is>
      </c>
      <c r="F502" s="5">
        <f>C502-C501</f>
        <v/>
      </c>
      <c r="G502" s="5">
        <f>B502-B501</f>
        <v/>
      </c>
      <c r="H502" s="2">
        <f>IF(AND(F502=1,G502=1),"OK","À JUSTIFIER")</f>
        <v/>
      </c>
    </row>
    <row r="503">
      <c r="A503" s="2" t="inlineStr">
        <is>
          <t>EJ011023.TXT</t>
        </is>
      </c>
      <c r="B503" s="3" t="inlineStr">
        <is>
          <t>005073</t>
        </is>
      </c>
      <c r="C503" s="3" t="inlineStr">
        <is>
          <t>004063</t>
        </is>
      </c>
      <c r="D503" s="4" t="n">
        <v>45180</v>
      </c>
      <c r="E503" s="2" t="inlineStr">
        <is>
          <t>16:23</t>
        </is>
      </c>
      <c r="F503" s="5">
        <f>C503-C502</f>
        <v/>
      </c>
      <c r="G503" s="5">
        <f>B503-B502</f>
        <v/>
      </c>
      <c r="H503" s="2">
        <f>IF(AND(F503=1,G503=1),"OK","À JUSTIFIER")</f>
        <v/>
      </c>
    </row>
    <row r="504">
      <c r="A504" s="2" t="inlineStr">
        <is>
          <t>EJ011023.TXT</t>
        </is>
      </c>
      <c r="B504" s="3" t="inlineStr">
        <is>
          <t>005074</t>
        </is>
      </c>
      <c r="C504" s="3" t="inlineStr">
        <is>
          <t>004064</t>
        </is>
      </c>
      <c r="D504" s="4" t="n">
        <v>45180</v>
      </c>
      <c r="E504" s="2" t="inlineStr">
        <is>
          <t>16:24</t>
        </is>
      </c>
      <c r="F504" s="5">
        <f>C504-C503</f>
        <v/>
      </c>
      <c r="G504" s="5">
        <f>B504-B503</f>
        <v/>
      </c>
      <c r="H504" s="2">
        <f>IF(AND(F504=1,G504=1),"OK","À JUSTIFIER")</f>
        <v/>
      </c>
    </row>
    <row r="505">
      <c r="A505" s="2" t="inlineStr">
        <is>
          <t>EJ011023.TXT</t>
        </is>
      </c>
      <c r="B505" s="3" t="inlineStr">
        <is>
          <t>005075</t>
        </is>
      </c>
      <c r="C505" s="3" t="inlineStr">
        <is>
          <t>004065</t>
        </is>
      </c>
      <c r="D505" s="4" t="n">
        <v>45180</v>
      </c>
      <c r="E505" s="2" t="inlineStr">
        <is>
          <t>16:25</t>
        </is>
      </c>
      <c r="F505" s="5">
        <f>C505-C504</f>
        <v/>
      </c>
      <c r="G505" s="5">
        <f>B505-B504</f>
        <v/>
      </c>
      <c r="H505" s="2">
        <f>IF(AND(F505=1,G505=1),"OK","À JUSTIFIER")</f>
        <v/>
      </c>
    </row>
    <row r="506">
      <c r="A506" s="2" t="inlineStr">
        <is>
          <t>EJ011023.TXT</t>
        </is>
      </c>
      <c r="B506" s="3" t="inlineStr">
        <is>
          <t>005076</t>
        </is>
      </c>
      <c r="C506" s="3" t="inlineStr">
        <is>
          <t>004066</t>
        </is>
      </c>
      <c r="D506" s="4" t="n">
        <v>45181</v>
      </c>
      <c r="E506" s="2" t="inlineStr">
        <is>
          <t>15:03</t>
        </is>
      </c>
      <c r="F506" s="5">
        <f>C506-C505</f>
        <v/>
      </c>
      <c r="G506" s="5">
        <f>B506-B505</f>
        <v/>
      </c>
      <c r="H506" s="2">
        <f>IF(AND(F506=1,G506=1),"OK","À JUSTIFIER")</f>
        <v/>
      </c>
    </row>
    <row r="507">
      <c r="A507" s="2" t="inlineStr">
        <is>
          <t>EJ011023.TXT</t>
        </is>
      </c>
      <c r="B507" s="3" t="inlineStr">
        <is>
          <t>005077</t>
        </is>
      </c>
      <c r="C507" s="3" t="inlineStr">
        <is>
          <t>004067</t>
        </is>
      </c>
      <c r="D507" s="4" t="n">
        <v>45181</v>
      </c>
      <c r="E507" s="2" t="inlineStr">
        <is>
          <t>15:25</t>
        </is>
      </c>
      <c r="F507" s="5">
        <f>C507-C506</f>
        <v/>
      </c>
      <c r="G507" s="5">
        <f>B507-B506</f>
        <v/>
      </c>
      <c r="H507" s="2">
        <f>IF(AND(F507=1,G507=1),"OK","À JUSTIFIER")</f>
        <v/>
      </c>
    </row>
    <row r="508">
      <c r="A508" s="2" t="inlineStr">
        <is>
          <t>EJ011023.TXT</t>
        </is>
      </c>
      <c r="B508" s="3" t="inlineStr">
        <is>
          <t>005078</t>
        </is>
      </c>
      <c r="C508" s="3" t="inlineStr">
        <is>
          <t>004068</t>
        </is>
      </c>
      <c r="D508" s="4" t="n">
        <v>45182</v>
      </c>
      <c r="E508" s="2" t="inlineStr">
        <is>
          <t>13:42</t>
        </is>
      </c>
      <c r="F508" s="5">
        <f>C508-C507</f>
        <v/>
      </c>
      <c r="G508" s="5">
        <f>B508-B507</f>
        <v/>
      </c>
      <c r="H508" s="2">
        <f>IF(AND(F508=1,G508=1),"OK","À JUSTIFIER")</f>
        <v/>
      </c>
    </row>
    <row r="509">
      <c r="A509" s="2" t="inlineStr">
        <is>
          <t>EJ011023.TXT</t>
        </is>
      </c>
      <c r="B509" s="3" t="inlineStr">
        <is>
          <t>005079</t>
        </is>
      </c>
      <c r="C509" s="3" t="inlineStr">
        <is>
          <t>004069</t>
        </is>
      </c>
      <c r="D509" s="4" t="n">
        <v>45182</v>
      </c>
      <c r="E509" s="2" t="inlineStr">
        <is>
          <t>16:36</t>
        </is>
      </c>
      <c r="F509" s="5">
        <f>C509-C508</f>
        <v/>
      </c>
      <c r="G509" s="5">
        <f>B509-B508</f>
        <v/>
      </c>
      <c r="H509" s="2">
        <f>IF(AND(F509=1,G509=1),"OK","À JUSTIFIER")</f>
        <v/>
      </c>
    </row>
    <row r="510">
      <c r="A510" s="2" t="inlineStr">
        <is>
          <t>EJ011023.TXT</t>
        </is>
      </c>
      <c r="B510" s="3" t="inlineStr">
        <is>
          <t>005080</t>
        </is>
      </c>
      <c r="C510" s="3" t="inlineStr">
        <is>
          <t>004070</t>
        </is>
      </c>
      <c r="D510" s="4" t="n">
        <v>45183</v>
      </c>
      <c r="E510" s="2" t="inlineStr">
        <is>
          <t>10:07</t>
        </is>
      </c>
      <c r="F510" s="5">
        <f>C510-C509</f>
        <v/>
      </c>
      <c r="G510" s="5">
        <f>B510-B509</f>
        <v/>
      </c>
      <c r="H510" s="2">
        <f>IF(AND(F510=1,G510=1),"OK","À JUSTIFIER")</f>
        <v/>
      </c>
    </row>
    <row r="511">
      <c r="A511" s="2" t="inlineStr">
        <is>
          <t>EJ011023.TXT</t>
        </is>
      </c>
      <c r="B511" s="3" t="inlineStr">
        <is>
          <t>005081</t>
        </is>
      </c>
      <c r="C511" s="3" t="inlineStr">
        <is>
          <t>004071</t>
        </is>
      </c>
      <c r="D511" s="4" t="n">
        <v>45183</v>
      </c>
      <c r="E511" s="2" t="inlineStr">
        <is>
          <t>10:34</t>
        </is>
      </c>
      <c r="F511" s="5">
        <f>C511-C510</f>
        <v/>
      </c>
      <c r="G511" s="5">
        <f>B511-B510</f>
        <v/>
      </c>
      <c r="H511" s="2">
        <f>IF(AND(F511=1,G511=1),"OK","À JUSTIFIER")</f>
        <v/>
      </c>
    </row>
    <row r="512">
      <c r="A512" s="2" t="inlineStr">
        <is>
          <t>EJ011023.TXT</t>
        </is>
      </c>
      <c r="B512" s="3" t="inlineStr">
        <is>
          <t>005082</t>
        </is>
      </c>
      <c r="C512" s="3" t="inlineStr">
        <is>
          <t>004072</t>
        </is>
      </c>
      <c r="D512" s="4" t="n">
        <v>45183</v>
      </c>
      <c r="E512" s="2" t="inlineStr">
        <is>
          <t>10:41</t>
        </is>
      </c>
      <c r="F512" s="5">
        <f>C512-C511</f>
        <v/>
      </c>
      <c r="G512" s="5">
        <f>B512-B511</f>
        <v/>
      </c>
      <c r="H512" s="2">
        <f>IF(AND(F512=1,G512=1),"OK","À JUSTIFIER")</f>
        <v/>
      </c>
    </row>
    <row r="513">
      <c r="A513" s="2" t="inlineStr">
        <is>
          <t>EJ011023.TXT</t>
        </is>
      </c>
      <c r="B513" s="3" t="inlineStr">
        <is>
          <t>005083</t>
        </is>
      </c>
      <c r="C513" s="3" t="inlineStr">
        <is>
          <t>004073</t>
        </is>
      </c>
      <c r="D513" s="4" t="n">
        <v>45184</v>
      </c>
      <c r="E513" s="2" t="inlineStr">
        <is>
          <t>09:30</t>
        </is>
      </c>
      <c r="F513" s="5">
        <f>C513-C512</f>
        <v/>
      </c>
      <c r="G513" s="5">
        <f>B513-B512</f>
        <v/>
      </c>
      <c r="H513" s="2">
        <f>IF(AND(F513=1,G513=1),"OK","À JUSTIFIER")</f>
        <v/>
      </c>
    </row>
    <row r="514">
      <c r="A514" s="2" t="inlineStr">
        <is>
          <t>EJ011023.TXT</t>
        </is>
      </c>
      <c r="B514" s="3" t="inlineStr">
        <is>
          <t>005084</t>
        </is>
      </c>
      <c r="C514" s="3" t="inlineStr">
        <is>
          <t>004074</t>
        </is>
      </c>
      <c r="D514" s="4" t="n">
        <v>45184</v>
      </c>
      <c r="E514" s="2" t="inlineStr">
        <is>
          <t>09:54</t>
        </is>
      </c>
      <c r="F514" s="5">
        <f>C514-C513</f>
        <v/>
      </c>
      <c r="G514" s="5">
        <f>B514-B513</f>
        <v/>
      </c>
      <c r="H514" s="2">
        <f>IF(AND(F514=1,G514=1),"OK","À JUSTIFIER")</f>
        <v/>
      </c>
    </row>
    <row r="515">
      <c r="A515" s="2" t="inlineStr">
        <is>
          <t>EJ011023.TXT</t>
        </is>
      </c>
      <c r="B515" s="3" t="inlineStr">
        <is>
          <t>005085</t>
        </is>
      </c>
      <c r="C515" s="3" t="inlineStr">
        <is>
          <t>004075</t>
        </is>
      </c>
      <c r="D515" s="4" t="n">
        <v>45184</v>
      </c>
      <c r="E515" s="2" t="inlineStr">
        <is>
          <t>09:55</t>
        </is>
      </c>
      <c r="F515" s="5">
        <f>C515-C514</f>
        <v/>
      </c>
      <c r="G515" s="5">
        <f>B515-B514</f>
        <v/>
      </c>
      <c r="H515" s="2">
        <f>IF(AND(F515=1,G515=1),"OK","À JUSTIFIER")</f>
        <v/>
      </c>
    </row>
    <row r="516">
      <c r="A516" s="2" t="inlineStr">
        <is>
          <t>EJ011023.TXT</t>
        </is>
      </c>
      <c r="B516" s="3" t="inlineStr">
        <is>
          <t>005086</t>
        </is>
      </c>
      <c r="C516" s="3" t="inlineStr">
        <is>
          <t>004076</t>
        </is>
      </c>
      <c r="D516" s="4" t="n">
        <v>45184</v>
      </c>
      <c r="E516" s="2" t="inlineStr">
        <is>
          <t>10:05</t>
        </is>
      </c>
      <c r="F516" s="5">
        <f>C516-C515</f>
        <v/>
      </c>
      <c r="G516" s="5">
        <f>B516-B515</f>
        <v/>
      </c>
      <c r="H516" s="2">
        <f>IF(AND(F516=1,G516=1),"OK","À JUSTIFIER")</f>
        <v/>
      </c>
    </row>
    <row r="517">
      <c r="A517" s="2" t="inlineStr">
        <is>
          <t>EJ011023.TXT</t>
        </is>
      </c>
      <c r="B517" s="3" t="inlineStr">
        <is>
          <t>005087</t>
        </is>
      </c>
      <c r="C517" s="3" t="inlineStr">
        <is>
          <t>004077</t>
        </is>
      </c>
      <c r="D517" s="4" t="n">
        <v>45185</v>
      </c>
      <c r="E517" s="2" t="inlineStr">
        <is>
          <t>16:14</t>
        </is>
      </c>
      <c r="F517" s="5">
        <f>C517-C516</f>
        <v/>
      </c>
      <c r="G517" s="5">
        <f>B517-B516</f>
        <v/>
      </c>
      <c r="H517" s="2">
        <f>IF(AND(F517=1,G517=1),"OK","À JUSTIFIER")</f>
        <v/>
      </c>
    </row>
    <row r="518">
      <c r="A518" s="2" t="inlineStr">
        <is>
          <t>EJ011023.TXT</t>
        </is>
      </c>
      <c r="B518" s="3" t="inlineStr">
        <is>
          <t>005088</t>
        </is>
      </c>
      <c r="C518" s="3" t="inlineStr">
        <is>
          <t>004078</t>
        </is>
      </c>
      <c r="D518" s="4" t="n">
        <v>45187</v>
      </c>
      <c r="E518" s="2" t="inlineStr">
        <is>
          <t>11:07</t>
        </is>
      </c>
      <c r="F518" s="5">
        <f>C518-C517</f>
        <v/>
      </c>
      <c r="G518" s="5">
        <f>B518-B517</f>
        <v/>
      </c>
      <c r="H518" s="2">
        <f>IF(AND(F518=1,G518=1),"OK","À JUSTIFIER")</f>
        <v/>
      </c>
    </row>
    <row r="519">
      <c r="A519" s="2" t="inlineStr">
        <is>
          <t>EJ011023.TXT</t>
        </is>
      </c>
      <c r="B519" s="3" t="inlineStr">
        <is>
          <t>005089</t>
        </is>
      </c>
      <c r="C519" s="3" t="inlineStr">
        <is>
          <t>004079</t>
        </is>
      </c>
      <c r="D519" s="4" t="n">
        <v>45187</v>
      </c>
      <c r="E519" s="2" t="inlineStr">
        <is>
          <t>14:18</t>
        </is>
      </c>
      <c r="F519" s="5">
        <f>C519-C518</f>
        <v/>
      </c>
      <c r="G519" s="5">
        <f>B519-B518</f>
        <v/>
      </c>
      <c r="H519" s="2">
        <f>IF(AND(F519=1,G519=1),"OK","À JUSTIFIER")</f>
        <v/>
      </c>
    </row>
    <row r="520">
      <c r="A520" s="2" t="inlineStr">
        <is>
          <t>EJ011023.TXT</t>
        </is>
      </c>
      <c r="B520" s="3" t="inlineStr">
        <is>
          <t>005090</t>
        </is>
      </c>
      <c r="C520" s="3" t="inlineStr">
        <is>
          <t>004080</t>
        </is>
      </c>
      <c r="D520" s="4" t="n">
        <v>45187</v>
      </c>
      <c r="E520" s="2" t="inlineStr">
        <is>
          <t>15:58</t>
        </is>
      </c>
      <c r="F520" s="5">
        <f>C520-C519</f>
        <v/>
      </c>
      <c r="G520" s="5">
        <f>B520-B519</f>
        <v/>
      </c>
      <c r="H520" s="2">
        <f>IF(AND(F520=1,G520=1),"OK","À JUSTIFIER")</f>
        <v/>
      </c>
    </row>
    <row r="521">
      <c r="A521" s="2" t="inlineStr">
        <is>
          <t>EJ011023.TXT</t>
        </is>
      </c>
      <c r="B521" s="3" t="inlineStr">
        <is>
          <t>005091</t>
        </is>
      </c>
      <c r="C521" s="3" t="inlineStr">
        <is>
          <t>004081</t>
        </is>
      </c>
      <c r="D521" s="4" t="n">
        <v>45188</v>
      </c>
      <c r="E521" s="2" t="inlineStr">
        <is>
          <t>10:54</t>
        </is>
      </c>
      <c r="F521" s="5">
        <f>C521-C520</f>
        <v/>
      </c>
      <c r="G521" s="5">
        <f>B521-B520</f>
        <v/>
      </c>
      <c r="H521" s="2">
        <f>IF(AND(F521=1,G521=1),"OK","À JUSTIFIER")</f>
        <v/>
      </c>
    </row>
    <row r="522">
      <c r="A522" s="2" t="inlineStr">
        <is>
          <t>EJ011023.TXT</t>
        </is>
      </c>
      <c r="B522" s="3" t="inlineStr">
        <is>
          <t>005092</t>
        </is>
      </c>
      <c r="C522" s="3" t="inlineStr">
        <is>
          <t>004082</t>
        </is>
      </c>
      <c r="D522" s="4" t="n">
        <v>45188</v>
      </c>
      <c r="E522" s="2" t="inlineStr">
        <is>
          <t>10:54</t>
        </is>
      </c>
      <c r="F522" s="5">
        <f>C522-C521</f>
        <v/>
      </c>
      <c r="G522" s="5">
        <f>B522-B521</f>
        <v/>
      </c>
      <c r="H522" s="2">
        <f>IF(AND(F522=1,G522=1),"OK","À JUSTIFIER")</f>
        <v/>
      </c>
    </row>
    <row r="523">
      <c r="A523" s="2" t="inlineStr">
        <is>
          <t>EJ011023.TXT</t>
        </is>
      </c>
      <c r="B523" s="3" t="inlineStr">
        <is>
          <t>005093</t>
        </is>
      </c>
      <c r="C523" s="3" t="inlineStr">
        <is>
          <t>004083</t>
        </is>
      </c>
      <c r="D523" s="4" t="n">
        <v>45188</v>
      </c>
      <c r="E523" s="2" t="inlineStr">
        <is>
          <t>14:00</t>
        </is>
      </c>
      <c r="F523" s="5">
        <f>C523-C522</f>
        <v/>
      </c>
      <c r="G523" s="5">
        <f>B523-B522</f>
        <v/>
      </c>
      <c r="H523" s="2">
        <f>IF(AND(F523=1,G523=1),"OK","À JUSTIFIER")</f>
        <v/>
      </c>
    </row>
    <row r="524">
      <c r="A524" s="2" t="inlineStr">
        <is>
          <t>EJ011023.TXT</t>
        </is>
      </c>
      <c r="B524" s="3" t="inlineStr">
        <is>
          <t>005094</t>
        </is>
      </c>
      <c r="C524" s="3" t="inlineStr">
        <is>
          <t>004084</t>
        </is>
      </c>
      <c r="D524" s="4" t="n">
        <v>45188</v>
      </c>
      <c r="E524" s="2" t="inlineStr">
        <is>
          <t>16:46</t>
        </is>
      </c>
      <c r="F524" s="5">
        <f>C524-C523</f>
        <v/>
      </c>
      <c r="G524" s="5">
        <f>B524-B523</f>
        <v/>
      </c>
      <c r="H524" s="2">
        <f>IF(AND(F524=1,G524=1),"OK","À JUSTIFIER")</f>
        <v/>
      </c>
    </row>
    <row r="525">
      <c r="A525" s="2" t="inlineStr">
        <is>
          <t>EJ011023.TXT</t>
        </is>
      </c>
      <c r="B525" s="3" t="inlineStr">
        <is>
          <t>005095</t>
        </is>
      </c>
      <c r="C525" s="3" t="inlineStr">
        <is>
          <t>004085</t>
        </is>
      </c>
      <c r="D525" s="4" t="n">
        <v>45191</v>
      </c>
      <c r="E525" s="2" t="inlineStr">
        <is>
          <t>14:36</t>
        </is>
      </c>
      <c r="F525" s="5">
        <f>C525-C524</f>
        <v/>
      </c>
      <c r="G525" s="5">
        <f>B525-B524</f>
        <v/>
      </c>
      <c r="H525" s="2">
        <f>IF(AND(F525=1,G525=1),"OK","À JUSTIFIER")</f>
        <v/>
      </c>
    </row>
    <row r="526">
      <c r="A526" s="2" t="inlineStr">
        <is>
          <t>EJ011023.TXT</t>
        </is>
      </c>
      <c r="B526" s="3" t="inlineStr">
        <is>
          <t>005096</t>
        </is>
      </c>
      <c r="C526" s="3" t="inlineStr">
        <is>
          <t>004086</t>
        </is>
      </c>
      <c r="D526" s="4" t="n">
        <v>45192</v>
      </c>
      <c r="E526" s="2" t="inlineStr">
        <is>
          <t>15:35</t>
        </is>
      </c>
      <c r="F526" s="5">
        <f>C526-C525</f>
        <v/>
      </c>
      <c r="G526" s="5">
        <f>B526-B525</f>
        <v/>
      </c>
      <c r="H526" s="2">
        <f>IF(AND(F526=1,G526=1),"OK","À JUSTIFIER")</f>
        <v/>
      </c>
    </row>
    <row r="527">
      <c r="A527" s="2" t="inlineStr">
        <is>
          <t>EJ011023.TXT</t>
        </is>
      </c>
      <c r="B527" s="3" t="inlineStr">
        <is>
          <t>005097</t>
        </is>
      </c>
      <c r="C527" s="3" t="inlineStr">
        <is>
          <t>004087</t>
        </is>
      </c>
      <c r="D527" s="4" t="n">
        <v>45194</v>
      </c>
      <c r="E527" s="2" t="inlineStr">
        <is>
          <t>10:14</t>
        </is>
      </c>
      <c r="F527" s="5">
        <f>C527-C526</f>
        <v/>
      </c>
      <c r="G527" s="5">
        <f>B527-B526</f>
        <v/>
      </c>
      <c r="H527" s="2">
        <f>IF(AND(F527=1,G527=1),"OK","À JUSTIFIER")</f>
        <v/>
      </c>
    </row>
    <row r="528">
      <c r="A528" s="2" t="inlineStr">
        <is>
          <t>EJ011023.TXT</t>
        </is>
      </c>
      <c r="B528" s="3" t="inlineStr">
        <is>
          <t>005098</t>
        </is>
      </c>
      <c r="C528" s="3" t="inlineStr">
        <is>
          <t>004088</t>
        </is>
      </c>
      <c r="D528" s="4" t="n">
        <v>45194</v>
      </c>
      <c r="E528" s="2" t="inlineStr">
        <is>
          <t>11:41</t>
        </is>
      </c>
      <c r="F528" s="5">
        <f>C528-C527</f>
        <v/>
      </c>
      <c r="G528" s="5">
        <f>B528-B527</f>
        <v/>
      </c>
      <c r="H528" s="2">
        <f>IF(AND(F528=1,G528=1),"OK","À JUSTIFIER")</f>
        <v/>
      </c>
    </row>
    <row r="529">
      <c r="A529" s="2" t="inlineStr">
        <is>
          <t>EJ011023.TXT</t>
        </is>
      </c>
      <c r="B529" s="3" t="inlineStr">
        <is>
          <t>005099</t>
        </is>
      </c>
      <c r="C529" s="3" t="inlineStr">
        <is>
          <t>004089</t>
        </is>
      </c>
      <c r="D529" s="4" t="n">
        <v>45194</v>
      </c>
      <c r="E529" s="2" t="inlineStr">
        <is>
          <t>14:03</t>
        </is>
      </c>
      <c r="F529" s="5">
        <f>C529-C528</f>
        <v/>
      </c>
      <c r="G529" s="5">
        <f>B529-B528</f>
        <v/>
      </c>
      <c r="H529" s="2">
        <f>IF(AND(F529=1,G529=1),"OK","À JUSTIFIER")</f>
        <v/>
      </c>
    </row>
    <row r="530">
      <c r="A530" s="2" t="inlineStr">
        <is>
          <t>EJ011023.TXT</t>
        </is>
      </c>
      <c r="B530" s="3" t="inlineStr">
        <is>
          <t>005100</t>
        </is>
      </c>
      <c r="C530" s="3" t="inlineStr">
        <is>
          <t>004090</t>
        </is>
      </c>
      <c r="D530" s="4" t="n">
        <v>45194</v>
      </c>
      <c r="E530" s="2" t="inlineStr">
        <is>
          <t>16:20</t>
        </is>
      </c>
      <c r="F530" s="5">
        <f>C530-C529</f>
        <v/>
      </c>
      <c r="G530" s="5">
        <f>B530-B529</f>
        <v/>
      </c>
      <c r="H530" s="2">
        <f>IF(AND(F530=1,G530=1),"OK","À JUSTIFIER")</f>
        <v/>
      </c>
    </row>
    <row r="531">
      <c r="A531" s="2" t="inlineStr">
        <is>
          <t>EJ011023.TXT</t>
        </is>
      </c>
      <c r="B531" s="3" t="inlineStr">
        <is>
          <t>005101</t>
        </is>
      </c>
      <c r="C531" s="3" t="inlineStr">
        <is>
          <t>004091</t>
        </is>
      </c>
      <c r="D531" s="4" t="n">
        <v>45195</v>
      </c>
      <c r="E531" s="2" t="inlineStr">
        <is>
          <t>11:11</t>
        </is>
      </c>
      <c r="F531" s="5">
        <f>C531-C530</f>
        <v/>
      </c>
      <c r="G531" s="5">
        <f>B531-B530</f>
        <v/>
      </c>
      <c r="H531" s="2">
        <f>IF(AND(F531=1,G531=1),"OK","À JUSTIFIER")</f>
        <v/>
      </c>
    </row>
    <row r="532">
      <c r="A532" s="2" t="inlineStr">
        <is>
          <t>EJ011023.TXT</t>
        </is>
      </c>
      <c r="B532" s="3" t="inlineStr">
        <is>
          <t>005102</t>
        </is>
      </c>
      <c r="C532" s="3" t="inlineStr">
        <is>
          <t>004092</t>
        </is>
      </c>
      <c r="D532" s="4" t="n">
        <v>45196</v>
      </c>
      <c r="E532" s="2" t="inlineStr">
        <is>
          <t>10:34</t>
        </is>
      </c>
      <c r="F532" s="5">
        <f>C532-C531</f>
        <v/>
      </c>
      <c r="G532" s="5">
        <f>B532-B531</f>
        <v/>
      </c>
      <c r="H532" s="2">
        <f>IF(AND(F532=1,G532=1),"OK","À JUSTIFIER")</f>
        <v/>
      </c>
    </row>
    <row r="533">
      <c r="A533" s="2" t="inlineStr">
        <is>
          <t>EJ011023.TXT</t>
        </is>
      </c>
      <c r="B533" s="3" t="inlineStr">
        <is>
          <t>005103</t>
        </is>
      </c>
      <c r="C533" s="3" t="inlineStr">
        <is>
          <t>004093</t>
        </is>
      </c>
      <c r="D533" s="4" t="n">
        <v>45196</v>
      </c>
      <c r="E533" s="2" t="inlineStr">
        <is>
          <t>13:40</t>
        </is>
      </c>
      <c r="F533" s="5">
        <f>C533-C532</f>
        <v/>
      </c>
      <c r="G533" s="5">
        <f>B533-B532</f>
        <v/>
      </c>
      <c r="H533" s="2">
        <f>IF(AND(F533=1,G533=1),"OK","À JUSTIFIER")</f>
        <v/>
      </c>
    </row>
    <row r="534">
      <c r="A534" s="2" t="inlineStr">
        <is>
          <t>EJ011023.TXT</t>
        </is>
      </c>
      <c r="B534" s="3" t="inlineStr">
        <is>
          <t>005104</t>
        </is>
      </c>
      <c r="C534" s="3" t="inlineStr">
        <is>
          <t>004094</t>
        </is>
      </c>
      <c r="D534" s="4" t="n">
        <v>45197</v>
      </c>
      <c r="E534" s="2" t="inlineStr">
        <is>
          <t>11:04</t>
        </is>
      </c>
      <c r="F534" s="5">
        <f>C534-C533</f>
        <v/>
      </c>
      <c r="G534" s="5">
        <f>B534-B533</f>
        <v/>
      </c>
      <c r="H534" s="2">
        <f>IF(AND(F534=1,G534=1),"OK","À JUSTIFIER")</f>
        <v/>
      </c>
    </row>
    <row r="535">
      <c r="A535" s="2" t="inlineStr">
        <is>
          <t>EJ011023.TXT</t>
        </is>
      </c>
      <c r="B535" s="3" t="inlineStr">
        <is>
          <t>005105</t>
        </is>
      </c>
      <c r="C535" s="3" t="inlineStr">
        <is>
          <t>004095</t>
        </is>
      </c>
      <c r="D535" s="4" t="n">
        <v>45197</v>
      </c>
      <c r="E535" s="2" t="inlineStr">
        <is>
          <t>15:05</t>
        </is>
      </c>
      <c r="F535" s="5">
        <f>C535-C534</f>
        <v/>
      </c>
      <c r="G535" s="5">
        <f>B535-B534</f>
        <v/>
      </c>
      <c r="H535" s="2">
        <f>IF(AND(F535=1,G535=1),"OK","À JUSTIFIER")</f>
        <v/>
      </c>
    </row>
    <row r="536">
      <c r="A536" s="2" t="inlineStr">
        <is>
          <t>EJ011023.TXT</t>
        </is>
      </c>
      <c r="B536" s="3" t="inlineStr">
        <is>
          <t>005106</t>
        </is>
      </c>
      <c r="C536" s="3" t="inlineStr">
        <is>
          <t>004096</t>
        </is>
      </c>
      <c r="D536" s="4" t="n">
        <v>45197</v>
      </c>
      <c r="E536" s="2" t="inlineStr">
        <is>
          <t>16:22</t>
        </is>
      </c>
      <c r="F536" s="5">
        <f>C536-C535</f>
        <v/>
      </c>
      <c r="G536" s="5">
        <f>B536-B535</f>
        <v/>
      </c>
      <c r="H536" s="2">
        <f>IF(AND(F536=1,G536=1),"OK","À JUSTIFIER")</f>
        <v/>
      </c>
    </row>
    <row r="537">
      <c r="A537" s="2" t="inlineStr">
        <is>
          <t>EJ011023.TXT</t>
        </is>
      </c>
      <c r="B537" s="3" t="inlineStr">
        <is>
          <t>005107</t>
        </is>
      </c>
      <c r="C537" s="3" t="inlineStr">
        <is>
          <t>004097</t>
        </is>
      </c>
      <c r="D537" s="4" t="n">
        <v>45198</v>
      </c>
      <c r="E537" s="2" t="inlineStr">
        <is>
          <t>11:45</t>
        </is>
      </c>
      <c r="F537" s="5">
        <f>C537-C536</f>
        <v/>
      </c>
      <c r="G537" s="5">
        <f>B537-B536</f>
        <v/>
      </c>
      <c r="H537" s="2">
        <f>IF(AND(F537=1,G537=1),"OK","À JUSTIFIER")</f>
        <v/>
      </c>
    </row>
    <row r="538">
      <c r="A538" s="2" t="inlineStr">
        <is>
          <t>EJ011023.TXT</t>
        </is>
      </c>
      <c r="B538" s="3" t="inlineStr">
        <is>
          <t>005108</t>
        </is>
      </c>
      <c r="C538" s="3" t="inlineStr">
        <is>
          <t>004098</t>
        </is>
      </c>
      <c r="D538" s="4" t="n">
        <v>45198</v>
      </c>
      <c r="E538" s="2" t="inlineStr">
        <is>
          <t>13:53</t>
        </is>
      </c>
      <c r="F538" s="5">
        <f>C538-C537</f>
        <v/>
      </c>
      <c r="G538" s="5">
        <f>B538-B537</f>
        <v/>
      </c>
      <c r="H538" s="2">
        <f>IF(AND(F538=1,G538=1),"OK","À JUSTIFIER")</f>
        <v/>
      </c>
    </row>
    <row r="539">
      <c r="A539" s="2" t="inlineStr">
        <is>
          <t>EJ011023.TXT</t>
        </is>
      </c>
      <c r="B539" s="3" t="inlineStr">
        <is>
          <t>005109</t>
        </is>
      </c>
      <c r="C539" s="3" t="inlineStr">
        <is>
          <t>004099</t>
        </is>
      </c>
      <c r="D539" s="4" t="n">
        <v>45198</v>
      </c>
      <c r="E539" s="2" t="inlineStr">
        <is>
          <t>13:56</t>
        </is>
      </c>
      <c r="F539" s="5">
        <f>C539-C538</f>
        <v/>
      </c>
      <c r="G539" s="5">
        <f>B539-B538</f>
        <v/>
      </c>
      <c r="H539" s="2">
        <f>IF(AND(F539=1,G539=1),"OK","À JUSTIFIER")</f>
        <v/>
      </c>
    </row>
    <row r="540">
      <c r="A540" s="2" t="inlineStr">
        <is>
          <t>EJ011023.TXT</t>
        </is>
      </c>
      <c r="B540" s="3" t="inlineStr">
        <is>
          <t>005110</t>
        </is>
      </c>
      <c r="C540" s="3" t="inlineStr">
        <is>
          <t>004100</t>
        </is>
      </c>
      <c r="D540" s="4" t="n">
        <v>45198</v>
      </c>
      <c r="E540" s="2" t="inlineStr">
        <is>
          <t>14:00</t>
        </is>
      </c>
      <c r="F540" s="5">
        <f>C540-C539</f>
        <v/>
      </c>
      <c r="G540" s="5">
        <f>B540-B539</f>
        <v/>
      </c>
      <c r="H540" s="2">
        <f>IF(AND(F540=1,G540=1),"OK","À JUSTIFIER")</f>
        <v/>
      </c>
    </row>
    <row r="541">
      <c r="A541" s="2" t="inlineStr">
        <is>
          <t>EJ011023.TXT</t>
        </is>
      </c>
      <c r="B541" s="3" t="inlineStr">
        <is>
          <t>005111</t>
        </is>
      </c>
      <c r="C541" s="3" t="inlineStr">
        <is>
          <t>004101</t>
        </is>
      </c>
      <c r="D541" s="4" t="n">
        <v>45198</v>
      </c>
      <c r="E541" s="2" t="inlineStr">
        <is>
          <t>14:00</t>
        </is>
      </c>
      <c r="F541" s="5">
        <f>C541-C540</f>
        <v/>
      </c>
      <c r="G541" s="5">
        <f>B541-B540</f>
        <v/>
      </c>
      <c r="H541" s="2">
        <f>IF(AND(F541=1,G541=1),"OK","À JUSTIFIER")</f>
        <v/>
      </c>
    </row>
    <row r="542">
      <c r="A542" s="2" t="inlineStr">
        <is>
          <t>EJ011023.TXT</t>
        </is>
      </c>
      <c r="B542" s="3" t="inlineStr">
        <is>
          <t>005112</t>
        </is>
      </c>
      <c r="C542" s="3" t="inlineStr">
        <is>
          <t>004102</t>
        </is>
      </c>
      <c r="D542" s="4" t="n">
        <v>45199</v>
      </c>
      <c r="E542" s="2" t="inlineStr">
        <is>
          <t>14:48</t>
        </is>
      </c>
      <c r="F542" s="5">
        <f>C542-C541</f>
        <v/>
      </c>
      <c r="G542" s="5">
        <f>B542-B541</f>
        <v/>
      </c>
      <c r="H542" s="2">
        <f>IF(AND(F542=1,G542=1),"OK","À JUSTIFIER")</f>
        <v/>
      </c>
    </row>
    <row r="543">
      <c r="A543" s="2" t="inlineStr">
        <is>
          <t>EJ011023.TXT</t>
        </is>
      </c>
      <c r="B543" s="3" t="inlineStr">
        <is>
          <t>005113</t>
        </is>
      </c>
      <c r="C543" s="3" t="inlineStr">
        <is>
          <t>004103</t>
        </is>
      </c>
      <c r="D543" s="4" t="n">
        <v>45199</v>
      </c>
      <c r="E543" s="2" t="inlineStr">
        <is>
          <t>14:48</t>
        </is>
      </c>
      <c r="F543" s="5">
        <f>C543-C542</f>
        <v/>
      </c>
      <c r="G543" s="5">
        <f>B543-B542</f>
        <v/>
      </c>
      <c r="H543" s="2">
        <f>IF(AND(F543=1,G543=1),"OK","À JUSTIFIER")</f>
        <v/>
      </c>
    </row>
    <row r="544">
      <c r="A544" s="2" t="inlineStr">
        <is>
          <t>EJ011023.TXT</t>
        </is>
      </c>
      <c r="B544" s="3" t="inlineStr">
        <is>
          <t>005114</t>
        </is>
      </c>
      <c r="C544" s="3" t="inlineStr">
        <is>
          <t>004104</t>
        </is>
      </c>
      <c r="D544" s="4" t="n">
        <v>45199</v>
      </c>
      <c r="E544" s="2" t="inlineStr">
        <is>
          <t>14:52</t>
        </is>
      </c>
      <c r="F544" s="5">
        <f>C544-C543</f>
        <v/>
      </c>
      <c r="G544" s="5">
        <f>B544-B543</f>
        <v/>
      </c>
      <c r="H544" s="2">
        <f>IF(AND(F544=1,G544=1),"OK","À JUSTIFIER")</f>
        <v/>
      </c>
    </row>
    <row r="545">
      <c r="A545" s="2" t="inlineStr">
        <is>
          <t>EJ011023.TXT</t>
        </is>
      </c>
      <c r="B545" s="3" t="inlineStr">
        <is>
          <t>005115</t>
        </is>
      </c>
      <c r="C545" s="3" t="inlineStr">
        <is>
          <t>004105</t>
        </is>
      </c>
      <c r="D545" s="4" t="n">
        <v>45199</v>
      </c>
      <c r="E545" s="2" t="inlineStr">
        <is>
          <t>14:53</t>
        </is>
      </c>
      <c r="F545" s="5">
        <f>C545-C544</f>
        <v/>
      </c>
      <c r="G545" s="5">
        <f>B545-B544</f>
        <v/>
      </c>
      <c r="H545" s="2">
        <f>IF(AND(F545=1,G545=1),"OK","À JUSTIFIER")</f>
        <v/>
      </c>
    </row>
    <row r="546">
      <c r="A546" s="2" t="inlineStr">
        <is>
          <t>EJ011023.TXT</t>
        </is>
      </c>
      <c r="B546" s="3" t="inlineStr">
        <is>
          <t>005116</t>
        </is>
      </c>
      <c r="C546" s="3" t="inlineStr">
        <is>
          <t>004106</t>
        </is>
      </c>
      <c r="D546" s="4" t="n">
        <v>45199</v>
      </c>
      <c r="E546" s="2" t="inlineStr">
        <is>
          <t>14:53</t>
        </is>
      </c>
      <c r="F546" s="5">
        <f>C546-C545</f>
        <v/>
      </c>
      <c r="G546" s="5">
        <f>B546-B545</f>
        <v/>
      </c>
      <c r="H546" s="2">
        <f>IF(AND(F546=1,G546=1),"OK","À JUSTIFIER")</f>
        <v/>
      </c>
    </row>
    <row r="547">
      <c r="A547" s="2" t="inlineStr">
        <is>
          <t>EJ011023.TXT</t>
        </is>
      </c>
      <c r="B547" s="3" t="inlineStr">
        <is>
          <t>005117</t>
        </is>
      </c>
      <c r="C547" s="3" t="inlineStr">
        <is>
          <t>004107</t>
        </is>
      </c>
      <c r="D547" s="4" t="n">
        <v>45199</v>
      </c>
      <c r="E547" s="2" t="inlineStr">
        <is>
          <t>14:54</t>
        </is>
      </c>
      <c r="F547" s="5">
        <f>C547-C546</f>
        <v/>
      </c>
      <c r="G547" s="5">
        <f>B547-B546</f>
        <v/>
      </c>
      <c r="H547" s="2">
        <f>IF(AND(F547=1,G547=1),"OK","À JUSTIFIER")</f>
        <v/>
      </c>
    </row>
    <row r="548">
      <c r="A548" s="2" t="inlineStr">
        <is>
          <t>EJ011023.TXT</t>
        </is>
      </c>
      <c r="B548" s="3" t="inlineStr">
        <is>
          <t>005118</t>
        </is>
      </c>
      <c r="C548" s="3" t="inlineStr">
        <is>
          <t>004108</t>
        </is>
      </c>
      <c r="D548" s="4" t="n">
        <v>45199</v>
      </c>
      <c r="E548" s="2" t="inlineStr">
        <is>
          <t>14:54</t>
        </is>
      </c>
      <c r="F548" s="5">
        <f>C548-C547</f>
        <v/>
      </c>
      <c r="G548" s="5">
        <f>B548-B547</f>
        <v/>
      </c>
      <c r="H548" s="2">
        <f>IF(AND(F548=1,G548=1),"OK","À JUSTIFIER")</f>
        <v/>
      </c>
    </row>
    <row r="549">
      <c r="A549" s="2" t="inlineStr">
        <is>
          <t>EJ011023.TXT</t>
        </is>
      </c>
      <c r="B549" s="3" t="inlineStr">
        <is>
          <t>005119</t>
        </is>
      </c>
      <c r="C549" s="3" t="inlineStr">
        <is>
          <t>004109</t>
        </is>
      </c>
      <c r="D549" s="4" t="n">
        <v>45199</v>
      </c>
      <c r="E549" s="2" t="inlineStr">
        <is>
          <t>16:42</t>
        </is>
      </c>
      <c r="F549" s="5">
        <f>C549-C548</f>
        <v/>
      </c>
      <c r="G549" s="5">
        <f>B549-B548</f>
        <v/>
      </c>
      <c r="H549" s="2">
        <f>IF(AND(F549=1,G549=1),"OK","À JUSTIFIER")</f>
        <v/>
      </c>
    </row>
    <row r="550">
      <c r="A550" s="2" t="inlineStr">
        <is>
          <t>EJ011023.TXT</t>
        </is>
      </c>
      <c r="B550" s="3" t="inlineStr">
        <is>
          <t>005120</t>
        </is>
      </c>
      <c r="C550" s="3" t="inlineStr">
        <is>
          <t>004110</t>
        </is>
      </c>
      <c r="D550" s="4" t="n">
        <v>45199</v>
      </c>
      <c r="E550" s="2" t="inlineStr">
        <is>
          <t>17:06</t>
        </is>
      </c>
      <c r="F550" s="5">
        <f>C550-C549</f>
        <v/>
      </c>
      <c r="G550" s="5">
        <f>B550-B549</f>
        <v/>
      </c>
      <c r="H550" s="2">
        <f>IF(AND(F550=1,G550=1),"OK","À JUSTIFIER")</f>
        <v/>
      </c>
    </row>
    <row r="551">
      <c r="A551" s="2" t="inlineStr">
        <is>
          <t>EJ101123.TXT</t>
        </is>
      </c>
      <c r="B551" s="3" t="inlineStr">
        <is>
          <t>005128</t>
        </is>
      </c>
      <c r="C551" s="3" t="inlineStr">
        <is>
          <t>004111</t>
        </is>
      </c>
      <c r="D551" s="4" t="n">
        <v>45201</v>
      </c>
      <c r="E551" s="2" t="inlineStr">
        <is>
          <t>16:38</t>
        </is>
      </c>
      <c r="F551" s="5">
        <f>C551-C550</f>
        <v/>
      </c>
      <c r="G551" s="5">
        <f>B551-B550</f>
        <v/>
      </c>
      <c r="H551" s="2">
        <f>IF(AND(F551=1,G551=1),"OK","À JUSTIFIER")</f>
        <v/>
      </c>
    </row>
    <row r="552">
      <c r="A552" s="2" t="inlineStr">
        <is>
          <t>EJ101123.TXT</t>
        </is>
      </c>
      <c r="B552" s="3" t="inlineStr">
        <is>
          <t>005129</t>
        </is>
      </c>
      <c r="C552" s="3" t="inlineStr">
        <is>
          <t>004112</t>
        </is>
      </c>
      <c r="D552" s="4" t="n">
        <v>45201</v>
      </c>
      <c r="E552" s="2" t="inlineStr">
        <is>
          <t>16:38</t>
        </is>
      </c>
      <c r="F552" s="5">
        <f>C552-C551</f>
        <v/>
      </c>
      <c r="G552" s="5">
        <f>B552-B551</f>
        <v/>
      </c>
      <c r="H552" s="2">
        <f>IF(AND(F552=1,G552=1),"OK","À JUSTIFIER")</f>
        <v/>
      </c>
    </row>
    <row r="553">
      <c r="A553" s="2" t="inlineStr">
        <is>
          <t>EJ101123.TXT</t>
        </is>
      </c>
      <c r="B553" s="3" t="inlineStr">
        <is>
          <t>005130</t>
        </is>
      </c>
      <c r="C553" s="3" t="inlineStr">
        <is>
          <t>004113</t>
        </is>
      </c>
      <c r="D553" s="4" t="n">
        <v>45201</v>
      </c>
      <c r="E553" s="2" t="inlineStr">
        <is>
          <t>16:57</t>
        </is>
      </c>
      <c r="F553" s="5">
        <f>C553-C552</f>
        <v/>
      </c>
      <c r="G553" s="5">
        <f>B553-B552</f>
        <v/>
      </c>
      <c r="H553" s="2">
        <f>IF(AND(F553=1,G553=1),"OK","À JUSTIFIER")</f>
        <v/>
      </c>
    </row>
    <row r="554">
      <c r="A554" s="2" t="inlineStr">
        <is>
          <t>EJ101123.TXT</t>
        </is>
      </c>
      <c r="B554" s="3" t="inlineStr">
        <is>
          <t>005131</t>
        </is>
      </c>
      <c r="C554" s="3" t="inlineStr">
        <is>
          <t>004114</t>
        </is>
      </c>
      <c r="D554" s="4" t="n">
        <v>45202</v>
      </c>
      <c r="E554" s="2" t="inlineStr">
        <is>
          <t>09:39</t>
        </is>
      </c>
      <c r="F554" s="5">
        <f>C554-C553</f>
        <v/>
      </c>
      <c r="G554" s="5">
        <f>B554-B553</f>
        <v/>
      </c>
      <c r="H554" s="2">
        <f>IF(AND(F554=1,G554=1),"OK","À JUSTIFIER")</f>
        <v/>
      </c>
    </row>
    <row r="555">
      <c r="A555" s="2" t="inlineStr">
        <is>
          <t>EJ101123.TXT</t>
        </is>
      </c>
      <c r="B555" s="3" t="inlineStr">
        <is>
          <t>005132</t>
        </is>
      </c>
      <c r="C555" s="3" t="inlineStr">
        <is>
          <t>004115</t>
        </is>
      </c>
      <c r="D555" s="4" t="n">
        <v>45205</v>
      </c>
      <c r="E555" s="2" t="inlineStr">
        <is>
          <t>14:05</t>
        </is>
      </c>
      <c r="F555" s="5">
        <f>C555-C554</f>
        <v/>
      </c>
      <c r="G555" s="5">
        <f>B555-B554</f>
        <v/>
      </c>
      <c r="H555" s="2">
        <f>IF(AND(F555=1,G555=1),"OK","À JUSTIFIER")</f>
        <v/>
      </c>
    </row>
    <row r="556">
      <c r="A556" s="2" t="inlineStr">
        <is>
          <t>EJ101123.TXT</t>
        </is>
      </c>
      <c r="B556" s="3" t="inlineStr">
        <is>
          <t>005133</t>
        </is>
      </c>
      <c r="C556" s="3" t="inlineStr">
        <is>
          <t>004116</t>
        </is>
      </c>
      <c r="D556" s="4" t="n">
        <v>45206</v>
      </c>
      <c r="E556" s="2" t="inlineStr">
        <is>
          <t>15:50</t>
        </is>
      </c>
      <c r="F556" s="5">
        <f>C556-C555</f>
        <v/>
      </c>
      <c r="G556" s="5">
        <f>B556-B555</f>
        <v/>
      </c>
      <c r="H556" s="2">
        <f>IF(AND(F556=1,G556=1),"OK","À JUSTIFIER")</f>
        <v/>
      </c>
    </row>
    <row r="557">
      <c r="A557" s="2" t="inlineStr">
        <is>
          <t>EJ101123.TXT</t>
        </is>
      </c>
      <c r="B557" s="3" t="inlineStr">
        <is>
          <t>005134</t>
        </is>
      </c>
      <c r="C557" s="3" t="inlineStr">
        <is>
          <t>004117</t>
        </is>
      </c>
      <c r="D557" s="4" t="n">
        <v>45206</v>
      </c>
      <c r="E557" s="2" t="inlineStr">
        <is>
          <t>15:54</t>
        </is>
      </c>
      <c r="F557" s="5">
        <f>C557-C556</f>
        <v/>
      </c>
      <c r="G557" s="5">
        <f>B557-B556</f>
        <v/>
      </c>
      <c r="H557" s="2">
        <f>IF(AND(F557=1,G557=1),"OK","À JUSTIFIER")</f>
        <v/>
      </c>
    </row>
    <row r="558">
      <c r="A558" s="2" t="inlineStr">
        <is>
          <t>EJ101123.TXT</t>
        </is>
      </c>
      <c r="B558" s="3" t="inlineStr">
        <is>
          <t>005135</t>
        </is>
      </c>
      <c r="C558" s="3" t="inlineStr">
        <is>
          <t>004118</t>
        </is>
      </c>
      <c r="D558" s="4" t="n">
        <v>45206</v>
      </c>
      <c r="E558" s="2" t="inlineStr">
        <is>
          <t>15:54</t>
        </is>
      </c>
      <c r="F558" s="5">
        <f>C558-C557</f>
        <v/>
      </c>
      <c r="G558" s="5">
        <f>B558-B557</f>
        <v/>
      </c>
      <c r="H558" s="2">
        <f>IF(AND(F558=1,G558=1),"OK","À JUSTIFIER")</f>
        <v/>
      </c>
    </row>
    <row r="559">
      <c r="A559" s="2" t="inlineStr">
        <is>
          <t>EJ101123.TXT</t>
        </is>
      </c>
      <c r="B559" s="3" t="inlineStr">
        <is>
          <t>005136</t>
        </is>
      </c>
      <c r="C559" s="3" t="inlineStr">
        <is>
          <t>004119</t>
        </is>
      </c>
      <c r="D559" s="4" t="n">
        <v>45208</v>
      </c>
      <c r="E559" s="2" t="inlineStr">
        <is>
          <t>13:52</t>
        </is>
      </c>
      <c r="F559" s="5">
        <f>C559-C558</f>
        <v/>
      </c>
      <c r="G559" s="5">
        <f>B559-B558</f>
        <v/>
      </c>
      <c r="H559" s="2">
        <f>IF(AND(F559=1,G559=1),"OK","À JUSTIFIER")</f>
        <v/>
      </c>
    </row>
    <row r="560">
      <c r="A560" s="2" t="inlineStr">
        <is>
          <t>EJ101123.TXT</t>
        </is>
      </c>
      <c r="B560" s="3" t="inlineStr">
        <is>
          <t>005137</t>
        </is>
      </c>
      <c r="C560" s="3" t="inlineStr">
        <is>
          <t>004120</t>
        </is>
      </c>
      <c r="D560" s="4" t="n">
        <v>45209</v>
      </c>
      <c r="E560" s="2" t="inlineStr">
        <is>
          <t>13:43</t>
        </is>
      </c>
      <c r="F560" s="5">
        <f>C560-C559</f>
        <v/>
      </c>
      <c r="G560" s="5">
        <f>B560-B559</f>
        <v/>
      </c>
      <c r="H560" s="2">
        <f>IF(AND(F560=1,G560=1),"OK","À JUSTIFIER")</f>
        <v/>
      </c>
    </row>
    <row r="561">
      <c r="A561" s="2" t="inlineStr">
        <is>
          <t>EJ101123.TXT</t>
        </is>
      </c>
      <c r="B561" s="3" t="inlineStr">
        <is>
          <t>005138</t>
        </is>
      </c>
      <c r="C561" s="3" t="inlineStr">
        <is>
          <t>004121</t>
        </is>
      </c>
      <c r="D561" s="4" t="n">
        <v>45209</v>
      </c>
      <c r="E561" s="2" t="inlineStr">
        <is>
          <t>14:31</t>
        </is>
      </c>
      <c r="F561" s="5">
        <f>C561-C560</f>
        <v/>
      </c>
      <c r="G561" s="5">
        <f>B561-B560</f>
        <v/>
      </c>
      <c r="H561" s="2">
        <f>IF(AND(F561=1,G561=1),"OK","À JUSTIFIER")</f>
        <v/>
      </c>
    </row>
    <row r="562">
      <c r="A562" s="2" t="inlineStr">
        <is>
          <t>EJ101123.TXT</t>
        </is>
      </c>
      <c r="B562" s="3" t="inlineStr">
        <is>
          <t>005139</t>
        </is>
      </c>
      <c r="C562" s="3" t="inlineStr">
        <is>
          <t>004122</t>
        </is>
      </c>
      <c r="D562" s="4" t="n">
        <v>45209</v>
      </c>
      <c r="E562" s="2" t="inlineStr">
        <is>
          <t>16:17</t>
        </is>
      </c>
      <c r="F562" s="5">
        <f>C562-C561</f>
        <v/>
      </c>
      <c r="G562" s="5">
        <f>B562-B561</f>
        <v/>
      </c>
      <c r="H562" s="2">
        <f>IF(AND(F562=1,G562=1),"OK","À JUSTIFIER")</f>
        <v/>
      </c>
    </row>
    <row r="563">
      <c r="A563" s="2" t="inlineStr">
        <is>
          <t>EJ101123.TXT</t>
        </is>
      </c>
      <c r="B563" s="3" t="inlineStr">
        <is>
          <t>005140</t>
        </is>
      </c>
      <c r="C563" s="3" t="inlineStr">
        <is>
          <t>004123</t>
        </is>
      </c>
      <c r="D563" s="4" t="n">
        <v>45210</v>
      </c>
      <c r="E563" s="2" t="inlineStr">
        <is>
          <t>15:10</t>
        </is>
      </c>
      <c r="F563" s="5">
        <f>C563-C562</f>
        <v/>
      </c>
      <c r="G563" s="5">
        <f>B563-B562</f>
        <v/>
      </c>
      <c r="H563" s="2">
        <f>IF(AND(F563=1,G563=1),"OK","À JUSTIFIER")</f>
        <v/>
      </c>
    </row>
    <row r="564">
      <c r="A564" s="2" t="inlineStr">
        <is>
          <t>EJ101123.TXT</t>
        </is>
      </c>
      <c r="B564" s="3" t="inlineStr">
        <is>
          <t>005141</t>
        </is>
      </c>
      <c r="C564" s="3" t="inlineStr">
        <is>
          <t>004124</t>
        </is>
      </c>
      <c r="D564" s="4" t="n">
        <v>45210</v>
      </c>
      <c r="E564" s="2" t="inlineStr">
        <is>
          <t>16:08</t>
        </is>
      </c>
      <c r="F564" s="5">
        <f>C564-C563</f>
        <v/>
      </c>
      <c r="G564" s="5">
        <f>B564-B563</f>
        <v/>
      </c>
      <c r="H564" s="2">
        <f>IF(AND(F564=1,G564=1),"OK","À JUSTIFIER")</f>
        <v/>
      </c>
    </row>
    <row r="565">
      <c r="A565" s="2" t="inlineStr">
        <is>
          <t>EJ101123.TXT</t>
        </is>
      </c>
      <c r="B565" s="3" t="inlineStr">
        <is>
          <t>005142</t>
        </is>
      </c>
      <c r="C565" s="3" t="inlineStr">
        <is>
          <t>004125</t>
        </is>
      </c>
      <c r="D565" s="4" t="n">
        <v>45213</v>
      </c>
      <c r="E565" s="2" t="inlineStr">
        <is>
          <t>13:40</t>
        </is>
      </c>
      <c r="F565" s="5">
        <f>C565-C564</f>
        <v/>
      </c>
      <c r="G565" s="5">
        <f>B565-B564</f>
        <v/>
      </c>
      <c r="H565" s="2">
        <f>IF(AND(F565=1,G565=1),"OK","À JUSTIFIER")</f>
        <v/>
      </c>
    </row>
    <row r="566">
      <c r="A566" s="2" t="inlineStr">
        <is>
          <t>EJ101123.TXT</t>
        </is>
      </c>
      <c r="B566" s="3" t="inlineStr">
        <is>
          <t>005143</t>
        </is>
      </c>
      <c r="C566" s="3" t="inlineStr">
        <is>
          <t>004126</t>
        </is>
      </c>
      <c r="D566" s="4" t="n">
        <v>45213</v>
      </c>
      <c r="E566" s="2" t="inlineStr">
        <is>
          <t>15:52</t>
        </is>
      </c>
      <c r="F566" s="5">
        <f>C566-C565</f>
        <v/>
      </c>
      <c r="G566" s="5">
        <f>B566-B565</f>
        <v/>
      </c>
      <c r="H566" s="2">
        <f>IF(AND(F566=1,G566=1),"OK","À JUSTIFIER")</f>
        <v/>
      </c>
    </row>
    <row r="567">
      <c r="A567" s="2" t="inlineStr">
        <is>
          <t>EJ101123.TXT</t>
        </is>
      </c>
      <c r="B567" s="3" t="inlineStr">
        <is>
          <t>005144</t>
        </is>
      </c>
      <c r="C567" s="3" t="inlineStr">
        <is>
          <t>004127</t>
        </is>
      </c>
      <c r="D567" s="4" t="n">
        <v>45213</v>
      </c>
      <c r="E567" s="2" t="inlineStr">
        <is>
          <t>17:08</t>
        </is>
      </c>
      <c r="F567" s="5">
        <f>C567-C566</f>
        <v/>
      </c>
      <c r="G567" s="5">
        <f>B567-B566</f>
        <v/>
      </c>
      <c r="H567" s="2">
        <f>IF(AND(F567=1,G567=1),"OK","À JUSTIFIER")</f>
        <v/>
      </c>
    </row>
    <row r="568">
      <c r="A568" s="2" t="inlineStr">
        <is>
          <t>EJ101123.TXT</t>
        </is>
      </c>
      <c r="B568" s="3" t="inlineStr">
        <is>
          <t>005145</t>
        </is>
      </c>
      <c r="C568" s="3" t="inlineStr">
        <is>
          <t>004128</t>
        </is>
      </c>
      <c r="D568" s="4" t="n">
        <v>45216</v>
      </c>
      <c r="E568" s="2" t="inlineStr">
        <is>
          <t>10:17</t>
        </is>
      </c>
      <c r="F568" s="5">
        <f>C568-C567</f>
        <v/>
      </c>
      <c r="G568" s="5">
        <f>B568-B567</f>
        <v/>
      </c>
      <c r="H568" s="2">
        <f>IF(AND(F568=1,G568=1),"OK","À JUSTIFIER")</f>
        <v/>
      </c>
    </row>
    <row r="569">
      <c r="A569" s="2" t="inlineStr">
        <is>
          <t>EJ101123.TXT</t>
        </is>
      </c>
      <c r="B569" s="3" t="inlineStr">
        <is>
          <t>005146</t>
        </is>
      </c>
      <c r="C569" s="3" t="inlineStr">
        <is>
          <t>004129</t>
        </is>
      </c>
      <c r="D569" s="4" t="n">
        <v>45216</v>
      </c>
      <c r="E569" s="2" t="inlineStr">
        <is>
          <t>15:28</t>
        </is>
      </c>
      <c r="F569" s="5">
        <f>C569-C568</f>
        <v/>
      </c>
      <c r="G569" s="5">
        <f>B569-B568</f>
        <v/>
      </c>
      <c r="H569" s="2">
        <f>IF(AND(F569=1,G569=1),"OK","À JUSTIFIER")</f>
        <v/>
      </c>
    </row>
    <row r="570">
      <c r="A570" s="2" t="inlineStr">
        <is>
          <t>EJ101123.TXT</t>
        </is>
      </c>
      <c r="B570" s="3" t="inlineStr">
        <is>
          <t>005147</t>
        </is>
      </c>
      <c r="C570" s="3" t="inlineStr">
        <is>
          <t>004130</t>
        </is>
      </c>
      <c r="D570" s="4" t="n">
        <v>45216</v>
      </c>
      <c r="E570" s="2" t="inlineStr">
        <is>
          <t>16:11</t>
        </is>
      </c>
      <c r="F570" s="5">
        <f>C570-C569</f>
        <v/>
      </c>
      <c r="G570" s="5">
        <f>B570-B569</f>
        <v/>
      </c>
      <c r="H570" s="2">
        <f>IF(AND(F570=1,G570=1),"OK","À JUSTIFIER")</f>
        <v/>
      </c>
    </row>
    <row r="571">
      <c r="A571" s="2" t="inlineStr">
        <is>
          <t>EJ101123.TXT</t>
        </is>
      </c>
      <c r="B571" s="3" t="inlineStr">
        <is>
          <t>005148</t>
        </is>
      </c>
      <c r="C571" s="3" t="inlineStr">
        <is>
          <t>004131</t>
        </is>
      </c>
      <c r="D571" s="4" t="n">
        <v>45220</v>
      </c>
      <c r="E571" s="2" t="inlineStr">
        <is>
          <t>14:48</t>
        </is>
      </c>
      <c r="F571" s="5">
        <f>C571-C570</f>
        <v/>
      </c>
      <c r="G571" s="5">
        <f>B571-B570</f>
        <v/>
      </c>
      <c r="H571" s="2">
        <f>IF(AND(F571=1,G571=1),"OK","À JUSTIFIER")</f>
        <v/>
      </c>
    </row>
    <row r="572">
      <c r="A572" s="2" t="inlineStr">
        <is>
          <t>EJ101123.TXT</t>
        </is>
      </c>
      <c r="B572" s="3" t="inlineStr">
        <is>
          <t>005149</t>
        </is>
      </c>
      <c r="C572" s="3" t="inlineStr">
        <is>
          <t>004132</t>
        </is>
      </c>
      <c r="D572" s="4" t="n">
        <v>45222</v>
      </c>
      <c r="E572" s="2" t="inlineStr">
        <is>
          <t>15:36</t>
        </is>
      </c>
      <c r="F572" s="5">
        <f>C572-C571</f>
        <v/>
      </c>
      <c r="G572" s="5">
        <f>B572-B571</f>
        <v/>
      </c>
      <c r="H572" s="2">
        <f>IF(AND(F572=1,G572=1),"OK","À JUSTIFIER")</f>
        <v/>
      </c>
    </row>
    <row r="573">
      <c r="A573" s="2" t="inlineStr">
        <is>
          <t>EJ101123.TXT</t>
        </is>
      </c>
      <c r="B573" s="3" t="inlineStr">
        <is>
          <t>005150</t>
        </is>
      </c>
      <c r="C573" s="3" t="inlineStr">
        <is>
          <t>004133</t>
        </is>
      </c>
      <c r="D573" s="4" t="n">
        <v>45222</v>
      </c>
      <c r="E573" s="2" t="inlineStr">
        <is>
          <t>16:05</t>
        </is>
      </c>
      <c r="F573" s="5">
        <f>C573-C572</f>
        <v/>
      </c>
      <c r="G573" s="5">
        <f>B573-B572</f>
        <v/>
      </c>
      <c r="H573" s="2">
        <f>IF(AND(F573=1,G573=1),"OK","À JUSTIFIER")</f>
        <v/>
      </c>
    </row>
    <row r="574">
      <c r="A574" s="2" t="inlineStr">
        <is>
          <t>EJ101123.TXT</t>
        </is>
      </c>
      <c r="B574" s="3" t="inlineStr">
        <is>
          <t>005151</t>
        </is>
      </c>
      <c r="C574" s="3" t="inlineStr">
        <is>
          <t>004134</t>
        </is>
      </c>
      <c r="D574" s="4" t="n">
        <v>45222</v>
      </c>
      <c r="E574" s="2" t="inlineStr">
        <is>
          <t>16:29</t>
        </is>
      </c>
      <c r="F574" s="5">
        <f>C574-C573</f>
        <v/>
      </c>
      <c r="G574" s="5">
        <f>B574-B573</f>
        <v/>
      </c>
      <c r="H574" s="2">
        <f>IF(AND(F574=1,G574=1),"OK","À JUSTIFIER")</f>
        <v/>
      </c>
    </row>
    <row r="575">
      <c r="A575" s="2" t="inlineStr">
        <is>
          <t>EJ101123.TXT</t>
        </is>
      </c>
      <c r="B575" s="3" t="inlineStr">
        <is>
          <t>005152</t>
        </is>
      </c>
      <c r="C575" s="3" t="inlineStr">
        <is>
          <t>004135</t>
        </is>
      </c>
      <c r="D575" s="4" t="n">
        <v>45222</v>
      </c>
      <c r="E575" s="2" t="inlineStr">
        <is>
          <t>16:39</t>
        </is>
      </c>
      <c r="F575" s="5">
        <f>C575-C574</f>
        <v/>
      </c>
      <c r="G575" s="5">
        <f>B575-B574</f>
        <v/>
      </c>
      <c r="H575" s="2">
        <f>IF(AND(F575=1,G575=1),"OK","À JUSTIFIER")</f>
        <v/>
      </c>
    </row>
    <row r="576">
      <c r="A576" s="2" t="inlineStr">
        <is>
          <t>EJ101123.TXT</t>
        </is>
      </c>
      <c r="B576" s="3" t="inlineStr">
        <is>
          <t>005153</t>
        </is>
      </c>
      <c r="C576" s="3" t="inlineStr">
        <is>
          <t>004136</t>
        </is>
      </c>
      <c r="D576" s="4" t="n">
        <v>45223</v>
      </c>
      <c r="E576" s="2" t="inlineStr">
        <is>
          <t>11:45</t>
        </is>
      </c>
      <c r="F576" s="5">
        <f>C576-C575</f>
        <v/>
      </c>
      <c r="G576" s="5">
        <f>B576-B575</f>
        <v/>
      </c>
      <c r="H576" s="2">
        <f>IF(AND(F576=1,G576=1),"OK","À JUSTIFIER")</f>
        <v/>
      </c>
    </row>
    <row r="577">
      <c r="A577" s="2" t="inlineStr">
        <is>
          <t>EJ101123.TXT</t>
        </is>
      </c>
      <c r="B577" s="3" t="inlineStr">
        <is>
          <t>005154</t>
        </is>
      </c>
      <c r="C577" s="3" t="inlineStr">
        <is>
          <t>004137</t>
        </is>
      </c>
      <c r="D577" s="4" t="n">
        <v>45223</v>
      </c>
      <c r="E577" s="2" t="inlineStr">
        <is>
          <t>17:13</t>
        </is>
      </c>
      <c r="F577" s="5">
        <f>C577-C576</f>
        <v/>
      </c>
      <c r="G577" s="5">
        <f>B577-B576</f>
        <v/>
      </c>
      <c r="H577" s="2">
        <f>IF(AND(F577=1,G577=1),"OK","À JUSTIFIER")</f>
        <v/>
      </c>
    </row>
    <row r="578">
      <c r="A578" s="2" t="inlineStr">
        <is>
          <t>EJ101123.TXT</t>
        </is>
      </c>
      <c r="B578" s="3" t="inlineStr">
        <is>
          <t>005155</t>
        </is>
      </c>
      <c r="C578" s="3" t="inlineStr">
        <is>
          <t>004138</t>
        </is>
      </c>
      <c r="D578" s="4" t="n">
        <v>45226</v>
      </c>
      <c r="E578" s="2" t="inlineStr">
        <is>
          <t>10:18</t>
        </is>
      </c>
      <c r="F578" s="5">
        <f>C578-C577</f>
        <v/>
      </c>
      <c r="G578" s="5">
        <f>B578-B577</f>
        <v/>
      </c>
      <c r="H578" s="2">
        <f>IF(AND(F578=1,G578=1),"OK","À JUSTIFIER")</f>
        <v/>
      </c>
    </row>
    <row r="579">
      <c r="A579" s="2" t="inlineStr">
        <is>
          <t>EJ101123.TXT</t>
        </is>
      </c>
      <c r="B579" s="3" t="inlineStr">
        <is>
          <t>005156</t>
        </is>
      </c>
      <c r="C579" s="3" t="inlineStr">
        <is>
          <t>004139</t>
        </is>
      </c>
      <c r="D579" s="4" t="n">
        <v>45229</v>
      </c>
      <c r="E579" s="2" t="inlineStr">
        <is>
          <t>14:55</t>
        </is>
      </c>
      <c r="F579" s="5">
        <f>C579-C578</f>
        <v/>
      </c>
      <c r="G579" s="5">
        <f>B579-B578</f>
        <v/>
      </c>
      <c r="H579" s="2">
        <f>IF(AND(F579=1,G579=1),"OK","À JUSTIFIER")</f>
        <v/>
      </c>
    </row>
    <row r="580">
      <c r="A580" s="2" t="inlineStr">
        <is>
          <t>EJ101123.TXT</t>
        </is>
      </c>
      <c r="B580" s="3" t="inlineStr">
        <is>
          <t>005157</t>
        </is>
      </c>
      <c r="C580" s="3" t="inlineStr">
        <is>
          <t>004140</t>
        </is>
      </c>
      <c r="D580" s="4" t="n">
        <v>45229</v>
      </c>
      <c r="E580" s="2" t="inlineStr">
        <is>
          <t>16:43</t>
        </is>
      </c>
      <c r="F580" s="5">
        <f>C580-C579</f>
        <v/>
      </c>
      <c r="G580" s="5">
        <f>B580-B579</f>
        <v/>
      </c>
      <c r="H580" s="2">
        <f>IF(AND(F580=1,G580=1),"OK","À JUSTIFIER")</f>
        <v/>
      </c>
    </row>
    <row r="581">
      <c r="A581" s="2" t="inlineStr">
        <is>
          <t>EJ101123.TXT</t>
        </is>
      </c>
      <c r="B581" s="3" t="inlineStr">
        <is>
          <t>005158</t>
        </is>
      </c>
      <c r="C581" s="3" t="inlineStr">
        <is>
          <t>004141</t>
        </is>
      </c>
      <c r="D581" s="4" t="n">
        <v>45229</v>
      </c>
      <c r="E581" s="2" t="inlineStr">
        <is>
          <t>16:52</t>
        </is>
      </c>
      <c r="F581" s="5">
        <f>C581-C580</f>
        <v/>
      </c>
      <c r="G581" s="5">
        <f>B581-B580</f>
        <v/>
      </c>
      <c r="H581" s="2">
        <f>IF(AND(F581=1,G581=1),"OK","À JUSTIFIER")</f>
        <v/>
      </c>
    </row>
    <row r="582">
      <c r="A582" s="2" t="inlineStr">
        <is>
          <t>EJ101123.TXT</t>
        </is>
      </c>
      <c r="B582" s="3" t="inlineStr">
        <is>
          <t>005159</t>
        </is>
      </c>
      <c r="C582" s="3" t="inlineStr">
        <is>
          <t>004142</t>
        </is>
      </c>
      <c r="D582" s="4" t="n">
        <v>45232</v>
      </c>
      <c r="E582" s="2" t="inlineStr">
        <is>
          <t>15:56</t>
        </is>
      </c>
      <c r="F582" s="5">
        <f>C582-C581</f>
        <v/>
      </c>
      <c r="G582" s="5">
        <f>B582-B581</f>
        <v/>
      </c>
      <c r="H582" s="2">
        <f>IF(AND(F582=1,G582=1),"OK","À JUSTIFIER")</f>
        <v/>
      </c>
    </row>
    <row r="583">
      <c r="A583" s="2" t="inlineStr">
        <is>
          <t>EJ101123.TXT</t>
        </is>
      </c>
      <c r="B583" s="3" t="inlineStr">
        <is>
          <t>005160</t>
        </is>
      </c>
      <c r="C583" s="3" t="inlineStr">
        <is>
          <t>004143</t>
        </is>
      </c>
      <c r="D583" s="4" t="n">
        <v>45232</v>
      </c>
      <c r="E583" s="2" t="inlineStr">
        <is>
          <t>15:58</t>
        </is>
      </c>
      <c r="F583" s="5">
        <f>C583-C582</f>
        <v/>
      </c>
      <c r="G583" s="5">
        <f>B583-B582</f>
        <v/>
      </c>
      <c r="H583" s="2">
        <f>IF(AND(F583=1,G583=1),"OK","À JUSTIFIER")</f>
        <v/>
      </c>
    </row>
    <row r="584">
      <c r="A584" s="2" t="inlineStr">
        <is>
          <t>EJ101123.TXT</t>
        </is>
      </c>
      <c r="B584" s="3" t="inlineStr">
        <is>
          <t>005161</t>
        </is>
      </c>
      <c r="C584" s="3" t="inlineStr">
        <is>
          <t>004144</t>
        </is>
      </c>
      <c r="D584" s="4" t="n">
        <v>45234</v>
      </c>
      <c r="E584" s="2" t="inlineStr">
        <is>
          <t>15:44</t>
        </is>
      </c>
      <c r="F584" s="5">
        <f>C584-C583</f>
        <v/>
      </c>
      <c r="G584" s="5">
        <f>B584-B583</f>
        <v/>
      </c>
      <c r="H584" s="2">
        <f>IF(AND(F584=1,G584=1),"OK","À JUSTIFIER")</f>
        <v/>
      </c>
    </row>
    <row r="585">
      <c r="A585" s="2" t="inlineStr">
        <is>
          <t>EJ101123.TXT</t>
        </is>
      </c>
      <c r="B585" s="3" t="inlineStr">
        <is>
          <t>005162</t>
        </is>
      </c>
      <c r="C585" s="3" t="inlineStr">
        <is>
          <t>004145</t>
        </is>
      </c>
      <c r="D585" s="4" t="n">
        <v>45238</v>
      </c>
      <c r="E585" s="2" t="inlineStr">
        <is>
          <t>16:43</t>
        </is>
      </c>
      <c r="F585" s="5">
        <f>C585-C584</f>
        <v/>
      </c>
      <c r="G585" s="5">
        <f>B585-B584</f>
        <v/>
      </c>
      <c r="H585" s="2">
        <f>IF(AND(F585=1,G585=1),"OK","À JUSTIFIER")</f>
        <v/>
      </c>
    </row>
    <row r="586">
      <c r="A586" s="2" t="inlineStr">
        <is>
          <t>EJ101123.TXT</t>
        </is>
      </c>
      <c r="B586" s="3" t="inlineStr">
        <is>
          <t>005163</t>
        </is>
      </c>
      <c r="C586" s="3" t="inlineStr">
        <is>
          <t>004146</t>
        </is>
      </c>
      <c r="D586" s="4" t="n">
        <v>45239</v>
      </c>
      <c r="E586" s="2" t="inlineStr">
        <is>
          <t>12:38</t>
        </is>
      </c>
      <c r="F586" s="5">
        <f>C586-C585</f>
        <v/>
      </c>
      <c r="G586" s="5">
        <f>B586-B585</f>
        <v/>
      </c>
      <c r="H586" s="2">
        <f>IF(AND(F586=1,G586=1),"OK","À JUSTIFIER")</f>
        <v/>
      </c>
    </row>
    <row r="587">
      <c r="A587" s="2" t="inlineStr">
        <is>
          <t>EJ101123.TXT</t>
        </is>
      </c>
      <c r="B587" s="3" t="inlineStr">
        <is>
          <t>005164</t>
        </is>
      </c>
      <c r="C587" s="3" t="inlineStr">
        <is>
          <t>004147</t>
        </is>
      </c>
      <c r="D587" s="4" t="n">
        <v>45239</v>
      </c>
      <c r="E587" s="2" t="inlineStr">
        <is>
          <t>16:03</t>
        </is>
      </c>
      <c r="F587" s="5">
        <f>C587-C586</f>
        <v/>
      </c>
      <c r="G587" s="5">
        <f>B587-B586</f>
        <v/>
      </c>
      <c r="H587" s="2">
        <f>IF(AND(F587=1,G587=1),"OK","À JUSTIFIER")</f>
        <v/>
      </c>
    </row>
    <row r="588">
      <c r="A588" s="2" t="inlineStr">
        <is>
          <t>EJ011223.TXT</t>
        </is>
      </c>
      <c r="B588" s="3" t="inlineStr">
        <is>
          <t>005173</t>
        </is>
      </c>
      <c r="C588" s="3" t="inlineStr">
        <is>
          <t>004148</t>
        </is>
      </c>
      <c r="D588" s="4" t="n">
        <v>45244</v>
      </c>
      <c r="E588" s="2" t="inlineStr">
        <is>
          <t>12:57</t>
        </is>
      </c>
      <c r="F588" s="5">
        <f>C588-C587</f>
        <v/>
      </c>
      <c r="G588" s="5">
        <f>B588-B587</f>
        <v/>
      </c>
      <c r="H588" s="2">
        <f>IF(AND(F588=1,G588=1),"OK","À JUSTIFIER")</f>
        <v/>
      </c>
    </row>
    <row r="589">
      <c r="A589" s="2" t="inlineStr">
        <is>
          <t>EJ011223.TXT</t>
        </is>
      </c>
      <c r="B589" s="3" t="inlineStr">
        <is>
          <t>005174</t>
        </is>
      </c>
      <c r="C589" s="3" t="inlineStr">
        <is>
          <t>004149</t>
        </is>
      </c>
      <c r="D589" s="4" t="n">
        <v>45248</v>
      </c>
      <c r="E589" s="2" t="inlineStr">
        <is>
          <t>17:03</t>
        </is>
      </c>
      <c r="F589" s="5">
        <f>C589-C588</f>
        <v/>
      </c>
      <c r="G589" s="5">
        <f>B589-B588</f>
        <v/>
      </c>
      <c r="H589" s="2">
        <f>IF(AND(F589=1,G589=1),"OK","À JUSTIFIER")</f>
        <v/>
      </c>
    </row>
    <row r="590">
      <c r="A590" s="2" t="inlineStr">
        <is>
          <t>EJ011223.TXT</t>
        </is>
      </c>
      <c r="B590" s="3" t="inlineStr">
        <is>
          <t>005175</t>
        </is>
      </c>
      <c r="C590" s="3" t="inlineStr">
        <is>
          <t>004150</t>
        </is>
      </c>
      <c r="D590" s="4" t="n">
        <v>45252</v>
      </c>
      <c r="E590" s="2" t="inlineStr">
        <is>
          <t>12:26</t>
        </is>
      </c>
      <c r="F590" s="5">
        <f>C590-C589</f>
        <v/>
      </c>
      <c r="G590" s="5">
        <f>B590-B589</f>
        <v/>
      </c>
      <c r="H590" s="2">
        <f>IF(AND(F590=1,G590=1),"OK","À JUSTIFIER")</f>
        <v/>
      </c>
    </row>
    <row r="591">
      <c r="A591" s="2" t="inlineStr">
        <is>
          <t>EJ011223.TXT</t>
        </is>
      </c>
      <c r="B591" s="3" t="inlineStr">
        <is>
          <t>005176</t>
        </is>
      </c>
      <c r="C591" s="3" t="inlineStr">
        <is>
          <t>004151</t>
        </is>
      </c>
      <c r="D591" s="4" t="n">
        <v>45255</v>
      </c>
      <c r="E591" s="2" t="inlineStr">
        <is>
          <t>17:23</t>
        </is>
      </c>
      <c r="F591" s="5">
        <f>C591-C590</f>
        <v/>
      </c>
      <c r="G591" s="5">
        <f>B591-B590</f>
        <v/>
      </c>
      <c r="H591" s="2">
        <f>IF(AND(F591=1,G591=1),"OK","À JUSTIFIER")</f>
        <v/>
      </c>
    </row>
    <row r="592">
      <c r="A592" s="2" t="inlineStr">
        <is>
          <t>EJ011223.TXT</t>
        </is>
      </c>
      <c r="B592" s="3" t="inlineStr">
        <is>
          <t>005177</t>
        </is>
      </c>
      <c r="C592" s="3" t="inlineStr">
        <is>
          <t>004152</t>
        </is>
      </c>
      <c r="D592" s="4" t="n">
        <v>45255</v>
      </c>
      <c r="E592" s="2" t="inlineStr">
        <is>
          <t>17:35</t>
        </is>
      </c>
      <c r="F592" s="5">
        <f>C592-C591</f>
        <v/>
      </c>
      <c r="G592" s="5">
        <f>B592-B591</f>
        <v/>
      </c>
      <c r="H592" s="2">
        <f>IF(AND(F592=1,G592=1),"OK","À JUSTIFIER")</f>
        <v/>
      </c>
    </row>
    <row r="593">
      <c r="A593" s="2" t="inlineStr">
        <is>
          <t>EJ011223.TXT</t>
        </is>
      </c>
      <c r="B593" s="3" t="inlineStr">
        <is>
          <t>005178</t>
        </is>
      </c>
      <c r="C593" s="3" t="inlineStr">
        <is>
          <t>004153</t>
        </is>
      </c>
      <c r="D593" s="4" t="n">
        <v>45260</v>
      </c>
      <c r="E593" s="2" t="inlineStr">
        <is>
          <t>10:50</t>
        </is>
      </c>
      <c r="F593" s="5">
        <f>C593-C592</f>
        <v/>
      </c>
      <c r="G593" s="5">
        <f>B593-B592</f>
        <v/>
      </c>
      <c r="H593" s="2">
        <f>IF(AND(F593=1,G593=1),"OK","À JUSTIFIER")</f>
        <v/>
      </c>
    </row>
    <row r="594">
      <c r="A594" s="2" t="inlineStr">
        <is>
          <t>EJ010124.TXT</t>
        </is>
      </c>
      <c r="B594" s="3" t="inlineStr">
        <is>
          <t>005187</t>
        </is>
      </c>
      <c r="C594" s="3" t="inlineStr">
        <is>
          <t>004154</t>
        </is>
      </c>
      <c r="D594" s="4" t="n">
        <v>45261</v>
      </c>
      <c r="E594" s="2" t="inlineStr">
        <is>
          <t>18:30</t>
        </is>
      </c>
      <c r="F594" s="5">
        <f>C594-C593</f>
        <v/>
      </c>
      <c r="G594" s="5">
        <f>B594-B593</f>
        <v/>
      </c>
      <c r="H594" s="2">
        <f>IF(AND(F594=1,G594=1),"OK","À JUSTIFIER")</f>
        <v/>
      </c>
    </row>
    <row r="595">
      <c r="A595" s="2" t="inlineStr">
        <is>
          <t>EJ010124.TXT</t>
        </is>
      </c>
      <c r="B595" s="3" t="inlineStr">
        <is>
          <t>005188</t>
        </is>
      </c>
      <c r="C595" s="3" t="inlineStr">
        <is>
          <t>004155</t>
        </is>
      </c>
      <c r="D595" s="4" t="n">
        <v>45261</v>
      </c>
      <c r="E595" s="2" t="inlineStr">
        <is>
          <t>18:32</t>
        </is>
      </c>
      <c r="F595" s="5">
        <f>C595-C594</f>
        <v/>
      </c>
      <c r="G595" s="5">
        <f>B595-B594</f>
        <v/>
      </c>
      <c r="H595" s="2">
        <f>IF(AND(F595=1,G595=1),"OK","À JUSTIFIER")</f>
        <v/>
      </c>
    </row>
    <row r="596">
      <c r="A596" s="2" t="inlineStr">
        <is>
          <t>EJ010124.TXT</t>
        </is>
      </c>
      <c r="B596" s="3" t="inlineStr">
        <is>
          <t>005189</t>
        </is>
      </c>
      <c r="C596" s="3" t="inlineStr">
        <is>
          <t>004156</t>
        </is>
      </c>
      <c r="D596" s="4" t="n">
        <v>45261</v>
      </c>
      <c r="E596" s="2" t="inlineStr">
        <is>
          <t>18:32</t>
        </is>
      </c>
      <c r="F596" s="5">
        <f>C596-C595</f>
        <v/>
      </c>
      <c r="G596" s="5">
        <f>B596-B595</f>
        <v/>
      </c>
      <c r="H596" s="2">
        <f>IF(AND(F596=1,G596=1),"OK","À JUSTIFIER")</f>
        <v/>
      </c>
    </row>
    <row r="597">
      <c r="A597" s="2" t="inlineStr">
        <is>
          <t>EJ010124.TXT</t>
        </is>
      </c>
      <c r="B597" s="3" t="inlineStr">
        <is>
          <t>005190</t>
        </is>
      </c>
      <c r="C597" s="3" t="inlineStr">
        <is>
          <t>004157</t>
        </is>
      </c>
      <c r="D597" s="4" t="n">
        <v>45262</v>
      </c>
      <c r="E597" s="2" t="inlineStr">
        <is>
          <t>14:52</t>
        </is>
      </c>
      <c r="F597" s="5">
        <f>C597-C596</f>
        <v/>
      </c>
      <c r="G597" s="5">
        <f>B597-B596</f>
        <v/>
      </c>
      <c r="H597" s="2">
        <f>IF(AND(F597=1,G597=1),"OK","À JUSTIFIER")</f>
        <v/>
      </c>
    </row>
    <row r="598">
      <c r="A598" s="2" t="inlineStr">
        <is>
          <t>EJ010124.TXT</t>
        </is>
      </c>
      <c r="B598" s="3" t="inlineStr">
        <is>
          <t>005191</t>
        </is>
      </c>
      <c r="C598" s="3" t="inlineStr">
        <is>
          <t>004158</t>
        </is>
      </c>
      <c r="D598" s="4" t="n">
        <v>45262</v>
      </c>
      <c r="E598" s="2" t="inlineStr">
        <is>
          <t>14:52</t>
        </is>
      </c>
      <c r="F598" s="5">
        <f>C598-C597</f>
        <v/>
      </c>
      <c r="G598" s="5">
        <f>B598-B597</f>
        <v/>
      </c>
      <c r="H598" s="2">
        <f>IF(AND(F598=1,G598=1),"OK","À JUSTIFIER")</f>
        <v/>
      </c>
    </row>
    <row r="599">
      <c r="A599" s="2" t="inlineStr">
        <is>
          <t>EJ010124.TXT</t>
        </is>
      </c>
      <c r="B599" s="3" t="inlineStr">
        <is>
          <t>005192</t>
        </is>
      </c>
      <c r="C599" s="3" t="inlineStr">
        <is>
          <t>004159</t>
        </is>
      </c>
      <c r="D599" s="4" t="n">
        <v>45262</v>
      </c>
      <c r="E599" s="2" t="inlineStr">
        <is>
          <t>14:52</t>
        </is>
      </c>
      <c r="F599" s="5">
        <f>C599-C598</f>
        <v/>
      </c>
      <c r="G599" s="5">
        <f>B599-B598</f>
        <v/>
      </c>
      <c r="H599" s="2">
        <f>IF(AND(F599=1,G599=1),"OK","À JUSTIFIER")</f>
        <v/>
      </c>
    </row>
    <row r="600">
      <c r="A600" s="2" t="inlineStr">
        <is>
          <t>EJ010124.TXT</t>
        </is>
      </c>
      <c r="B600" s="3" t="inlineStr">
        <is>
          <t>005193</t>
        </is>
      </c>
      <c r="C600" s="3" t="inlineStr">
        <is>
          <t>004160</t>
        </is>
      </c>
      <c r="D600" s="4" t="n">
        <v>45262</v>
      </c>
      <c r="E600" s="2" t="inlineStr">
        <is>
          <t>14:53</t>
        </is>
      </c>
      <c r="F600" s="5">
        <f>C600-C599</f>
        <v/>
      </c>
      <c r="G600" s="5">
        <f>B600-B599</f>
        <v/>
      </c>
      <c r="H600" s="2">
        <f>IF(AND(F600=1,G600=1),"OK","À JUSTIFIER")</f>
        <v/>
      </c>
    </row>
    <row r="601">
      <c r="A601" s="2" t="inlineStr">
        <is>
          <t>EJ010124.TXT</t>
        </is>
      </c>
      <c r="B601" s="3" t="inlineStr">
        <is>
          <t>005194</t>
        </is>
      </c>
      <c r="C601" s="3" t="inlineStr">
        <is>
          <t>004161</t>
        </is>
      </c>
      <c r="D601" s="4" t="n">
        <v>45262</v>
      </c>
      <c r="E601" s="2" t="inlineStr">
        <is>
          <t>14:53</t>
        </is>
      </c>
      <c r="F601" s="5">
        <f>C601-C600</f>
        <v/>
      </c>
      <c r="G601" s="5">
        <f>B601-B600</f>
        <v/>
      </c>
      <c r="H601" s="2">
        <f>IF(AND(F601=1,G601=1),"OK","À JUSTIFIER")</f>
        <v/>
      </c>
    </row>
    <row r="602">
      <c r="A602" s="2" t="inlineStr">
        <is>
          <t>EJ010124.TXT</t>
        </is>
      </c>
      <c r="B602" s="3" t="inlineStr">
        <is>
          <t>005195</t>
        </is>
      </c>
      <c r="C602" s="3" t="inlineStr">
        <is>
          <t>004162</t>
        </is>
      </c>
      <c r="D602" s="4" t="n">
        <v>45262</v>
      </c>
      <c r="E602" s="2" t="inlineStr">
        <is>
          <t>14:54</t>
        </is>
      </c>
      <c r="F602" s="5">
        <f>C602-C601</f>
        <v/>
      </c>
      <c r="G602" s="5">
        <f>B602-B601</f>
        <v/>
      </c>
      <c r="H602" s="2">
        <f>IF(AND(F602=1,G602=1),"OK","À JUSTIFIER")</f>
        <v/>
      </c>
    </row>
    <row r="603">
      <c r="A603" s="2" t="inlineStr">
        <is>
          <t>EJ010124.TXT</t>
        </is>
      </c>
      <c r="B603" s="3" t="inlineStr">
        <is>
          <t>005196</t>
        </is>
      </c>
      <c r="C603" s="3" t="inlineStr">
        <is>
          <t>004163</t>
        </is>
      </c>
      <c r="D603" s="4" t="n">
        <v>45262</v>
      </c>
      <c r="E603" s="2" t="inlineStr">
        <is>
          <t>14:54</t>
        </is>
      </c>
      <c r="F603" s="5">
        <f>C603-C602</f>
        <v/>
      </c>
      <c r="G603" s="5">
        <f>B603-B602</f>
        <v/>
      </c>
      <c r="H603" s="2">
        <f>IF(AND(F603=1,G603=1),"OK","À JUSTIFIER")</f>
        <v/>
      </c>
    </row>
    <row r="604">
      <c r="A604" s="2" t="inlineStr">
        <is>
          <t>EJ010124.TXT</t>
        </is>
      </c>
      <c r="B604" s="3" t="inlineStr">
        <is>
          <t>005197</t>
        </is>
      </c>
      <c r="C604" s="3" t="inlineStr">
        <is>
          <t>004164</t>
        </is>
      </c>
      <c r="D604" s="4" t="n">
        <v>45262</v>
      </c>
      <c r="E604" s="2" t="inlineStr">
        <is>
          <t>14:54</t>
        </is>
      </c>
      <c r="F604" s="5">
        <f>C604-C603</f>
        <v/>
      </c>
      <c r="G604" s="5">
        <f>B604-B603</f>
        <v/>
      </c>
      <c r="H604" s="2">
        <f>IF(AND(F604=1,G604=1),"OK","À JUSTIFIER")</f>
        <v/>
      </c>
    </row>
    <row r="605">
      <c r="A605" s="2" t="inlineStr">
        <is>
          <t>EJ010124.TXT</t>
        </is>
      </c>
      <c r="B605" s="3" t="inlineStr">
        <is>
          <t>005198</t>
        </is>
      </c>
      <c r="C605" s="3" t="inlineStr">
        <is>
          <t>004165</t>
        </is>
      </c>
      <c r="D605" s="4" t="n">
        <v>45262</v>
      </c>
      <c r="E605" s="2" t="inlineStr">
        <is>
          <t>14:55</t>
        </is>
      </c>
      <c r="F605" s="5">
        <f>C605-C604</f>
        <v/>
      </c>
      <c r="G605" s="5">
        <f>B605-B604</f>
        <v/>
      </c>
      <c r="H605" s="2">
        <f>IF(AND(F605=1,G605=1),"OK","À JUSTIFIER")</f>
        <v/>
      </c>
    </row>
    <row r="606">
      <c r="A606" s="2" t="inlineStr">
        <is>
          <t>EJ010124.TXT</t>
        </is>
      </c>
      <c r="B606" s="3" t="inlineStr">
        <is>
          <t>005199</t>
        </is>
      </c>
      <c r="C606" s="3" t="inlineStr">
        <is>
          <t>004166</t>
        </is>
      </c>
      <c r="D606" s="4" t="n">
        <v>45262</v>
      </c>
      <c r="E606" s="2" t="inlineStr">
        <is>
          <t>14:55</t>
        </is>
      </c>
      <c r="F606" s="5">
        <f>C606-C605</f>
        <v/>
      </c>
      <c r="G606" s="5">
        <f>B606-B605</f>
        <v/>
      </c>
      <c r="H606" s="2">
        <f>IF(AND(F606=1,G606=1),"OK","À JUSTIFIER")</f>
        <v/>
      </c>
    </row>
    <row r="607">
      <c r="A607" s="2" t="inlineStr">
        <is>
          <t>EJ010124.TXT</t>
        </is>
      </c>
      <c r="B607" s="3" t="inlineStr">
        <is>
          <t>005200</t>
        </is>
      </c>
      <c r="C607" s="3" t="inlineStr">
        <is>
          <t>004167</t>
        </is>
      </c>
      <c r="D607" s="4" t="n">
        <v>45262</v>
      </c>
      <c r="E607" s="2" t="inlineStr">
        <is>
          <t>14:55</t>
        </is>
      </c>
      <c r="F607" s="5">
        <f>C607-C606</f>
        <v/>
      </c>
      <c r="G607" s="5">
        <f>B607-B606</f>
        <v/>
      </c>
      <c r="H607" s="2">
        <f>IF(AND(F607=1,G607=1),"OK","À JUSTIFIER")</f>
        <v/>
      </c>
    </row>
    <row r="608">
      <c r="A608" s="2" t="inlineStr">
        <is>
          <t>EJ010124.TXT</t>
        </is>
      </c>
      <c r="B608" s="3" t="inlineStr">
        <is>
          <t>005201</t>
        </is>
      </c>
      <c r="C608" s="3" t="inlineStr">
        <is>
          <t>004168</t>
        </is>
      </c>
      <c r="D608" s="4" t="n">
        <v>45263</v>
      </c>
      <c r="E608" s="2" t="inlineStr">
        <is>
          <t>19:01</t>
        </is>
      </c>
      <c r="F608" s="5">
        <f>C608-C607</f>
        <v/>
      </c>
      <c r="G608" s="5">
        <f>B608-B607</f>
        <v/>
      </c>
      <c r="H608" s="2">
        <f>IF(AND(F608=1,G608=1),"OK","À JUSTIFIER")</f>
        <v/>
      </c>
    </row>
    <row r="609">
      <c r="A609" s="2" t="inlineStr">
        <is>
          <t>EJ010124.TXT</t>
        </is>
      </c>
      <c r="B609" s="3" t="inlineStr">
        <is>
          <t>005202</t>
        </is>
      </c>
      <c r="C609" s="3" t="inlineStr">
        <is>
          <t>004169</t>
        </is>
      </c>
      <c r="D609" s="4" t="n">
        <v>45267</v>
      </c>
      <c r="E609" s="2" t="inlineStr">
        <is>
          <t>18:10</t>
        </is>
      </c>
      <c r="F609" s="5">
        <f>C609-C608</f>
        <v/>
      </c>
      <c r="G609" s="5">
        <f>B609-B608</f>
        <v/>
      </c>
      <c r="H609" s="2">
        <f>IF(AND(F609=1,G609=1),"OK","À JUSTIFIER")</f>
        <v/>
      </c>
    </row>
    <row r="610">
      <c r="A610" s="2" t="inlineStr">
        <is>
          <t>EJ010124.TXT</t>
        </is>
      </c>
      <c r="B610" s="3" t="inlineStr">
        <is>
          <t>005203</t>
        </is>
      </c>
      <c r="C610" s="3" t="inlineStr">
        <is>
          <t>004170</t>
        </is>
      </c>
      <c r="D610" s="4" t="n">
        <v>45267</v>
      </c>
      <c r="E610" s="2" t="inlineStr">
        <is>
          <t>18:15</t>
        </is>
      </c>
      <c r="F610" s="5">
        <f>C610-C609</f>
        <v/>
      </c>
      <c r="G610" s="5">
        <f>B610-B609</f>
        <v/>
      </c>
      <c r="H610" s="2">
        <f>IF(AND(F610=1,G610=1),"OK","À JUSTIFIER")</f>
        <v/>
      </c>
    </row>
    <row r="611">
      <c r="A611" s="2" t="inlineStr">
        <is>
          <t>EJ010124.TXT</t>
        </is>
      </c>
      <c r="B611" s="3" t="inlineStr">
        <is>
          <t>005204</t>
        </is>
      </c>
      <c r="C611" s="3" t="inlineStr">
        <is>
          <t>004171</t>
        </is>
      </c>
      <c r="D611" s="4" t="n">
        <v>45268</v>
      </c>
      <c r="E611" s="2" t="inlineStr">
        <is>
          <t>17:16</t>
        </is>
      </c>
      <c r="F611" s="5">
        <f>C611-C610</f>
        <v/>
      </c>
      <c r="G611" s="5">
        <f>B611-B610</f>
        <v/>
      </c>
      <c r="H611" s="2">
        <f>IF(AND(F611=1,G611=1),"OK","À JUSTIFIER")</f>
        <v/>
      </c>
    </row>
    <row r="612">
      <c r="A612" s="2" t="inlineStr">
        <is>
          <t>EJ010124.TXT</t>
        </is>
      </c>
      <c r="B612" s="3" t="inlineStr">
        <is>
          <t>005205</t>
        </is>
      </c>
      <c r="C612" s="3" t="inlineStr">
        <is>
          <t>004172</t>
        </is>
      </c>
      <c r="D612" s="4" t="n">
        <v>45280</v>
      </c>
      <c r="E612" s="2" t="inlineStr">
        <is>
          <t>18:16</t>
        </is>
      </c>
      <c r="F612" s="5">
        <f>C612-C611</f>
        <v/>
      </c>
      <c r="G612" s="5">
        <f>B612-B611</f>
        <v/>
      </c>
      <c r="H612" s="2">
        <f>IF(AND(F612=1,G612=1),"OK","À JUSTIFIER")</f>
        <v/>
      </c>
    </row>
    <row r="613">
      <c r="A613" s="2" t="inlineStr">
        <is>
          <t>EJ010124.TXT</t>
        </is>
      </c>
      <c r="B613" s="3" t="inlineStr">
        <is>
          <t>005206</t>
        </is>
      </c>
      <c r="C613" s="3" t="inlineStr">
        <is>
          <t>004173</t>
        </is>
      </c>
      <c r="D613" s="4" t="n">
        <v>45281</v>
      </c>
      <c r="E613" s="2" t="inlineStr">
        <is>
          <t>17:33</t>
        </is>
      </c>
      <c r="F613" s="5">
        <f>C613-C612</f>
        <v/>
      </c>
      <c r="G613" s="5">
        <f>B613-B612</f>
        <v/>
      </c>
      <c r="H613" s="2">
        <f>IF(AND(F613=1,G613=1),"OK","À JUSTIFIER")</f>
        <v/>
      </c>
    </row>
    <row r="614">
      <c r="A614" s="2" t="inlineStr">
        <is>
          <t>EJ010124.TXT</t>
        </is>
      </c>
      <c r="B614" s="3" t="inlineStr">
        <is>
          <t>005207</t>
        </is>
      </c>
      <c r="C614" s="3" t="inlineStr">
        <is>
          <t>004174</t>
        </is>
      </c>
      <c r="D614" s="4" t="n">
        <v>45282</v>
      </c>
      <c r="E614" s="2" t="inlineStr">
        <is>
          <t>15:40</t>
        </is>
      </c>
      <c r="F614" s="5">
        <f>C614-C613</f>
        <v/>
      </c>
      <c r="G614" s="5">
        <f>B614-B613</f>
        <v/>
      </c>
      <c r="H614" s="2">
        <f>IF(AND(F614=1,G614=1),"OK","À JUSTIFIER")</f>
        <v/>
      </c>
    </row>
    <row r="615">
      <c r="A615" s="2" t="inlineStr">
        <is>
          <t>EJ010124.TXT</t>
        </is>
      </c>
      <c r="B615" s="3" t="inlineStr">
        <is>
          <t>005208</t>
        </is>
      </c>
      <c r="C615" s="3" t="inlineStr">
        <is>
          <t>004175</t>
        </is>
      </c>
      <c r="D615" s="4" t="n">
        <v>45282</v>
      </c>
      <c r="E615" s="2" t="inlineStr">
        <is>
          <t>15:45</t>
        </is>
      </c>
      <c r="F615" s="5">
        <f>C615-C614</f>
        <v/>
      </c>
      <c r="G615" s="5">
        <f>B615-B614</f>
        <v/>
      </c>
      <c r="H615" s="2">
        <f>IF(AND(F615=1,G615=1),"OK","À JUSTIFIER")</f>
        <v/>
      </c>
    </row>
    <row r="616">
      <c r="A616" s="2" t="inlineStr">
        <is>
          <t>EJ010124.TXT</t>
        </is>
      </c>
      <c r="B616" s="3" t="inlineStr">
        <is>
          <t>005209</t>
        </is>
      </c>
      <c r="C616" s="3" t="inlineStr">
        <is>
          <t>004176</t>
        </is>
      </c>
      <c r="D616" s="4" t="n">
        <v>45282</v>
      </c>
      <c r="E616" s="2" t="inlineStr">
        <is>
          <t>19:39</t>
        </is>
      </c>
      <c r="F616" s="5">
        <f>C616-C615</f>
        <v/>
      </c>
      <c r="G616" s="5">
        <f>B616-B615</f>
        <v/>
      </c>
      <c r="H616" s="2">
        <f>IF(AND(F616=1,G616=1),"OK","À JUSTIFIER")</f>
        <v/>
      </c>
    </row>
    <row r="617">
      <c r="A617" s="2" t="inlineStr">
        <is>
          <t>EJ010124.TXT</t>
        </is>
      </c>
      <c r="B617" s="3" t="inlineStr">
        <is>
          <t>005210</t>
        </is>
      </c>
      <c r="C617" s="3" t="inlineStr">
        <is>
          <t>004177</t>
        </is>
      </c>
      <c r="D617" s="4" t="n">
        <v>45283</v>
      </c>
      <c r="E617" s="2" t="inlineStr">
        <is>
          <t>15:39</t>
        </is>
      </c>
      <c r="F617" s="5">
        <f>C617-C616</f>
        <v/>
      </c>
      <c r="G617" s="5">
        <f>B617-B616</f>
        <v/>
      </c>
      <c r="H617" s="2">
        <f>IF(AND(F617=1,G617=1),"OK","À JUSTIFIER")</f>
        <v/>
      </c>
    </row>
    <row r="618">
      <c r="A618" s="2" t="inlineStr">
        <is>
          <t>EJ010124.TXT</t>
        </is>
      </c>
      <c r="B618" s="3" t="inlineStr">
        <is>
          <t>005211</t>
        </is>
      </c>
      <c r="C618" s="3" t="inlineStr">
        <is>
          <t>004178</t>
        </is>
      </c>
      <c r="D618" s="4" t="n">
        <v>45283</v>
      </c>
      <c r="E618" s="2" t="inlineStr">
        <is>
          <t>16:10</t>
        </is>
      </c>
      <c r="F618" s="5">
        <f>C618-C617</f>
        <v/>
      </c>
      <c r="G618" s="5">
        <f>B618-B617</f>
        <v/>
      </c>
      <c r="H618" s="2">
        <f>IF(AND(F618=1,G618=1),"OK","À JUSTIFIER")</f>
        <v/>
      </c>
    </row>
    <row r="619">
      <c r="A619" s="2" t="inlineStr">
        <is>
          <t>EJ010124.TXT</t>
        </is>
      </c>
      <c r="B619" s="3" t="inlineStr">
        <is>
          <t>005212</t>
        </is>
      </c>
      <c r="C619" s="3" t="inlineStr">
        <is>
          <t>004179</t>
        </is>
      </c>
      <c r="D619" s="4" t="n">
        <v>45283</v>
      </c>
      <c r="E619" s="2" t="inlineStr">
        <is>
          <t>16:29</t>
        </is>
      </c>
      <c r="F619" s="5">
        <f>C619-C618</f>
        <v/>
      </c>
      <c r="G619" s="5">
        <f>B619-B618</f>
        <v/>
      </c>
      <c r="H619" s="2">
        <f>IF(AND(F619=1,G619=1),"OK","À JUSTIFIER")</f>
        <v/>
      </c>
    </row>
    <row r="620">
      <c r="A620" s="2" t="inlineStr">
        <is>
          <t>EJ010124.TXT</t>
        </is>
      </c>
      <c r="B620" s="3" t="inlineStr">
        <is>
          <t>005213</t>
        </is>
      </c>
      <c r="C620" s="3" t="inlineStr">
        <is>
          <t>004180</t>
        </is>
      </c>
      <c r="D620" s="4" t="n">
        <v>45283</v>
      </c>
      <c r="E620" s="2" t="inlineStr">
        <is>
          <t>18:30</t>
        </is>
      </c>
      <c r="F620" s="5">
        <f>C620-C619</f>
        <v/>
      </c>
      <c r="G620" s="5">
        <f>B620-B619</f>
        <v/>
      </c>
      <c r="H620" s="2">
        <f>IF(AND(F620=1,G620=1),"OK","À JUSTIFIER")</f>
        <v/>
      </c>
    </row>
    <row r="621">
      <c r="A621" s="2" t="inlineStr">
        <is>
          <t>EJ010124.TXT</t>
        </is>
      </c>
      <c r="B621" s="3" t="inlineStr">
        <is>
          <t>005214</t>
        </is>
      </c>
      <c r="C621" s="3" t="inlineStr">
        <is>
          <t>004181</t>
        </is>
      </c>
      <c r="D621" s="4" t="n">
        <v>45286</v>
      </c>
      <c r="E621" s="2" t="inlineStr">
        <is>
          <t>11:49</t>
        </is>
      </c>
      <c r="F621" s="5">
        <f>C621-C620</f>
        <v/>
      </c>
      <c r="G621" s="5">
        <f>B621-B620</f>
        <v/>
      </c>
      <c r="H621" s="2">
        <f>IF(AND(F621=1,G621=1),"OK","À JUSTIFIER")</f>
        <v/>
      </c>
    </row>
    <row r="622">
      <c r="A622" s="2" t="inlineStr">
        <is>
          <t>EJ010124.TXT</t>
        </is>
      </c>
      <c r="B622" s="3" t="inlineStr">
        <is>
          <t>005215</t>
        </is>
      </c>
      <c r="C622" s="3" t="inlineStr">
        <is>
          <t>004182</t>
        </is>
      </c>
      <c r="D622" s="4" t="n">
        <v>45286</v>
      </c>
      <c r="E622" s="2" t="inlineStr">
        <is>
          <t>11:50</t>
        </is>
      </c>
      <c r="F622" s="5">
        <f>C622-C621</f>
        <v/>
      </c>
      <c r="G622" s="5">
        <f>B622-B621</f>
        <v/>
      </c>
      <c r="H622" s="2">
        <f>IF(AND(F622=1,G622=1),"OK","À JUSTIFIER")</f>
        <v/>
      </c>
    </row>
    <row r="623">
      <c r="A623" s="2" t="inlineStr">
        <is>
          <t>EJ010124.TXT</t>
        </is>
      </c>
      <c r="B623" s="3" t="inlineStr">
        <is>
          <t>005216</t>
        </is>
      </c>
      <c r="C623" s="3" t="inlineStr">
        <is>
          <t>004183</t>
        </is>
      </c>
      <c r="D623" s="4" t="n">
        <v>45286</v>
      </c>
      <c r="E623" s="2" t="inlineStr">
        <is>
          <t>11:50</t>
        </is>
      </c>
      <c r="F623" s="5">
        <f>C623-C622</f>
        <v/>
      </c>
      <c r="G623" s="5">
        <f>B623-B622</f>
        <v/>
      </c>
      <c r="H623" s="2">
        <f>IF(AND(F623=1,G623=1),"OK","À JUSTIFIER")</f>
        <v/>
      </c>
    </row>
    <row r="624">
      <c r="A624" s="2" t="inlineStr">
        <is>
          <t>EJ010124.TXT</t>
        </is>
      </c>
      <c r="B624" s="3" t="inlineStr">
        <is>
          <t>005217</t>
        </is>
      </c>
      <c r="C624" s="3" t="inlineStr">
        <is>
          <t>004184</t>
        </is>
      </c>
      <c r="D624" s="4" t="n">
        <v>45286</v>
      </c>
      <c r="E624" s="2" t="inlineStr">
        <is>
          <t>15:48</t>
        </is>
      </c>
      <c r="F624" s="5">
        <f>C624-C623</f>
        <v/>
      </c>
      <c r="G624" s="5">
        <f>B624-B623</f>
        <v/>
      </c>
      <c r="H624" s="2">
        <f>IF(AND(F624=1,G624=1),"OK","À JUSTIFIER")</f>
        <v/>
      </c>
    </row>
    <row r="625">
      <c r="A625" s="2" t="inlineStr">
        <is>
          <t>EJ010124.TXT</t>
        </is>
      </c>
      <c r="B625" s="3" t="inlineStr">
        <is>
          <t>005218</t>
        </is>
      </c>
      <c r="C625" s="3" t="inlineStr">
        <is>
          <t>004185</t>
        </is>
      </c>
      <c r="D625" s="4" t="n">
        <v>45286</v>
      </c>
      <c r="E625" s="2" t="inlineStr">
        <is>
          <t>15:49</t>
        </is>
      </c>
      <c r="F625" s="5">
        <f>C625-C624</f>
        <v/>
      </c>
      <c r="G625" s="5">
        <f>B625-B624</f>
        <v/>
      </c>
      <c r="H625" s="2">
        <f>IF(AND(F625=1,G625=1),"OK","À JUSTIFIER")</f>
        <v/>
      </c>
    </row>
    <row r="626">
      <c r="A626" s="2" t="inlineStr">
        <is>
          <t>EJ010124.TXT</t>
        </is>
      </c>
      <c r="B626" s="3" t="inlineStr">
        <is>
          <t>005219</t>
        </is>
      </c>
      <c r="C626" s="3" t="inlineStr">
        <is>
          <t>004186</t>
        </is>
      </c>
      <c r="D626" s="4" t="n">
        <v>45286</v>
      </c>
      <c r="E626" s="2" t="inlineStr">
        <is>
          <t>18:05</t>
        </is>
      </c>
      <c r="F626" s="5">
        <f>C626-C625</f>
        <v/>
      </c>
      <c r="G626" s="5">
        <f>B626-B625</f>
        <v/>
      </c>
      <c r="H626" s="2">
        <f>IF(AND(F626=1,G626=1),"OK","À JUSTIFIER")</f>
        <v/>
      </c>
    </row>
    <row r="627">
      <c r="A627" s="2" t="inlineStr">
        <is>
          <t>EJ010124.TXT</t>
        </is>
      </c>
      <c r="B627" s="3" t="inlineStr">
        <is>
          <t>005220</t>
        </is>
      </c>
      <c r="C627" s="3" t="inlineStr">
        <is>
          <t>004187</t>
        </is>
      </c>
      <c r="D627" s="4" t="n">
        <v>45287</v>
      </c>
      <c r="E627" s="2" t="inlineStr">
        <is>
          <t>15:44</t>
        </is>
      </c>
      <c r="F627" s="5">
        <f>C627-C626</f>
        <v/>
      </c>
      <c r="G627" s="5">
        <f>B627-B626</f>
        <v/>
      </c>
      <c r="H627" s="2">
        <f>IF(AND(F627=1,G627=1),"OK","À JUSTIFIER")</f>
        <v/>
      </c>
    </row>
    <row r="628">
      <c r="A628" s="2" t="inlineStr">
        <is>
          <t>EJ010124.TXT</t>
        </is>
      </c>
      <c r="B628" s="3" t="inlineStr">
        <is>
          <t>005221</t>
        </is>
      </c>
      <c r="C628" s="3" t="inlineStr">
        <is>
          <t>004188</t>
        </is>
      </c>
      <c r="D628" s="4" t="n">
        <v>45288</v>
      </c>
      <c r="E628" s="2" t="inlineStr">
        <is>
          <t>16:46</t>
        </is>
      </c>
      <c r="F628" s="5">
        <f>C628-C627</f>
        <v/>
      </c>
      <c r="G628" s="5">
        <f>B628-B627</f>
        <v/>
      </c>
      <c r="H628" s="2">
        <f>IF(AND(F628=1,G628=1),"OK","À JUSTIFIER")</f>
        <v/>
      </c>
    </row>
    <row r="629">
      <c r="A629" s="2" t="inlineStr">
        <is>
          <t>EJ010124.TXT</t>
        </is>
      </c>
      <c r="B629" s="3" t="inlineStr">
        <is>
          <t>005222</t>
        </is>
      </c>
      <c r="C629" s="3" t="inlineStr">
        <is>
          <t>004189</t>
        </is>
      </c>
      <c r="D629" s="4" t="n">
        <v>45290</v>
      </c>
      <c r="E629" s="2" t="inlineStr">
        <is>
          <t>15:47</t>
        </is>
      </c>
      <c r="F629" s="5">
        <f>C629-C628</f>
        <v/>
      </c>
      <c r="G629" s="5">
        <f>B629-B628</f>
        <v/>
      </c>
      <c r="H629" s="2">
        <f>IF(AND(F629=1,G629=1),"OK","À JUSTIFIER")</f>
        <v/>
      </c>
    </row>
    <row r="630">
      <c r="A630" s="2" t="inlineStr">
        <is>
          <t>EJ020224.TXT</t>
        </is>
      </c>
      <c r="B630" s="3" t="inlineStr">
        <is>
          <t>005230</t>
        </is>
      </c>
      <c r="C630" s="3" t="inlineStr">
        <is>
          <t>004190</t>
        </is>
      </c>
      <c r="D630" s="4" t="n">
        <v>45295</v>
      </c>
      <c r="E630" s="2" t="inlineStr">
        <is>
          <t>14:36</t>
        </is>
      </c>
      <c r="F630" s="5">
        <f>C630-C629</f>
        <v/>
      </c>
      <c r="G630" s="5">
        <f>B630-B629</f>
        <v/>
      </c>
      <c r="H630" s="2">
        <f>IF(AND(F630=1,G630=1),"OK","À JUSTIFIER")</f>
        <v/>
      </c>
    </row>
    <row r="631">
      <c r="A631" s="2" t="inlineStr">
        <is>
          <t>EJ020224.TXT</t>
        </is>
      </c>
      <c r="B631" s="3" t="inlineStr">
        <is>
          <t>005231</t>
        </is>
      </c>
      <c r="C631" s="3" t="inlineStr">
        <is>
          <t>004191</t>
        </is>
      </c>
      <c r="D631" s="4" t="n">
        <v>45295</v>
      </c>
      <c r="E631" s="2" t="inlineStr">
        <is>
          <t>14:37</t>
        </is>
      </c>
      <c r="F631" s="5">
        <f>C631-C630</f>
        <v/>
      </c>
      <c r="G631" s="5">
        <f>B631-B630</f>
        <v/>
      </c>
      <c r="H631" s="2">
        <f>IF(AND(F631=1,G631=1),"OK","À JUSTIFIER")</f>
        <v/>
      </c>
    </row>
    <row r="632">
      <c r="A632" s="2" t="inlineStr">
        <is>
          <t>EJ020224.TXT</t>
        </is>
      </c>
      <c r="B632" s="3" t="inlineStr">
        <is>
          <t>005232</t>
        </is>
      </c>
      <c r="C632" s="3" t="inlineStr">
        <is>
          <t>004192</t>
        </is>
      </c>
      <c r="D632" s="4" t="n">
        <v>45295</v>
      </c>
      <c r="E632" s="2" t="inlineStr">
        <is>
          <t>14:37</t>
        </is>
      </c>
      <c r="F632" s="5">
        <f>C632-C631</f>
        <v/>
      </c>
      <c r="G632" s="5">
        <f>B632-B631</f>
        <v/>
      </c>
      <c r="H632" s="2">
        <f>IF(AND(F632=1,G632=1),"OK","À JUSTIFIER")</f>
        <v/>
      </c>
    </row>
    <row r="633">
      <c r="A633" s="2" t="inlineStr">
        <is>
          <t>EJ020224.TXT</t>
        </is>
      </c>
      <c r="B633" s="3" t="inlineStr">
        <is>
          <t>005233</t>
        </is>
      </c>
      <c r="C633" s="3" t="inlineStr">
        <is>
          <t>004193</t>
        </is>
      </c>
      <c r="D633" s="4" t="n">
        <v>45295</v>
      </c>
      <c r="E633" s="2" t="inlineStr">
        <is>
          <t>14:37</t>
        </is>
      </c>
      <c r="F633" s="5">
        <f>C633-C632</f>
        <v/>
      </c>
      <c r="G633" s="5">
        <f>B633-B632</f>
        <v/>
      </c>
      <c r="H633" s="2">
        <f>IF(AND(F633=1,G633=1),"OK","À JUSTIFIER")</f>
        <v/>
      </c>
    </row>
    <row r="634">
      <c r="A634" s="2" t="inlineStr">
        <is>
          <t>EJ020224.TXT</t>
        </is>
      </c>
      <c r="B634" s="3" t="inlineStr">
        <is>
          <t>005234</t>
        </is>
      </c>
      <c r="C634" s="3" t="inlineStr">
        <is>
          <t>004194</t>
        </is>
      </c>
      <c r="D634" s="4" t="n">
        <v>45295</v>
      </c>
      <c r="E634" s="2" t="inlineStr">
        <is>
          <t>14:37</t>
        </is>
      </c>
      <c r="F634" s="5">
        <f>C634-C633</f>
        <v/>
      </c>
      <c r="G634" s="5">
        <f>B634-B633</f>
        <v/>
      </c>
      <c r="H634" s="2">
        <f>IF(AND(F634=1,G634=1),"OK","À JUSTIFIER")</f>
        <v/>
      </c>
    </row>
    <row r="635">
      <c r="A635" s="2" t="inlineStr">
        <is>
          <t>EJ020224.TXT</t>
        </is>
      </c>
      <c r="B635" s="3" t="inlineStr">
        <is>
          <t>005235</t>
        </is>
      </c>
      <c r="C635" s="3" t="inlineStr">
        <is>
          <t>004195</t>
        </is>
      </c>
      <c r="D635" s="4" t="n">
        <v>45295</v>
      </c>
      <c r="E635" s="2" t="inlineStr">
        <is>
          <t>14:46</t>
        </is>
      </c>
      <c r="F635" s="5">
        <f>C635-C634</f>
        <v/>
      </c>
      <c r="G635" s="5">
        <f>B635-B634</f>
        <v/>
      </c>
      <c r="H635" s="2">
        <f>IF(AND(F635=1,G635=1),"OK","À JUSTIFIER")</f>
        <v/>
      </c>
    </row>
    <row r="636">
      <c r="A636" s="2" t="inlineStr">
        <is>
          <t>EJ020224.TXT</t>
        </is>
      </c>
      <c r="B636" s="3" t="inlineStr">
        <is>
          <t>005236</t>
        </is>
      </c>
      <c r="C636" s="3" t="inlineStr">
        <is>
          <t>004196</t>
        </is>
      </c>
      <c r="D636" s="4" t="n">
        <v>45295</v>
      </c>
      <c r="E636" s="2" t="inlineStr">
        <is>
          <t>15:25</t>
        </is>
      </c>
      <c r="F636" s="5">
        <f>C636-C635</f>
        <v/>
      </c>
      <c r="G636" s="5">
        <f>B636-B635</f>
        <v/>
      </c>
      <c r="H636" s="2">
        <f>IF(AND(F636=1,G636=1),"OK","À JUSTIFIER")</f>
        <v/>
      </c>
    </row>
    <row r="637">
      <c r="A637" s="2" t="inlineStr">
        <is>
          <t>EJ020224.TXT</t>
        </is>
      </c>
      <c r="B637" s="3" t="inlineStr">
        <is>
          <t>005237</t>
        </is>
      </c>
      <c r="C637" s="3" t="inlineStr">
        <is>
          <t>004197</t>
        </is>
      </c>
      <c r="D637" s="4" t="n">
        <v>45301</v>
      </c>
      <c r="E637" s="2" t="inlineStr">
        <is>
          <t>15:41</t>
        </is>
      </c>
      <c r="F637" s="5">
        <f>C637-C636</f>
        <v/>
      </c>
      <c r="G637" s="5">
        <f>B637-B636</f>
        <v/>
      </c>
      <c r="H637" s="2">
        <f>IF(AND(F637=1,G637=1),"OK","À JUSTIFIER")</f>
        <v/>
      </c>
    </row>
    <row r="638">
      <c r="A638" s="2" t="inlineStr">
        <is>
          <t>EJ020224.TXT</t>
        </is>
      </c>
      <c r="B638" s="3" t="inlineStr">
        <is>
          <t>005238</t>
        </is>
      </c>
      <c r="C638" s="3" t="inlineStr">
        <is>
          <t>004198</t>
        </is>
      </c>
      <c r="D638" s="4" t="n">
        <v>45301</v>
      </c>
      <c r="E638" s="2" t="inlineStr">
        <is>
          <t>17:19</t>
        </is>
      </c>
      <c r="F638" s="5">
        <f>C638-C637</f>
        <v/>
      </c>
      <c r="G638" s="5">
        <f>B638-B637</f>
        <v/>
      </c>
      <c r="H638" s="2">
        <f>IF(AND(F638=1,G638=1),"OK","À JUSTIFIER")</f>
        <v/>
      </c>
    </row>
    <row r="639">
      <c r="A639" s="2" t="inlineStr">
        <is>
          <t>EJ020224.TXT</t>
        </is>
      </c>
      <c r="B639" s="3" t="inlineStr">
        <is>
          <t>005239</t>
        </is>
      </c>
      <c r="C639" s="3" t="inlineStr">
        <is>
          <t>004199</t>
        </is>
      </c>
      <c r="D639" s="4" t="n">
        <v>45302</v>
      </c>
      <c r="E639" s="2" t="inlineStr">
        <is>
          <t>11:53</t>
        </is>
      </c>
      <c r="F639" s="5">
        <f>C639-C638</f>
        <v/>
      </c>
      <c r="G639" s="5">
        <f>B639-B638</f>
        <v/>
      </c>
      <c r="H639" s="2">
        <f>IF(AND(F639=1,G639=1),"OK","À JUSTIFIER")</f>
        <v/>
      </c>
    </row>
    <row r="640">
      <c r="A640" s="2" t="inlineStr">
        <is>
          <t>EJ020224.TXT</t>
        </is>
      </c>
      <c r="B640" s="3" t="inlineStr">
        <is>
          <t>005240</t>
        </is>
      </c>
      <c r="C640" s="3" t="inlineStr">
        <is>
          <t>004200</t>
        </is>
      </c>
      <c r="D640" s="4" t="n">
        <v>45304</v>
      </c>
      <c r="E640" s="2" t="inlineStr">
        <is>
          <t>15:49</t>
        </is>
      </c>
      <c r="F640" s="5">
        <f>C640-C639</f>
        <v/>
      </c>
      <c r="G640" s="5">
        <f>B640-B639</f>
        <v/>
      </c>
      <c r="H640" s="2">
        <f>IF(AND(F640=1,G640=1),"OK","À JUSTIFIER")</f>
        <v/>
      </c>
    </row>
    <row r="641">
      <c r="A641" s="2" t="inlineStr">
        <is>
          <t>EJ020224.TXT</t>
        </is>
      </c>
      <c r="B641" s="3" t="inlineStr">
        <is>
          <t>005241</t>
        </is>
      </c>
      <c r="C641" s="3" t="inlineStr">
        <is>
          <t>004201</t>
        </is>
      </c>
      <c r="D641" s="4" t="n">
        <v>45304</v>
      </c>
      <c r="E641" s="2" t="inlineStr">
        <is>
          <t>16:11</t>
        </is>
      </c>
      <c r="F641" s="5">
        <f>C641-C640</f>
        <v/>
      </c>
      <c r="G641" s="5">
        <f>B641-B640</f>
        <v/>
      </c>
      <c r="H641" s="2">
        <f>IF(AND(F641=1,G641=1),"OK","À JUSTIFIER")</f>
        <v/>
      </c>
    </row>
    <row r="642">
      <c r="A642" s="2" t="inlineStr">
        <is>
          <t>EJ020224.TXT</t>
        </is>
      </c>
      <c r="B642" s="3" t="inlineStr">
        <is>
          <t>005242</t>
        </is>
      </c>
      <c r="C642" s="3" t="inlineStr">
        <is>
          <t>004202</t>
        </is>
      </c>
      <c r="D642" s="4" t="n">
        <v>45304</v>
      </c>
      <c r="E642" s="2" t="inlineStr">
        <is>
          <t>16:14</t>
        </is>
      </c>
      <c r="F642" s="5">
        <f>C642-C641</f>
        <v/>
      </c>
      <c r="G642" s="5">
        <f>B642-B641</f>
        <v/>
      </c>
      <c r="H642" s="2">
        <f>IF(AND(F642=1,G642=1),"OK","À JUSTIFIER")</f>
        <v/>
      </c>
    </row>
    <row r="643">
      <c r="A643" s="2" t="inlineStr">
        <is>
          <t>EJ020224.TXT</t>
        </is>
      </c>
      <c r="B643" s="3" t="inlineStr">
        <is>
          <t>005243</t>
        </is>
      </c>
      <c r="C643" s="3" t="inlineStr">
        <is>
          <t>004203</t>
        </is>
      </c>
      <c r="D643" s="4" t="n">
        <v>45304</v>
      </c>
      <c r="E643" s="2" t="inlineStr">
        <is>
          <t>16:17</t>
        </is>
      </c>
      <c r="F643" s="5">
        <f>C643-C642</f>
        <v/>
      </c>
      <c r="G643" s="5">
        <f>B643-B642</f>
        <v/>
      </c>
      <c r="H643" s="2">
        <f>IF(AND(F643=1,G643=1),"OK","À JUSTIFIER")</f>
        <v/>
      </c>
    </row>
    <row r="644">
      <c r="A644" s="2" t="inlineStr">
        <is>
          <t>EJ020224.TXT</t>
        </is>
      </c>
      <c r="B644" s="3" t="inlineStr">
        <is>
          <t>005244</t>
        </is>
      </c>
      <c r="C644" s="3" t="inlineStr">
        <is>
          <t>004204</t>
        </is>
      </c>
      <c r="D644" s="4" t="n">
        <v>45307</v>
      </c>
      <c r="E644" s="2" t="inlineStr">
        <is>
          <t>12:36</t>
        </is>
      </c>
      <c r="F644" s="5">
        <f>C644-C643</f>
        <v/>
      </c>
      <c r="G644" s="5">
        <f>B644-B643</f>
        <v/>
      </c>
      <c r="H644" s="2">
        <f>IF(AND(F644=1,G644=1),"OK","À JUSTIFIER")</f>
        <v/>
      </c>
    </row>
    <row r="645">
      <c r="A645" s="2" t="inlineStr">
        <is>
          <t>EJ020224.TXT</t>
        </is>
      </c>
      <c r="B645" s="3" t="inlineStr">
        <is>
          <t>005245</t>
        </is>
      </c>
      <c r="C645" s="3" t="inlineStr">
        <is>
          <t>004205</t>
        </is>
      </c>
      <c r="D645" s="4" t="n">
        <v>45307</v>
      </c>
      <c r="E645" s="2" t="inlineStr">
        <is>
          <t>14:34</t>
        </is>
      </c>
      <c r="F645" s="5">
        <f>C645-C644</f>
        <v/>
      </c>
      <c r="G645" s="5">
        <f>B645-B644</f>
        <v/>
      </c>
      <c r="H645" s="2">
        <f>IF(AND(F645=1,G645=1),"OK","À JUSTIFIER")</f>
        <v/>
      </c>
    </row>
    <row r="646">
      <c r="A646" s="2" t="inlineStr">
        <is>
          <t>EJ020224.TXT</t>
        </is>
      </c>
      <c r="B646" s="3" t="inlineStr">
        <is>
          <t>005246</t>
        </is>
      </c>
      <c r="C646" s="3" t="inlineStr">
        <is>
          <t>004206</t>
        </is>
      </c>
      <c r="D646" s="4" t="n">
        <v>45311</v>
      </c>
      <c r="E646" s="2" t="inlineStr">
        <is>
          <t>16:54</t>
        </is>
      </c>
      <c r="F646" s="5">
        <f>C646-C645</f>
        <v/>
      </c>
      <c r="G646" s="5">
        <f>B646-B645</f>
        <v/>
      </c>
      <c r="H646" s="2">
        <f>IF(AND(F646=1,G646=1),"OK","À JUSTIFIER")</f>
        <v/>
      </c>
    </row>
    <row r="647">
      <c r="A647" s="2" t="inlineStr">
        <is>
          <t>EJ020224.TXT</t>
        </is>
      </c>
      <c r="B647" s="3" t="inlineStr">
        <is>
          <t>005247</t>
        </is>
      </c>
      <c r="C647" s="3" t="inlineStr">
        <is>
          <t>004207</t>
        </is>
      </c>
      <c r="D647" s="4" t="n">
        <v>45311</v>
      </c>
      <c r="E647" s="2" t="inlineStr">
        <is>
          <t>17:48</t>
        </is>
      </c>
      <c r="F647" s="5">
        <f>C647-C646</f>
        <v/>
      </c>
      <c r="G647" s="5">
        <f>B647-B646</f>
        <v/>
      </c>
      <c r="H647" s="2">
        <f>IF(AND(F647=1,G647=1),"OK","À JUSTIFIER")</f>
        <v/>
      </c>
    </row>
    <row r="648">
      <c r="A648" s="2" t="inlineStr">
        <is>
          <t>EJ020224.TXT</t>
        </is>
      </c>
      <c r="B648" s="3" t="inlineStr">
        <is>
          <t>005248</t>
        </is>
      </c>
      <c r="C648" s="3" t="inlineStr">
        <is>
          <t>004208</t>
        </is>
      </c>
      <c r="D648" s="4" t="n">
        <v>45313</v>
      </c>
      <c r="E648" s="2" t="inlineStr">
        <is>
          <t>17:14</t>
        </is>
      </c>
      <c r="F648" s="5">
        <f>C648-C647</f>
        <v/>
      </c>
      <c r="G648" s="5">
        <f>B648-B647</f>
        <v/>
      </c>
      <c r="H648" s="2">
        <f>IF(AND(F648=1,G648=1),"OK","À JUSTIFIER")</f>
        <v/>
      </c>
    </row>
    <row r="649">
      <c r="A649" s="2" t="inlineStr">
        <is>
          <t>EJ020224.TXT</t>
        </is>
      </c>
      <c r="B649" s="3" t="inlineStr">
        <is>
          <t>005249</t>
        </is>
      </c>
      <c r="C649" s="3" t="inlineStr">
        <is>
          <t>004209</t>
        </is>
      </c>
      <c r="D649" s="4" t="n">
        <v>45315</v>
      </c>
      <c r="E649" s="2" t="inlineStr">
        <is>
          <t>11:47</t>
        </is>
      </c>
      <c r="F649" s="5">
        <f>C649-C648</f>
        <v/>
      </c>
      <c r="G649" s="5">
        <f>B649-B648</f>
        <v/>
      </c>
      <c r="H649" s="2">
        <f>IF(AND(F649=1,G649=1),"OK","À JUSTIFIER")</f>
        <v/>
      </c>
    </row>
    <row r="650">
      <c r="A650" s="2" t="inlineStr">
        <is>
          <t>EJ020224.TXT</t>
        </is>
      </c>
      <c r="B650" s="3" t="inlineStr">
        <is>
          <t>005250</t>
        </is>
      </c>
      <c r="C650" s="3" t="inlineStr">
        <is>
          <t>004210</t>
        </is>
      </c>
      <c r="D650" s="4" t="n">
        <v>45324</v>
      </c>
      <c r="E650" s="2" t="inlineStr">
        <is>
          <t>10:43</t>
        </is>
      </c>
      <c r="F650" s="5">
        <f>C650-C649</f>
        <v/>
      </c>
      <c r="G650" s="5">
        <f>B650-B649</f>
        <v/>
      </c>
      <c r="H650" s="2">
        <f>IF(AND(F650=1,G650=1),"OK","À JUSTIFIER")</f>
        <v/>
      </c>
    </row>
    <row r="651">
      <c r="A651" s="2" t="inlineStr">
        <is>
          <t>EJ020324.TXT</t>
        </is>
      </c>
      <c r="B651" s="3" t="inlineStr">
        <is>
          <t>005258</t>
        </is>
      </c>
      <c r="C651" s="3" t="inlineStr">
        <is>
          <t>004211</t>
        </is>
      </c>
      <c r="D651" s="4" t="n">
        <v>45324</v>
      </c>
      <c r="E651" s="2" t="inlineStr">
        <is>
          <t>11:42</t>
        </is>
      </c>
      <c r="F651" s="5">
        <f>C651-C650</f>
        <v/>
      </c>
      <c r="G651" s="5">
        <f>B651-B650</f>
        <v/>
      </c>
      <c r="H651" s="2">
        <f>IF(AND(F651=1,G651=1),"OK","À JUSTIFIER")</f>
        <v/>
      </c>
    </row>
    <row r="652">
      <c r="A652" s="2" t="inlineStr">
        <is>
          <t>EJ020324.TXT</t>
        </is>
      </c>
      <c r="B652" s="3" t="inlineStr">
        <is>
          <t>005259</t>
        </is>
      </c>
      <c r="C652" s="3" t="inlineStr">
        <is>
          <t>004212</t>
        </is>
      </c>
      <c r="D652" s="4" t="n">
        <v>45324</v>
      </c>
      <c r="E652" s="2" t="inlineStr">
        <is>
          <t>11:43</t>
        </is>
      </c>
      <c r="F652" s="5">
        <f>C652-C651</f>
        <v/>
      </c>
      <c r="G652" s="5">
        <f>B652-B651</f>
        <v/>
      </c>
      <c r="H652" s="2">
        <f>IF(AND(F652=1,G652=1),"OK","À JUSTIFIER")</f>
        <v/>
      </c>
    </row>
    <row r="653">
      <c r="A653" s="2" t="inlineStr">
        <is>
          <t>EJ020324.TXT</t>
        </is>
      </c>
      <c r="B653" s="3" t="inlineStr">
        <is>
          <t>005260</t>
        </is>
      </c>
      <c r="C653" s="3" t="inlineStr">
        <is>
          <t>004213</t>
        </is>
      </c>
      <c r="D653" s="4" t="n">
        <v>45324</v>
      </c>
      <c r="E653" s="2" t="inlineStr">
        <is>
          <t>11:44</t>
        </is>
      </c>
      <c r="F653" s="5">
        <f>C653-C652</f>
        <v/>
      </c>
      <c r="G653" s="5">
        <f>B653-B652</f>
        <v/>
      </c>
      <c r="H653" s="2">
        <f>IF(AND(F653=1,G653=1),"OK","À JUSTIFIER")</f>
        <v/>
      </c>
    </row>
    <row r="654">
      <c r="A654" s="2" t="inlineStr">
        <is>
          <t>EJ020324.TXT</t>
        </is>
      </c>
      <c r="B654" s="3" t="inlineStr">
        <is>
          <t>005261</t>
        </is>
      </c>
      <c r="C654" s="3" t="inlineStr">
        <is>
          <t>004214</t>
        </is>
      </c>
      <c r="D654" s="4" t="n">
        <v>45324</v>
      </c>
      <c r="E654" s="2" t="inlineStr">
        <is>
          <t>11:45</t>
        </is>
      </c>
      <c r="F654" s="5">
        <f>C654-C653</f>
        <v/>
      </c>
      <c r="G654" s="5">
        <f>B654-B653</f>
        <v/>
      </c>
      <c r="H654" s="2">
        <f>IF(AND(F654=1,G654=1),"OK","À JUSTIFIER")</f>
        <v/>
      </c>
    </row>
    <row r="655">
      <c r="A655" s="2" t="inlineStr">
        <is>
          <t>EJ020324.TXT</t>
        </is>
      </c>
      <c r="B655" s="3" t="inlineStr">
        <is>
          <t>005262</t>
        </is>
      </c>
      <c r="C655" s="3" t="inlineStr">
        <is>
          <t>004215</t>
        </is>
      </c>
      <c r="D655" s="4" t="n">
        <v>45324</v>
      </c>
      <c r="E655" s="2" t="inlineStr">
        <is>
          <t>11:46</t>
        </is>
      </c>
      <c r="F655" s="5">
        <f>C655-C654</f>
        <v/>
      </c>
      <c r="G655" s="5">
        <f>B655-B654</f>
        <v/>
      </c>
      <c r="H655" s="2">
        <f>IF(AND(F655=1,G655=1),"OK","À JUSTIFIER")</f>
        <v/>
      </c>
    </row>
    <row r="656">
      <c r="A656" s="2" t="inlineStr">
        <is>
          <t>EJ020324.TXT</t>
        </is>
      </c>
      <c r="B656" s="3" t="inlineStr">
        <is>
          <t>005263</t>
        </is>
      </c>
      <c r="C656" s="3" t="inlineStr">
        <is>
          <t>004216</t>
        </is>
      </c>
      <c r="D656" s="4" t="n">
        <v>45324</v>
      </c>
      <c r="E656" s="2" t="inlineStr">
        <is>
          <t>11:47</t>
        </is>
      </c>
      <c r="F656" s="5">
        <f>C656-C655</f>
        <v/>
      </c>
      <c r="G656" s="5">
        <f>B656-B655</f>
        <v/>
      </c>
      <c r="H656" s="2">
        <f>IF(AND(F656=1,G656=1),"OK","À JUSTIFIER")</f>
        <v/>
      </c>
    </row>
    <row r="657">
      <c r="A657" s="2" t="inlineStr">
        <is>
          <t>EJ020324.TXT</t>
        </is>
      </c>
      <c r="B657" s="3" t="inlineStr">
        <is>
          <t>005264</t>
        </is>
      </c>
      <c r="C657" s="3" t="inlineStr">
        <is>
          <t>004217</t>
        </is>
      </c>
      <c r="D657" s="4" t="n">
        <v>45327</v>
      </c>
      <c r="E657" s="2" t="inlineStr">
        <is>
          <t>13:37</t>
        </is>
      </c>
      <c r="F657" s="5">
        <f>C657-C656</f>
        <v/>
      </c>
      <c r="G657" s="5">
        <f>B657-B656</f>
        <v/>
      </c>
      <c r="H657" s="2">
        <f>IF(AND(F657=1,G657=1),"OK","À JUSTIFIER")</f>
        <v/>
      </c>
    </row>
    <row r="658">
      <c r="A658" s="2" t="inlineStr">
        <is>
          <t>EJ020324.TXT</t>
        </is>
      </c>
      <c r="B658" s="3" t="inlineStr">
        <is>
          <t>005265</t>
        </is>
      </c>
      <c r="C658" s="3" t="inlineStr">
        <is>
          <t>004218</t>
        </is>
      </c>
      <c r="D658" s="4" t="n">
        <v>45327</v>
      </c>
      <c r="E658" s="2" t="inlineStr">
        <is>
          <t>14:42</t>
        </is>
      </c>
      <c r="F658" s="5">
        <f>C658-C657</f>
        <v/>
      </c>
      <c r="G658" s="5">
        <f>B658-B657</f>
        <v/>
      </c>
      <c r="H658" s="2">
        <f>IF(AND(F658=1,G658=1),"OK","À JUSTIFIER")</f>
        <v/>
      </c>
    </row>
    <row r="659">
      <c r="A659" s="2" t="inlineStr">
        <is>
          <t>EJ020324.TXT</t>
        </is>
      </c>
      <c r="B659" s="3" t="inlineStr">
        <is>
          <t>005266</t>
        </is>
      </c>
      <c r="C659" s="3" t="inlineStr">
        <is>
          <t>004219</t>
        </is>
      </c>
      <c r="D659" s="4" t="n">
        <v>45328</v>
      </c>
      <c r="E659" s="2" t="inlineStr">
        <is>
          <t>13:55</t>
        </is>
      </c>
      <c r="F659" s="5">
        <f>C659-C658</f>
        <v/>
      </c>
      <c r="G659" s="5">
        <f>B659-B658</f>
        <v/>
      </c>
      <c r="H659" s="2">
        <f>IF(AND(F659=1,G659=1),"OK","À JUSTIFIER")</f>
        <v/>
      </c>
    </row>
    <row r="660">
      <c r="A660" s="2" t="inlineStr">
        <is>
          <t>EJ020324.TXT</t>
        </is>
      </c>
      <c r="B660" s="3" t="inlineStr">
        <is>
          <t>005267</t>
        </is>
      </c>
      <c r="C660" s="3" t="inlineStr">
        <is>
          <t>004220</t>
        </is>
      </c>
      <c r="D660" s="4" t="n">
        <v>45328</v>
      </c>
      <c r="E660" s="2" t="inlineStr">
        <is>
          <t>18:59</t>
        </is>
      </c>
      <c r="F660" s="5">
        <f>C660-C659</f>
        <v/>
      </c>
      <c r="G660" s="5">
        <f>B660-B659</f>
        <v/>
      </c>
      <c r="H660" s="2">
        <f>IF(AND(F660=1,G660=1),"OK","À JUSTIFIER")</f>
        <v/>
      </c>
    </row>
    <row r="661">
      <c r="A661" s="2" t="inlineStr">
        <is>
          <t>EJ020324.TXT</t>
        </is>
      </c>
      <c r="B661" s="3" t="inlineStr">
        <is>
          <t>005268</t>
        </is>
      </c>
      <c r="C661" s="3" t="inlineStr">
        <is>
          <t>004221</t>
        </is>
      </c>
      <c r="D661" s="4" t="n">
        <v>45331</v>
      </c>
      <c r="E661" s="2" t="inlineStr">
        <is>
          <t>15:12</t>
        </is>
      </c>
      <c r="F661" s="5">
        <f>C661-C660</f>
        <v/>
      </c>
      <c r="G661" s="5">
        <f>B661-B660</f>
        <v/>
      </c>
      <c r="H661" s="2">
        <f>IF(AND(F661=1,G661=1),"OK","À JUSTIFIER")</f>
        <v/>
      </c>
    </row>
    <row r="662">
      <c r="A662" s="2" t="inlineStr">
        <is>
          <t>EJ020324.TXT</t>
        </is>
      </c>
      <c r="B662" s="3" t="inlineStr">
        <is>
          <t>005269</t>
        </is>
      </c>
      <c r="C662" s="3" t="inlineStr">
        <is>
          <t>004222</t>
        </is>
      </c>
      <c r="D662" s="4" t="n">
        <v>45331</v>
      </c>
      <c r="E662" s="2" t="inlineStr">
        <is>
          <t>15:14</t>
        </is>
      </c>
      <c r="F662" s="5">
        <f>C662-C661</f>
        <v/>
      </c>
      <c r="G662" s="5">
        <f>B662-B661</f>
        <v/>
      </c>
      <c r="H662" s="2">
        <f>IF(AND(F662=1,G662=1),"OK","À JUSTIFIER")</f>
        <v/>
      </c>
    </row>
    <row r="663">
      <c r="A663" s="2" t="inlineStr">
        <is>
          <t>EJ020324.TXT</t>
        </is>
      </c>
      <c r="B663" s="3" t="inlineStr">
        <is>
          <t>005270</t>
        </is>
      </c>
      <c r="C663" s="3" t="inlineStr">
        <is>
          <t>004223</t>
        </is>
      </c>
      <c r="D663" s="4" t="n">
        <v>45341</v>
      </c>
      <c r="E663" s="2" t="inlineStr">
        <is>
          <t>14:32</t>
        </is>
      </c>
      <c r="F663" s="5">
        <f>C663-C662</f>
        <v/>
      </c>
      <c r="G663" s="5">
        <f>B663-B662</f>
        <v/>
      </c>
      <c r="H663" s="2">
        <f>IF(AND(F663=1,G663=1),"OK","À JUSTIFIER")</f>
        <v/>
      </c>
    </row>
    <row r="664">
      <c r="A664" s="2" t="inlineStr">
        <is>
          <t>EJ020324.TXT</t>
        </is>
      </c>
      <c r="B664" s="3" t="inlineStr">
        <is>
          <t>005271</t>
        </is>
      </c>
      <c r="C664" s="3" t="inlineStr">
        <is>
          <t>004224</t>
        </is>
      </c>
      <c r="D664" s="4" t="n">
        <v>45341</v>
      </c>
      <c r="E664" s="2" t="inlineStr">
        <is>
          <t>15:42</t>
        </is>
      </c>
      <c r="F664" s="5">
        <f>C664-C663</f>
        <v/>
      </c>
      <c r="G664" s="5">
        <f>B664-B663</f>
        <v/>
      </c>
      <c r="H664" s="2">
        <f>IF(AND(F664=1,G664=1),"OK","À JUSTIFIER")</f>
        <v/>
      </c>
    </row>
    <row r="665">
      <c r="A665" s="2" t="inlineStr">
        <is>
          <t>EJ020324.TXT</t>
        </is>
      </c>
      <c r="B665" s="3" t="inlineStr">
        <is>
          <t>005272</t>
        </is>
      </c>
      <c r="C665" s="3" t="inlineStr">
        <is>
          <t>004225</t>
        </is>
      </c>
      <c r="D665" s="4" t="n">
        <v>45341</v>
      </c>
      <c r="E665" s="2" t="inlineStr">
        <is>
          <t>15:44</t>
        </is>
      </c>
      <c r="F665" s="5">
        <f>C665-C664</f>
        <v/>
      </c>
      <c r="G665" s="5">
        <f>B665-B664</f>
        <v/>
      </c>
      <c r="H665" s="2">
        <f>IF(AND(F665=1,G665=1),"OK","À JUSTIFIER")</f>
        <v/>
      </c>
    </row>
    <row r="666">
      <c r="A666" s="2" t="inlineStr">
        <is>
          <t>EJ020324.TXT</t>
        </is>
      </c>
      <c r="B666" s="3" t="inlineStr">
        <is>
          <t>005273</t>
        </is>
      </c>
      <c r="C666" s="3" t="inlineStr">
        <is>
          <t>004226</t>
        </is>
      </c>
      <c r="D666" s="4" t="n">
        <v>45344</v>
      </c>
      <c r="E666" s="2" t="inlineStr">
        <is>
          <t>17:51</t>
        </is>
      </c>
      <c r="F666" s="5">
        <f>C666-C665</f>
        <v/>
      </c>
      <c r="G666" s="5">
        <f>B666-B665</f>
        <v/>
      </c>
      <c r="H666" s="2">
        <f>IF(AND(F666=1,G666=1),"OK","À JUSTIFIER")</f>
        <v/>
      </c>
    </row>
    <row r="667">
      <c r="A667" s="2" t="inlineStr">
        <is>
          <t>EJ020324.TXT</t>
        </is>
      </c>
      <c r="B667" s="3" t="inlineStr">
        <is>
          <t>005274</t>
        </is>
      </c>
      <c r="C667" s="3" t="inlineStr">
        <is>
          <t>004227</t>
        </is>
      </c>
      <c r="D667" s="4" t="n">
        <v>45345</v>
      </c>
      <c r="E667" s="2" t="inlineStr">
        <is>
          <t>15:53</t>
        </is>
      </c>
      <c r="F667" s="5">
        <f>C667-C666</f>
        <v/>
      </c>
      <c r="G667" s="5">
        <f>B667-B666</f>
        <v/>
      </c>
      <c r="H667" s="2">
        <f>IF(AND(F667=1,G667=1),"OK","À JUSTIFIER")</f>
        <v/>
      </c>
    </row>
    <row r="668">
      <c r="A668" s="2" t="inlineStr">
        <is>
          <t>EJ020324.TXT</t>
        </is>
      </c>
      <c r="B668" s="3" t="inlineStr">
        <is>
          <t>005275</t>
        </is>
      </c>
      <c r="C668" s="3" t="inlineStr">
        <is>
          <t>004228</t>
        </is>
      </c>
      <c r="D668" s="4" t="n">
        <v>45345</v>
      </c>
      <c r="E668" s="2" t="inlineStr">
        <is>
          <t>16:10</t>
        </is>
      </c>
      <c r="F668" s="5">
        <f>C668-C667</f>
        <v/>
      </c>
      <c r="G668" s="5">
        <f>B668-B667</f>
        <v/>
      </c>
      <c r="H668" s="2">
        <f>IF(AND(F668=1,G668=1),"OK","À JUSTIFIER")</f>
        <v/>
      </c>
    </row>
    <row r="669">
      <c r="A669" s="2" t="inlineStr">
        <is>
          <t>EJ020324.TXT</t>
        </is>
      </c>
      <c r="B669" s="3" t="inlineStr">
        <is>
          <t>005276</t>
        </is>
      </c>
      <c r="C669" s="3" t="inlineStr">
        <is>
          <t>004229</t>
        </is>
      </c>
      <c r="D669" s="4" t="n">
        <v>45346</v>
      </c>
      <c r="E669" s="2" t="inlineStr">
        <is>
          <t>16:25</t>
        </is>
      </c>
      <c r="F669" s="5">
        <f>C669-C668</f>
        <v/>
      </c>
      <c r="G669" s="5">
        <f>B669-B668</f>
        <v/>
      </c>
      <c r="H669" s="2">
        <f>IF(AND(F669=1,G669=1),"OK","À JUSTIFIER")</f>
        <v/>
      </c>
    </row>
    <row r="670">
      <c r="A670" s="2" t="inlineStr">
        <is>
          <t>EJ020324.TXT</t>
        </is>
      </c>
      <c r="B670" s="3" t="inlineStr">
        <is>
          <t>005278</t>
        </is>
      </c>
      <c r="C670" s="3" t="inlineStr">
        <is>
          <t>004230</t>
        </is>
      </c>
      <c r="D670" s="4" t="n">
        <v>45348</v>
      </c>
      <c r="E670" s="2" t="inlineStr">
        <is>
          <t>15:02</t>
        </is>
      </c>
      <c r="F670" s="5">
        <f>C670-C669</f>
        <v/>
      </c>
      <c r="G670" s="5">
        <f>B670-B669</f>
        <v/>
      </c>
      <c r="H670" s="2">
        <f>IF(AND(F670=1,G670=1),"OK","À JUSTIFIER")</f>
        <v/>
      </c>
    </row>
    <row r="671">
      <c r="A671" s="2" t="inlineStr">
        <is>
          <t>EJ020324.TXT</t>
        </is>
      </c>
      <c r="B671" s="3" t="inlineStr">
        <is>
          <t>005279</t>
        </is>
      </c>
      <c r="C671" s="3" t="inlineStr">
        <is>
          <t>004231</t>
        </is>
      </c>
      <c r="D671" s="4" t="n">
        <v>45350</v>
      </c>
      <c r="E671" s="2" t="inlineStr">
        <is>
          <t>15:46</t>
        </is>
      </c>
      <c r="F671" s="5">
        <f>C671-C670</f>
        <v/>
      </c>
      <c r="G671" s="5">
        <f>B671-B670</f>
        <v/>
      </c>
      <c r="H671" s="2">
        <f>IF(AND(F671=1,G671=1),"OK","À JUSTIFIER")</f>
        <v/>
      </c>
    </row>
    <row r="672">
      <c r="A672" s="2" t="inlineStr">
        <is>
          <t>EJ020324.TXT</t>
        </is>
      </c>
      <c r="B672" s="3" t="inlineStr">
        <is>
          <t>005280</t>
        </is>
      </c>
      <c r="C672" s="3" t="inlineStr">
        <is>
          <t>004232</t>
        </is>
      </c>
      <c r="D672" s="4" t="n">
        <v>45352</v>
      </c>
      <c r="E672" s="2" t="inlineStr">
        <is>
          <t>15:59</t>
        </is>
      </c>
      <c r="F672" s="5">
        <f>C672-C671</f>
        <v/>
      </c>
      <c r="G672" s="5">
        <f>B672-B671</f>
        <v/>
      </c>
      <c r="H672" s="2">
        <f>IF(AND(F672=1,G672=1),"OK","À JUSTIFIER")</f>
        <v/>
      </c>
    </row>
    <row r="673">
      <c r="A673" s="2" t="inlineStr">
        <is>
          <t>EJ020324.TXT</t>
        </is>
      </c>
      <c r="B673" s="3" t="inlineStr">
        <is>
          <t>005281</t>
        </is>
      </c>
      <c r="C673" s="3" t="inlineStr">
        <is>
          <t>004233</t>
        </is>
      </c>
      <c r="D673" s="4" t="n">
        <v>45353</v>
      </c>
      <c r="E673" s="2" t="inlineStr">
        <is>
          <t>10:23</t>
        </is>
      </c>
      <c r="F673" s="5">
        <f>C673-C672</f>
        <v/>
      </c>
      <c r="G673" s="5">
        <f>B673-B672</f>
        <v/>
      </c>
      <c r="H673" s="2">
        <f>IF(AND(F673=1,G673=1),"OK","À JUSTIFIER")</f>
        <v/>
      </c>
    </row>
    <row r="674">
      <c r="A674" s="2" t="inlineStr">
        <is>
          <t>EJ020324.TXT</t>
        </is>
      </c>
      <c r="B674" s="3" t="inlineStr">
        <is>
          <t>005282</t>
        </is>
      </c>
      <c r="C674" s="3" t="inlineStr">
        <is>
          <t>004234</t>
        </is>
      </c>
      <c r="D674" s="4" t="n">
        <v>45353</v>
      </c>
      <c r="E674" s="2" t="inlineStr">
        <is>
          <t>14:36</t>
        </is>
      </c>
      <c r="F674" s="5">
        <f>C674-C673</f>
        <v/>
      </c>
      <c r="G674" s="5">
        <f>B674-B673</f>
        <v/>
      </c>
      <c r="H674" s="2">
        <f>IF(AND(F674=1,G674=1),"OK","À JUSTIFIER")</f>
        <v/>
      </c>
    </row>
    <row r="675">
      <c r="A675" s="2" t="inlineStr">
        <is>
          <t>EJ020424.TXT</t>
        </is>
      </c>
      <c r="B675" s="3" t="inlineStr">
        <is>
          <t>005289</t>
        </is>
      </c>
      <c r="C675" s="3" t="inlineStr">
        <is>
          <t>004235</t>
        </is>
      </c>
      <c r="D675" s="4" t="n">
        <v>45353</v>
      </c>
      <c r="E675" s="2" t="inlineStr">
        <is>
          <t>15:05</t>
        </is>
      </c>
      <c r="F675" s="5">
        <f>C675-C674</f>
        <v/>
      </c>
      <c r="G675" s="5">
        <f>B675-B674</f>
        <v/>
      </c>
      <c r="H675" s="2">
        <f>IF(AND(F675=1,G675=1),"OK","À JUSTIFIER")</f>
        <v/>
      </c>
    </row>
    <row r="676">
      <c r="A676" s="2" t="inlineStr">
        <is>
          <t>EJ020424.TXT</t>
        </is>
      </c>
      <c r="B676" s="3" t="inlineStr">
        <is>
          <t>005290</t>
        </is>
      </c>
      <c r="C676" s="3" t="inlineStr">
        <is>
          <t>004236</t>
        </is>
      </c>
      <c r="D676" s="4" t="n">
        <v>45355</v>
      </c>
      <c r="E676" s="2" t="inlineStr">
        <is>
          <t>11:13</t>
        </is>
      </c>
      <c r="F676" s="5">
        <f>C676-C675</f>
        <v/>
      </c>
      <c r="G676" s="5">
        <f>B676-B675</f>
        <v/>
      </c>
      <c r="H676" s="2">
        <f>IF(AND(F676=1,G676=1),"OK","À JUSTIFIER")</f>
        <v/>
      </c>
    </row>
    <row r="677">
      <c r="A677" s="2" t="inlineStr">
        <is>
          <t>EJ020424.TXT</t>
        </is>
      </c>
      <c r="B677" s="3" t="inlineStr">
        <is>
          <t>005291</t>
        </is>
      </c>
      <c r="C677" s="3" t="inlineStr">
        <is>
          <t>004237</t>
        </is>
      </c>
      <c r="D677" s="4" t="n">
        <v>45355</v>
      </c>
      <c r="E677" s="2" t="inlineStr">
        <is>
          <t>11:25</t>
        </is>
      </c>
      <c r="F677" s="5">
        <f>C677-C676</f>
        <v/>
      </c>
      <c r="G677" s="5">
        <f>B677-B676</f>
        <v/>
      </c>
      <c r="H677" s="2">
        <f>IF(AND(F677=1,G677=1),"OK","À JUSTIFIER")</f>
        <v/>
      </c>
    </row>
    <row r="678">
      <c r="A678" s="2" t="inlineStr">
        <is>
          <t>EJ020424.TXT</t>
        </is>
      </c>
      <c r="B678" s="3" t="inlineStr">
        <is>
          <t>005292</t>
        </is>
      </c>
      <c r="C678" s="3" t="inlineStr">
        <is>
          <t>004238</t>
        </is>
      </c>
      <c r="D678" s="4" t="n">
        <v>45355</v>
      </c>
      <c r="E678" s="2" t="inlineStr">
        <is>
          <t>11:40</t>
        </is>
      </c>
      <c r="F678" s="5">
        <f>C678-C677</f>
        <v/>
      </c>
      <c r="G678" s="5">
        <f>B678-B677</f>
        <v/>
      </c>
      <c r="H678" s="2">
        <f>IF(AND(F678=1,G678=1),"OK","À JUSTIFIER")</f>
        <v/>
      </c>
    </row>
    <row r="679">
      <c r="A679" s="2" t="inlineStr">
        <is>
          <t>EJ020424.TXT</t>
        </is>
      </c>
      <c r="B679" s="3" t="inlineStr">
        <is>
          <t>005293</t>
        </is>
      </c>
      <c r="C679" s="3" t="inlineStr">
        <is>
          <t>004239</t>
        </is>
      </c>
      <c r="D679" s="4" t="n">
        <v>45356</v>
      </c>
      <c r="E679" s="2" t="inlineStr">
        <is>
          <t>11:46</t>
        </is>
      </c>
      <c r="F679" s="5">
        <f>C679-C678</f>
        <v/>
      </c>
      <c r="G679" s="5">
        <f>B679-B678</f>
        <v/>
      </c>
      <c r="H679" s="2">
        <f>IF(AND(F679=1,G679=1),"OK","À JUSTIFIER")</f>
        <v/>
      </c>
    </row>
    <row r="680">
      <c r="A680" s="2" t="inlineStr">
        <is>
          <t>EJ020424.TXT</t>
        </is>
      </c>
      <c r="B680" s="3" t="inlineStr">
        <is>
          <t>005294</t>
        </is>
      </c>
      <c r="C680" s="3" t="inlineStr">
        <is>
          <t>004240</t>
        </is>
      </c>
      <c r="D680" s="4" t="n">
        <v>45356</v>
      </c>
      <c r="E680" s="2" t="inlineStr">
        <is>
          <t>14:51</t>
        </is>
      </c>
      <c r="F680" s="5">
        <f>C680-C679</f>
        <v/>
      </c>
      <c r="G680" s="5">
        <f>B680-B679</f>
        <v/>
      </c>
      <c r="H680" s="2">
        <f>IF(AND(F680=1,G680=1),"OK","À JUSTIFIER")</f>
        <v/>
      </c>
    </row>
    <row r="681">
      <c r="A681" s="2" t="inlineStr">
        <is>
          <t>EJ020424.TXT</t>
        </is>
      </c>
      <c r="B681" s="3" t="inlineStr">
        <is>
          <t>005295</t>
        </is>
      </c>
      <c r="C681" s="3" t="inlineStr">
        <is>
          <t>004241</t>
        </is>
      </c>
      <c r="D681" s="4" t="n">
        <v>45357</v>
      </c>
      <c r="E681" s="2" t="inlineStr">
        <is>
          <t>17:58</t>
        </is>
      </c>
      <c r="F681" s="5">
        <f>C681-C680</f>
        <v/>
      </c>
      <c r="G681" s="5">
        <f>B681-B680</f>
        <v/>
      </c>
      <c r="H681" s="2">
        <f>IF(AND(F681=1,G681=1),"OK","À JUSTIFIER")</f>
        <v/>
      </c>
    </row>
    <row r="682">
      <c r="A682" s="2" t="inlineStr">
        <is>
          <t>EJ020424.TXT</t>
        </is>
      </c>
      <c r="B682" s="3" t="inlineStr">
        <is>
          <t>005296</t>
        </is>
      </c>
      <c r="C682" s="3" t="inlineStr">
        <is>
          <t>004242</t>
        </is>
      </c>
      <c r="D682" s="4" t="n">
        <v>45359</v>
      </c>
      <c r="E682" s="2" t="inlineStr">
        <is>
          <t>17:27</t>
        </is>
      </c>
      <c r="F682" s="5">
        <f>C682-C681</f>
        <v/>
      </c>
      <c r="G682" s="5">
        <f>B682-B681</f>
        <v/>
      </c>
      <c r="H682" s="2">
        <f>IF(AND(F682=1,G682=1),"OK","À JUSTIFIER")</f>
        <v/>
      </c>
    </row>
    <row r="683">
      <c r="A683" s="2" t="inlineStr">
        <is>
          <t>EJ020424.TXT</t>
        </is>
      </c>
      <c r="B683" s="3" t="inlineStr">
        <is>
          <t>005297</t>
        </is>
      </c>
      <c r="C683" s="3" t="inlineStr">
        <is>
          <t>004243</t>
        </is>
      </c>
      <c r="D683" s="4" t="n">
        <v>45359</v>
      </c>
      <c r="E683" s="2" t="inlineStr">
        <is>
          <t>17:53</t>
        </is>
      </c>
      <c r="F683" s="5">
        <f>C683-C682</f>
        <v/>
      </c>
      <c r="G683" s="5">
        <f>B683-B682</f>
        <v/>
      </c>
      <c r="H683" s="2">
        <f>IF(AND(F683=1,G683=1),"OK","À JUSTIFIER")</f>
        <v/>
      </c>
    </row>
    <row r="684">
      <c r="A684" s="2" t="inlineStr">
        <is>
          <t>EJ020424.TXT</t>
        </is>
      </c>
      <c r="B684" s="3" t="inlineStr">
        <is>
          <t>005298</t>
        </is>
      </c>
      <c r="C684" s="3" t="inlineStr">
        <is>
          <t>004244</t>
        </is>
      </c>
      <c r="D684" s="4" t="n">
        <v>45360</v>
      </c>
      <c r="E684" s="2" t="inlineStr">
        <is>
          <t>18:26</t>
        </is>
      </c>
      <c r="F684" s="5">
        <f>C684-C683</f>
        <v/>
      </c>
      <c r="G684" s="5">
        <f>B684-B683</f>
        <v/>
      </c>
      <c r="H684" s="2">
        <f>IF(AND(F684=1,G684=1),"OK","À JUSTIFIER")</f>
        <v/>
      </c>
    </row>
    <row r="685">
      <c r="A685" s="2" t="inlineStr">
        <is>
          <t>EJ020424.TXT</t>
        </is>
      </c>
      <c r="B685" s="3" t="inlineStr">
        <is>
          <t>005299</t>
        </is>
      </c>
      <c r="C685" s="3" t="inlineStr">
        <is>
          <t>004245</t>
        </is>
      </c>
      <c r="D685" s="4" t="n">
        <v>45360</v>
      </c>
      <c r="E685" s="2" t="inlineStr">
        <is>
          <t>18:29</t>
        </is>
      </c>
      <c r="F685" s="5">
        <f>C685-C684</f>
        <v/>
      </c>
      <c r="G685" s="5">
        <f>B685-B684</f>
        <v/>
      </c>
      <c r="H685" s="2">
        <f>IF(AND(F685=1,G685=1),"OK","À JUSTIFIER")</f>
        <v/>
      </c>
    </row>
    <row r="686">
      <c r="A686" s="2" t="inlineStr">
        <is>
          <t>EJ020424.TXT</t>
        </is>
      </c>
      <c r="B686" s="3" t="inlineStr">
        <is>
          <t>005300</t>
        </is>
      </c>
      <c r="C686" s="3" t="inlineStr">
        <is>
          <t>004246</t>
        </is>
      </c>
      <c r="D686" s="4" t="n">
        <v>45366</v>
      </c>
      <c r="E686" s="2" t="inlineStr">
        <is>
          <t>11:54</t>
        </is>
      </c>
      <c r="F686" s="5">
        <f>C686-C685</f>
        <v/>
      </c>
      <c r="G686" s="5">
        <f>B686-B685</f>
        <v/>
      </c>
      <c r="H686" s="2">
        <f>IF(AND(F686=1,G686=1),"OK","À JUSTIFIER")</f>
        <v/>
      </c>
    </row>
    <row r="687">
      <c r="A687" s="2" t="inlineStr">
        <is>
          <t>EJ020424.TXT</t>
        </is>
      </c>
      <c r="B687" s="3" t="inlineStr">
        <is>
          <t>005301</t>
        </is>
      </c>
      <c r="C687" s="3" t="inlineStr">
        <is>
          <t>004247</t>
        </is>
      </c>
      <c r="D687" s="4" t="n">
        <v>45366</v>
      </c>
      <c r="E687" s="2" t="inlineStr">
        <is>
          <t>17:21</t>
        </is>
      </c>
      <c r="F687" s="5">
        <f>C687-C686</f>
        <v/>
      </c>
      <c r="G687" s="5">
        <f>B687-B686</f>
        <v/>
      </c>
      <c r="H687" s="2">
        <f>IF(AND(F687=1,G687=1),"OK","À JUSTIFIER")</f>
        <v/>
      </c>
    </row>
    <row r="688">
      <c r="A688" s="2" t="inlineStr">
        <is>
          <t>EJ020424.TXT</t>
        </is>
      </c>
      <c r="B688" s="3" t="inlineStr">
        <is>
          <t>005302</t>
        </is>
      </c>
      <c r="C688" s="3" t="inlineStr">
        <is>
          <t>004248</t>
        </is>
      </c>
      <c r="D688" s="4" t="n">
        <v>45369</v>
      </c>
      <c r="E688" s="2" t="inlineStr">
        <is>
          <t>11:00</t>
        </is>
      </c>
      <c r="F688" s="5">
        <f>C688-C687</f>
        <v/>
      </c>
      <c r="G688" s="5">
        <f>B688-B687</f>
        <v/>
      </c>
      <c r="H688" s="2">
        <f>IF(AND(F688=1,G688=1),"OK","À JUSTIFIER")</f>
        <v/>
      </c>
    </row>
    <row r="689">
      <c r="A689" s="2" t="inlineStr">
        <is>
          <t>EJ020424.TXT</t>
        </is>
      </c>
      <c r="B689" s="3" t="inlineStr">
        <is>
          <t>005303</t>
        </is>
      </c>
      <c r="C689" s="3" t="inlineStr">
        <is>
          <t>004249</t>
        </is>
      </c>
      <c r="D689" s="4" t="n">
        <v>45369</v>
      </c>
      <c r="E689" s="2" t="inlineStr">
        <is>
          <t>16:36</t>
        </is>
      </c>
      <c r="F689" s="5">
        <f>C689-C688</f>
        <v/>
      </c>
      <c r="G689" s="5">
        <f>B689-B688</f>
        <v/>
      </c>
      <c r="H689" s="2">
        <f>IF(AND(F689=1,G689=1),"OK","À JUSTIFIER")</f>
        <v/>
      </c>
    </row>
    <row r="690">
      <c r="A690" s="2" t="inlineStr">
        <is>
          <t>EJ020424.TXT</t>
        </is>
      </c>
      <c r="B690" s="3" t="inlineStr">
        <is>
          <t>005304</t>
        </is>
      </c>
      <c r="C690" s="3" t="inlineStr">
        <is>
          <t>004250</t>
        </is>
      </c>
      <c r="D690" s="4" t="n">
        <v>45370</v>
      </c>
      <c r="E690" s="2" t="inlineStr">
        <is>
          <t>17:05</t>
        </is>
      </c>
      <c r="F690" s="5">
        <f>C690-C689</f>
        <v/>
      </c>
      <c r="G690" s="5">
        <f>B690-B689</f>
        <v/>
      </c>
      <c r="H690" s="2">
        <f>IF(AND(F690=1,G690=1),"OK","À JUSTIFIER")</f>
        <v/>
      </c>
    </row>
    <row r="691">
      <c r="A691" s="2" t="inlineStr">
        <is>
          <t>EJ020424.TXT</t>
        </is>
      </c>
      <c r="B691" s="3" t="inlineStr">
        <is>
          <t>005305</t>
        </is>
      </c>
      <c r="C691" s="3" t="inlineStr">
        <is>
          <t>004251</t>
        </is>
      </c>
      <c r="D691" s="4" t="n">
        <v>45372</v>
      </c>
      <c r="E691" s="2" t="inlineStr">
        <is>
          <t>10:23</t>
        </is>
      </c>
      <c r="F691" s="5">
        <f>C691-C690</f>
        <v/>
      </c>
      <c r="G691" s="5">
        <f>B691-B690</f>
        <v/>
      </c>
      <c r="H691" s="2">
        <f>IF(AND(F691=1,G691=1),"OK","À JUSTIFIER")</f>
        <v/>
      </c>
    </row>
    <row r="692">
      <c r="A692" s="2" t="inlineStr">
        <is>
          <t>EJ020424.TXT</t>
        </is>
      </c>
      <c r="B692" s="3" t="inlineStr">
        <is>
          <t>005306</t>
        </is>
      </c>
      <c r="C692" s="3" t="inlineStr">
        <is>
          <t>004252</t>
        </is>
      </c>
      <c r="D692" s="4" t="n">
        <v>45372</v>
      </c>
      <c r="E692" s="2" t="inlineStr">
        <is>
          <t>11:16</t>
        </is>
      </c>
      <c r="F692" s="5">
        <f>C692-C691</f>
        <v/>
      </c>
      <c r="G692" s="5">
        <f>B692-B691</f>
        <v/>
      </c>
      <c r="H692" s="2">
        <f>IF(AND(F692=1,G692=1),"OK","À JUSTIFIER")</f>
        <v/>
      </c>
    </row>
    <row r="693">
      <c r="A693" s="2" t="inlineStr">
        <is>
          <t>EJ020424.TXT</t>
        </is>
      </c>
      <c r="B693" s="3" t="inlineStr">
        <is>
          <t>005307</t>
        </is>
      </c>
      <c r="C693" s="3" t="inlineStr">
        <is>
          <t>004253</t>
        </is>
      </c>
      <c r="D693" s="4" t="n">
        <v>45373</v>
      </c>
      <c r="E693" s="2" t="inlineStr">
        <is>
          <t>16:12</t>
        </is>
      </c>
      <c r="F693" s="5">
        <f>C693-C692</f>
        <v/>
      </c>
      <c r="G693" s="5">
        <f>B693-B692</f>
        <v/>
      </c>
      <c r="H693" s="2">
        <f>IF(AND(F693=1,G693=1),"OK","À JUSTIFIER")</f>
        <v/>
      </c>
    </row>
    <row r="694">
      <c r="A694" s="2" t="inlineStr">
        <is>
          <t>EJ020424.TXT</t>
        </is>
      </c>
      <c r="B694" s="3" t="inlineStr">
        <is>
          <t>005308</t>
        </is>
      </c>
      <c r="C694" s="3" t="inlineStr">
        <is>
          <t>004254</t>
        </is>
      </c>
      <c r="D694" s="4" t="n">
        <v>45373</v>
      </c>
      <c r="E694" s="2" t="inlineStr">
        <is>
          <t>16:18</t>
        </is>
      </c>
      <c r="F694" s="5">
        <f>C694-C693</f>
        <v/>
      </c>
      <c r="G694" s="5">
        <f>B694-B693</f>
        <v/>
      </c>
      <c r="H694" s="2">
        <f>IF(AND(F694=1,G694=1),"OK","À JUSTIFIER")</f>
        <v/>
      </c>
    </row>
    <row r="695">
      <c r="A695" s="2" t="inlineStr">
        <is>
          <t>EJ020424.TXT</t>
        </is>
      </c>
      <c r="B695" s="3" t="inlineStr">
        <is>
          <t>005309</t>
        </is>
      </c>
      <c r="C695" s="3" t="inlineStr">
        <is>
          <t>004255</t>
        </is>
      </c>
      <c r="D695" s="4" t="n">
        <v>45374</v>
      </c>
      <c r="E695" s="2" t="inlineStr">
        <is>
          <t>16:12</t>
        </is>
      </c>
      <c r="F695" s="5">
        <f>C695-C694</f>
        <v/>
      </c>
      <c r="G695" s="5">
        <f>B695-B694</f>
        <v/>
      </c>
      <c r="H695" s="2">
        <f>IF(AND(F695=1,G695=1),"OK","À JUSTIFIER")</f>
        <v/>
      </c>
    </row>
    <row r="696">
      <c r="A696" s="2" t="inlineStr">
        <is>
          <t>EJ020424.TXT</t>
        </is>
      </c>
      <c r="B696" s="3" t="inlineStr">
        <is>
          <t>005310</t>
        </is>
      </c>
      <c r="C696" s="3" t="inlineStr">
        <is>
          <t>004256</t>
        </is>
      </c>
      <c r="D696" s="4" t="n">
        <v>45374</v>
      </c>
      <c r="E696" s="2" t="inlineStr">
        <is>
          <t>17:11</t>
        </is>
      </c>
      <c r="F696" s="5">
        <f>C696-C695</f>
        <v/>
      </c>
      <c r="G696" s="5">
        <f>B696-B695</f>
        <v/>
      </c>
      <c r="H696" s="2">
        <f>IF(AND(F696=1,G696=1),"OK","À JUSTIFIER")</f>
        <v/>
      </c>
    </row>
    <row r="697">
      <c r="A697" s="2" t="inlineStr">
        <is>
          <t>EJ020424.TXT</t>
        </is>
      </c>
      <c r="B697" s="3" t="inlineStr">
        <is>
          <t>005311</t>
        </is>
      </c>
      <c r="C697" s="3" t="inlineStr">
        <is>
          <t>004257</t>
        </is>
      </c>
      <c r="D697" s="4" t="n">
        <v>45379</v>
      </c>
      <c r="E697" s="2" t="inlineStr">
        <is>
          <t>11:26</t>
        </is>
      </c>
      <c r="F697" s="5">
        <f>C697-C696</f>
        <v/>
      </c>
      <c r="G697" s="5">
        <f>B697-B696</f>
        <v/>
      </c>
      <c r="H697" s="2">
        <f>IF(AND(F697=1,G697=1),"OK","À JUSTIFIER")</f>
        <v/>
      </c>
    </row>
    <row r="698">
      <c r="A698" s="2" t="inlineStr">
        <is>
          <t>EJ020424.TXT</t>
        </is>
      </c>
      <c r="B698" s="3" t="inlineStr">
        <is>
          <t>005312</t>
        </is>
      </c>
      <c r="C698" s="3" t="inlineStr">
        <is>
          <t>004258</t>
        </is>
      </c>
      <c r="D698" s="4" t="n">
        <v>45379</v>
      </c>
      <c r="E698" s="2" t="inlineStr">
        <is>
          <t>15:36</t>
        </is>
      </c>
      <c r="F698" s="5">
        <f>C698-C697</f>
        <v/>
      </c>
      <c r="G698" s="5">
        <f>B698-B697</f>
        <v/>
      </c>
      <c r="H698" s="2">
        <f>IF(AND(F698=1,G698=1),"OK","À JUSTIFIER")</f>
        <v/>
      </c>
    </row>
    <row r="699">
      <c r="A699" s="2" t="inlineStr">
        <is>
          <t>EJ020424.TXT</t>
        </is>
      </c>
      <c r="B699" s="3" t="inlineStr">
        <is>
          <t>005313</t>
        </is>
      </c>
      <c r="C699" s="3" t="inlineStr">
        <is>
          <t>004259</t>
        </is>
      </c>
      <c r="D699" s="4" t="n">
        <v>45380</v>
      </c>
      <c r="E699" s="2" t="inlineStr">
        <is>
          <t>11:53</t>
        </is>
      </c>
      <c r="F699" s="5">
        <f>C699-C698</f>
        <v/>
      </c>
      <c r="G699" s="5">
        <f>B699-B698</f>
        <v/>
      </c>
      <c r="H699" s="2">
        <f>IF(AND(F699=1,G699=1),"OK","À JUSTIFIER")</f>
        <v/>
      </c>
    </row>
    <row r="700">
      <c r="A700" s="2" t="inlineStr">
        <is>
          <t>EJ020424.TXT</t>
        </is>
      </c>
      <c r="B700" s="3" t="inlineStr">
        <is>
          <t>005314</t>
        </is>
      </c>
      <c r="C700" s="3" t="inlineStr">
        <is>
          <t>004260</t>
        </is>
      </c>
      <c r="D700" s="4" t="n">
        <v>45380</v>
      </c>
      <c r="E700" s="2" t="inlineStr">
        <is>
          <t>17:02</t>
        </is>
      </c>
      <c r="F700" s="5">
        <f>C700-C699</f>
        <v/>
      </c>
      <c r="G700" s="5">
        <f>B700-B699</f>
        <v/>
      </c>
      <c r="H700" s="2">
        <f>IF(AND(F700=1,G700=1),"OK","À JUSTIFIER")</f>
        <v/>
      </c>
    </row>
    <row r="701">
      <c r="A701" s="2" t="inlineStr">
        <is>
          <t>EJ020424.TXT</t>
        </is>
      </c>
      <c r="B701" s="3" t="inlineStr">
        <is>
          <t>005315</t>
        </is>
      </c>
      <c r="C701" s="3" t="inlineStr">
        <is>
          <t>004261</t>
        </is>
      </c>
      <c r="D701" s="4" t="n">
        <v>45381</v>
      </c>
      <c r="E701" s="2" t="inlineStr">
        <is>
          <t>15:02</t>
        </is>
      </c>
      <c r="F701" s="5">
        <f>C701-C700</f>
        <v/>
      </c>
      <c r="G701" s="5">
        <f>B701-B700</f>
        <v/>
      </c>
      <c r="H701" s="2">
        <f>IF(AND(F701=1,G701=1),"OK","À JUSTIFIER")</f>
        <v/>
      </c>
    </row>
    <row r="702">
      <c r="A702" s="2" t="inlineStr">
        <is>
          <t>EJ020424.TXT</t>
        </is>
      </c>
      <c r="B702" s="3" t="inlineStr">
        <is>
          <t>005316</t>
        </is>
      </c>
      <c r="C702" s="3" t="inlineStr">
        <is>
          <t>004262</t>
        </is>
      </c>
      <c r="D702" s="4" t="n">
        <v>45381</v>
      </c>
      <c r="E702" s="2" t="inlineStr">
        <is>
          <t>15:03</t>
        </is>
      </c>
      <c r="F702" s="5">
        <f>C702-C701</f>
        <v/>
      </c>
      <c r="G702" s="5">
        <f>B702-B701</f>
        <v/>
      </c>
      <c r="H702" s="2">
        <f>IF(AND(F702=1,G702=1),"OK","À JUSTIFIER")</f>
        <v/>
      </c>
    </row>
    <row r="703">
      <c r="A703" s="2" t="inlineStr">
        <is>
          <t>EJ020424.TXT</t>
        </is>
      </c>
      <c r="B703" s="3" t="inlineStr">
        <is>
          <t>005317</t>
        </is>
      </c>
      <c r="C703" s="3" t="inlineStr">
        <is>
          <t>004263</t>
        </is>
      </c>
      <c r="D703" s="4" t="n">
        <v>45381</v>
      </c>
      <c r="E703" s="2" t="inlineStr">
        <is>
          <t>15:03</t>
        </is>
      </c>
      <c r="F703" s="5">
        <f>C703-C702</f>
        <v/>
      </c>
      <c r="G703" s="5">
        <f>B703-B702</f>
        <v/>
      </c>
      <c r="H703" s="2">
        <f>IF(AND(F703=1,G703=1),"OK","À JUSTIFIER")</f>
        <v/>
      </c>
    </row>
    <row r="704">
      <c r="A704" s="2" t="inlineStr">
        <is>
          <t>EJ020424.TXT</t>
        </is>
      </c>
      <c r="B704" s="3" t="inlineStr">
        <is>
          <t>005318</t>
        </is>
      </c>
      <c r="C704" s="3" t="inlineStr">
        <is>
          <t>004264</t>
        </is>
      </c>
      <c r="D704" s="4" t="n">
        <v>45381</v>
      </c>
      <c r="E704" s="2" t="inlineStr">
        <is>
          <t>15:03</t>
        </is>
      </c>
      <c r="F704" s="5">
        <f>C704-C703</f>
        <v/>
      </c>
      <c r="G704" s="5">
        <f>B704-B703</f>
        <v/>
      </c>
      <c r="H704" s="2">
        <f>IF(AND(F704=1,G704=1),"OK","À JUSTIFIER")</f>
        <v/>
      </c>
    </row>
    <row r="705">
      <c r="A705" s="2" t="inlineStr">
        <is>
          <t>EJ020424.TXT</t>
        </is>
      </c>
      <c r="B705" s="3" t="inlineStr">
        <is>
          <t>005319</t>
        </is>
      </c>
      <c r="C705" s="3" t="inlineStr">
        <is>
          <t>004265</t>
        </is>
      </c>
      <c r="D705" s="4" t="n">
        <v>45381</v>
      </c>
      <c r="E705" s="2" t="inlineStr">
        <is>
          <t>15:04</t>
        </is>
      </c>
      <c r="F705" s="5">
        <f>C705-C704</f>
        <v/>
      </c>
      <c r="G705" s="5">
        <f>B705-B704</f>
        <v/>
      </c>
      <c r="H705" s="2">
        <f>IF(AND(F705=1,G705=1),"OK","À JUSTIFIER")</f>
        <v/>
      </c>
    </row>
    <row r="706">
      <c r="A706" s="2" t="inlineStr">
        <is>
          <t>EJ020424.TXT</t>
        </is>
      </c>
      <c r="B706" s="3" t="inlineStr">
        <is>
          <t>005320</t>
        </is>
      </c>
      <c r="C706" s="3" t="inlineStr">
        <is>
          <t>004266</t>
        </is>
      </c>
      <c r="D706" s="4" t="n">
        <v>45381</v>
      </c>
      <c r="E706" s="2" t="inlineStr">
        <is>
          <t>15:04</t>
        </is>
      </c>
      <c r="F706" s="5">
        <f>C706-C705</f>
        <v/>
      </c>
      <c r="G706" s="5">
        <f>B706-B705</f>
        <v/>
      </c>
      <c r="H706" s="2">
        <f>IF(AND(F706=1,G706=1),"OK","À JUSTIFIER")</f>
        <v/>
      </c>
    </row>
    <row r="707">
      <c r="A707" s="2" t="inlineStr">
        <is>
          <t>EJ020424.TXT</t>
        </is>
      </c>
      <c r="B707" s="3" t="inlineStr">
        <is>
          <t>005321</t>
        </is>
      </c>
      <c r="C707" s="3" t="inlineStr">
        <is>
          <t>004267</t>
        </is>
      </c>
      <c r="D707" s="4" t="n">
        <v>45381</v>
      </c>
      <c r="E707" s="2" t="inlineStr">
        <is>
          <t>15:04</t>
        </is>
      </c>
      <c r="F707" s="5">
        <f>C707-C706</f>
        <v/>
      </c>
      <c r="G707" s="5">
        <f>B707-B706</f>
        <v/>
      </c>
      <c r="H707" s="2">
        <f>IF(AND(F707=1,G707=1),"OK","À JUSTIFIER")</f>
        <v/>
      </c>
    </row>
    <row r="708">
      <c r="A708" s="2" t="inlineStr">
        <is>
          <t>EJ020424.TXT</t>
        </is>
      </c>
      <c r="B708" s="3" t="inlineStr">
        <is>
          <t>005322</t>
        </is>
      </c>
      <c r="C708" s="3" t="inlineStr">
        <is>
          <t>004268</t>
        </is>
      </c>
      <c r="D708" s="4" t="n">
        <v>45381</v>
      </c>
      <c r="E708" s="2" t="inlineStr">
        <is>
          <t>15:05</t>
        </is>
      </c>
      <c r="F708" s="5">
        <f>C708-C707</f>
        <v/>
      </c>
      <c r="G708" s="5">
        <f>B708-B707</f>
        <v/>
      </c>
      <c r="H708" s="2">
        <f>IF(AND(F708=1,G708=1),"OK","À JUSTIFIER")</f>
        <v/>
      </c>
    </row>
    <row r="709">
      <c r="A709" s="2" t="inlineStr">
        <is>
          <t>EJ020424.TXT</t>
        </is>
      </c>
      <c r="B709" s="3" t="inlineStr">
        <is>
          <t>005323</t>
        </is>
      </c>
      <c r="C709" s="3" t="inlineStr">
        <is>
          <t>004269</t>
        </is>
      </c>
      <c r="D709" s="4" t="n">
        <v>45381</v>
      </c>
      <c r="E709" s="2" t="inlineStr">
        <is>
          <t>15:05</t>
        </is>
      </c>
      <c r="F709" s="5">
        <f>C709-C708</f>
        <v/>
      </c>
      <c r="G709" s="5">
        <f>B709-B708</f>
        <v/>
      </c>
      <c r="H709" s="2">
        <f>IF(AND(F709=1,G709=1),"OK","À JUSTIFIER")</f>
        <v/>
      </c>
    </row>
    <row r="710">
      <c r="A710" s="2" t="inlineStr">
        <is>
          <t>EJ020424.TXT</t>
        </is>
      </c>
      <c r="B710" s="3" t="inlineStr">
        <is>
          <t>005324</t>
        </is>
      </c>
      <c r="C710" s="3" t="inlineStr">
        <is>
          <t>004270</t>
        </is>
      </c>
      <c r="D710" s="4" t="n">
        <v>45381</v>
      </c>
      <c r="E710" s="2" t="inlineStr">
        <is>
          <t>17:42</t>
        </is>
      </c>
      <c r="F710" s="5">
        <f>C710-C709</f>
        <v/>
      </c>
      <c r="G710" s="5">
        <f>B710-B709</f>
        <v/>
      </c>
      <c r="H710" s="2">
        <f>IF(AND(F710=1,G710=1),"OK","À JUSTIFIER")</f>
        <v/>
      </c>
    </row>
    <row r="711">
      <c r="A711" s="2" t="inlineStr">
        <is>
          <t>EJ020424.TXT</t>
        </is>
      </c>
      <c r="B711" s="3" t="inlineStr">
        <is>
          <t>005325</t>
        </is>
      </c>
      <c r="C711" s="3" t="inlineStr">
        <is>
          <t>004271</t>
        </is>
      </c>
      <c r="D711" s="4" t="n">
        <v>45381</v>
      </c>
      <c r="E711" s="2" t="inlineStr">
        <is>
          <t>17:47</t>
        </is>
      </c>
      <c r="F711" s="5">
        <f>C711-C710</f>
        <v/>
      </c>
      <c r="G711" s="5">
        <f>B711-B710</f>
        <v/>
      </c>
      <c r="H711" s="2">
        <f>IF(AND(F711=1,G711=1),"OK","À JUSTIFIER")</f>
        <v/>
      </c>
    </row>
    <row r="712">
      <c r="A712" s="2" t="inlineStr">
        <is>
          <t>EJ300424.TXT</t>
        </is>
      </c>
      <c r="B712" s="3" t="inlineStr">
        <is>
          <t>005333</t>
        </is>
      </c>
      <c r="C712" s="3" t="inlineStr">
        <is>
          <t>004272</t>
        </is>
      </c>
      <c r="D712" s="4" t="n">
        <v>45385</v>
      </c>
      <c r="E712" s="2" t="inlineStr">
        <is>
          <t>09:59</t>
        </is>
      </c>
      <c r="F712" s="5">
        <f>C712-C711</f>
        <v/>
      </c>
      <c r="G712" s="5">
        <f>B712-B711</f>
        <v/>
      </c>
      <c r="H712" s="2">
        <f>IF(AND(F712=1,G712=1),"OK","À JUSTIFIER")</f>
        <v/>
      </c>
    </row>
    <row r="713">
      <c r="A713" s="2" t="inlineStr">
        <is>
          <t>EJ300424.TXT</t>
        </is>
      </c>
      <c r="B713" s="3" t="inlineStr">
        <is>
          <t>005334</t>
        </is>
      </c>
      <c r="C713" s="3" t="inlineStr">
        <is>
          <t>004273</t>
        </is>
      </c>
      <c r="D713" s="4" t="n">
        <v>45385</v>
      </c>
      <c r="E713" s="2" t="inlineStr">
        <is>
          <t>14:26</t>
        </is>
      </c>
      <c r="F713" s="5">
        <f>C713-C712</f>
        <v/>
      </c>
      <c r="G713" s="5">
        <f>B713-B712</f>
        <v/>
      </c>
      <c r="H713" s="2">
        <f>IF(AND(F713=1,G713=1),"OK","À JUSTIFIER")</f>
        <v/>
      </c>
    </row>
    <row r="714">
      <c r="A714" s="2" t="inlineStr">
        <is>
          <t>EJ300424.TXT</t>
        </is>
      </c>
      <c r="B714" s="3" t="inlineStr">
        <is>
          <t>005335</t>
        </is>
      </c>
      <c r="C714" s="3" t="inlineStr">
        <is>
          <t>004274</t>
        </is>
      </c>
      <c r="D714" s="4" t="n">
        <v>45386</v>
      </c>
      <c r="E714" s="2" t="inlineStr">
        <is>
          <t>15:16</t>
        </is>
      </c>
      <c r="F714" s="5">
        <f>C714-C713</f>
        <v/>
      </c>
      <c r="G714" s="5">
        <f>B714-B713</f>
        <v/>
      </c>
      <c r="H714" s="2">
        <f>IF(AND(F714=1,G714=1),"OK","À JUSTIFIER")</f>
        <v/>
      </c>
    </row>
    <row r="715">
      <c r="A715" s="2" t="inlineStr">
        <is>
          <t>EJ300424.TXT</t>
        </is>
      </c>
      <c r="B715" s="3" t="inlineStr">
        <is>
          <t>005336</t>
        </is>
      </c>
      <c r="C715" s="3" t="inlineStr">
        <is>
          <t>004275</t>
        </is>
      </c>
      <c r="D715" s="4" t="n">
        <v>45387</v>
      </c>
      <c r="E715" s="2" t="inlineStr">
        <is>
          <t>15:45</t>
        </is>
      </c>
      <c r="F715" s="5">
        <f>C715-C714</f>
        <v/>
      </c>
      <c r="G715" s="5">
        <f>B715-B714</f>
        <v/>
      </c>
      <c r="H715" s="2">
        <f>IF(AND(F715=1,G715=1),"OK","À JUSTIFIER")</f>
        <v/>
      </c>
    </row>
    <row r="716">
      <c r="A716" s="2" t="inlineStr">
        <is>
          <t>EJ300424.TXT</t>
        </is>
      </c>
      <c r="B716" s="3" t="inlineStr">
        <is>
          <t>005337</t>
        </is>
      </c>
      <c r="C716" s="3" t="inlineStr">
        <is>
          <t>004276</t>
        </is>
      </c>
      <c r="D716" s="4" t="n">
        <v>45388</v>
      </c>
      <c r="E716" s="2" t="inlineStr">
        <is>
          <t>15:32</t>
        </is>
      </c>
      <c r="F716" s="5">
        <f>C716-C715</f>
        <v/>
      </c>
      <c r="G716" s="5">
        <f>B716-B715</f>
        <v/>
      </c>
      <c r="H716" s="2">
        <f>IF(AND(F716=1,G716=1),"OK","À JUSTIFIER")</f>
        <v/>
      </c>
    </row>
    <row r="717">
      <c r="A717" s="2" t="inlineStr">
        <is>
          <t>EJ300424.TXT</t>
        </is>
      </c>
      <c r="B717" s="3" t="inlineStr">
        <is>
          <t>005338</t>
        </is>
      </c>
      <c r="C717" s="3" t="inlineStr">
        <is>
          <t>004277</t>
        </is>
      </c>
      <c r="D717" s="4" t="n">
        <v>45390</v>
      </c>
      <c r="E717" s="2" t="inlineStr">
        <is>
          <t>11:59</t>
        </is>
      </c>
      <c r="F717" s="5">
        <f>C717-C716</f>
        <v/>
      </c>
      <c r="G717" s="5">
        <f>B717-B716</f>
        <v/>
      </c>
      <c r="H717" s="2">
        <f>IF(AND(F717=1,G717=1),"OK","À JUSTIFIER")</f>
        <v/>
      </c>
    </row>
    <row r="718">
      <c r="A718" s="2" t="inlineStr">
        <is>
          <t>EJ300424.TXT</t>
        </is>
      </c>
      <c r="B718" s="3" t="inlineStr">
        <is>
          <t>005339</t>
        </is>
      </c>
      <c r="C718" s="3" t="inlineStr">
        <is>
          <t>004278</t>
        </is>
      </c>
      <c r="D718" s="4" t="n">
        <v>45392</v>
      </c>
      <c r="E718" s="2" t="inlineStr">
        <is>
          <t>09:38</t>
        </is>
      </c>
      <c r="F718" s="5">
        <f>C718-C717</f>
        <v/>
      </c>
      <c r="G718" s="5">
        <f>B718-B717</f>
        <v/>
      </c>
      <c r="H718" s="2">
        <f>IF(AND(F718=1,G718=1),"OK","À JUSTIFIER")</f>
        <v/>
      </c>
    </row>
    <row r="719">
      <c r="A719" s="2" t="inlineStr">
        <is>
          <t>EJ300424.TXT</t>
        </is>
      </c>
      <c r="B719" s="3" t="inlineStr">
        <is>
          <t>005340</t>
        </is>
      </c>
      <c r="C719" s="3" t="inlineStr">
        <is>
          <t>004279</t>
        </is>
      </c>
      <c r="D719" s="4" t="n">
        <v>45394</v>
      </c>
      <c r="E719" s="2" t="inlineStr">
        <is>
          <t>16:47</t>
        </is>
      </c>
      <c r="F719" s="5">
        <f>C719-C718</f>
        <v/>
      </c>
      <c r="G719" s="5">
        <f>B719-B718</f>
        <v/>
      </c>
      <c r="H719" s="2">
        <f>IF(AND(F719=1,G719=1),"OK","À JUSTIFIER")</f>
        <v/>
      </c>
    </row>
    <row r="720">
      <c r="A720" s="2" t="inlineStr">
        <is>
          <t>EJ300424.TXT</t>
        </is>
      </c>
      <c r="B720" s="3" t="inlineStr">
        <is>
          <t>005341</t>
        </is>
      </c>
      <c r="C720" s="3" t="inlineStr">
        <is>
          <t>004280</t>
        </is>
      </c>
      <c r="D720" s="4" t="n">
        <v>45395</v>
      </c>
      <c r="E720" s="2" t="inlineStr">
        <is>
          <t>13:46</t>
        </is>
      </c>
      <c r="F720" s="5">
        <f>C720-C719</f>
        <v/>
      </c>
      <c r="G720" s="5">
        <f>B720-B719</f>
        <v/>
      </c>
      <c r="H720" s="2">
        <f>IF(AND(F720=1,G720=1),"OK","À JUSTIFIER")</f>
        <v/>
      </c>
    </row>
    <row r="721">
      <c r="A721" s="2" t="inlineStr">
        <is>
          <t>EJ300424.TXT</t>
        </is>
      </c>
      <c r="B721" s="3" t="inlineStr">
        <is>
          <t>005342</t>
        </is>
      </c>
      <c r="C721" s="3" t="inlineStr">
        <is>
          <t>004281</t>
        </is>
      </c>
      <c r="D721" s="4" t="n">
        <v>45395</v>
      </c>
      <c r="E721" s="2" t="inlineStr">
        <is>
          <t>13:47</t>
        </is>
      </c>
      <c r="F721" s="5">
        <f>C721-C720</f>
        <v/>
      </c>
      <c r="G721" s="5">
        <f>B721-B720</f>
        <v/>
      </c>
      <c r="H721" s="2">
        <f>IF(AND(F721=1,G721=1),"OK","À JUSTIFIER")</f>
        <v/>
      </c>
    </row>
    <row r="722">
      <c r="A722" s="2" t="inlineStr">
        <is>
          <t>EJ300424.TXT</t>
        </is>
      </c>
      <c r="B722" s="3" t="inlineStr">
        <is>
          <t>005343</t>
        </is>
      </c>
      <c r="C722" s="3" t="inlineStr">
        <is>
          <t>004282</t>
        </is>
      </c>
      <c r="D722" s="4" t="n">
        <v>45395</v>
      </c>
      <c r="E722" s="2" t="inlineStr">
        <is>
          <t>16:11</t>
        </is>
      </c>
      <c r="F722" s="5">
        <f>C722-C721</f>
        <v/>
      </c>
      <c r="G722" s="5">
        <f>B722-B721</f>
        <v/>
      </c>
      <c r="H722" s="2">
        <f>IF(AND(F722=1,G722=1),"OK","À JUSTIFIER")</f>
        <v/>
      </c>
    </row>
    <row r="723">
      <c r="A723" s="2" t="inlineStr">
        <is>
          <t>EJ300424.TXT</t>
        </is>
      </c>
      <c r="B723" s="3" t="inlineStr">
        <is>
          <t>005344</t>
        </is>
      </c>
      <c r="C723" s="3" t="inlineStr">
        <is>
          <t>004283</t>
        </is>
      </c>
      <c r="D723" s="4" t="n">
        <v>45398</v>
      </c>
      <c r="E723" s="2" t="inlineStr">
        <is>
          <t>17:19</t>
        </is>
      </c>
      <c r="F723" s="5">
        <f>C723-C722</f>
        <v/>
      </c>
      <c r="G723" s="5">
        <f>B723-B722</f>
        <v/>
      </c>
      <c r="H723" s="2">
        <f>IF(AND(F723=1,G723=1),"OK","À JUSTIFIER")</f>
        <v/>
      </c>
    </row>
    <row r="724">
      <c r="A724" s="2" t="inlineStr">
        <is>
          <t>EJ300424.TXT</t>
        </is>
      </c>
      <c r="B724" s="3" t="inlineStr">
        <is>
          <t>005345</t>
        </is>
      </c>
      <c r="C724" s="3" t="inlineStr">
        <is>
          <t>004284</t>
        </is>
      </c>
      <c r="D724" s="4" t="n">
        <v>45399</v>
      </c>
      <c r="E724" s="2" t="inlineStr">
        <is>
          <t>16:19</t>
        </is>
      </c>
      <c r="F724" s="5">
        <f>C724-C723</f>
        <v/>
      </c>
      <c r="G724" s="5">
        <f>B724-B723</f>
        <v/>
      </c>
      <c r="H724" s="2">
        <f>IF(AND(F724=1,G724=1),"OK","À JUSTIFIER")</f>
        <v/>
      </c>
    </row>
    <row r="725">
      <c r="A725" s="2" t="inlineStr">
        <is>
          <t>EJ300424.TXT</t>
        </is>
      </c>
      <c r="B725" s="3" t="inlineStr">
        <is>
          <t>005347</t>
        </is>
      </c>
      <c r="C725" s="3" t="inlineStr">
        <is>
          <t>004285</t>
        </is>
      </c>
      <c r="D725" s="4" t="n">
        <v>45402</v>
      </c>
      <c r="E725" s="2" t="inlineStr">
        <is>
          <t>13:49</t>
        </is>
      </c>
      <c r="F725" s="5">
        <f>C725-C724</f>
        <v/>
      </c>
      <c r="G725" s="5">
        <f>B725-B724</f>
        <v/>
      </c>
      <c r="H725" s="2">
        <f>IF(AND(F725=1,G725=1),"OK","À JUSTIFIER")</f>
        <v/>
      </c>
    </row>
    <row r="726">
      <c r="A726" s="2" t="inlineStr">
        <is>
          <t>EJ300424.TXT</t>
        </is>
      </c>
      <c r="B726" s="3" t="inlineStr">
        <is>
          <t>005348</t>
        </is>
      </c>
      <c r="C726" s="3" t="inlineStr">
        <is>
          <t>004286</t>
        </is>
      </c>
      <c r="D726" s="4" t="n">
        <v>45402</v>
      </c>
      <c r="E726" s="2" t="inlineStr">
        <is>
          <t>14:32</t>
        </is>
      </c>
      <c r="F726" s="5">
        <f>C726-C725</f>
        <v/>
      </c>
      <c r="G726" s="5">
        <f>B726-B725</f>
        <v/>
      </c>
      <c r="H726" s="2">
        <f>IF(AND(F726=1,G726=1),"OK","À JUSTIFIER")</f>
        <v/>
      </c>
    </row>
    <row r="727">
      <c r="A727" s="2" t="inlineStr">
        <is>
          <t>EJ300424.TXT</t>
        </is>
      </c>
      <c r="B727" s="3" t="inlineStr">
        <is>
          <t>005349</t>
        </is>
      </c>
      <c r="C727" s="3" t="inlineStr">
        <is>
          <t>004287</t>
        </is>
      </c>
      <c r="D727" s="4" t="n">
        <v>45402</v>
      </c>
      <c r="E727" s="2" t="inlineStr">
        <is>
          <t>14:37</t>
        </is>
      </c>
      <c r="F727" s="5">
        <f>C727-C726</f>
        <v/>
      </c>
      <c r="G727" s="5">
        <f>B727-B726</f>
        <v/>
      </c>
      <c r="H727" s="2">
        <f>IF(AND(F727=1,G727=1),"OK","À JUSTIFIER")</f>
        <v/>
      </c>
    </row>
    <row r="728">
      <c r="A728" s="2" t="inlineStr">
        <is>
          <t>EJ300424.TXT</t>
        </is>
      </c>
      <c r="B728" s="3" t="inlineStr">
        <is>
          <t>005350</t>
        </is>
      </c>
      <c r="C728" s="3" t="inlineStr">
        <is>
          <t>004288</t>
        </is>
      </c>
      <c r="D728" s="4" t="n">
        <v>45402</v>
      </c>
      <c r="E728" s="2" t="inlineStr">
        <is>
          <t>16:46</t>
        </is>
      </c>
      <c r="F728" s="5">
        <f>C728-C727</f>
        <v/>
      </c>
      <c r="G728" s="5">
        <f>B728-B727</f>
        <v/>
      </c>
      <c r="H728" s="2">
        <f>IF(AND(F728=1,G728=1),"OK","À JUSTIFIER")</f>
        <v/>
      </c>
    </row>
    <row r="729">
      <c r="A729" s="2" t="inlineStr">
        <is>
          <t>EJ300424.TXT</t>
        </is>
      </c>
      <c r="B729" s="3" t="inlineStr">
        <is>
          <t>005351</t>
        </is>
      </c>
      <c r="C729" s="3" t="inlineStr">
        <is>
          <t>004289</t>
        </is>
      </c>
      <c r="D729" s="4" t="n">
        <v>45404</v>
      </c>
      <c r="E729" s="2" t="inlineStr">
        <is>
          <t>15:43</t>
        </is>
      </c>
      <c r="F729" s="5">
        <f>C729-C728</f>
        <v/>
      </c>
      <c r="G729" s="5">
        <f>B729-B728</f>
        <v/>
      </c>
      <c r="H729" s="2">
        <f>IF(AND(F729=1,G729=1),"OK","À JUSTIFIER")</f>
        <v/>
      </c>
    </row>
    <row r="730">
      <c r="A730" s="2" t="inlineStr">
        <is>
          <t>EJ300424.TXT</t>
        </is>
      </c>
      <c r="B730" s="3" t="inlineStr">
        <is>
          <t>005352</t>
        </is>
      </c>
      <c r="C730" s="3" t="inlineStr">
        <is>
          <t>004290</t>
        </is>
      </c>
      <c r="D730" s="4" t="n">
        <v>45407</v>
      </c>
      <c r="E730" s="2" t="inlineStr">
        <is>
          <t>15:00</t>
        </is>
      </c>
      <c r="F730" s="5">
        <f>C730-C729</f>
        <v/>
      </c>
      <c r="G730" s="5">
        <f>B730-B729</f>
        <v/>
      </c>
      <c r="H730" s="2">
        <f>IF(AND(F730=1,G730=1),"OK","À JUSTIFIER")</f>
        <v/>
      </c>
    </row>
    <row r="731">
      <c r="A731" s="2" t="inlineStr">
        <is>
          <t>EJ300424.TXT</t>
        </is>
      </c>
      <c r="B731" s="3" t="inlineStr">
        <is>
          <t>005353</t>
        </is>
      </c>
      <c r="C731" s="3" t="inlineStr">
        <is>
          <t>004291</t>
        </is>
      </c>
      <c r="D731" s="4" t="n">
        <v>45407</v>
      </c>
      <c r="E731" s="2" t="inlineStr">
        <is>
          <t>15:07</t>
        </is>
      </c>
      <c r="F731" s="5">
        <f>C731-C730</f>
        <v/>
      </c>
      <c r="G731" s="5">
        <f>B731-B730</f>
        <v/>
      </c>
      <c r="H731" s="2">
        <f>IF(AND(F731=1,G731=1),"OK","À JUSTIFIER")</f>
        <v/>
      </c>
    </row>
    <row r="732">
      <c r="A732" s="2" t="inlineStr">
        <is>
          <t>EJ300424.TXT</t>
        </is>
      </c>
      <c r="B732" s="3" t="inlineStr">
        <is>
          <t>005354</t>
        </is>
      </c>
      <c r="C732" s="3" t="inlineStr">
        <is>
          <t>004292</t>
        </is>
      </c>
      <c r="D732" s="4" t="n">
        <v>45407</v>
      </c>
      <c r="E732" s="2" t="inlineStr">
        <is>
          <t>15:27</t>
        </is>
      </c>
      <c r="F732" s="5">
        <f>C732-C731</f>
        <v/>
      </c>
      <c r="G732" s="5">
        <f>B732-B731</f>
        <v/>
      </c>
      <c r="H732" s="2">
        <f>IF(AND(F732=1,G732=1),"OK","À JUSTIFIER")</f>
        <v/>
      </c>
    </row>
    <row r="733">
      <c r="A733" s="2" t="inlineStr">
        <is>
          <t>EJ300424.TXT</t>
        </is>
      </c>
      <c r="B733" s="3" t="inlineStr">
        <is>
          <t>005355</t>
        </is>
      </c>
      <c r="C733" s="3" t="inlineStr">
        <is>
          <t>004293</t>
        </is>
      </c>
      <c r="D733" s="4" t="n">
        <v>45409</v>
      </c>
      <c r="E733" s="2" t="inlineStr">
        <is>
          <t>14:51</t>
        </is>
      </c>
      <c r="F733" s="5">
        <f>C733-C732</f>
        <v/>
      </c>
      <c r="G733" s="5">
        <f>B733-B732</f>
        <v/>
      </c>
      <c r="H733" s="2">
        <f>IF(AND(F733=1,G733=1),"OK","À JUSTIFIER")</f>
        <v/>
      </c>
    </row>
    <row r="734">
      <c r="A734" s="2" t="inlineStr">
        <is>
          <t>EJ300424.TXT</t>
        </is>
      </c>
      <c r="B734" s="3" t="inlineStr">
        <is>
          <t>005356</t>
        </is>
      </c>
      <c r="C734" s="3" t="inlineStr">
        <is>
          <t>004294</t>
        </is>
      </c>
      <c r="D734" s="4" t="n">
        <v>45411</v>
      </c>
      <c r="E734" s="2" t="inlineStr">
        <is>
          <t>11:22</t>
        </is>
      </c>
      <c r="F734" s="5">
        <f>C734-C733</f>
        <v/>
      </c>
      <c r="G734" s="5">
        <f>B734-B733</f>
        <v/>
      </c>
      <c r="H734" s="2">
        <f>IF(AND(F734=1,G734=1),"OK","À JUSTIFIER")</f>
        <v/>
      </c>
    </row>
    <row r="735">
      <c r="A735" s="2" t="inlineStr">
        <is>
          <t>EJ300424.TXT</t>
        </is>
      </c>
      <c r="B735" s="3" t="inlineStr">
        <is>
          <t>005357</t>
        </is>
      </c>
      <c r="C735" s="3" t="inlineStr">
        <is>
          <t>004295</t>
        </is>
      </c>
      <c r="D735" s="4" t="n">
        <v>45412</v>
      </c>
      <c r="E735" s="2" t="inlineStr">
        <is>
          <t>15:10</t>
        </is>
      </c>
      <c r="F735" s="5">
        <f>C735-C734</f>
        <v/>
      </c>
      <c r="G735" s="5">
        <f>B735-B734</f>
        <v/>
      </c>
      <c r="H735" s="2">
        <f>IF(AND(F735=1,G735=1),"OK","À JUSTIFIER")</f>
        <v/>
      </c>
    </row>
    <row r="736">
      <c r="A736" s="2" t="inlineStr">
        <is>
          <t>EJ300424.TXT</t>
        </is>
      </c>
      <c r="B736" s="3" t="inlineStr">
        <is>
          <t>005358</t>
        </is>
      </c>
      <c r="C736" s="3" t="inlineStr">
        <is>
          <t>004296</t>
        </is>
      </c>
      <c r="D736" s="4" t="n">
        <v>45412</v>
      </c>
      <c r="E736" s="2" t="inlineStr">
        <is>
          <t>17:08</t>
        </is>
      </c>
      <c r="F736" s="5">
        <f>C736-C735</f>
        <v/>
      </c>
      <c r="G736" s="5">
        <f>B736-B735</f>
        <v/>
      </c>
      <c r="H736" s="2">
        <f>IF(AND(F736=1,G736=1),"OK","À JUSTIFIER")</f>
        <v/>
      </c>
    </row>
    <row r="737">
      <c r="A737" s="2" t="inlineStr">
        <is>
          <t>EJ010624.TXT</t>
        </is>
      </c>
      <c r="B737" s="3" t="inlineStr">
        <is>
          <t>005367</t>
        </is>
      </c>
      <c r="C737" s="3" t="inlineStr">
        <is>
          <t>004297</t>
        </is>
      </c>
      <c r="D737" s="4" t="n">
        <v>45416</v>
      </c>
      <c r="E737" s="2" t="inlineStr">
        <is>
          <t>14:56</t>
        </is>
      </c>
      <c r="F737" s="5">
        <f>C737-C736</f>
        <v/>
      </c>
      <c r="G737" s="5">
        <f>B737-B736</f>
        <v/>
      </c>
      <c r="H737" s="2">
        <f>IF(AND(F737=1,G737=1),"OK","À JUSTIFIER")</f>
        <v/>
      </c>
    </row>
    <row r="738">
      <c r="A738" s="2" t="inlineStr">
        <is>
          <t>EJ010624.TXT</t>
        </is>
      </c>
      <c r="B738" s="3" t="inlineStr">
        <is>
          <t>005368</t>
        </is>
      </c>
      <c r="C738" s="3" t="inlineStr">
        <is>
          <t>004298</t>
        </is>
      </c>
      <c r="D738" s="4" t="n">
        <v>45416</v>
      </c>
      <c r="E738" s="2" t="inlineStr">
        <is>
          <t>16:33</t>
        </is>
      </c>
      <c r="F738" s="5">
        <f>C738-C737</f>
        <v/>
      </c>
      <c r="G738" s="5">
        <f>B738-B737</f>
        <v/>
      </c>
      <c r="H738" s="2">
        <f>IF(AND(F738=1,G738=1),"OK","À JUSTIFIER")</f>
        <v/>
      </c>
    </row>
    <row r="739">
      <c r="A739" s="2" t="inlineStr">
        <is>
          <t>EJ010624.TXT</t>
        </is>
      </c>
      <c r="B739" s="3" t="inlineStr">
        <is>
          <t>005369</t>
        </is>
      </c>
      <c r="C739" s="3" t="inlineStr">
        <is>
          <t>004299</t>
        </is>
      </c>
      <c r="D739" s="4" t="n">
        <v>45416</v>
      </c>
      <c r="E739" s="2" t="inlineStr">
        <is>
          <t>16:34</t>
        </is>
      </c>
      <c r="F739" s="5">
        <f>C739-C738</f>
        <v/>
      </c>
      <c r="G739" s="5">
        <f>B739-B738</f>
        <v/>
      </c>
      <c r="H739" s="2">
        <f>IF(AND(F739=1,G739=1),"OK","À JUSTIFIER")</f>
        <v/>
      </c>
    </row>
    <row r="740">
      <c r="A740" s="2" t="inlineStr">
        <is>
          <t>EJ010624.TXT</t>
        </is>
      </c>
      <c r="B740" s="3" t="inlineStr">
        <is>
          <t>005370</t>
        </is>
      </c>
      <c r="C740" s="3" t="inlineStr">
        <is>
          <t>004300</t>
        </is>
      </c>
      <c r="D740" s="4" t="n">
        <v>45416</v>
      </c>
      <c r="E740" s="2" t="inlineStr">
        <is>
          <t>16:34</t>
        </is>
      </c>
      <c r="F740" s="5">
        <f>C740-C739</f>
        <v/>
      </c>
      <c r="G740" s="5">
        <f>B740-B739</f>
        <v/>
      </c>
      <c r="H740" s="2">
        <f>IF(AND(F740=1,G740=1),"OK","À JUSTIFIER")</f>
        <v/>
      </c>
    </row>
    <row r="741">
      <c r="A741" s="2" t="inlineStr">
        <is>
          <t>EJ010624.TXT</t>
        </is>
      </c>
      <c r="B741" s="3" t="inlineStr">
        <is>
          <t>005371</t>
        </is>
      </c>
      <c r="C741" s="3" t="inlineStr">
        <is>
          <t>004301</t>
        </is>
      </c>
      <c r="D741" s="4" t="n">
        <v>45419</v>
      </c>
      <c r="E741" s="2" t="inlineStr">
        <is>
          <t>18:01</t>
        </is>
      </c>
      <c r="F741" s="5">
        <f>C741-C740</f>
        <v/>
      </c>
      <c r="G741" s="5">
        <f>B741-B740</f>
        <v/>
      </c>
      <c r="H741" s="2">
        <f>IF(AND(F741=1,G741=1),"OK","À JUSTIFIER")</f>
        <v/>
      </c>
    </row>
    <row r="742">
      <c r="A742" s="2" t="inlineStr">
        <is>
          <t>EJ010624.TXT</t>
        </is>
      </c>
      <c r="B742" s="3" t="inlineStr">
        <is>
          <t>005372</t>
        </is>
      </c>
      <c r="C742" s="3" t="inlineStr">
        <is>
          <t>004302</t>
        </is>
      </c>
      <c r="D742" s="4" t="n">
        <v>45423</v>
      </c>
      <c r="E742" s="2" t="inlineStr">
        <is>
          <t>16:04</t>
        </is>
      </c>
      <c r="F742" s="5">
        <f>C742-C741</f>
        <v/>
      </c>
      <c r="G742" s="5">
        <f>B742-B741</f>
        <v/>
      </c>
      <c r="H742" s="2">
        <f>IF(AND(F742=1,G742=1),"OK","À JUSTIFIER")</f>
        <v/>
      </c>
    </row>
    <row r="743">
      <c r="A743" s="2" t="inlineStr">
        <is>
          <t>EJ010624.TXT</t>
        </is>
      </c>
      <c r="B743" s="3" t="inlineStr">
        <is>
          <t>005373</t>
        </is>
      </c>
      <c r="C743" s="3" t="inlineStr">
        <is>
          <t>004303</t>
        </is>
      </c>
      <c r="D743" s="4" t="n">
        <v>45423</v>
      </c>
      <c r="E743" s="2" t="inlineStr">
        <is>
          <t>17:03</t>
        </is>
      </c>
      <c r="F743" s="5">
        <f>C743-C742</f>
        <v/>
      </c>
      <c r="G743" s="5">
        <f>B743-B742</f>
        <v/>
      </c>
      <c r="H743" s="2">
        <f>IF(AND(F743=1,G743=1),"OK","À JUSTIFIER")</f>
        <v/>
      </c>
    </row>
    <row r="744">
      <c r="A744" s="2" t="inlineStr">
        <is>
          <t>EJ010624.TXT</t>
        </is>
      </c>
      <c r="B744" s="3" t="inlineStr">
        <is>
          <t>005374</t>
        </is>
      </c>
      <c r="C744" s="3" t="inlineStr">
        <is>
          <t>004304</t>
        </is>
      </c>
      <c r="D744" s="4" t="n">
        <v>45423</v>
      </c>
      <c r="E744" s="2" t="inlineStr">
        <is>
          <t>17:04</t>
        </is>
      </c>
      <c r="F744" s="5">
        <f>C744-C743</f>
        <v/>
      </c>
      <c r="G744" s="5">
        <f>B744-B743</f>
        <v/>
      </c>
      <c r="H744" s="2">
        <f>IF(AND(F744=1,G744=1),"OK","À JUSTIFIER")</f>
        <v/>
      </c>
    </row>
    <row r="745">
      <c r="A745" s="2" t="inlineStr">
        <is>
          <t>EJ010624.TXT</t>
        </is>
      </c>
      <c r="B745" s="3" t="inlineStr">
        <is>
          <t>005375</t>
        </is>
      </c>
      <c r="C745" s="3" t="inlineStr">
        <is>
          <t>004305</t>
        </is>
      </c>
      <c r="D745" s="4" t="n">
        <v>45423</v>
      </c>
      <c r="E745" s="2" t="inlineStr">
        <is>
          <t>17:08</t>
        </is>
      </c>
      <c r="F745" s="5">
        <f>C745-C744</f>
        <v/>
      </c>
      <c r="G745" s="5">
        <f>B745-B744</f>
        <v/>
      </c>
      <c r="H745" s="2">
        <f>IF(AND(F745=1,G745=1),"OK","À JUSTIFIER")</f>
        <v/>
      </c>
    </row>
    <row r="746">
      <c r="A746" s="2" t="inlineStr">
        <is>
          <t>EJ010624.TXT</t>
        </is>
      </c>
      <c r="B746" s="3" t="inlineStr">
        <is>
          <t>005376</t>
        </is>
      </c>
      <c r="C746" s="3" t="inlineStr">
        <is>
          <t>004306</t>
        </is>
      </c>
      <c r="D746" s="4" t="n">
        <v>45429</v>
      </c>
      <c r="E746" s="2" t="inlineStr">
        <is>
          <t>16:22</t>
        </is>
      </c>
      <c r="F746" s="5">
        <f>C746-C745</f>
        <v/>
      </c>
      <c r="G746" s="5">
        <f>B746-B745</f>
        <v/>
      </c>
      <c r="H746" s="2">
        <f>IF(AND(F746=1,G746=1),"OK","À JUSTIFIER")</f>
        <v/>
      </c>
    </row>
    <row r="747">
      <c r="A747" s="2" t="inlineStr">
        <is>
          <t>EJ010624.TXT</t>
        </is>
      </c>
      <c r="B747" s="3" t="inlineStr">
        <is>
          <t>005377</t>
        </is>
      </c>
      <c r="C747" s="3" t="inlineStr">
        <is>
          <t>004307</t>
        </is>
      </c>
      <c r="D747" s="4" t="n">
        <v>45429</v>
      </c>
      <c r="E747" s="2" t="inlineStr">
        <is>
          <t>16:26</t>
        </is>
      </c>
      <c r="F747" s="5">
        <f>C747-C746</f>
        <v/>
      </c>
      <c r="G747" s="5">
        <f>B747-B746</f>
        <v/>
      </c>
      <c r="H747" s="2">
        <f>IF(AND(F747=1,G747=1),"OK","À JUSTIFIER")</f>
        <v/>
      </c>
    </row>
    <row r="748">
      <c r="A748" s="2" t="inlineStr">
        <is>
          <t>EJ010624.TXT</t>
        </is>
      </c>
      <c r="B748" s="3" t="inlineStr">
        <is>
          <t>005378</t>
        </is>
      </c>
      <c r="C748" s="3" t="inlineStr">
        <is>
          <t>004308</t>
        </is>
      </c>
      <c r="D748" s="4" t="n">
        <v>45433</v>
      </c>
      <c r="E748" s="2" t="inlineStr">
        <is>
          <t>14:25</t>
        </is>
      </c>
      <c r="F748" s="5">
        <f>C748-C747</f>
        <v/>
      </c>
      <c r="G748" s="5">
        <f>B748-B747</f>
        <v/>
      </c>
      <c r="H748" s="2">
        <f>IF(AND(F748=1,G748=1),"OK","À JUSTIFIER")</f>
        <v/>
      </c>
    </row>
    <row r="749">
      <c r="A749" s="2" t="inlineStr">
        <is>
          <t>EJ010624.TXT</t>
        </is>
      </c>
      <c r="B749" s="3" t="inlineStr">
        <is>
          <t>005379</t>
        </is>
      </c>
      <c r="C749" s="3" t="inlineStr">
        <is>
          <t>004309</t>
        </is>
      </c>
      <c r="D749" s="4" t="n">
        <v>45434</v>
      </c>
      <c r="E749" s="2" t="inlineStr">
        <is>
          <t>09:57</t>
        </is>
      </c>
      <c r="F749" s="5">
        <f>C749-C748</f>
        <v/>
      </c>
      <c r="G749" s="5">
        <f>B749-B748</f>
        <v/>
      </c>
      <c r="H749" s="2">
        <f>IF(AND(F749=1,G749=1),"OK","À JUSTIFIER")</f>
        <v/>
      </c>
    </row>
    <row r="750">
      <c r="A750" s="2" t="inlineStr">
        <is>
          <t>EJ010624.TXT</t>
        </is>
      </c>
      <c r="B750" s="3" t="inlineStr">
        <is>
          <t>005380</t>
        </is>
      </c>
      <c r="C750" s="3" t="inlineStr">
        <is>
          <t>004310</t>
        </is>
      </c>
      <c r="D750" s="4" t="n">
        <v>45434</v>
      </c>
      <c r="E750" s="2" t="inlineStr">
        <is>
          <t>10:00</t>
        </is>
      </c>
      <c r="F750" s="5">
        <f>C750-C749</f>
        <v/>
      </c>
      <c r="G750" s="5">
        <f>B750-B749</f>
        <v/>
      </c>
      <c r="H750" s="2">
        <f>IF(AND(F750=1,G750=1),"OK","À JUSTIFIER")</f>
        <v/>
      </c>
    </row>
    <row r="751">
      <c r="A751" s="2" t="inlineStr">
        <is>
          <t>EJ010624.TXT</t>
        </is>
      </c>
      <c r="B751" s="3" t="inlineStr">
        <is>
          <t>005381</t>
        </is>
      </c>
      <c r="C751" s="3" t="inlineStr">
        <is>
          <t>004311</t>
        </is>
      </c>
      <c r="D751" s="4" t="n">
        <v>45435</v>
      </c>
      <c r="E751" s="2" t="inlineStr">
        <is>
          <t>14:27</t>
        </is>
      </c>
      <c r="F751" s="5">
        <f>C751-C750</f>
        <v/>
      </c>
      <c r="G751" s="5">
        <f>B751-B750</f>
        <v/>
      </c>
      <c r="H751" s="2">
        <f>IF(AND(F751=1,G751=1),"OK","À JUSTIFIER")</f>
        <v/>
      </c>
    </row>
    <row r="752">
      <c r="A752" s="2" t="inlineStr">
        <is>
          <t>EJ010624.TXT</t>
        </is>
      </c>
      <c r="B752" s="3" t="inlineStr">
        <is>
          <t>005382</t>
        </is>
      </c>
      <c r="C752" s="3" t="inlineStr">
        <is>
          <t>004312</t>
        </is>
      </c>
      <c r="D752" s="4" t="n">
        <v>45435</v>
      </c>
      <c r="E752" s="2" t="inlineStr">
        <is>
          <t>14:27</t>
        </is>
      </c>
      <c r="F752" s="5">
        <f>C752-C751</f>
        <v/>
      </c>
      <c r="G752" s="5">
        <f>B752-B751</f>
        <v/>
      </c>
      <c r="H752" s="2">
        <f>IF(AND(F752=1,G752=1),"OK","À JUSTIFIER")</f>
        <v/>
      </c>
    </row>
    <row r="753">
      <c r="A753" s="2" t="inlineStr">
        <is>
          <t>EJ010624.TXT</t>
        </is>
      </c>
      <c r="B753" s="3" t="inlineStr">
        <is>
          <t>005383</t>
        </is>
      </c>
      <c r="C753" s="3" t="inlineStr">
        <is>
          <t>004313</t>
        </is>
      </c>
      <c r="D753" s="4" t="n">
        <v>45436</v>
      </c>
      <c r="E753" s="2" t="inlineStr">
        <is>
          <t>10:00</t>
        </is>
      </c>
      <c r="F753" s="5">
        <f>C753-C752</f>
        <v/>
      </c>
      <c r="G753" s="5">
        <f>B753-B752</f>
        <v/>
      </c>
      <c r="H753" s="2">
        <f>IF(AND(F753=1,G753=1),"OK","À JUSTIFIER")</f>
        <v/>
      </c>
    </row>
    <row r="754">
      <c r="A754" s="2" t="inlineStr">
        <is>
          <t>EJ010624.TXT</t>
        </is>
      </c>
      <c r="B754" s="3" t="inlineStr">
        <is>
          <t>005384</t>
        </is>
      </c>
      <c r="C754" s="3" t="inlineStr">
        <is>
          <t>004314</t>
        </is>
      </c>
      <c r="D754" s="4" t="n">
        <v>45436</v>
      </c>
      <c r="E754" s="2" t="inlineStr">
        <is>
          <t>10:01</t>
        </is>
      </c>
      <c r="F754" s="5">
        <f>C754-C753</f>
        <v/>
      </c>
      <c r="G754" s="5">
        <f>B754-B753</f>
        <v/>
      </c>
      <c r="H754" s="2">
        <f>IF(AND(F754=1,G754=1),"OK","À JUSTIFIER")</f>
        <v/>
      </c>
    </row>
    <row r="755">
      <c r="A755" s="2" t="inlineStr">
        <is>
          <t>EJ010624.TXT</t>
        </is>
      </c>
      <c r="B755" s="3" t="inlineStr">
        <is>
          <t>005385</t>
        </is>
      </c>
      <c r="C755" s="3" t="inlineStr">
        <is>
          <t>004315</t>
        </is>
      </c>
      <c r="D755" s="4" t="n">
        <v>45436</v>
      </c>
      <c r="E755" s="2" t="inlineStr">
        <is>
          <t>14:16</t>
        </is>
      </c>
      <c r="F755" s="5">
        <f>C755-C754</f>
        <v/>
      </c>
      <c r="G755" s="5">
        <f>B755-B754</f>
        <v/>
      </c>
      <c r="H755" s="2">
        <f>IF(AND(F755=1,G755=1),"OK","À JUSTIFIER")</f>
        <v/>
      </c>
    </row>
    <row r="756">
      <c r="A756" s="2" t="inlineStr">
        <is>
          <t>EJ010624.TXT</t>
        </is>
      </c>
      <c r="B756" s="3" t="inlineStr">
        <is>
          <t>005386</t>
        </is>
      </c>
      <c r="C756" s="3" t="inlineStr">
        <is>
          <t>004316</t>
        </is>
      </c>
      <c r="D756" s="4" t="n">
        <v>45436</v>
      </c>
      <c r="E756" s="2" t="inlineStr">
        <is>
          <t>16:29</t>
        </is>
      </c>
      <c r="F756" s="5">
        <f>C756-C755</f>
        <v/>
      </c>
      <c r="G756" s="5">
        <f>B756-B755</f>
        <v/>
      </c>
      <c r="H756" s="2">
        <f>IF(AND(F756=1,G756=1),"OK","À JUSTIFIER")</f>
        <v/>
      </c>
    </row>
    <row r="757">
      <c r="A757" s="2" t="inlineStr">
        <is>
          <t>EJ010624.TXT</t>
        </is>
      </c>
      <c r="B757" s="3" t="inlineStr">
        <is>
          <t>005387</t>
        </is>
      </c>
      <c r="C757" s="3" t="inlineStr">
        <is>
          <t>004317</t>
        </is>
      </c>
      <c r="D757" s="4" t="n">
        <v>45437</v>
      </c>
      <c r="E757" s="2" t="inlineStr">
        <is>
          <t>15:17</t>
        </is>
      </c>
      <c r="F757" s="5">
        <f>C757-C756</f>
        <v/>
      </c>
      <c r="G757" s="5">
        <f>B757-B756</f>
        <v/>
      </c>
      <c r="H757" s="2">
        <f>IF(AND(F757=1,G757=1),"OK","À JUSTIFIER")</f>
        <v/>
      </c>
    </row>
    <row r="758">
      <c r="A758" s="2" t="inlineStr">
        <is>
          <t>EJ010624.TXT</t>
        </is>
      </c>
      <c r="B758" s="3" t="inlineStr">
        <is>
          <t>005388</t>
        </is>
      </c>
      <c r="C758" s="3" t="inlineStr">
        <is>
          <t>004318</t>
        </is>
      </c>
      <c r="D758" s="4" t="n">
        <v>45437</v>
      </c>
      <c r="E758" s="2" t="inlineStr">
        <is>
          <t>15:25</t>
        </is>
      </c>
      <c r="F758" s="5">
        <f>C758-C757</f>
        <v/>
      </c>
      <c r="G758" s="5">
        <f>B758-B757</f>
        <v/>
      </c>
      <c r="H758" s="2">
        <f>IF(AND(F758=1,G758=1),"OK","À JUSTIFIER")</f>
        <v/>
      </c>
    </row>
    <row r="759">
      <c r="A759" s="2" t="inlineStr">
        <is>
          <t>EJ010624.TXT</t>
        </is>
      </c>
      <c r="B759" s="3" t="inlineStr">
        <is>
          <t>005389</t>
        </is>
      </c>
      <c r="C759" s="3" t="inlineStr">
        <is>
          <t>004319</t>
        </is>
      </c>
      <c r="D759" s="4" t="n">
        <v>45440</v>
      </c>
      <c r="E759" s="2" t="inlineStr">
        <is>
          <t>14:40</t>
        </is>
      </c>
      <c r="F759" s="5">
        <f>C759-C758</f>
        <v/>
      </c>
      <c r="G759" s="5">
        <f>B759-B758</f>
        <v/>
      </c>
      <c r="H759" s="2">
        <f>IF(AND(F759=1,G759=1),"OK","À JUSTIFIER")</f>
        <v/>
      </c>
    </row>
    <row r="760">
      <c r="A760" s="2" t="inlineStr">
        <is>
          <t>EJ010624.TXT</t>
        </is>
      </c>
      <c r="B760" s="3" t="inlineStr">
        <is>
          <t>005390</t>
        </is>
      </c>
      <c r="C760" s="3" t="inlineStr">
        <is>
          <t>004320</t>
        </is>
      </c>
      <c r="D760" s="4" t="n">
        <v>45440</v>
      </c>
      <c r="E760" s="2" t="inlineStr">
        <is>
          <t>14:42</t>
        </is>
      </c>
      <c r="F760" s="5">
        <f>C760-C759</f>
        <v/>
      </c>
      <c r="G760" s="5">
        <f>B760-B759</f>
        <v/>
      </c>
      <c r="H760" s="2">
        <f>IF(AND(F760=1,G760=1),"OK","À JUSTIFIER")</f>
        <v/>
      </c>
    </row>
    <row r="761">
      <c r="A761" s="2" t="inlineStr">
        <is>
          <t>EJ010624.TXT</t>
        </is>
      </c>
      <c r="B761" s="3" t="inlineStr">
        <is>
          <t>005391</t>
        </is>
      </c>
      <c r="C761" s="3" t="inlineStr">
        <is>
          <t>004321</t>
        </is>
      </c>
      <c r="D761" s="4" t="n">
        <v>45441</v>
      </c>
      <c r="E761" s="2" t="inlineStr">
        <is>
          <t>15:47</t>
        </is>
      </c>
      <c r="F761" s="5">
        <f>C761-C760</f>
        <v/>
      </c>
      <c r="G761" s="5">
        <f>B761-B760</f>
        <v/>
      </c>
      <c r="H761" s="2">
        <f>IF(AND(F761=1,G761=1),"OK","À JUSTIFIER")</f>
        <v/>
      </c>
    </row>
    <row r="762">
      <c r="A762" s="2" t="inlineStr">
        <is>
          <t>EJ010624.TXT</t>
        </is>
      </c>
      <c r="B762" s="3" t="inlineStr">
        <is>
          <t>005392</t>
        </is>
      </c>
      <c r="C762" s="3" t="inlineStr">
        <is>
          <t>004322</t>
        </is>
      </c>
      <c r="D762" s="4" t="n">
        <v>45441</v>
      </c>
      <c r="E762" s="2" t="inlineStr">
        <is>
          <t>15:47</t>
        </is>
      </c>
      <c r="F762" s="5">
        <f>C762-C761</f>
        <v/>
      </c>
      <c r="G762" s="5">
        <f>B762-B761</f>
        <v/>
      </c>
      <c r="H762" s="2">
        <f>IF(AND(F762=1,G762=1),"OK","À JUSTIFIER")</f>
        <v/>
      </c>
    </row>
    <row r="763">
      <c r="A763" s="2" t="inlineStr">
        <is>
          <t>EJ010624.TXT</t>
        </is>
      </c>
      <c r="B763" s="3" t="inlineStr">
        <is>
          <t>005393</t>
        </is>
      </c>
      <c r="C763" s="3" t="inlineStr">
        <is>
          <t>004323</t>
        </is>
      </c>
      <c r="D763" s="4" t="n">
        <v>45441</v>
      </c>
      <c r="E763" s="2" t="inlineStr">
        <is>
          <t>15:51</t>
        </is>
      </c>
      <c r="F763" s="5">
        <f>C763-C762</f>
        <v/>
      </c>
      <c r="G763" s="5">
        <f>B763-B762</f>
        <v/>
      </c>
      <c r="H763" s="2">
        <f>IF(AND(F763=1,G763=1),"OK","À JUSTIFIER")</f>
        <v/>
      </c>
    </row>
    <row r="764">
      <c r="A764" s="2" t="inlineStr">
        <is>
          <t>EJ010624.TXT</t>
        </is>
      </c>
      <c r="B764" s="3" t="inlineStr">
        <is>
          <t>005394</t>
        </is>
      </c>
      <c r="C764" s="3" t="inlineStr">
        <is>
          <t>004324</t>
        </is>
      </c>
      <c r="D764" s="4" t="n">
        <v>45443</v>
      </c>
      <c r="E764" s="2" t="inlineStr">
        <is>
          <t>16:07</t>
        </is>
      </c>
      <c r="F764" s="5">
        <f>C764-C763</f>
        <v/>
      </c>
      <c r="G764" s="5">
        <f>B764-B763</f>
        <v/>
      </c>
      <c r="H764" s="2">
        <f>IF(AND(F764=1,G764=1),"OK","À JUSTIFIER")</f>
        <v/>
      </c>
    </row>
    <row r="765">
      <c r="A765" s="2" t="inlineStr">
        <is>
          <t>EJ010724.TXT</t>
        </is>
      </c>
      <c r="B765" s="3" t="inlineStr">
        <is>
          <t>005401</t>
        </is>
      </c>
      <c r="C765" s="3" t="inlineStr">
        <is>
          <t>004325</t>
        </is>
      </c>
      <c r="D765" s="4" t="n">
        <v>45444</v>
      </c>
      <c r="E765" s="2" t="inlineStr">
        <is>
          <t>16:18</t>
        </is>
      </c>
      <c r="F765" s="5">
        <f>C765-C764</f>
        <v/>
      </c>
      <c r="G765" s="5">
        <f>B765-B764</f>
        <v/>
      </c>
      <c r="H765" s="2">
        <f>IF(AND(F765=1,G765=1),"OK","À JUSTIFIER")</f>
        <v/>
      </c>
    </row>
    <row r="766">
      <c r="A766" s="2" t="inlineStr">
        <is>
          <t>EJ010724.TXT</t>
        </is>
      </c>
      <c r="B766" s="3" t="inlineStr">
        <is>
          <t>005402</t>
        </is>
      </c>
      <c r="C766" s="3" t="inlineStr">
        <is>
          <t>004326</t>
        </is>
      </c>
      <c r="D766" s="4" t="n">
        <v>45445</v>
      </c>
      <c r="E766" s="2" t="inlineStr">
        <is>
          <t>12:42</t>
        </is>
      </c>
      <c r="F766" s="5">
        <f>C766-C765</f>
        <v/>
      </c>
      <c r="G766" s="5">
        <f>B766-B765</f>
        <v/>
      </c>
      <c r="H766" s="2">
        <f>IF(AND(F766=1,G766=1),"OK","À JUSTIFIER")</f>
        <v/>
      </c>
    </row>
    <row r="767">
      <c r="A767" s="2" t="inlineStr">
        <is>
          <t>EJ010724.TXT</t>
        </is>
      </c>
      <c r="B767" s="3" t="inlineStr">
        <is>
          <t>005403</t>
        </is>
      </c>
      <c r="C767" s="3" t="inlineStr">
        <is>
          <t>004327</t>
        </is>
      </c>
      <c r="D767" s="4" t="n">
        <v>45446</v>
      </c>
      <c r="E767" s="2" t="inlineStr">
        <is>
          <t>10:47</t>
        </is>
      </c>
      <c r="F767" s="5">
        <f>C767-C766</f>
        <v/>
      </c>
      <c r="G767" s="5">
        <f>B767-B766</f>
        <v/>
      </c>
      <c r="H767" s="2">
        <f>IF(AND(F767=1,G767=1),"OK","À JUSTIFIER")</f>
        <v/>
      </c>
    </row>
    <row r="768">
      <c r="A768" s="2" t="inlineStr">
        <is>
          <t>EJ010724.TXT</t>
        </is>
      </c>
      <c r="B768" s="3" t="inlineStr">
        <is>
          <t>005404</t>
        </is>
      </c>
      <c r="C768" s="3" t="inlineStr">
        <is>
          <t>004328</t>
        </is>
      </c>
      <c r="D768" s="4" t="n">
        <v>45446</v>
      </c>
      <c r="E768" s="2" t="inlineStr">
        <is>
          <t>10:47</t>
        </is>
      </c>
      <c r="F768" s="5">
        <f>C768-C767</f>
        <v/>
      </c>
      <c r="G768" s="5">
        <f>B768-B767</f>
        <v/>
      </c>
      <c r="H768" s="2">
        <f>IF(AND(F768=1,G768=1),"OK","À JUSTIFIER")</f>
        <v/>
      </c>
    </row>
    <row r="769">
      <c r="A769" s="2" t="inlineStr">
        <is>
          <t>EJ010724.TXT</t>
        </is>
      </c>
      <c r="B769" s="3" t="inlineStr">
        <is>
          <t>005405</t>
        </is>
      </c>
      <c r="C769" s="3" t="inlineStr">
        <is>
          <t>004329</t>
        </is>
      </c>
      <c r="D769" s="4" t="n">
        <v>45447</v>
      </c>
      <c r="E769" s="2" t="inlineStr">
        <is>
          <t>10:49</t>
        </is>
      </c>
      <c r="F769" s="5">
        <f>C769-C768</f>
        <v/>
      </c>
      <c r="G769" s="5">
        <f>B769-B768</f>
        <v/>
      </c>
      <c r="H769" s="2">
        <f>IF(AND(F769=1,G769=1),"OK","À JUSTIFIER")</f>
        <v/>
      </c>
    </row>
    <row r="770">
      <c r="A770" s="2" t="inlineStr">
        <is>
          <t>EJ010724.TXT</t>
        </is>
      </c>
      <c r="B770" s="3" t="inlineStr">
        <is>
          <t>005406</t>
        </is>
      </c>
      <c r="C770" s="3" t="inlineStr">
        <is>
          <t>004330</t>
        </is>
      </c>
      <c r="D770" s="4" t="n">
        <v>45447</v>
      </c>
      <c r="E770" s="2" t="inlineStr">
        <is>
          <t>10:50</t>
        </is>
      </c>
      <c r="F770" s="5">
        <f>C770-C769</f>
        <v/>
      </c>
      <c r="G770" s="5">
        <f>B770-B769</f>
        <v/>
      </c>
      <c r="H770" s="2">
        <f>IF(AND(F770=1,G770=1),"OK","À JUSTIFIER")</f>
        <v/>
      </c>
    </row>
    <row r="771">
      <c r="A771" s="2" t="inlineStr">
        <is>
          <t>EJ010724.TXT</t>
        </is>
      </c>
      <c r="B771" s="3" t="inlineStr">
        <is>
          <t>005407</t>
        </is>
      </c>
      <c r="C771" s="3" t="inlineStr">
        <is>
          <t>004331</t>
        </is>
      </c>
      <c r="D771" s="4" t="n">
        <v>45447</v>
      </c>
      <c r="E771" s="2" t="inlineStr">
        <is>
          <t>10:52</t>
        </is>
      </c>
      <c r="F771" s="5">
        <f>C771-C770</f>
        <v/>
      </c>
      <c r="G771" s="5">
        <f>B771-B770</f>
        <v/>
      </c>
      <c r="H771" s="2">
        <f>IF(AND(F771=1,G771=1),"OK","À JUSTIFIER")</f>
        <v/>
      </c>
    </row>
    <row r="772">
      <c r="A772" s="2" t="inlineStr">
        <is>
          <t>EJ010724.TXT</t>
        </is>
      </c>
      <c r="B772" s="3" t="inlineStr">
        <is>
          <t>005408</t>
        </is>
      </c>
      <c r="C772" s="3" t="inlineStr">
        <is>
          <t>004332</t>
        </is>
      </c>
      <c r="D772" s="4" t="n">
        <v>45447</v>
      </c>
      <c r="E772" s="2" t="inlineStr">
        <is>
          <t>10:53</t>
        </is>
      </c>
      <c r="F772" s="5">
        <f>C772-C771</f>
        <v/>
      </c>
      <c r="G772" s="5">
        <f>B772-B771</f>
        <v/>
      </c>
      <c r="H772" s="2">
        <f>IF(AND(F772=1,G772=1),"OK","À JUSTIFIER")</f>
        <v/>
      </c>
    </row>
    <row r="773">
      <c r="A773" s="2" t="inlineStr">
        <is>
          <t>EJ010724.TXT</t>
        </is>
      </c>
      <c r="B773" s="3" t="inlineStr">
        <is>
          <t>005409</t>
        </is>
      </c>
      <c r="C773" s="3" t="inlineStr">
        <is>
          <t>004333</t>
        </is>
      </c>
      <c r="D773" s="4" t="n">
        <v>45447</v>
      </c>
      <c r="E773" s="2" t="inlineStr">
        <is>
          <t>11:00</t>
        </is>
      </c>
      <c r="F773" s="5">
        <f>C773-C772</f>
        <v/>
      </c>
      <c r="G773" s="5">
        <f>B773-B772</f>
        <v/>
      </c>
      <c r="H773" s="2">
        <f>IF(AND(F773=1,G773=1),"OK","À JUSTIFIER")</f>
        <v/>
      </c>
    </row>
    <row r="774">
      <c r="A774" s="2" t="inlineStr">
        <is>
          <t>EJ010724.TXT</t>
        </is>
      </c>
      <c r="B774" s="3" t="inlineStr">
        <is>
          <t>005410</t>
        </is>
      </c>
      <c r="C774" s="3" t="inlineStr">
        <is>
          <t>004334</t>
        </is>
      </c>
      <c r="D774" s="4" t="n">
        <v>45447</v>
      </c>
      <c r="E774" s="2" t="inlineStr">
        <is>
          <t>11:01</t>
        </is>
      </c>
      <c r="F774" s="5">
        <f>C774-C773</f>
        <v/>
      </c>
      <c r="G774" s="5">
        <f>B774-B773</f>
        <v/>
      </c>
      <c r="H774" s="2">
        <f>IF(AND(F774=1,G774=1),"OK","À JUSTIFIER")</f>
        <v/>
      </c>
    </row>
    <row r="775">
      <c r="A775" s="2" t="inlineStr">
        <is>
          <t>EJ010724.TXT</t>
        </is>
      </c>
      <c r="B775" s="3" t="inlineStr">
        <is>
          <t>005411</t>
        </is>
      </c>
      <c r="C775" s="3" t="inlineStr">
        <is>
          <t>004335</t>
        </is>
      </c>
      <c r="D775" s="4" t="n">
        <v>45447</v>
      </c>
      <c r="E775" s="2" t="inlineStr">
        <is>
          <t>14:46</t>
        </is>
      </c>
      <c r="F775" s="5">
        <f>C775-C774</f>
        <v/>
      </c>
      <c r="G775" s="5">
        <f>B775-B774</f>
        <v/>
      </c>
      <c r="H775" s="2">
        <f>IF(AND(F775=1,G775=1),"OK","À JUSTIFIER")</f>
        <v/>
      </c>
    </row>
    <row r="776">
      <c r="A776" s="2" t="inlineStr">
        <is>
          <t>EJ010724.TXT</t>
        </is>
      </c>
      <c r="B776" s="3" t="inlineStr">
        <is>
          <t>005412</t>
        </is>
      </c>
      <c r="C776" s="3" t="inlineStr">
        <is>
          <t>004336</t>
        </is>
      </c>
      <c r="D776" s="4" t="n">
        <v>45447</v>
      </c>
      <c r="E776" s="2" t="inlineStr">
        <is>
          <t>14:48</t>
        </is>
      </c>
      <c r="F776" s="5">
        <f>C776-C775</f>
        <v/>
      </c>
      <c r="G776" s="5">
        <f>B776-B775</f>
        <v/>
      </c>
      <c r="H776" s="2">
        <f>IF(AND(F776=1,G776=1),"OK","À JUSTIFIER")</f>
        <v/>
      </c>
    </row>
    <row r="777">
      <c r="A777" s="2" t="inlineStr">
        <is>
          <t>EJ010724.TXT</t>
        </is>
      </c>
      <c r="B777" s="3" t="inlineStr">
        <is>
          <t>005413</t>
        </is>
      </c>
      <c r="C777" s="3" t="inlineStr">
        <is>
          <t>004337</t>
        </is>
      </c>
      <c r="D777" s="4" t="n">
        <v>45448</v>
      </c>
      <c r="E777" s="2" t="inlineStr">
        <is>
          <t>14:14</t>
        </is>
      </c>
      <c r="F777" s="5">
        <f>C777-C776</f>
        <v/>
      </c>
      <c r="G777" s="5">
        <f>B777-B776</f>
        <v/>
      </c>
      <c r="H777" s="2">
        <f>IF(AND(F777=1,G777=1),"OK","À JUSTIFIER")</f>
        <v/>
      </c>
    </row>
    <row r="778">
      <c r="A778" s="2" t="inlineStr">
        <is>
          <t>EJ010724.TXT</t>
        </is>
      </c>
      <c r="B778" s="3" t="inlineStr">
        <is>
          <t>005414</t>
        </is>
      </c>
      <c r="C778" s="3" t="inlineStr">
        <is>
          <t>004338</t>
        </is>
      </c>
      <c r="D778" s="4" t="n">
        <v>45448</v>
      </c>
      <c r="E778" s="2" t="inlineStr">
        <is>
          <t>15:47</t>
        </is>
      </c>
      <c r="F778" s="5">
        <f>C778-C777</f>
        <v/>
      </c>
      <c r="G778" s="5">
        <f>B778-B777</f>
        <v/>
      </c>
      <c r="H778" s="2">
        <f>IF(AND(F778=1,G778=1),"OK","À JUSTIFIER")</f>
        <v/>
      </c>
    </row>
    <row r="779">
      <c r="A779" s="2" t="inlineStr">
        <is>
          <t>EJ010724.TXT</t>
        </is>
      </c>
      <c r="B779" s="3" t="inlineStr">
        <is>
          <t>005415</t>
        </is>
      </c>
      <c r="C779" s="3" t="inlineStr">
        <is>
          <t>004339</t>
        </is>
      </c>
      <c r="D779" s="4" t="n">
        <v>45449</v>
      </c>
      <c r="E779" s="2" t="inlineStr">
        <is>
          <t>16:36</t>
        </is>
      </c>
      <c r="F779" s="5">
        <f>C779-C778</f>
        <v/>
      </c>
      <c r="G779" s="5">
        <f>B779-B778</f>
        <v/>
      </c>
      <c r="H779" s="2">
        <f>IF(AND(F779=1,G779=1),"OK","À JUSTIFIER")</f>
        <v/>
      </c>
    </row>
    <row r="780">
      <c r="A780" s="2" t="inlineStr">
        <is>
          <t>EJ010724.TXT</t>
        </is>
      </c>
      <c r="B780" s="3" t="inlineStr">
        <is>
          <t>005416</t>
        </is>
      </c>
      <c r="C780" s="3" t="inlineStr">
        <is>
          <t>004340</t>
        </is>
      </c>
      <c r="D780" s="4" t="n">
        <v>45449</v>
      </c>
      <c r="E780" s="2" t="inlineStr">
        <is>
          <t>16:48</t>
        </is>
      </c>
      <c r="F780" s="5">
        <f>C780-C779</f>
        <v/>
      </c>
      <c r="G780" s="5">
        <f>B780-B779</f>
        <v/>
      </c>
      <c r="H780" s="2">
        <f>IF(AND(F780=1,G780=1),"OK","À JUSTIFIER")</f>
        <v/>
      </c>
    </row>
    <row r="781">
      <c r="A781" s="2" t="inlineStr">
        <is>
          <t>EJ010724.TXT</t>
        </is>
      </c>
      <c r="B781" s="3" t="inlineStr">
        <is>
          <t>005417</t>
        </is>
      </c>
      <c r="C781" s="3" t="inlineStr">
        <is>
          <t>004341</t>
        </is>
      </c>
      <c r="D781" s="4" t="n">
        <v>45450</v>
      </c>
      <c r="E781" s="2" t="inlineStr">
        <is>
          <t>16:36</t>
        </is>
      </c>
      <c r="F781" s="5">
        <f>C781-C780</f>
        <v/>
      </c>
      <c r="G781" s="5">
        <f>B781-B780</f>
        <v/>
      </c>
      <c r="H781" s="2">
        <f>IF(AND(F781=1,G781=1),"OK","À JUSTIFIER")</f>
        <v/>
      </c>
    </row>
    <row r="782">
      <c r="A782" s="2" t="inlineStr">
        <is>
          <t>EJ010724.TXT</t>
        </is>
      </c>
      <c r="B782" s="3" t="inlineStr">
        <is>
          <t>005418</t>
        </is>
      </c>
      <c r="C782" s="3" t="inlineStr">
        <is>
          <t>004342</t>
        </is>
      </c>
      <c r="D782" s="4" t="n">
        <v>45451</v>
      </c>
      <c r="E782" s="2" t="inlineStr">
        <is>
          <t>17:58</t>
        </is>
      </c>
      <c r="F782" s="5">
        <f>C782-C781</f>
        <v/>
      </c>
      <c r="G782" s="5">
        <f>B782-B781</f>
        <v/>
      </c>
      <c r="H782" s="2">
        <f>IF(AND(F782=1,G782=1),"OK","À JUSTIFIER")</f>
        <v/>
      </c>
    </row>
    <row r="783">
      <c r="A783" s="2" t="inlineStr">
        <is>
          <t>EJ010724.TXT</t>
        </is>
      </c>
      <c r="B783" s="3" t="inlineStr">
        <is>
          <t>005419</t>
        </is>
      </c>
      <c r="C783" s="3" t="inlineStr">
        <is>
          <t>004343</t>
        </is>
      </c>
      <c r="D783" s="4" t="n">
        <v>45453</v>
      </c>
      <c r="E783" s="2" t="inlineStr">
        <is>
          <t>15:35</t>
        </is>
      </c>
      <c r="F783" s="5">
        <f>C783-C782</f>
        <v/>
      </c>
      <c r="G783" s="5">
        <f>B783-B782</f>
        <v/>
      </c>
      <c r="H783" s="2">
        <f>IF(AND(F783=1,G783=1),"OK","À JUSTIFIER")</f>
        <v/>
      </c>
    </row>
    <row r="784">
      <c r="A784" s="2" t="inlineStr">
        <is>
          <t>EJ010724.TXT</t>
        </is>
      </c>
      <c r="B784" s="3" t="inlineStr">
        <is>
          <t>005420</t>
        </is>
      </c>
      <c r="C784" s="3" t="inlineStr">
        <is>
          <t>004344</t>
        </is>
      </c>
      <c r="D784" s="4" t="n">
        <v>45455</v>
      </c>
      <c r="E784" s="2" t="inlineStr">
        <is>
          <t>10:47</t>
        </is>
      </c>
      <c r="F784" s="5">
        <f>C784-C783</f>
        <v/>
      </c>
      <c r="G784" s="5">
        <f>B784-B783</f>
        <v/>
      </c>
      <c r="H784" s="2">
        <f>IF(AND(F784=1,G784=1),"OK","À JUSTIFIER")</f>
        <v/>
      </c>
    </row>
    <row r="785">
      <c r="A785" s="2" t="inlineStr">
        <is>
          <t>EJ010724.TXT</t>
        </is>
      </c>
      <c r="B785" s="3" t="inlineStr">
        <is>
          <t>005421</t>
        </is>
      </c>
      <c r="C785" s="3" t="inlineStr">
        <is>
          <t>004345</t>
        </is>
      </c>
      <c r="D785" s="4" t="n">
        <v>45456</v>
      </c>
      <c r="E785" s="2" t="inlineStr">
        <is>
          <t>14:01</t>
        </is>
      </c>
      <c r="F785" s="5">
        <f>C785-C784</f>
        <v/>
      </c>
      <c r="G785" s="5">
        <f>B785-B784</f>
        <v/>
      </c>
      <c r="H785" s="2">
        <f>IF(AND(F785=1,G785=1),"OK","À JUSTIFIER")</f>
        <v/>
      </c>
    </row>
    <row r="786">
      <c r="A786" s="2" t="inlineStr">
        <is>
          <t>EJ010724.TXT</t>
        </is>
      </c>
      <c r="B786" s="3" t="inlineStr">
        <is>
          <t>005422</t>
        </is>
      </c>
      <c r="C786" s="3" t="inlineStr">
        <is>
          <t>004346</t>
        </is>
      </c>
      <c r="D786" s="4" t="n">
        <v>45457</v>
      </c>
      <c r="E786" s="2" t="inlineStr">
        <is>
          <t>15:03</t>
        </is>
      </c>
      <c r="F786" s="5">
        <f>C786-C785</f>
        <v/>
      </c>
      <c r="G786" s="5">
        <f>B786-B785</f>
        <v/>
      </c>
      <c r="H786" s="2">
        <f>IF(AND(F786=1,G786=1),"OK","À JUSTIFIER")</f>
        <v/>
      </c>
    </row>
    <row r="787">
      <c r="A787" s="2" t="inlineStr">
        <is>
          <t>EJ010724.TXT</t>
        </is>
      </c>
      <c r="B787" s="3" t="inlineStr">
        <is>
          <t>005423</t>
        </is>
      </c>
      <c r="C787" s="3" t="inlineStr">
        <is>
          <t>004347</t>
        </is>
      </c>
      <c r="D787" s="4" t="n">
        <v>45457</v>
      </c>
      <c r="E787" s="2" t="inlineStr">
        <is>
          <t>15:44</t>
        </is>
      </c>
      <c r="F787" s="5">
        <f>C787-C786</f>
        <v/>
      </c>
      <c r="G787" s="5">
        <f>B787-B786</f>
        <v/>
      </c>
      <c r="H787" s="2">
        <f>IF(AND(F787=1,G787=1),"OK","À JUSTIFIER")</f>
        <v/>
      </c>
    </row>
    <row r="788">
      <c r="A788" s="2" t="inlineStr">
        <is>
          <t>EJ010724.TXT</t>
        </is>
      </c>
      <c r="B788" s="3" t="inlineStr">
        <is>
          <t>005424</t>
        </is>
      </c>
      <c r="C788" s="3" t="inlineStr">
        <is>
          <t>004348</t>
        </is>
      </c>
      <c r="D788" s="4" t="n">
        <v>45461</v>
      </c>
      <c r="E788" s="2" t="inlineStr">
        <is>
          <t>15:13</t>
        </is>
      </c>
      <c r="F788" s="5">
        <f>C788-C787</f>
        <v/>
      </c>
      <c r="G788" s="5">
        <f>B788-B787</f>
        <v/>
      </c>
      <c r="H788" s="2">
        <f>IF(AND(F788=1,G788=1),"OK","À JUSTIFIER")</f>
        <v/>
      </c>
    </row>
    <row r="789">
      <c r="A789" s="2" t="inlineStr">
        <is>
          <t>EJ010724.TXT</t>
        </is>
      </c>
      <c r="B789" s="3" t="inlineStr">
        <is>
          <t>005425</t>
        </is>
      </c>
      <c r="C789" s="3" t="inlineStr">
        <is>
          <t>004349</t>
        </is>
      </c>
      <c r="D789" s="4" t="n">
        <v>45461</v>
      </c>
      <c r="E789" s="2" t="inlineStr">
        <is>
          <t>15:16</t>
        </is>
      </c>
      <c r="F789" s="5">
        <f>C789-C788</f>
        <v/>
      </c>
      <c r="G789" s="5">
        <f>B789-B788</f>
        <v/>
      </c>
      <c r="H789" s="2">
        <f>IF(AND(F789=1,G789=1),"OK","À JUSTIFIER")</f>
        <v/>
      </c>
    </row>
    <row r="790">
      <c r="A790" s="2" t="inlineStr">
        <is>
          <t>EJ010724.TXT</t>
        </is>
      </c>
      <c r="B790" s="3" t="inlineStr">
        <is>
          <t>005426</t>
        </is>
      </c>
      <c r="C790" s="3" t="inlineStr">
        <is>
          <t>004350</t>
        </is>
      </c>
      <c r="D790" s="4" t="n">
        <v>45461</v>
      </c>
      <c r="E790" s="2" t="inlineStr">
        <is>
          <t>16:00</t>
        </is>
      </c>
      <c r="F790" s="5">
        <f>C790-C789</f>
        <v/>
      </c>
      <c r="G790" s="5">
        <f>B790-B789</f>
        <v/>
      </c>
      <c r="H790" s="2">
        <f>IF(AND(F790=1,G790=1),"OK","À JUSTIFIER")</f>
        <v/>
      </c>
    </row>
    <row r="791">
      <c r="A791" s="2" t="inlineStr">
        <is>
          <t>EJ010724.TXT</t>
        </is>
      </c>
      <c r="B791" s="3" t="inlineStr">
        <is>
          <t>005427</t>
        </is>
      </c>
      <c r="C791" s="3" t="inlineStr">
        <is>
          <t>004351</t>
        </is>
      </c>
      <c r="D791" s="4" t="n">
        <v>45461</v>
      </c>
      <c r="E791" s="2" t="inlineStr">
        <is>
          <t>16:00</t>
        </is>
      </c>
      <c r="F791" s="5">
        <f>C791-C790</f>
        <v/>
      </c>
      <c r="G791" s="5">
        <f>B791-B790</f>
        <v/>
      </c>
      <c r="H791" s="2">
        <f>IF(AND(F791=1,G791=1),"OK","À JUSTIFIER")</f>
        <v/>
      </c>
    </row>
    <row r="792">
      <c r="A792" s="2" t="inlineStr">
        <is>
          <t>EJ010724.TXT</t>
        </is>
      </c>
      <c r="B792" s="3" t="inlineStr">
        <is>
          <t>005428</t>
        </is>
      </c>
      <c r="C792" s="3" t="inlineStr">
        <is>
          <t>004352</t>
        </is>
      </c>
      <c r="D792" s="4" t="n">
        <v>45462</v>
      </c>
      <c r="E792" s="2" t="inlineStr">
        <is>
          <t>14:06</t>
        </is>
      </c>
      <c r="F792" s="5">
        <f>C792-C791</f>
        <v/>
      </c>
      <c r="G792" s="5">
        <f>B792-B791</f>
        <v/>
      </c>
      <c r="H792" s="2">
        <f>IF(AND(F792=1,G792=1),"OK","À JUSTIFIER")</f>
        <v/>
      </c>
    </row>
    <row r="793">
      <c r="A793" s="2" t="inlineStr">
        <is>
          <t>EJ010724.TXT</t>
        </is>
      </c>
      <c r="B793" s="3" t="inlineStr">
        <is>
          <t>005429</t>
        </is>
      </c>
      <c r="C793" s="3" t="inlineStr">
        <is>
          <t>004353</t>
        </is>
      </c>
      <c r="D793" s="4" t="n">
        <v>45463</v>
      </c>
      <c r="E793" s="2" t="inlineStr">
        <is>
          <t>11:19</t>
        </is>
      </c>
      <c r="F793" s="5">
        <f>C793-C792</f>
        <v/>
      </c>
      <c r="G793" s="5">
        <f>B793-B792</f>
        <v/>
      </c>
      <c r="H793" s="2">
        <f>IF(AND(F793=1,G793=1),"OK","À JUSTIFIER")</f>
        <v/>
      </c>
    </row>
    <row r="794">
      <c r="A794" s="2" t="inlineStr">
        <is>
          <t>EJ010724.TXT</t>
        </is>
      </c>
      <c r="B794" s="3" t="inlineStr">
        <is>
          <t>005430</t>
        </is>
      </c>
      <c r="C794" s="3" t="inlineStr">
        <is>
          <t>004354</t>
        </is>
      </c>
      <c r="D794" s="4" t="n">
        <v>45464</v>
      </c>
      <c r="E794" s="2" t="inlineStr">
        <is>
          <t>16:13</t>
        </is>
      </c>
      <c r="F794" s="5">
        <f>C794-C793</f>
        <v/>
      </c>
      <c r="G794" s="5">
        <f>B794-B793</f>
        <v/>
      </c>
      <c r="H794" s="2">
        <f>IF(AND(F794=1,G794=1),"OK","À JUSTIFIER")</f>
        <v/>
      </c>
    </row>
    <row r="795">
      <c r="A795" s="2" t="inlineStr">
        <is>
          <t>EJ010724.TXT</t>
        </is>
      </c>
      <c r="B795" s="3" t="inlineStr">
        <is>
          <t>005431</t>
        </is>
      </c>
      <c r="C795" s="3" t="inlineStr">
        <is>
          <t>004355</t>
        </is>
      </c>
      <c r="D795" s="4" t="n">
        <v>45464</v>
      </c>
      <c r="E795" s="2" t="inlineStr">
        <is>
          <t>17:41</t>
        </is>
      </c>
      <c r="F795" s="5">
        <f>C795-C794</f>
        <v/>
      </c>
      <c r="G795" s="5">
        <f>B795-B794</f>
        <v/>
      </c>
      <c r="H795" s="2">
        <f>IF(AND(F795=1,G795=1),"OK","À JUSTIFIER")</f>
        <v/>
      </c>
    </row>
    <row r="796">
      <c r="A796" s="2" t="inlineStr">
        <is>
          <t>EJ010724.TXT</t>
        </is>
      </c>
      <c r="B796" s="3" t="inlineStr">
        <is>
          <t>005432</t>
        </is>
      </c>
      <c r="C796" s="3" t="inlineStr">
        <is>
          <t>004356</t>
        </is>
      </c>
      <c r="D796" s="4" t="n">
        <v>45464</v>
      </c>
      <c r="E796" s="2" t="inlineStr">
        <is>
          <t>17:42</t>
        </is>
      </c>
      <c r="F796" s="5">
        <f>C796-C795</f>
        <v/>
      </c>
      <c r="G796" s="5">
        <f>B796-B795</f>
        <v/>
      </c>
      <c r="H796" s="2">
        <f>IF(AND(F796=1,G796=1),"OK","À JUSTIFIER")</f>
        <v/>
      </c>
    </row>
    <row r="797">
      <c r="A797" s="2" t="inlineStr">
        <is>
          <t>EJ010724.TXT</t>
        </is>
      </c>
      <c r="B797" s="3" t="inlineStr">
        <is>
          <t>005433</t>
        </is>
      </c>
      <c r="C797" s="3" t="inlineStr">
        <is>
          <t>004357</t>
        </is>
      </c>
      <c r="D797" s="4" t="n">
        <v>45464</v>
      </c>
      <c r="E797" s="2" t="inlineStr">
        <is>
          <t>17:43</t>
        </is>
      </c>
      <c r="F797" s="5">
        <f>C797-C796</f>
        <v/>
      </c>
      <c r="G797" s="5">
        <f>B797-B796</f>
        <v/>
      </c>
      <c r="H797" s="2">
        <f>IF(AND(F797=1,G797=1),"OK","À JUSTIFIER")</f>
        <v/>
      </c>
    </row>
    <row r="798">
      <c r="A798" s="2" t="inlineStr">
        <is>
          <t>EJ010724.TXT</t>
        </is>
      </c>
      <c r="B798" s="3" t="inlineStr">
        <is>
          <t>005434</t>
        </is>
      </c>
      <c r="C798" s="3" t="inlineStr">
        <is>
          <t>004358</t>
        </is>
      </c>
      <c r="D798" s="4" t="n">
        <v>45464</v>
      </c>
      <c r="E798" s="2" t="inlineStr">
        <is>
          <t>17:43</t>
        </is>
      </c>
      <c r="F798" s="5">
        <f>C798-C797</f>
        <v/>
      </c>
      <c r="G798" s="5">
        <f>B798-B797</f>
        <v/>
      </c>
      <c r="H798" s="2">
        <f>IF(AND(F798=1,G798=1),"OK","À JUSTIFIER")</f>
        <v/>
      </c>
    </row>
    <row r="799">
      <c r="A799" s="2" t="inlineStr">
        <is>
          <t>EJ010724.TXT</t>
        </is>
      </c>
      <c r="B799" s="3" t="inlineStr">
        <is>
          <t>005435</t>
        </is>
      </c>
      <c r="C799" s="3" t="inlineStr">
        <is>
          <t>004359</t>
        </is>
      </c>
      <c r="D799" s="4" t="n">
        <v>45464</v>
      </c>
      <c r="E799" s="2" t="inlineStr">
        <is>
          <t>17:43</t>
        </is>
      </c>
      <c r="F799" s="5">
        <f>C799-C798</f>
        <v/>
      </c>
      <c r="G799" s="5">
        <f>B799-B798</f>
        <v/>
      </c>
      <c r="H799" s="2">
        <f>IF(AND(F799=1,G799=1),"OK","À JUSTIFIER")</f>
        <v/>
      </c>
    </row>
    <row r="800">
      <c r="A800" s="2" t="inlineStr">
        <is>
          <t>EJ010724.TXT</t>
        </is>
      </c>
      <c r="B800" s="3" t="inlineStr">
        <is>
          <t>005436</t>
        </is>
      </c>
      <c r="C800" s="3" t="inlineStr">
        <is>
          <t>004360</t>
        </is>
      </c>
      <c r="D800" s="4" t="n">
        <v>45465</v>
      </c>
      <c r="E800" s="2" t="inlineStr">
        <is>
          <t>12:58</t>
        </is>
      </c>
      <c r="F800" s="5">
        <f>C800-C799</f>
        <v/>
      </c>
      <c r="G800" s="5">
        <f>B800-B799</f>
        <v/>
      </c>
      <c r="H800" s="2">
        <f>IF(AND(F800=1,G800=1),"OK","À JUSTIFIER")</f>
        <v/>
      </c>
    </row>
    <row r="801">
      <c r="A801" s="2" t="inlineStr">
        <is>
          <t>EJ010724.TXT</t>
        </is>
      </c>
      <c r="B801" s="3" t="inlineStr">
        <is>
          <t>005437</t>
        </is>
      </c>
      <c r="C801" s="3" t="inlineStr">
        <is>
          <t>004361</t>
        </is>
      </c>
      <c r="D801" s="4" t="n">
        <v>45467</v>
      </c>
      <c r="E801" s="2" t="inlineStr">
        <is>
          <t>15:37</t>
        </is>
      </c>
      <c r="F801" s="5">
        <f>C801-C800</f>
        <v/>
      </c>
      <c r="G801" s="5">
        <f>B801-B800</f>
        <v/>
      </c>
      <c r="H801" s="2">
        <f>IF(AND(F801=1,G801=1),"OK","À JUSTIFIER")</f>
        <v/>
      </c>
    </row>
    <row r="802">
      <c r="A802" s="2" t="inlineStr">
        <is>
          <t>EJ010724.TXT</t>
        </is>
      </c>
      <c r="B802" s="3" t="inlineStr">
        <is>
          <t>005438</t>
        </is>
      </c>
      <c r="C802" s="3" t="inlineStr">
        <is>
          <t>004362</t>
        </is>
      </c>
      <c r="D802" s="4" t="n">
        <v>45467</v>
      </c>
      <c r="E802" s="2" t="inlineStr">
        <is>
          <t>15:38</t>
        </is>
      </c>
      <c r="F802" s="5">
        <f>C802-C801</f>
        <v/>
      </c>
      <c r="G802" s="5">
        <f>B802-B801</f>
        <v/>
      </c>
      <c r="H802" s="2">
        <f>IF(AND(F802=1,G802=1),"OK","À JUSTIFIER")</f>
        <v/>
      </c>
    </row>
    <row r="803">
      <c r="A803" s="2" t="inlineStr">
        <is>
          <t>EJ010724.TXT</t>
        </is>
      </c>
      <c r="B803" s="3" t="inlineStr">
        <is>
          <t>005439</t>
        </is>
      </c>
      <c r="C803" s="3" t="inlineStr">
        <is>
          <t>004363</t>
        </is>
      </c>
      <c r="D803" s="4" t="n">
        <v>45467</v>
      </c>
      <c r="E803" s="2" t="inlineStr">
        <is>
          <t>15:38</t>
        </is>
      </c>
      <c r="F803" s="5">
        <f>C803-C802</f>
        <v/>
      </c>
      <c r="G803" s="5">
        <f>B803-B802</f>
        <v/>
      </c>
      <c r="H803" s="2">
        <f>IF(AND(F803=1,G803=1),"OK","À JUSTIFIER")</f>
        <v/>
      </c>
    </row>
    <row r="804">
      <c r="A804" s="2" t="inlineStr">
        <is>
          <t>EJ010724.TXT</t>
        </is>
      </c>
      <c r="B804" s="3" t="inlineStr">
        <is>
          <t>005440</t>
        </is>
      </c>
      <c r="C804" s="3" t="inlineStr">
        <is>
          <t>004364</t>
        </is>
      </c>
      <c r="D804" s="4" t="n">
        <v>45467</v>
      </c>
      <c r="E804" s="2" t="inlineStr">
        <is>
          <t>17:02</t>
        </is>
      </c>
      <c r="F804" s="5">
        <f>C804-C803</f>
        <v/>
      </c>
      <c r="G804" s="5">
        <f>B804-B803</f>
        <v/>
      </c>
      <c r="H804" s="2">
        <f>IF(AND(F804=1,G804=1),"OK","À JUSTIFIER")</f>
        <v/>
      </c>
    </row>
    <row r="805">
      <c r="A805" s="2" t="inlineStr">
        <is>
          <t>EJ010724.TXT</t>
        </is>
      </c>
      <c r="B805" s="3" t="inlineStr">
        <is>
          <t>005441</t>
        </is>
      </c>
      <c r="C805" s="3" t="inlineStr">
        <is>
          <t>004365</t>
        </is>
      </c>
      <c r="D805" s="4" t="n">
        <v>45468</v>
      </c>
      <c r="E805" s="2" t="inlineStr">
        <is>
          <t>11:01</t>
        </is>
      </c>
      <c r="F805" s="5">
        <f>C805-C804</f>
        <v/>
      </c>
      <c r="G805" s="5">
        <f>B805-B804</f>
        <v/>
      </c>
      <c r="H805" s="2">
        <f>IF(AND(F805=1,G805=1),"OK","À JUSTIFIER")</f>
        <v/>
      </c>
    </row>
    <row r="806">
      <c r="A806" s="2" t="inlineStr">
        <is>
          <t>EJ010724.TXT</t>
        </is>
      </c>
      <c r="B806" s="3" t="inlineStr">
        <is>
          <t>005442</t>
        </is>
      </c>
      <c r="C806" s="3" t="inlineStr">
        <is>
          <t>004366</t>
        </is>
      </c>
      <c r="D806" s="4" t="n">
        <v>45469</v>
      </c>
      <c r="E806" s="2" t="inlineStr">
        <is>
          <t>09:31</t>
        </is>
      </c>
      <c r="F806" s="5">
        <f>C806-C805</f>
        <v/>
      </c>
      <c r="G806" s="5">
        <f>B806-B805</f>
        <v/>
      </c>
      <c r="H806" s="2">
        <f>IF(AND(F806=1,G806=1),"OK","À JUSTIFIER")</f>
        <v/>
      </c>
    </row>
    <row r="807">
      <c r="A807" s="2" t="inlineStr">
        <is>
          <t>EJ010724.TXT</t>
        </is>
      </c>
      <c r="B807" s="3" t="inlineStr">
        <is>
          <t>005443</t>
        </is>
      </c>
      <c r="C807" s="3" t="inlineStr">
        <is>
          <t>004367</t>
        </is>
      </c>
      <c r="D807" s="4" t="n">
        <v>45469</v>
      </c>
      <c r="E807" s="2" t="inlineStr">
        <is>
          <t>13:43</t>
        </is>
      </c>
      <c r="F807" s="5">
        <f>C807-C806</f>
        <v/>
      </c>
      <c r="G807" s="5">
        <f>B807-B806</f>
        <v/>
      </c>
      <c r="H807" s="2">
        <f>IF(AND(F807=1,G807=1),"OK","À JUSTIFIER")</f>
        <v/>
      </c>
    </row>
    <row r="808">
      <c r="A808" s="2" t="inlineStr">
        <is>
          <t>EJ010724.TXT</t>
        </is>
      </c>
      <c r="B808" s="3" t="inlineStr">
        <is>
          <t>005444</t>
        </is>
      </c>
      <c r="C808" s="3" t="inlineStr">
        <is>
          <t>004368</t>
        </is>
      </c>
      <c r="D808" s="4" t="n">
        <v>45471</v>
      </c>
      <c r="E808" s="2" t="inlineStr">
        <is>
          <t>16:15</t>
        </is>
      </c>
      <c r="F808" s="5">
        <f>C808-C807</f>
        <v/>
      </c>
      <c r="G808" s="5">
        <f>B808-B807</f>
        <v/>
      </c>
      <c r="H808" s="2">
        <f>IF(AND(F808=1,G808=1),"OK","À JUSTIFIER")</f>
        <v/>
      </c>
    </row>
    <row r="809">
      <c r="A809" s="2" t="inlineStr">
        <is>
          <t>EJ010724.TXT</t>
        </is>
      </c>
      <c r="B809" s="3" t="inlineStr">
        <is>
          <t>005445</t>
        </is>
      </c>
      <c r="C809" s="3" t="inlineStr">
        <is>
          <t>004369</t>
        </is>
      </c>
      <c r="D809" s="4" t="n">
        <v>45472</v>
      </c>
      <c r="E809" s="2" t="inlineStr">
        <is>
          <t>16:53</t>
        </is>
      </c>
      <c r="F809" s="5">
        <f>C809-C808</f>
        <v/>
      </c>
      <c r="G809" s="5">
        <f>B809-B808</f>
        <v/>
      </c>
      <c r="H809" s="2">
        <f>IF(AND(F809=1,G809=1),"OK","À JUSTIFIER")</f>
        <v/>
      </c>
    </row>
    <row r="810">
      <c r="A810" s="2" t="inlineStr">
        <is>
          <t>EJ010724.TXT</t>
        </is>
      </c>
      <c r="B810" s="3" t="inlineStr">
        <is>
          <t>005446</t>
        </is>
      </c>
      <c r="C810" s="3" t="inlineStr">
        <is>
          <t>004370</t>
        </is>
      </c>
      <c r="D810" s="4" t="n">
        <v>45472</v>
      </c>
      <c r="E810" s="2" t="inlineStr">
        <is>
          <t>16:53</t>
        </is>
      </c>
      <c r="F810" s="5">
        <f>C810-C809</f>
        <v/>
      </c>
      <c r="G810" s="5">
        <f>B810-B809</f>
        <v/>
      </c>
      <c r="H810" s="2">
        <f>IF(AND(F810=1,G810=1),"OK","À JUSTIFIER")</f>
        <v/>
      </c>
    </row>
    <row r="811">
      <c r="A811" s="2" t="inlineStr">
        <is>
          <t>EJ010724.TXT</t>
        </is>
      </c>
      <c r="B811" s="3" t="inlineStr">
        <is>
          <t>005447</t>
        </is>
      </c>
      <c r="C811" s="3" t="inlineStr">
        <is>
          <t>004371</t>
        </is>
      </c>
      <c r="D811" s="4" t="n">
        <v>45472</v>
      </c>
      <c r="E811" s="2" t="inlineStr">
        <is>
          <t>16:57</t>
        </is>
      </c>
      <c r="F811" s="5">
        <f>C811-C810</f>
        <v/>
      </c>
      <c r="G811" s="5">
        <f>B811-B810</f>
        <v/>
      </c>
      <c r="H811" s="2">
        <f>IF(AND(F811=1,G811=1),"OK","À JUSTIFIER")</f>
        <v/>
      </c>
    </row>
    <row r="812">
      <c r="A812" s="2" t="inlineStr">
        <is>
          <t>EJ030824.TXT</t>
        </is>
      </c>
      <c r="B812" s="3" t="inlineStr">
        <is>
          <t>005455</t>
        </is>
      </c>
      <c r="C812" s="3" t="inlineStr">
        <is>
          <t>004372</t>
        </is>
      </c>
      <c r="D812" s="4" t="n">
        <v>45478</v>
      </c>
      <c r="E812" s="2" t="inlineStr">
        <is>
          <t>16:53</t>
        </is>
      </c>
      <c r="F812" s="5">
        <f>C812-C811</f>
        <v/>
      </c>
      <c r="G812" s="5">
        <f>B812-B811</f>
        <v/>
      </c>
      <c r="H812" s="2">
        <f>IF(AND(F812=1,G812=1),"OK","À JUSTIFIER")</f>
        <v/>
      </c>
    </row>
    <row r="813">
      <c r="A813" s="2" t="inlineStr">
        <is>
          <t>EJ030824.TXT</t>
        </is>
      </c>
      <c r="B813" s="3" t="inlineStr">
        <is>
          <t>005456</t>
        </is>
      </c>
      <c r="C813" s="3" t="inlineStr">
        <is>
          <t>004373</t>
        </is>
      </c>
      <c r="D813" s="4" t="n">
        <v>45482</v>
      </c>
      <c r="E813" s="2" t="inlineStr">
        <is>
          <t>13:35</t>
        </is>
      </c>
      <c r="F813" s="5">
        <f>C813-C812</f>
        <v/>
      </c>
      <c r="G813" s="5">
        <f>B813-B812</f>
        <v/>
      </c>
      <c r="H813" s="2">
        <f>IF(AND(F813=1,G813=1),"OK","À JUSTIFIER")</f>
        <v/>
      </c>
    </row>
    <row r="814">
      <c r="A814" s="2" t="inlineStr">
        <is>
          <t>EJ030824.TXT</t>
        </is>
      </c>
      <c r="B814" s="3" t="inlineStr">
        <is>
          <t>005457</t>
        </is>
      </c>
      <c r="C814" s="3" t="inlineStr">
        <is>
          <t>004374</t>
        </is>
      </c>
      <c r="D814" s="4" t="n">
        <v>45482</v>
      </c>
      <c r="E814" s="2" t="inlineStr">
        <is>
          <t>15:21</t>
        </is>
      </c>
      <c r="F814" s="5">
        <f>C814-C813</f>
        <v/>
      </c>
      <c r="G814" s="5">
        <f>B814-B813</f>
        <v/>
      </c>
      <c r="H814" s="2">
        <f>IF(AND(F814=1,G814=1),"OK","À JUSTIFIER")</f>
        <v/>
      </c>
    </row>
    <row r="815">
      <c r="A815" s="2" t="inlineStr">
        <is>
          <t>EJ030824.TXT</t>
        </is>
      </c>
      <c r="B815" s="3" t="inlineStr">
        <is>
          <t>005458</t>
        </is>
      </c>
      <c r="C815" s="3" t="inlineStr">
        <is>
          <t>004375</t>
        </is>
      </c>
      <c r="D815" s="4" t="n">
        <v>45484</v>
      </c>
      <c r="E815" s="2" t="inlineStr">
        <is>
          <t>11:07</t>
        </is>
      </c>
      <c r="F815" s="5">
        <f>C815-C814</f>
        <v/>
      </c>
      <c r="G815" s="5">
        <f>B815-B814</f>
        <v/>
      </c>
      <c r="H815" s="2">
        <f>IF(AND(F815=1,G815=1),"OK","À JUSTIFIER")</f>
        <v/>
      </c>
    </row>
    <row r="816">
      <c r="A816" s="2" t="inlineStr">
        <is>
          <t>EJ030824.TXT</t>
        </is>
      </c>
      <c r="B816" s="3" t="inlineStr">
        <is>
          <t>005459</t>
        </is>
      </c>
      <c r="C816" s="3" t="inlineStr">
        <is>
          <t>004376</t>
        </is>
      </c>
      <c r="D816" s="4" t="n">
        <v>45484</v>
      </c>
      <c r="E816" s="2" t="inlineStr">
        <is>
          <t>11:07</t>
        </is>
      </c>
      <c r="F816" s="5">
        <f>C816-C815</f>
        <v/>
      </c>
      <c r="G816" s="5">
        <f>B816-B815</f>
        <v/>
      </c>
      <c r="H816" s="2">
        <f>IF(AND(F816=1,G816=1),"OK","À JUSTIFIER")</f>
        <v/>
      </c>
    </row>
    <row r="817">
      <c r="A817" s="2" t="inlineStr">
        <is>
          <t>EJ030824.TXT</t>
        </is>
      </c>
      <c r="B817" s="3" t="inlineStr">
        <is>
          <t>005460</t>
        </is>
      </c>
      <c r="C817" s="3" t="inlineStr">
        <is>
          <t>004377</t>
        </is>
      </c>
      <c r="D817" s="4" t="n">
        <v>45484</v>
      </c>
      <c r="E817" s="2" t="inlineStr">
        <is>
          <t>11:07</t>
        </is>
      </c>
      <c r="F817" s="5">
        <f>C817-C816</f>
        <v/>
      </c>
      <c r="G817" s="5">
        <f>B817-B816</f>
        <v/>
      </c>
      <c r="H817" s="2">
        <f>IF(AND(F817=1,G817=1),"OK","À JUSTIFIER")</f>
        <v/>
      </c>
    </row>
    <row r="818">
      <c r="A818" s="2" t="inlineStr">
        <is>
          <t>EJ030824.TXT</t>
        </is>
      </c>
      <c r="B818" s="3" t="inlineStr">
        <is>
          <t>005461</t>
        </is>
      </c>
      <c r="C818" s="3" t="inlineStr">
        <is>
          <t>004378</t>
        </is>
      </c>
      <c r="D818" s="4" t="n">
        <v>45484</v>
      </c>
      <c r="E818" s="2" t="inlineStr">
        <is>
          <t>11:07</t>
        </is>
      </c>
      <c r="F818" s="5">
        <f>C818-C817</f>
        <v/>
      </c>
      <c r="G818" s="5">
        <f>B818-B817</f>
        <v/>
      </c>
      <c r="H818" s="2">
        <f>IF(AND(F818=1,G818=1),"OK","À JUSTIFIER")</f>
        <v/>
      </c>
    </row>
    <row r="819">
      <c r="A819" s="2" t="inlineStr">
        <is>
          <t>EJ030824.TXT</t>
        </is>
      </c>
      <c r="B819" s="3" t="inlineStr">
        <is>
          <t>005462</t>
        </is>
      </c>
      <c r="C819" s="3" t="inlineStr">
        <is>
          <t>004379</t>
        </is>
      </c>
      <c r="D819" s="4" t="n">
        <v>45484</v>
      </c>
      <c r="E819" s="2" t="inlineStr">
        <is>
          <t>11:08</t>
        </is>
      </c>
      <c r="F819" s="5">
        <f>C819-C818</f>
        <v/>
      </c>
      <c r="G819" s="5">
        <f>B819-B818</f>
        <v/>
      </c>
      <c r="H819" s="2">
        <f>IF(AND(F819=1,G819=1),"OK","À JUSTIFIER")</f>
        <v/>
      </c>
    </row>
    <row r="820">
      <c r="A820" s="2" t="inlineStr">
        <is>
          <t>EJ030824.TXT</t>
        </is>
      </c>
      <c r="B820" s="3" t="inlineStr">
        <is>
          <t>005463</t>
        </is>
      </c>
      <c r="C820" s="3" t="inlineStr">
        <is>
          <t>004380</t>
        </is>
      </c>
      <c r="D820" s="4" t="n">
        <v>45484</v>
      </c>
      <c r="E820" s="2" t="inlineStr">
        <is>
          <t>11:08</t>
        </is>
      </c>
      <c r="F820" s="5">
        <f>C820-C819</f>
        <v/>
      </c>
      <c r="G820" s="5">
        <f>B820-B819</f>
        <v/>
      </c>
      <c r="H820" s="2">
        <f>IF(AND(F820=1,G820=1),"OK","À JUSTIFIER")</f>
        <v/>
      </c>
    </row>
    <row r="821">
      <c r="A821" s="2" t="inlineStr">
        <is>
          <t>EJ030824.TXT</t>
        </is>
      </c>
      <c r="B821" s="3" t="inlineStr">
        <is>
          <t>005464</t>
        </is>
      </c>
      <c r="C821" s="3" t="inlineStr">
        <is>
          <t>004381</t>
        </is>
      </c>
      <c r="D821" s="4" t="n">
        <v>45485</v>
      </c>
      <c r="E821" s="2" t="inlineStr">
        <is>
          <t>11:48</t>
        </is>
      </c>
      <c r="F821" s="5">
        <f>C821-C820</f>
        <v/>
      </c>
      <c r="G821" s="5">
        <f>B821-B820</f>
        <v/>
      </c>
      <c r="H821" s="2">
        <f>IF(AND(F821=1,G821=1),"OK","À JUSTIFIER")</f>
        <v/>
      </c>
    </row>
    <row r="822">
      <c r="A822" s="2" t="inlineStr">
        <is>
          <t>EJ030824.TXT</t>
        </is>
      </c>
      <c r="B822" s="3" t="inlineStr">
        <is>
          <t>005465</t>
        </is>
      </c>
      <c r="C822" s="3" t="inlineStr">
        <is>
          <t>004382</t>
        </is>
      </c>
      <c r="D822" s="4" t="n">
        <v>45486</v>
      </c>
      <c r="E822" s="2" t="inlineStr">
        <is>
          <t>15:20</t>
        </is>
      </c>
      <c r="F822" s="5">
        <f>C822-C821</f>
        <v/>
      </c>
      <c r="G822" s="5">
        <f>B822-B821</f>
        <v/>
      </c>
      <c r="H822" s="2">
        <f>IF(AND(F822=1,G822=1),"OK","À JUSTIFIER")</f>
        <v/>
      </c>
    </row>
    <row r="823">
      <c r="A823" s="2" t="inlineStr">
        <is>
          <t>EJ030824.TXT</t>
        </is>
      </c>
      <c r="B823" s="3" t="inlineStr">
        <is>
          <t>005466</t>
        </is>
      </c>
      <c r="C823" s="3" t="inlineStr">
        <is>
          <t>004383</t>
        </is>
      </c>
      <c r="D823" s="4" t="n">
        <v>45486</v>
      </c>
      <c r="E823" s="2" t="inlineStr">
        <is>
          <t>15:20</t>
        </is>
      </c>
      <c r="F823" s="5">
        <f>C823-C822</f>
        <v/>
      </c>
      <c r="G823" s="5">
        <f>B823-B822</f>
        <v/>
      </c>
      <c r="H823" s="2">
        <f>IF(AND(F823=1,G823=1),"OK","À JUSTIFIER")</f>
        <v/>
      </c>
    </row>
    <row r="824">
      <c r="A824" s="2" t="inlineStr">
        <is>
          <t>EJ030824.TXT</t>
        </is>
      </c>
      <c r="B824" s="3" t="inlineStr">
        <is>
          <t>005467</t>
        </is>
      </c>
      <c r="C824" s="3" t="inlineStr">
        <is>
          <t>004384</t>
        </is>
      </c>
      <c r="D824" s="4" t="n">
        <v>45488</v>
      </c>
      <c r="E824" s="2" t="inlineStr">
        <is>
          <t>10:15</t>
        </is>
      </c>
      <c r="F824" s="5">
        <f>C824-C823</f>
        <v/>
      </c>
      <c r="G824" s="5">
        <f>B824-B823</f>
        <v/>
      </c>
      <c r="H824" s="2">
        <f>IF(AND(F824=1,G824=1),"OK","À JUSTIFIER")</f>
        <v/>
      </c>
    </row>
    <row r="825">
      <c r="A825" s="2" t="inlineStr">
        <is>
          <t>EJ030824.TXT</t>
        </is>
      </c>
      <c r="B825" s="3" t="inlineStr">
        <is>
          <t>005468</t>
        </is>
      </c>
      <c r="C825" s="3" t="inlineStr">
        <is>
          <t>004385</t>
        </is>
      </c>
      <c r="D825" s="4" t="n">
        <v>45488</v>
      </c>
      <c r="E825" s="2" t="inlineStr">
        <is>
          <t>10:36</t>
        </is>
      </c>
      <c r="F825" s="5">
        <f>C825-C824</f>
        <v/>
      </c>
      <c r="G825" s="5">
        <f>B825-B824</f>
        <v/>
      </c>
      <c r="H825" s="2">
        <f>IF(AND(F825=1,G825=1),"OK","À JUSTIFIER")</f>
        <v/>
      </c>
    </row>
    <row r="826">
      <c r="A826" s="2" t="inlineStr">
        <is>
          <t>EJ030824.TXT</t>
        </is>
      </c>
      <c r="B826" s="3" t="inlineStr">
        <is>
          <t>005469</t>
        </is>
      </c>
      <c r="C826" s="3" t="inlineStr">
        <is>
          <t>004386</t>
        </is>
      </c>
      <c r="D826" s="4" t="n">
        <v>45492</v>
      </c>
      <c r="E826" s="2" t="inlineStr">
        <is>
          <t>15:06</t>
        </is>
      </c>
      <c r="F826" s="5">
        <f>C826-C825</f>
        <v/>
      </c>
      <c r="G826" s="5">
        <f>B826-B825</f>
        <v/>
      </c>
      <c r="H826" s="2">
        <f>IF(AND(F826=1,G826=1),"OK","À JUSTIFIER")</f>
        <v/>
      </c>
    </row>
    <row r="827">
      <c r="A827" s="2" t="inlineStr">
        <is>
          <t>EJ030824.TXT</t>
        </is>
      </c>
      <c r="B827" s="3" t="inlineStr">
        <is>
          <t>005470</t>
        </is>
      </c>
      <c r="C827" s="3" t="inlineStr">
        <is>
          <t>004387</t>
        </is>
      </c>
      <c r="D827" s="4" t="n">
        <v>45495</v>
      </c>
      <c r="E827" s="2" t="inlineStr">
        <is>
          <t>16:15</t>
        </is>
      </c>
      <c r="F827" s="5">
        <f>C827-C826</f>
        <v/>
      </c>
      <c r="G827" s="5">
        <f>B827-B826</f>
        <v/>
      </c>
      <c r="H827" s="2">
        <f>IF(AND(F827=1,G827=1),"OK","À JUSTIFIER")</f>
        <v/>
      </c>
    </row>
    <row r="828">
      <c r="A828" s="2" t="inlineStr">
        <is>
          <t>EJ030824.TXT</t>
        </is>
      </c>
      <c r="B828" s="3" t="inlineStr">
        <is>
          <t>005471</t>
        </is>
      </c>
      <c r="C828" s="3" t="inlineStr">
        <is>
          <t>004388</t>
        </is>
      </c>
      <c r="D828" s="4" t="n">
        <v>45496</v>
      </c>
      <c r="E828" s="2" t="inlineStr">
        <is>
          <t>10:43</t>
        </is>
      </c>
      <c r="F828" s="5">
        <f>C828-C827</f>
        <v/>
      </c>
      <c r="G828" s="5">
        <f>B828-B827</f>
        <v/>
      </c>
      <c r="H828" s="2">
        <f>IF(AND(F828=1,G828=1),"OK","À JUSTIFIER")</f>
        <v/>
      </c>
    </row>
    <row r="829">
      <c r="A829" s="2" t="inlineStr">
        <is>
          <t>EJ030824.TXT</t>
        </is>
      </c>
      <c r="B829" s="3" t="inlineStr">
        <is>
          <t>005472</t>
        </is>
      </c>
      <c r="C829" s="3" t="inlineStr">
        <is>
          <t>004389</t>
        </is>
      </c>
      <c r="D829" s="4" t="n">
        <v>45497</v>
      </c>
      <c r="E829" s="2" t="inlineStr">
        <is>
          <t>09:59</t>
        </is>
      </c>
      <c r="F829" s="5">
        <f>C829-C828</f>
        <v/>
      </c>
      <c r="G829" s="5">
        <f>B829-B828</f>
        <v/>
      </c>
      <c r="H829" s="2">
        <f>IF(AND(F829=1,G829=1),"OK","À JUSTIFIER")</f>
        <v/>
      </c>
    </row>
    <row r="830">
      <c r="A830" s="2" t="inlineStr">
        <is>
          <t>EJ030824.TXT</t>
        </is>
      </c>
      <c r="B830" s="3" t="inlineStr">
        <is>
          <t>005473</t>
        </is>
      </c>
      <c r="C830" s="3" t="inlineStr">
        <is>
          <t>004390</t>
        </is>
      </c>
      <c r="D830" s="4" t="n">
        <v>45497</v>
      </c>
      <c r="E830" s="2" t="inlineStr">
        <is>
          <t>09:59</t>
        </is>
      </c>
      <c r="F830" s="5">
        <f>C830-C829</f>
        <v/>
      </c>
      <c r="G830" s="5">
        <f>B830-B829</f>
        <v/>
      </c>
      <c r="H830" s="2">
        <f>IF(AND(F830=1,G830=1),"OK","À JUSTIFIER")</f>
        <v/>
      </c>
    </row>
    <row r="831">
      <c r="A831" s="2" t="inlineStr">
        <is>
          <t>EJ030824.TXT</t>
        </is>
      </c>
      <c r="B831" s="3" t="inlineStr">
        <is>
          <t>005474</t>
        </is>
      </c>
      <c r="C831" s="3" t="inlineStr">
        <is>
          <t>004391</t>
        </is>
      </c>
      <c r="D831" s="4" t="n">
        <v>45497</v>
      </c>
      <c r="E831" s="2" t="inlineStr">
        <is>
          <t>10:01</t>
        </is>
      </c>
      <c r="F831" s="5">
        <f>C831-C830</f>
        <v/>
      </c>
      <c r="G831" s="5">
        <f>B831-B830</f>
        <v/>
      </c>
      <c r="H831" s="2">
        <f>IF(AND(F831=1,G831=1),"OK","À JUSTIFIER")</f>
        <v/>
      </c>
    </row>
    <row r="832">
      <c r="A832" s="2" t="inlineStr">
        <is>
          <t>EJ030824.TXT</t>
        </is>
      </c>
      <c r="B832" s="3" t="inlineStr">
        <is>
          <t>005475</t>
        </is>
      </c>
      <c r="C832" s="3" t="inlineStr">
        <is>
          <t>004392</t>
        </is>
      </c>
      <c r="D832" s="4" t="n">
        <v>45498</v>
      </c>
      <c r="E832" s="2" t="inlineStr">
        <is>
          <t>17:44</t>
        </is>
      </c>
      <c r="F832" s="5">
        <f>C832-C831</f>
        <v/>
      </c>
      <c r="G832" s="5">
        <f>B832-B831</f>
        <v/>
      </c>
      <c r="H832" s="2">
        <f>IF(AND(F832=1,G832=1),"OK","À JUSTIFIER")</f>
        <v/>
      </c>
    </row>
    <row r="833">
      <c r="A833" s="2" t="inlineStr">
        <is>
          <t>EJ030824.TXT</t>
        </is>
      </c>
      <c r="B833" s="3" t="inlineStr">
        <is>
          <t>005476</t>
        </is>
      </c>
      <c r="C833" s="3" t="inlineStr">
        <is>
          <t>004393</t>
        </is>
      </c>
      <c r="D833" s="4" t="n">
        <v>45499</v>
      </c>
      <c r="E833" s="2" t="inlineStr">
        <is>
          <t>10:46</t>
        </is>
      </c>
      <c r="F833" s="5">
        <f>C833-C832</f>
        <v/>
      </c>
      <c r="G833" s="5">
        <f>B833-B832</f>
        <v/>
      </c>
      <c r="H833" s="2">
        <f>IF(AND(F833=1,G833=1),"OK","À JUSTIFIER")</f>
        <v/>
      </c>
    </row>
    <row r="834">
      <c r="A834" s="2" t="inlineStr">
        <is>
          <t>EJ030824.TXT</t>
        </is>
      </c>
      <c r="B834" s="3" t="inlineStr">
        <is>
          <t>005477</t>
        </is>
      </c>
      <c r="C834" s="3" t="inlineStr">
        <is>
          <t>004394</t>
        </is>
      </c>
      <c r="D834" s="4" t="n">
        <v>45500</v>
      </c>
      <c r="E834" s="2" t="inlineStr">
        <is>
          <t>15:42</t>
        </is>
      </c>
      <c r="F834" s="5">
        <f>C834-C833</f>
        <v/>
      </c>
      <c r="G834" s="5">
        <f>B834-B833</f>
        <v/>
      </c>
      <c r="H834" s="2">
        <f>IF(AND(F834=1,G834=1),"OK","À JUSTIFIER")</f>
        <v/>
      </c>
    </row>
    <row r="835">
      <c r="A835" s="2" t="inlineStr">
        <is>
          <t>EJ030824.TXT</t>
        </is>
      </c>
      <c r="B835" s="3" t="inlineStr">
        <is>
          <t>005478</t>
        </is>
      </c>
      <c r="C835" s="3" t="inlineStr">
        <is>
          <t>004395</t>
        </is>
      </c>
      <c r="D835" s="4" t="n">
        <v>45502</v>
      </c>
      <c r="E835" s="2" t="inlineStr">
        <is>
          <t>11:30</t>
        </is>
      </c>
      <c r="F835" s="5">
        <f>C835-C834</f>
        <v/>
      </c>
      <c r="G835" s="5">
        <f>B835-B834</f>
        <v/>
      </c>
      <c r="H835" s="2">
        <f>IF(AND(F835=1,G835=1),"OK","À JUSTIFIER")</f>
        <v/>
      </c>
    </row>
    <row r="836">
      <c r="A836" s="2" t="inlineStr">
        <is>
          <t>EJ030824.TXT</t>
        </is>
      </c>
      <c r="B836" s="3" t="inlineStr">
        <is>
          <t>005479</t>
        </is>
      </c>
      <c r="C836" s="3" t="inlineStr">
        <is>
          <t>004396</t>
        </is>
      </c>
      <c r="D836" s="4" t="n">
        <v>45502</v>
      </c>
      <c r="E836" s="2" t="inlineStr">
        <is>
          <t>12:07</t>
        </is>
      </c>
      <c r="F836" s="5">
        <f>C836-C835</f>
        <v/>
      </c>
      <c r="G836" s="5">
        <f>B836-B835</f>
        <v/>
      </c>
      <c r="H836" s="2">
        <f>IF(AND(F836=1,G836=1),"OK","À JUSTIFIER")</f>
        <v/>
      </c>
    </row>
    <row r="837">
      <c r="A837" s="2" t="inlineStr">
        <is>
          <t>EJ030824.TXT</t>
        </is>
      </c>
      <c r="B837" s="3" t="inlineStr">
        <is>
          <t>005480</t>
        </is>
      </c>
      <c r="C837" s="3" t="inlineStr">
        <is>
          <t>004397</t>
        </is>
      </c>
      <c r="D837" s="4" t="n">
        <v>45503</v>
      </c>
      <c r="E837" s="2" t="inlineStr">
        <is>
          <t>09:01</t>
        </is>
      </c>
      <c r="F837" s="5">
        <f>C837-C836</f>
        <v/>
      </c>
      <c r="G837" s="5">
        <f>B837-B836</f>
        <v/>
      </c>
      <c r="H837" s="2">
        <f>IF(AND(F837=1,G837=1),"OK","À JUSTIFIER")</f>
        <v/>
      </c>
    </row>
    <row r="838">
      <c r="A838" s="2" t="inlineStr">
        <is>
          <t>EJ030824.TXT</t>
        </is>
      </c>
      <c r="B838" s="3" t="inlineStr">
        <is>
          <t>005481</t>
        </is>
      </c>
      <c r="C838" s="3" t="inlineStr">
        <is>
          <t>004398</t>
        </is>
      </c>
      <c r="D838" s="4" t="n">
        <v>45505</v>
      </c>
      <c r="E838" s="2" t="inlineStr">
        <is>
          <t>11:03</t>
        </is>
      </c>
      <c r="F838" s="5">
        <f>C838-C837</f>
        <v/>
      </c>
      <c r="G838" s="5">
        <f>B838-B837</f>
        <v/>
      </c>
      <c r="H838" s="2">
        <f>IF(AND(F838=1,G838=1),"OK","À JUSTIFIER")</f>
        <v/>
      </c>
    </row>
    <row r="839">
      <c r="A839" s="2" t="inlineStr">
        <is>
          <t>EJ030824.TXT</t>
        </is>
      </c>
      <c r="B839" s="3" t="inlineStr">
        <is>
          <t>005482</t>
        </is>
      </c>
      <c r="C839" s="3" t="inlineStr">
        <is>
          <t>004399</t>
        </is>
      </c>
      <c r="D839" s="4" t="n">
        <v>45506</v>
      </c>
      <c r="E839" s="2" t="inlineStr">
        <is>
          <t>14:03</t>
        </is>
      </c>
      <c r="F839" s="5">
        <f>C839-C838</f>
        <v/>
      </c>
      <c r="G839" s="5">
        <f>B839-B838</f>
        <v/>
      </c>
      <c r="H839" s="2">
        <f>IF(AND(F839=1,G839=1),"OK","À JUSTIFIER")</f>
        <v/>
      </c>
    </row>
    <row r="840">
      <c r="A840" s="2" t="inlineStr">
        <is>
          <t>EJ030824.TXT</t>
        </is>
      </c>
      <c r="B840" s="3" t="inlineStr">
        <is>
          <t>005483</t>
        </is>
      </c>
      <c r="C840" s="3" t="inlineStr">
        <is>
          <t>004400</t>
        </is>
      </c>
      <c r="D840" s="4" t="n">
        <v>45506</v>
      </c>
      <c r="E840" s="2" t="inlineStr">
        <is>
          <t>14:05</t>
        </is>
      </c>
      <c r="F840" s="5">
        <f>C840-C839</f>
        <v/>
      </c>
      <c r="G840" s="5">
        <f>B840-B839</f>
        <v/>
      </c>
      <c r="H840" s="2">
        <f>IF(AND(F840=1,G840=1),"OK","À JUSTIFIER")</f>
        <v/>
      </c>
    </row>
    <row r="841">
      <c r="A841" s="2" t="inlineStr">
        <is>
          <t>EJ030824.TXT</t>
        </is>
      </c>
      <c r="B841" s="3" t="inlineStr">
        <is>
          <t>005484</t>
        </is>
      </c>
      <c r="C841" s="3" t="inlineStr">
        <is>
          <t>004401</t>
        </is>
      </c>
      <c r="D841" s="4" t="n">
        <v>45506</v>
      </c>
      <c r="E841" s="2" t="inlineStr">
        <is>
          <t>15:20</t>
        </is>
      </c>
      <c r="F841" s="5">
        <f>C841-C840</f>
        <v/>
      </c>
      <c r="G841" s="5">
        <f>B841-B840</f>
        <v/>
      </c>
      <c r="H841" s="2">
        <f>IF(AND(F841=1,G841=1),"OK","À JUSTIFIER")</f>
        <v/>
      </c>
    </row>
    <row r="842">
      <c r="A842" s="2" t="inlineStr">
        <is>
          <t>EJ030824.TXT</t>
        </is>
      </c>
      <c r="B842" s="3" t="inlineStr">
        <is>
          <t>005485</t>
        </is>
      </c>
      <c r="C842" s="3" t="inlineStr">
        <is>
          <t>004402</t>
        </is>
      </c>
      <c r="D842" s="4" t="n">
        <v>45507</v>
      </c>
      <c r="E842" s="2" t="inlineStr">
        <is>
          <t>16:03</t>
        </is>
      </c>
      <c r="F842" s="5">
        <f>C842-C841</f>
        <v/>
      </c>
      <c r="G842" s="5">
        <f>B842-B841</f>
        <v/>
      </c>
      <c r="H842" s="2">
        <f>IF(AND(F842=1,G842=1),"OK","À JUSTIFIER")</f>
        <v/>
      </c>
    </row>
    <row r="843">
      <c r="A843" s="2" t="inlineStr">
        <is>
          <t>EJ030824.TXT</t>
        </is>
      </c>
      <c r="B843" s="3" t="inlineStr">
        <is>
          <t>005486</t>
        </is>
      </c>
      <c r="C843" s="3" t="inlineStr">
        <is>
          <t>004403</t>
        </is>
      </c>
      <c r="D843" s="4" t="n">
        <v>45507</v>
      </c>
      <c r="E843" s="2" t="inlineStr">
        <is>
          <t>16:03</t>
        </is>
      </c>
      <c r="F843" s="5">
        <f>C843-C842</f>
        <v/>
      </c>
      <c r="G843" s="5">
        <f>B843-B842</f>
        <v/>
      </c>
      <c r="H843" s="2">
        <f>IF(AND(F843=1,G843=1),"OK","À JUSTIFIER")</f>
        <v/>
      </c>
    </row>
    <row r="844">
      <c r="A844" s="2" t="inlineStr">
        <is>
          <t>EJ030824.TXT</t>
        </is>
      </c>
      <c r="B844" s="3" t="inlineStr">
        <is>
          <t>005487</t>
        </is>
      </c>
      <c r="C844" s="3" t="inlineStr">
        <is>
          <t>004404</t>
        </is>
      </c>
      <c r="D844" s="4" t="n">
        <v>45507</v>
      </c>
      <c r="E844" s="2" t="inlineStr">
        <is>
          <t>16:04</t>
        </is>
      </c>
      <c r="F844" s="5">
        <f>C844-C843</f>
        <v/>
      </c>
      <c r="G844" s="5">
        <f>B844-B843</f>
        <v/>
      </c>
      <c r="H844" s="2">
        <f>IF(AND(F844=1,G844=1),"OK","À JUSTIFIER")</f>
        <v/>
      </c>
    </row>
    <row r="845">
      <c r="A845" s="2" t="inlineStr">
        <is>
          <t>EJ030824.TXT</t>
        </is>
      </c>
      <c r="B845" s="3" t="inlineStr">
        <is>
          <t>005488</t>
        </is>
      </c>
      <c r="C845" s="3" t="inlineStr">
        <is>
          <t>004405</t>
        </is>
      </c>
      <c r="D845" s="4" t="n">
        <v>45507</v>
      </c>
      <c r="E845" s="2" t="inlineStr">
        <is>
          <t>16:04</t>
        </is>
      </c>
      <c r="F845" s="5">
        <f>C845-C844</f>
        <v/>
      </c>
      <c r="G845" s="5">
        <f>B845-B844</f>
        <v/>
      </c>
      <c r="H845" s="2">
        <f>IF(AND(F845=1,G845=1),"OK","À JUSTIFIER")</f>
        <v/>
      </c>
    </row>
    <row r="846">
      <c r="A846" s="2" t="inlineStr">
        <is>
          <t>EJ030824.TXT</t>
        </is>
      </c>
      <c r="B846" s="3" t="inlineStr">
        <is>
          <t>005489</t>
        </is>
      </c>
      <c r="C846" s="3" t="inlineStr">
        <is>
          <t>004406</t>
        </is>
      </c>
      <c r="D846" s="4" t="n">
        <v>45507</v>
      </c>
      <c r="E846" s="2" t="inlineStr">
        <is>
          <t>16:04</t>
        </is>
      </c>
      <c r="F846" s="5">
        <f>C846-C845</f>
        <v/>
      </c>
      <c r="G846" s="5">
        <f>B846-B845</f>
        <v/>
      </c>
      <c r="H846" s="2">
        <f>IF(AND(F846=1,G846=1),"OK","À JUSTIFIER")</f>
        <v/>
      </c>
    </row>
    <row r="847">
      <c r="A847" s="2" t="inlineStr">
        <is>
          <t>EJ030824.TXT</t>
        </is>
      </c>
      <c r="B847" s="3" t="inlineStr">
        <is>
          <t>005490</t>
        </is>
      </c>
      <c r="C847" s="3" t="inlineStr">
        <is>
          <t>004407</t>
        </is>
      </c>
      <c r="D847" s="4" t="n">
        <v>45507</v>
      </c>
      <c r="E847" s="2" t="inlineStr">
        <is>
          <t>16:05</t>
        </is>
      </c>
      <c r="F847" s="5">
        <f>C847-C846</f>
        <v/>
      </c>
      <c r="G847" s="5">
        <f>B847-B846</f>
        <v/>
      </c>
      <c r="H847" s="2">
        <f>IF(AND(F847=1,G847=1),"OK","À JUSTIFIER")</f>
        <v/>
      </c>
    </row>
    <row r="848">
      <c r="A848" s="2" t="inlineStr">
        <is>
          <t>EJ020924.TXT</t>
        </is>
      </c>
      <c r="B848" s="3" t="inlineStr">
        <is>
          <t>005499</t>
        </is>
      </c>
      <c r="C848" s="3" t="inlineStr">
        <is>
          <t>004408</t>
        </is>
      </c>
      <c r="D848" s="4" t="n">
        <v>45509</v>
      </c>
      <c r="E848" s="2" t="inlineStr">
        <is>
          <t>14:53</t>
        </is>
      </c>
      <c r="F848" s="5">
        <f>C848-C847</f>
        <v/>
      </c>
      <c r="G848" s="5">
        <f>B848-B847</f>
        <v/>
      </c>
      <c r="H848" s="2">
        <f>IF(AND(F848=1,G848=1),"OK","À JUSTIFIER")</f>
        <v/>
      </c>
    </row>
    <row r="849">
      <c r="A849" s="2" t="inlineStr">
        <is>
          <t>EJ020924.TXT</t>
        </is>
      </c>
      <c r="B849" s="3" t="inlineStr">
        <is>
          <t>005500</t>
        </is>
      </c>
      <c r="C849" s="3" t="inlineStr">
        <is>
          <t>004409</t>
        </is>
      </c>
      <c r="D849" s="4" t="n">
        <v>45510</v>
      </c>
      <c r="E849" s="2" t="inlineStr">
        <is>
          <t>11:41</t>
        </is>
      </c>
      <c r="F849" s="5">
        <f>C849-C848</f>
        <v/>
      </c>
      <c r="G849" s="5">
        <f>B849-B848</f>
        <v/>
      </c>
      <c r="H849" s="2">
        <f>IF(AND(F849=1,G849=1),"OK","À JUSTIFIER")</f>
        <v/>
      </c>
    </row>
    <row r="850">
      <c r="A850" s="2" t="inlineStr">
        <is>
          <t>EJ020924.TXT</t>
        </is>
      </c>
      <c r="B850" s="3" t="inlineStr">
        <is>
          <t>005501</t>
        </is>
      </c>
      <c r="C850" s="3" t="inlineStr">
        <is>
          <t>004410</t>
        </is>
      </c>
      <c r="D850" s="4" t="n">
        <v>45510</v>
      </c>
      <c r="E850" s="2" t="inlineStr">
        <is>
          <t>14:21</t>
        </is>
      </c>
      <c r="F850" s="5">
        <f>C850-C849</f>
        <v/>
      </c>
      <c r="G850" s="5">
        <f>B850-B849</f>
        <v/>
      </c>
      <c r="H850" s="2">
        <f>IF(AND(F850=1,G850=1),"OK","À JUSTIFIER")</f>
        <v/>
      </c>
    </row>
    <row r="851">
      <c r="A851" s="2" t="inlineStr">
        <is>
          <t>EJ020924.TXT</t>
        </is>
      </c>
      <c r="B851" s="3" t="inlineStr">
        <is>
          <t>005502</t>
        </is>
      </c>
      <c r="C851" s="3" t="inlineStr">
        <is>
          <t>004411</t>
        </is>
      </c>
      <c r="D851" s="4" t="n">
        <v>45510</v>
      </c>
      <c r="E851" s="2" t="inlineStr">
        <is>
          <t>14:36</t>
        </is>
      </c>
      <c r="F851" s="5">
        <f>C851-C850</f>
        <v/>
      </c>
      <c r="G851" s="5">
        <f>B851-B850</f>
        <v/>
      </c>
      <c r="H851" s="2">
        <f>IF(AND(F851=1,G851=1),"OK","À JUSTIFIER")</f>
        <v/>
      </c>
    </row>
    <row r="852">
      <c r="A852" s="2" t="inlineStr">
        <is>
          <t>EJ020924.TXT</t>
        </is>
      </c>
      <c r="B852" s="3" t="inlineStr">
        <is>
          <t>005503</t>
        </is>
      </c>
      <c r="C852" s="3" t="inlineStr">
        <is>
          <t>004412</t>
        </is>
      </c>
      <c r="D852" s="4" t="n">
        <v>45512</v>
      </c>
      <c r="E852" s="2" t="inlineStr">
        <is>
          <t>16:14</t>
        </is>
      </c>
      <c r="F852" s="5">
        <f>C852-C851</f>
        <v/>
      </c>
      <c r="G852" s="5">
        <f>B852-B851</f>
        <v/>
      </c>
      <c r="H852" s="2">
        <f>IF(AND(F852=1,G852=1),"OK","À JUSTIFIER")</f>
        <v/>
      </c>
    </row>
    <row r="853">
      <c r="A853" s="2" t="inlineStr">
        <is>
          <t>EJ020924.TXT</t>
        </is>
      </c>
      <c r="B853" s="3" t="inlineStr">
        <is>
          <t>005504</t>
        </is>
      </c>
      <c r="C853" s="3" t="inlineStr">
        <is>
          <t>004413</t>
        </is>
      </c>
      <c r="D853" s="4" t="n">
        <v>45513</v>
      </c>
      <c r="E853" s="2" t="inlineStr">
        <is>
          <t>16:20</t>
        </is>
      </c>
      <c r="F853" s="5">
        <f>C853-C852</f>
        <v/>
      </c>
      <c r="G853" s="5">
        <f>B853-B852</f>
        <v/>
      </c>
      <c r="H853" s="2">
        <f>IF(AND(F853=1,G853=1),"OK","À JUSTIFIER")</f>
        <v/>
      </c>
    </row>
    <row r="854">
      <c r="A854" s="2" t="inlineStr">
        <is>
          <t>EJ020924.TXT</t>
        </is>
      </c>
      <c r="B854" s="3" t="inlineStr">
        <is>
          <t>005505</t>
        </is>
      </c>
      <c r="C854" s="3" t="inlineStr">
        <is>
          <t>004414</t>
        </is>
      </c>
      <c r="D854" s="4" t="n">
        <v>45513</v>
      </c>
      <c r="E854" s="2" t="inlineStr">
        <is>
          <t>16:54</t>
        </is>
      </c>
      <c r="F854" s="5">
        <f>C854-C853</f>
        <v/>
      </c>
      <c r="G854" s="5">
        <f>B854-B853</f>
        <v/>
      </c>
      <c r="H854" s="2">
        <f>IF(AND(F854=1,G854=1),"OK","À JUSTIFIER")</f>
        <v/>
      </c>
    </row>
    <row r="855">
      <c r="A855" s="2" t="inlineStr">
        <is>
          <t>EJ020924.TXT</t>
        </is>
      </c>
      <c r="B855" s="3" t="inlineStr">
        <is>
          <t>005506</t>
        </is>
      </c>
      <c r="C855" s="3" t="inlineStr">
        <is>
          <t>004415</t>
        </is>
      </c>
      <c r="D855" s="4" t="n">
        <v>45514</v>
      </c>
      <c r="E855" s="2" t="inlineStr">
        <is>
          <t>13:58</t>
        </is>
      </c>
      <c r="F855" s="5">
        <f>C855-C854</f>
        <v/>
      </c>
      <c r="G855" s="5">
        <f>B855-B854</f>
        <v/>
      </c>
      <c r="H855" s="2">
        <f>IF(AND(F855=1,G855=1),"OK","À JUSTIFIER")</f>
        <v/>
      </c>
    </row>
    <row r="856">
      <c r="A856" s="2" t="inlineStr">
        <is>
          <t>EJ020924.TXT</t>
        </is>
      </c>
      <c r="B856" s="3" t="inlineStr">
        <is>
          <t>005507</t>
        </is>
      </c>
      <c r="C856" s="3" t="inlineStr">
        <is>
          <t>004416</t>
        </is>
      </c>
      <c r="D856" s="4" t="n">
        <v>45514</v>
      </c>
      <c r="E856" s="2" t="inlineStr">
        <is>
          <t>14:08</t>
        </is>
      </c>
      <c r="F856" s="5">
        <f>C856-C855</f>
        <v/>
      </c>
      <c r="G856" s="5">
        <f>B856-B855</f>
        <v/>
      </c>
      <c r="H856" s="2">
        <f>IF(AND(F856=1,G856=1),"OK","À JUSTIFIER")</f>
        <v/>
      </c>
    </row>
    <row r="857">
      <c r="A857" s="2" t="inlineStr">
        <is>
          <t>EJ020924.TXT</t>
        </is>
      </c>
      <c r="B857" s="3" t="inlineStr">
        <is>
          <t>005508</t>
        </is>
      </c>
      <c r="C857" s="3" t="inlineStr">
        <is>
          <t>004417</t>
        </is>
      </c>
      <c r="D857" s="4" t="n">
        <v>45514</v>
      </c>
      <c r="E857" s="2" t="inlineStr">
        <is>
          <t>14:08</t>
        </is>
      </c>
      <c r="F857" s="5">
        <f>C857-C856</f>
        <v/>
      </c>
      <c r="G857" s="5">
        <f>B857-B856</f>
        <v/>
      </c>
      <c r="H857" s="2">
        <f>IF(AND(F857=1,G857=1),"OK","À JUSTIFIER")</f>
        <v/>
      </c>
    </row>
    <row r="858">
      <c r="A858" s="2" t="inlineStr">
        <is>
          <t>EJ020924.TXT</t>
        </is>
      </c>
      <c r="B858" s="3" t="inlineStr">
        <is>
          <t>005509</t>
        </is>
      </c>
      <c r="C858" s="3" t="inlineStr">
        <is>
          <t>004418</t>
        </is>
      </c>
      <c r="D858" s="4" t="n">
        <v>45514</v>
      </c>
      <c r="E858" s="2" t="inlineStr">
        <is>
          <t>14:09</t>
        </is>
      </c>
      <c r="F858" s="5">
        <f>C858-C857</f>
        <v/>
      </c>
      <c r="G858" s="5">
        <f>B858-B857</f>
        <v/>
      </c>
      <c r="H858" s="2">
        <f>IF(AND(F858=1,G858=1),"OK","À JUSTIFIER")</f>
        <v/>
      </c>
    </row>
    <row r="859">
      <c r="A859" s="2" t="inlineStr">
        <is>
          <t>EJ020924.TXT</t>
        </is>
      </c>
      <c r="B859" s="3" t="inlineStr">
        <is>
          <t>005510</t>
        </is>
      </c>
      <c r="C859" s="3" t="inlineStr">
        <is>
          <t>004419</t>
        </is>
      </c>
      <c r="D859" s="4" t="n">
        <v>45514</v>
      </c>
      <c r="E859" s="2" t="inlineStr">
        <is>
          <t>14:12</t>
        </is>
      </c>
      <c r="F859" s="5">
        <f>C859-C858</f>
        <v/>
      </c>
      <c r="G859" s="5">
        <f>B859-B858</f>
        <v/>
      </c>
      <c r="H859" s="2">
        <f>IF(AND(F859=1,G859=1),"OK","À JUSTIFIER")</f>
        <v/>
      </c>
    </row>
    <row r="860">
      <c r="A860" s="2" t="inlineStr">
        <is>
          <t>EJ020924.TXT</t>
        </is>
      </c>
      <c r="B860" s="3" t="inlineStr">
        <is>
          <t>005511</t>
        </is>
      </c>
      <c r="C860" s="3" t="inlineStr">
        <is>
          <t>004420</t>
        </is>
      </c>
      <c r="D860" s="4" t="n">
        <v>45514</v>
      </c>
      <c r="E860" s="2" t="inlineStr">
        <is>
          <t>14:57</t>
        </is>
      </c>
      <c r="F860" s="5">
        <f>C860-C859</f>
        <v/>
      </c>
      <c r="G860" s="5">
        <f>B860-B859</f>
        <v/>
      </c>
      <c r="H860" s="2">
        <f>IF(AND(F860=1,G860=1),"OK","À JUSTIFIER")</f>
        <v/>
      </c>
    </row>
    <row r="861">
      <c r="A861" s="2" t="inlineStr">
        <is>
          <t>EJ020924.TXT</t>
        </is>
      </c>
      <c r="B861" s="3" t="inlineStr">
        <is>
          <t>005512</t>
        </is>
      </c>
      <c r="C861" s="3" t="inlineStr">
        <is>
          <t>004421</t>
        </is>
      </c>
      <c r="D861" s="4" t="n">
        <v>45516</v>
      </c>
      <c r="E861" s="2" t="inlineStr">
        <is>
          <t>15:07</t>
        </is>
      </c>
      <c r="F861" s="5">
        <f>C861-C860</f>
        <v/>
      </c>
      <c r="G861" s="5">
        <f>B861-B860</f>
        <v/>
      </c>
      <c r="H861" s="2">
        <f>IF(AND(F861=1,G861=1),"OK","À JUSTIFIER")</f>
        <v/>
      </c>
    </row>
    <row r="862">
      <c r="A862" s="2" t="inlineStr">
        <is>
          <t>EJ020924.TXT</t>
        </is>
      </c>
      <c r="B862" s="3" t="inlineStr">
        <is>
          <t>005513</t>
        </is>
      </c>
      <c r="C862" s="3" t="inlineStr">
        <is>
          <t>004422</t>
        </is>
      </c>
      <c r="D862" s="4" t="n">
        <v>45516</v>
      </c>
      <c r="E862" s="2" t="inlineStr">
        <is>
          <t>15:08</t>
        </is>
      </c>
      <c r="F862" s="5">
        <f>C862-C861</f>
        <v/>
      </c>
      <c r="G862" s="5">
        <f>B862-B861</f>
        <v/>
      </c>
      <c r="H862" s="2">
        <f>IF(AND(F862=1,G862=1),"OK","À JUSTIFIER")</f>
        <v/>
      </c>
    </row>
    <row r="863">
      <c r="A863" s="2" t="inlineStr">
        <is>
          <t>EJ020924.TXT</t>
        </is>
      </c>
      <c r="B863" s="3" t="inlineStr">
        <is>
          <t>005514</t>
        </is>
      </c>
      <c r="C863" s="3" t="inlineStr">
        <is>
          <t>004423</t>
        </is>
      </c>
      <c r="D863" s="4" t="n">
        <v>45516</v>
      </c>
      <c r="E863" s="2" t="inlineStr">
        <is>
          <t>15:32</t>
        </is>
      </c>
      <c r="F863" s="5">
        <f>C863-C862</f>
        <v/>
      </c>
      <c r="G863" s="5">
        <f>B863-B862</f>
        <v/>
      </c>
      <c r="H863" s="2">
        <f>IF(AND(F863=1,G863=1),"OK","À JUSTIFIER")</f>
        <v/>
      </c>
    </row>
    <row r="864">
      <c r="A864" s="2" t="inlineStr">
        <is>
          <t>EJ020924.TXT</t>
        </is>
      </c>
      <c r="B864" s="3" t="inlineStr">
        <is>
          <t>005515</t>
        </is>
      </c>
      <c r="C864" s="3" t="inlineStr">
        <is>
          <t>004424</t>
        </is>
      </c>
      <c r="D864" s="4" t="n">
        <v>45516</v>
      </c>
      <c r="E864" s="2" t="inlineStr">
        <is>
          <t>16:02</t>
        </is>
      </c>
      <c r="F864" s="5">
        <f>C864-C863</f>
        <v/>
      </c>
      <c r="G864" s="5">
        <f>B864-B863</f>
        <v/>
      </c>
      <c r="H864" s="2">
        <f>IF(AND(F864=1,G864=1),"OK","À JUSTIFIER")</f>
        <v/>
      </c>
    </row>
    <row r="865">
      <c r="A865" s="2" t="inlineStr">
        <is>
          <t>EJ020924.TXT</t>
        </is>
      </c>
      <c r="B865" s="3" t="inlineStr">
        <is>
          <t>005516</t>
        </is>
      </c>
      <c r="C865" s="3" t="inlineStr">
        <is>
          <t>004425</t>
        </is>
      </c>
      <c r="D865" s="4" t="n">
        <v>45517</v>
      </c>
      <c r="E865" s="2" t="inlineStr">
        <is>
          <t>14:16</t>
        </is>
      </c>
      <c r="F865" s="5">
        <f>C865-C864</f>
        <v/>
      </c>
      <c r="G865" s="5">
        <f>B865-B864</f>
        <v/>
      </c>
      <c r="H865" s="2">
        <f>IF(AND(F865=1,G865=1),"OK","À JUSTIFIER")</f>
        <v/>
      </c>
    </row>
    <row r="866">
      <c r="A866" s="2" t="inlineStr">
        <is>
          <t>EJ020924.TXT</t>
        </is>
      </c>
      <c r="B866" s="3" t="inlineStr">
        <is>
          <t>005517</t>
        </is>
      </c>
      <c r="C866" s="3" t="inlineStr">
        <is>
          <t>004426</t>
        </is>
      </c>
      <c r="D866" s="4" t="n">
        <v>45517</v>
      </c>
      <c r="E866" s="2" t="inlineStr">
        <is>
          <t>14:17</t>
        </is>
      </c>
      <c r="F866" s="5">
        <f>C866-C865</f>
        <v/>
      </c>
      <c r="G866" s="5">
        <f>B866-B865</f>
        <v/>
      </c>
      <c r="H866" s="2">
        <f>IF(AND(F866=1,G866=1),"OK","À JUSTIFIER")</f>
        <v/>
      </c>
    </row>
    <row r="867">
      <c r="A867" s="2" t="inlineStr">
        <is>
          <t>EJ020924.TXT</t>
        </is>
      </c>
      <c r="B867" s="3" t="inlineStr">
        <is>
          <t>005518</t>
        </is>
      </c>
      <c r="C867" s="3" t="inlineStr">
        <is>
          <t>004427</t>
        </is>
      </c>
      <c r="D867" s="4" t="n">
        <v>45517</v>
      </c>
      <c r="E867" s="2" t="inlineStr">
        <is>
          <t>14:17</t>
        </is>
      </c>
      <c r="F867" s="5">
        <f>C867-C866</f>
        <v/>
      </c>
      <c r="G867" s="5">
        <f>B867-B866</f>
        <v/>
      </c>
      <c r="H867" s="2">
        <f>IF(AND(F867=1,G867=1),"OK","À JUSTIFIER")</f>
        <v/>
      </c>
    </row>
    <row r="868">
      <c r="A868" s="2" t="inlineStr">
        <is>
          <t>EJ020924.TXT</t>
        </is>
      </c>
      <c r="B868" s="3" t="inlineStr">
        <is>
          <t>005519</t>
        </is>
      </c>
      <c r="C868" s="3" t="inlineStr">
        <is>
          <t>004428</t>
        </is>
      </c>
      <c r="D868" s="4" t="n">
        <v>45517</v>
      </c>
      <c r="E868" s="2" t="inlineStr">
        <is>
          <t>14:18</t>
        </is>
      </c>
      <c r="F868" s="5">
        <f>C868-C867</f>
        <v/>
      </c>
      <c r="G868" s="5">
        <f>B868-B867</f>
        <v/>
      </c>
      <c r="H868" s="2">
        <f>IF(AND(F868=1,G868=1),"OK","À JUSTIFIER")</f>
        <v/>
      </c>
    </row>
    <row r="869">
      <c r="A869" s="2" t="inlineStr">
        <is>
          <t>EJ020924.TXT</t>
        </is>
      </c>
      <c r="B869" s="3" t="inlineStr">
        <is>
          <t>005520</t>
        </is>
      </c>
      <c r="C869" s="3" t="inlineStr">
        <is>
          <t>004429</t>
        </is>
      </c>
      <c r="D869" s="4" t="n">
        <v>45517</v>
      </c>
      <c r="E869" s="2" t="inlineStr">
        <is>
          <t>14:19</t>
        </is>
      </c>
      <c r="F869" s="5">
        <f>C869-C868</f>
        <v/>
      </c>
      <c r="G869" s="5">
        <f>B869-B868</f>
        <v/>
      </c>
      <c r="H869" s="2">
        <f>IF(AND(F869=1,G869=1),"OK","À JUSTIFIER")</f>
        <v/>
      </c>
    </row>
    <row r="870">
      <c r="A870" s="2" t="inlineStr">
        <is>
          <t>EJ020924.TXT</t>
        </is>
      </c>
      <c r="B870" s="3" t="inlineStr">
        <is>
          <t>005521</t>
        </is>
      </c>
      <c r="C870" s="3" t="inlineStr">
        <is>
          <t>004430</t>
        </is>
      </c>
      <c r="D870" s="4" t="n">
        <v>45517</v>
      </c>
      <c r="E870" s="2" t="inlineStr">
        <is>
          <t>14:20</t>
        </is>
      </c>
      <c r="F870" s="5">
        <f>C870-C869</f>
        <v/>
      </c>
      <c r="G870" s="5">
        <f>B870-B869</f>
        <v/>
      </c>
      <c r="H870" s="2">
        <f>IF(AND(F870=1,G870=1),"OK","À JUSTIFIER")</f>
        <v/>
      </c>
    </row>
    <row r="871">
      <c r="A871" s="2" t="inlineStr">
        <is>
          <t>EJ020924.TXT</t>
        </is>
      </c>
      <c r="B871" s="3" t="inlineStr">
        <is>
          <t>005522</t>
        </is>
      </c>
      <c r="C871" s="3" t="inlineStr">
        <is>
          <t>004431</t>
        </is>
      </c>
      <c r="D871" s="4" t="n">
        <v>45517</v>
      </c>
      <c r="E871" s="2" t="inlineStr">
        <is>
          <t>14:33</t>
        </is>
      </c>
      <c r="F871" s="5">
        <f>C871-C870</f>
        <v/>
      </c>
      <c r="G871" s="5">
        <f>B871-B870</f>
        <v/>
      </c>
      <c r="H871" s="2">
        <f>IF(AND(F871=1,G871=1),"OK","À JUSTIFIER")</f>
        <v/>
      </c>
    </row>
    <row r="872">
      <c r="A872" s="2" t="inlineStr">
        <is>
          <t>EJ020924.TXT</t>
        </is>
      </c>
      <c r="B872" s="3" t="inlineStr">
        <is>
          <t>005523</t>
        </is>
      </c>
      <c r="C872" s="3" t="inlineStr">
        <is>
          <t>004432</t>
        </is>
      </c>
      <c r="D872" s="4" t="n">
        <v>45517</v>
      </c>
      <c r="E872" s="2" t="inlineStr">
        <is>
          <t>14:34</t>
        </is>
      </c>
      <c r="F872" s="5">
        <f>C872-C871</f>
        <v/>
      </c>
      <c r="G872" s="5">
        <f>B872-B871</f>
        <v/>
      </c>
      <c r="H872" s="2">
        <f>IF(AND(F872=1,G872=1),"OK","À JUSTIFIER")</f>
        <v/>
      </c>
    </row>
    <row r="873">
      <c r="A873" s="2" t="inlineStr">
        <is>
          <t>EJ020924.TXT</t>
        </is>
      </c>
      <c r="B873" s="3" t="inlineStr">
        <is>
          <t>005524</t>
        </is>
      </c>
      <c r="C873" s="3" t="inlineStr">
        <is>
          <t>004433</t>
        </is>
      </c>
      <c r="D873" s="4" t="n">
        <v>45517</v>
      </c>
      <c r="E873" s="2" t="inlineStr">
        <is>
          <t>14:34</t>
        </is>
      </c>
      <c r="F873" s="5">
        <f>C873-C872</f>
        <v/>
      </c>
      <c r="G873" s="5">
        <f>B873-B872</f>
        <v/>
      </c>
      <c r="H873" s="2">
        <f>IF(AND(F873=1,G873=1),"OK","À JUSTIFIER")</f>
        <v/>
      </c>
    </row>
    <row r="874">
      <c r="A874" s="2" t="inlineStr">
        <is>
          <t>EJ020924.TXT</t>
        </is>
      </c>
      <c r="B874" s="3" t="inlineStr">
        <is>
          <t>005525</t>
        </is>
      </c>
      <c r="C874" s="3" t="inlineStr">
        <is>
          <t>004434</t>
        </is>
      </c>
      <c r="D874" s="4" t="n">
        <v>45517</v>
      </c>
      <c r="E874" s="2" t="inlineStr">
        <is>
          <t>14:34</t>
        </is>
      </c>
      <c r="F874" s="5">
        <f>C874-C873</f>
        <v/>
      </c>
      <c r="G874" s="5">
        <f>B874-B873</f>
        <v/>
      </c>
      <c r="H874" s="2">
        <f>IF(AND(F874=1,G874=1),"OK","À JUSTIFIER")</f>
        <v/>
      </c>
    </row>
    <row r="875">
      <c r="A875" s="2" t="inlineStr">
        <is>
          <t>EJ020924.TXT</t>
        </is>
      </c>
      <c r="B875" s="3" t="inlineStr">
        <is>
          <t>005526</t>
        </is>
      </c>
      <c r="C875" s="3" t="inlineStr">
        <is>
          <t>004435</t>
        </is>
      </c>
      <c r="D875" s="4" t="n">
        <v>45517</v>
      </c>
      <c r="E875" s="2" t="inlineStr">
        <is>
          <t>14:34</t>
        </is>
      </c>
      <c r="F875" s="5">
        <f>C875-C874</f>
        <v/>
      </c>
      <c r="G875" s="5">
        <f>B875-B874</f>
        <v/>
      </c>
      <c r="H875" s="2">
        <f>IF(AND(F875=1,G875=1),"OK","À JUSTIFIER")</f>
        <v/>
      </c>
    </row>
    <row r="876">
      <c r="A876" s="2" t="inlineStr">
        <is>
          <t>EJ020924.TXT</t>
        </is>
      </c>
      <c r="B876" s="3" t="inlineStr">
        <is>
          <t>005527</t>
        </is>
      </c>
      <c r="C876" s="3" t="inlineStr">
        <is>
          <t>004436</t>
        </is>
      </c>
      <c r="D876" s="4" t="n">
        <v>45517</v>
      </c>
      <c r="E876" s="2" t="inlineStr">
        <is>
          <t>14:35</t>
        </is>
      </c>
      <c r="F876" s="5">
        <f>C876-C875</f>
        <v/>
      </c>
      <c r="G876" s="5">
        <f>B876-B875</f>
        <v/>
      </c>
      <c r="H876" s="2">
        <f>IF(AND(F876=1,G876=1),"OK","À JUSTIFIER")</f>
        <v/>
      </c>
    </row>
    <row r="877">
      <c r="A877" s="2" t="inlineStr">
        <is>
          <t>EJ020924.TXT</t>
        </is>
      </c>
      <c r="B877" s="3" t="inlineStr">
        <is>
          <t>005528</t>
        </is>
      </c>
      <c r="C877" s="3" t="inlineStr">
        <is>
          <t>004437</t>
        </is>
      </c>
      <c r="D877" s="4" t="n">
        <v>45517</v>
      </c>
      <c r="E877" s="2" t="inlineStr">
        <is>
          <t>14:35</t>
        </is>
      </c>
      <c r="F877" s="5">
        <f>C877-C876</f>
        <v/>
      </c>
      <c r="G877" s="5">
        <f>B877-B876</f>
        <v/>
      </c>
      <c r="H877" s="2">
        <f>IF(AND(F877=1,G877=1),"OK","À JUSTIFIER")</f>
        <v/>
      </c>
    </row>
    <row r="878">
      <c r="A878" s="2" t="inlineStr">
        <is>
          <t>EJ020924.TXT</t>
        </is>
      </c>
      <c r="B878" s="3" t="inlineStr">
        <is>
          <t>005529</t>
        </is>
      </c>
      <c r="C878" s="3" t="inlineStr">
        <is>
          <t>004438</t>
        </is>
      </c>
      <c r="D878" s="4" t="n">
        <v>45517</v>
      </c>
      <c r="E878" s="2" t="inlineStr">
        <is>
          <t>14:35</t>
        </is>
      </c>
      <c r="F878" s="5">
        <f>C878-C877</f>
        <v/>
      </c>
      <c r="G878" s="5">
        <f>B878-B877</f>
        <v/>
      </c>
      <c r="H878" s="2">
        <f>IF(AND(F878=1,G878=1),"OK","À JUSTIFIER")</f>
        <v/>
      </c>
    </row>
    <row r="879">
      <c r="A879" s="2" t="inlineStr">
        <is>
          <t>EJ020924.TXT</t>
        </is>
      </c>
      <c r="B879" s="3" t="inlineStr">
        <is>
          <t>005530</t>
        </is>
      </c>
      <c r="C879" s="3" t="inlineStr">
        <is>
          <t>004439</t>
        </is>
      </c>
      <c r="D879" s="4" t="n">
        <v>45517</v>
      </c>
      <c r="E879" s="2" t="inlineStr">
        <is>
          <t>14:36</t>
        </is>
      </c>
      <c r="F879" s="5">
        <f>C879-C878</f>
        <v/>
      </c>
      <c r="G879" s="5">
        <f>B879-B878</f>
        <v/>
      </c>
      <c r="H879" s="2">
        <f>IF(AND(F879=1,G879=1),"OK","À JUSTIFIER")</f>
        <v/>
      </c>
    </row>
    <row r="880">
      <c r="A880" s="2" t="inlineStr">
        <is>
          <t>EJ020924.TXT</t>
        </is>
      </c>
      <c r="B880" s="3" t="inlineStr">
        <is>
          <t>005531</t>
        </is>
      </c>
      <c r="C880" s="3" t="inlineStr">
        <is>
          <t>004440</t>
        </is>
      </c>
      <c r="D880" s="4" t="n">
        <v>45517</v>
      </c>
      <c r="E880" s="2" t="inlineStr">
        <is>
          <t>14:51</t>
        </is>
      </c>
      <c r="F880" s="5">
        <f>C880-C879</f>
        <v/>
      </c>
      <c r="G880" s="5">
        <f>B880-B879</f>
        <v/>
      </c>
      <c r="H880" s="2">
        <f>IF(AND(F880=1,G880=1),"OK","À JUSTIFIER")</f>
        <v/>
      </c>
    </row>
    <row r="881">
      <c r="A881" s="2" t="inlineStr">
        <is>
          <t>EJ020924.TXT</t>
        </is>
      </c>
      <c r="B881" s="3" t="inlineStr">
        <is>
          <t>005532</t>
        </is>
      </c>
      <c r="C881" s="3" t="inlineStr">
        <is>
          <t>004441</t>
        </is>
      </c>
      <c r="D881" s="4" t="n">
        <v>45517</v>
      </c>
      <c r="E881" s="2" t="inlineStr">
        <is>
          <t>15:33</t>
        </is>
      </c>
      <c r="F881" s="5">
        <f>C881-C880</f>
        <v/>
      </c>
      <c r="G881" s="5">
        <f>B881-B880</f>
        <v/>
      </c>
      <c r="H881" s="2">
        <f>IF(AND(F881=1,G881=1),"OK","À JUSTIFIER")</f>
        <v/>
      </c>
    </row>
    <row r="882">
      <c r="A882" s="2" t="inlineStr">
        <is>
          <t>EJ020924.TXT</t>
        </is>
      </c>
      <c r="B882" s="3" t="inlineStr">
        <is>
          <t>005533</t>
        </is>
      </c>
      <c r="C882" s="3" t="inlineStr">
        <is>
          <t>004442</t>
        </is>
      </c>
      <c r="D882" s="4" t="n">
        <v>45518</v>
      </c>
      <c r="E882" s="2" t="inlineStr">
        <is>
          <t>15:41</t>
        </is>
      </c>
      <c r="F882" s="5">
        <f>C882-C881</f>
        <v/>
      </c>
      <c r="G882" s="5">
        <f>B882-B881</f>
        <v/>
      </c>
      <c r="H882" s="2">
        <f>IF(AND(F882=1,G882=1),"OK","À JUSTIFIER")</f>
        <v/>
      </c>
    </row>
    <row r="883">
      <c r="A883" s="2" t="inlineStr">
        <is>
          <t>EJ020924.TXT</t>
        </is>
      </c>
      <c r="B883" s="3" t="inlineStr">
        <is>
          <t>005534</t>
        </is>
      </c>
      <c r="C883" s="3" t="inlineStr">
        <is>
          <t>004443</t>
        </is>
      </c>
      <c r="D883" s="4" t="n">
        <v>45520</v>
      </c>
      <c r="E883" s="2" t="inlineStr">
        <is>
          <t>15:32</t>
        </is>
      </c>
      <c r="F883" s="5">
        <f>C883-C882</f>
        <v/>
      </c>
      <c r="G883" s="5">
        <f>B883-B882</f>
        <v/>
      </c>
      <c r="H883" s="2">
        <f>IF(AND(F883=1,G883=1),"OK","À JUSTIFIER")</f>
        <v/>
      </c>
    </row>
    <row r="884">
      <c r="A884" s="2" t="inlineStr">
        <is>
          <t>EJ020924.TXT</t>
        </is>
      </c>
      <c r="B884" s="3" t="inlineStr">
        <is>
          <t>005535</t>
        </is>
      </c>
      <c r="C884" s="3" t="inlineStr">
        <is>
          <t>004444</t>
        </is>
      </c>
      <c r="D884" s="4" t="n">
        <v>45524</v>
      </c>
      <c r="E884" s="2" t="inlineStr">
        <is>
          <t>14:03</t>
        </is>
      </c>
      <c r="F884" s="5">
        <f>C884-C883</f>
        <v/>
      </c>
      <c r="G884" s="5">
        <f>B884-B883</f>
        <v/>
      </c>
      <c r="H884" s="2">
        <f>IF(AND(F884=1,G884=1),"OK","À JUSTIFIER")</f>
        <v/>
      </c>
    </row>
    <row r="885">
      <c r="A885" s="2" t="inlineStr">
        <is>
          <t>EJ020924.TXT</t>
        </is>
      </c>
      <c r="B885" s="3" t="inlineStr">
        <is>
          <t>005536</t>
        </is>
      </c>
      <c r="C885" s="3" t="inlineStr">
        <is>
          <t>004445</t>
        </is>
      </c>
      <c r="D885" s="4" t="n">
        <v>45524</v>
      </c>
      <c r="E885" s="2" t="inlineStr">
        <is>
          <t>14:03</t>
        </is>
      </c>
      <c r="F885" s="5">
        <f>C885-C884</f>
        <v/>
      </c>
      <c r="G885" s="5">
        <f>B885-B884</f>
        <v/>
      </c>
      <c r="H885" s="2">
        <f>IF(AND(F885=1,G885=1),"OK","À JUSTIFIER")</f>
        <v/>
      </c>
    </row>
    <row r="886">
      <c r="A886" s="2" t="inlineStr">
        <is>
          <t>EJ020924.TXT</t>
        </is>
      </c>
      <c r="B886" s="3" t="inlineStr">
        <is>
          <t>005537</t>
        </is>
      </c>
      <c r="C886" s="3" t="inlineStr">
        <is>
          <t>004446</t>
        </is>
      </c>
      <c r="D886" s="4" t="n">
        <v>45524</v>
      </c>
      <c r="E886" s="2" t="inlineStr">
        <is>
          <t>15:09</t>
        </is>
      </c>
      <c r="F886" s="5">
        <f>C886-C885</f>
        <v/>
      </c>
      <c r="G886" s="5">
        <f>B886-B885</f>
        <v/>
      </c>
      <c r="H886" s="2">
        <f>IF(AND(F886=1,G886=1),"OK","À JUSTIFIER")</f>
        <v/>
      </c>
    </row>
    <row r="887">
      <c r="A887" s="2" t="inlineStr">
        <is>
          <t>EJ020924.TXT</t>
        </is>
      </c>
      <c r="B887" s="3" t="inlineStr">
        <is>
          <t>005538</t>
        </is>
      </c>
      <c r="C887" s="3" t="inlineStr">
        <is>
          <t>004447</t>
        </is>
      </c>
      <c r="D887" s="4" t="n">
        <v>45524</v>
      </c>
      <c r="E887" s="2" t="inlineStr">
        <is>
          <t>15:43</t>
        </is>
      </c>
      <c r="F887" s="5">
        <f>C887-C886</f>
        <v/>
      </c>
      <c r="G887" s="5">
        <f>B887-B886</f>
        <v/>
      </c>
      <c r="H887" s="2">
        <f>IF(AND(F887=1,G887=1),"OK","À JUSTIFIER")</f>
        <v/>
      </c>
    </row>
    <row r="888">
      <c r="A888" s="2" t="inlineStr">
        <is>
          <t>EJ020924.TXT</t>
        </is>
      </c>
      <c r="B888" s="3" t="inlineStr">
        <is>
          <t>005539</t>
        </is>
      </c>
      <c r="C888" s="3" t="inlineStr">
        <is>
          <t>004448</t>
        </is>
      </c>
      <c r="D888" s="4" t="n">
        <v>45525</v>
      </c>
      <c r="E888" s="2" t="inlineStr">
        <is>
          <t>14:47</t>
        </is>
      </c>
      <c r="F888" s="5">
        <f>C888-C887</f>
        <v/>
      </c>
      <c r="G888" s="5">
        <f>B888-B887</f>
        <v/>
      </c>
      <c r="H888" s="2">
        <f>IF(AND(F888=1,G888=1),"OK","À JUSTIFIER")</f>
        <v/>
      </c>
    </row>
    <row r="889">
      <c r="A889" s="2" t="inlineStr">
        <is>
          <t>EJ020924.TXT</t>
        </is>
      </c>
      <c r="B889" s="3" t="inlineStr">
        <is>
          <t>005540</t>
        </is>
      </c>
      <c r="C889" s="3" t="inlineStr">
        <is>
          <t>004449</t>
        </is>
      </c>
      <c r="D889" s="4" t="n">
        <v>45527</v>
      </c>
      <c r="E889" s="2" t="inlineStr">
        <is>
          <t>15:29</t>
        </is>
      </c>
      <c r="F889" s="5">
        <f>C889-C888</f>
        <v/>
      </c>
      <c r="G889" s="5">
        <f>B889-B888</f>
        <v/>
      </c>
      <c r="H889" s="2">
        <f>IF(AND(F889=1,G889=1),"OK","À JUSTIFIER")</f>
        <v/>
      </c>
    </row>
    <row r="890">
      <c r="A890" s="2" t="inlineStr">
        <is>
          <t>EJ020924.TXT</t>
        </is>
      </c>
      <c r="B890" s="3" t="inlineStr">
        <is>
          <t>005541</t>
        </is>
      </c>
      <c r="C890" s="3" t="inlineStr">
        <is>
          <t>004450</t>
        </is>
      </c>
      <c r="D890" s="4" t="n">
        <v>45528</v>
      </c>
      <c r="E890" s="2" t="inlineStr">
        <is>
          <t>16:10</t>
        </is>
      </c>
      <c r="F890" s="5">
        <f>C890-C889</f>
        <v/>
      </c>
      <c r="G890" s="5">
        <f>B890-B889</f>
        <v/>
      </c>
      <c r="H890" s="2">
        <f>IF(AND(F890=1,G890=1),"OK","À JUSTIFIER")</f>
        <v/>
      </c>
    </row>
    <row r="891">
      <c r="A891" s="2" t="inlineStr">
        <is>
          <t>EJ020924.TXT</t>
        </is>
      </c>
      <c r="B891" s="3" t="inlineStr">
        <is>
          <t>005542</t>
        </is>
      </c>
      <c r="C891" s="3" t="inlineStr">
        <is>
          <t>004451</t>
        </is>
      </c>
      <c r="D891" s="4" t="n">
        <v>45530</v>
      </c>
      <c r="E891" s="2" t="inlineStr">
        <is>
          <t>15:02</t>
        </is>
      </c>
      <c r="F891" s="5">
        <f>C891-C890</f>
        <v/>
      </c>
      <c r="G891" s="5">
        <f>B891-B890</f>
        <v/>
      </c>
      <c r="H891" s="2">
        <f>IF(AND(F891=1,G891=1),"OK","À JUSTIFIER")</f>
        <v/>
      </c>
    </row>
    <row r="892">
      <c r="A892" s="2" t="inlineStr">
        <is>
          <t>EJ020924.TXT</t>
        </is>
      </c>
      <c r="B892" s="3" t="inlineStr">
        <is>
          <t>005543</t>
        </is>
      </c>
      <c r="C892" s="3" t="inlineStr">
        <is>
          <t>004452</t>
        </is>
      </c>
      <c r="D892" s="4" t="n">
        <v>45530</v>
      </c>
      <c r="E892" s="2" t="inlineStr">
        <is>
          <t>15:13</t>
        </is>
      </c>
      <c r="F892" s="5">
        <f>C892-C891</f>
        <v/>
      </c>
      <c r="G892" s="5">
        <f>B892-B891</f>
        <v/>
      </c>
      <c r="H892" s="2">
        <f>IF(AND(F892=1,G892=1),"OK","À JUSTIFIER")</f>
        <v/>
      </c>
    </row>
    <row r="893">
      <c r="A893" s="2" t="inlineStr">
        <is>
          <t>EJ020924.TXT</t>
        </is>
      </c>
      <c r="B893" s="3" t="inlineStr">
        <is>
          <t>005544</t>
        </is>
      </c>
      <c r="C893" s="3" t="inlineStr">
        <is>
          <t>004453</t>
        </is>
      </c>
      <c r="D893" s="4" t="n">
        <v>45531</v>
      </c>
      <c r="E893" s="2" t="inlineStr">
        <is>
          <t>09:24</t>
        </is>
      </c>
      <c r="F893" s="5">
        <f>C893-C892</f>
        <v/>
      </c>
      <c r="G893" s="5">
        <f>B893-B892</f>
        <v/>
      </c>
      <c r="H893" s="2">
        <f>IF(AND(F893=1,G893=1),"OK","À JUSTIFIER")</f>
        <v/>
      </c>
    </row>
    <row r="894">
      <c r="A894" s="2" t="inlineStr">
        <is>
          <t>EJ020924.TXT</t>
        </is>
      </c>
      <c r="B894" s="3" t="inlineStr">
        <is>
          <t>005545</t>
        </is>
      </c>
      <c r="C894" s="3" t="inlineStr">
        <is>
          <t>004454</t>
        </is>
      </c>
      <c r="D894" s="4" t="n">
        <v>45533</v>
      </c>
      <c r="E894" s="2" t="inlineStr">
        <is>
          <t>09:36</t>
        </is>
      </c>
      <c r="F894" s="5">
        <f>C894-C893</f>
        <v/>
      </c>
      <c r="G894" s="5">
        <f>B894-B893</f>
        <v/>
      </c>
      <c r="H894" s="2">
        <f>IF(AND(F894=1,G894=1),"OK","À JUSTIFIER")</f>
        <v/>
      </c>
    </row>
    <row r="895">
      <c r="A895" s="2" t="inlineStr">
        <is>
          <t>EJ020924.TXT</t>
        </is>
      </c>
      <c r="B895" s="3" t="inlineStr">
        <is>
          <t>005546</t>
        </is>
      </c>
      <c r="C895" s="3" t="inlineStr">
        <is>
          <t>004455</t>
        </is>
      </c>
      <c r="D895" s="4" t="n">
        <v>45533</v>
      </c>
      <c r="E895" s="2" t="inlineStr">
        <is>
          <t>14:49</t>
        </is>
      </c>
      <c r="F895" s="5">
        <f>C895-C894</f>
        <v/>
      </c>
      <c r="G895" s="5">
        <f>B895-B894</f>
        <v/>
      </c>
      <c r="H895" s="2">
        <f>IF(AND(F895=1,G895=1),"OK","À JUSTIFIER")</f>
        <v/>
      </c>
    </row>
    <row r="896">
      <c r="A896" s="2" t="inlineStr">
        <is>
          <t>EJ020924.TXT</t>
        </is>
      </c>
      <c r="B896" s="3" t="inlineStr">
        <is>
          <t>005547</t>
        </is>
      </c>
      <c r="C896" s="3" t="inlineStr">
        <is>
          <t>004456</t>
        </is>
      </c>
      <c r="D896" s="4" t="n">
        <v>45534</v>
      </c>
      <c r="E896" s="2" t="inlineStr">
        <is>
          <t>16:30</t>
        </is>
      </c>
      <c r="F896" s="5">
        <f>C896-C895</f>
        <v/>
      </c>
      <c r="G896" s="5">
        <f>B896-B895</f>
        <v/>
      </c>
      <c r="H896" s="2">
        <f>IF(AND(F896=1,G896=1),"OK","À JUSTIFIER")</f>
        <v/>
      </c>
    </row>
    <row r="897">
      <c r="A897" s="2" t="inlineStr">
        <is>
          <t>EJ011024.TXT</t>
        </is>
      </c>
      <c r="B897" s="3" t="inlineStr">
        <is>
          <t>005555</t>
        </is>
      </c>
      <c r="C897" s="3" t="inlineStr">
        <is>
          <t>004457</t>
        </is>
      </c>
      <c r="D897" s="4" t="n">
        <v>45537</v>
      </c>
      <c r="E897" s="2" t="inlineStr">
        <is>
          <t>15:08</t>
        </is>
      </c>
      <c r="F897" s="5">
        <f>C897-C896</f>
        <v/>
      </c>
      <c r="G897" s="5">
        <f>B897-B896</f>
        <v/>
      </c>
      <c r="H897" s="2">
        <f>IF(AND(F897=1,G897=1),"OK","À JUSTIFIER")</f>
        <v/>
      </c>
    </row>
    <row r="898">
      <c r="A898" s="2" t="inlineStr">
        <is>
          <t>EJ011024.TXT</t>
        </is>
      </c>
      <c r="B898" s="3" t="inlineStr">
        <is>
          <t>005556</t>
        </is>
      </c>
      <c r="C898" s="3" t="inlineStr">
        <is>
          <t>004458</t>
        </is>
      </c>
      <c r="D898" s="4" t="n">
        <v>45539</v>
      </c>
      <c r="E898" s="2" t="inlineStr">
        <is>
          <t>16:54</t>
        </is>
      </c>
      <c r="F898" s="5">
        <f>C898-C897</f>
        <v/>
      </c>
      <c r="G898" s="5">
        <f>B898-B897</f>
        <v/>
      </c>
      <c r="H898" s="2">
        <f>IF(AND(F898=1,G898=1),"OK","À JUSTIFIER")</f>
        <v/>
      </c>
    </row>
    <row r="899">
      <c r="A899" s="2" t="inlineStr">
        <is>
          <t>EJ011024.TXT</t>
        </is>
      </c>
      <c r="B899" s="3" t="inlineStr">
        <is>
          <t>005557</t>
        </is>
      </c>
      <c r="C899" s="3" t="inlineStr">
        <is>
          <t>004459</t>
        </is>
      </c>
      <c r="D899" s="4" t="n">
        <v>45541</v>
      </c>
      <c r="E899" s="2" t="inlineStr">
        <is>
          <t>15:42</t>
        </is>
      </c>
      <c r="F899" s="5">
        <f>C899-C898</f>
        <v/>
      </c>
      <c r="G899" s="5">
        <f>B899-B898</f>
        <v/>
      </c>
      <c r="H899" s="2">
        <f>IF(AND(F899=1,G899=1),"OK","À JUSTIFIER")</f>
        <v/>
      </c>
    </row>
    <row r="900">
      <c r="A900" s="2" t="inlineStr">
        <is>
          <t>EJ011024.TXT</t>
        </is>
      </c>
      <c r="B900" s="3" t="inlineStr">
        <is>
          <t>005558</t>
        </is>
      </c>
      <c r="C900" s="3" t="inlineStr">
        <is>
          <t>004460</t>
        </is>
      </c>
      <c r="D900" s="4" t="n">
        <v>45544</v>
      </c>
      <c r="E900" s="2" t="inlineStr">
        <is>
          <t>10:27</t>
        </is>
      </c>
      <c r="F900" s="5">
        <f>C900-C899</f>
        <v/>
      </c>
      <c r="G900" s="5">
        <f>B900-B899</f>
        <v/>
      </c>
      <c r="H900" s="2">
        <f>IF(AND(F900=1,G900=1),"OK","À JUSTIFIER")</f>
        <v/>
      </c>
    </row>
    <row r="901">
      <c r="A901" s="2" t="inlineStr">
        <is>
          <t>EJ011024.TXT</t>
        </is>
      </c>
      <c r="B901" s="3" t="inlineStr">
        <is>
          <t>005559</t>
        </is>
      </c>
      <c r="C901" s="3" t="inlineStr">
        <is>
          <t>004461</t>
        </is>
      </c>
      <c r="D901" s="4" t="n">
        <v>45544</v>
      </c>
      <c r="E901" s="2" t="inlineStr">
        <is>
          <t>10:27</t>
        </is>
      </c>
      <c r="F901" s="5">
        <f>C901-C900</f>
        <v/>
      </c>
      <c r="G901" s="5">
        <f>B901-B900</f>
        <v/>
      </c>
      <c r="H901" s="2">
        <f>IF(AND(F901=1,G901=1),"OK","À JUSTIFIER")</f>
        <v/>
      </c>
    </row>
    <row r="902">
      <c r="A902" s="2" t="inlineStr">
        <is>
          <t>EJ011024.TXT</t>
        </is>
      </c>
      <c r="B902" s="3" t="inlineStr">
        <is>
          <t>005560</t>
        </is>
      </c>
      <c r="C902" s="3" t="inlineStr">
        <is>
          <t>004462</t>
        </is>
      </c>
      <c r="D902" s="4" t="n">
        <v>45545</v>
      </c>
      <c r="E902" s="2" t="inlineStr">
        <is>
          <t>17:05</t>
        </is>
      </c>
      <c r="F902" s="5">
        <f>C902-C901</f>
        <v/>
      </c>
      <c r="G902" s="5">
        <f>B902-B901</f>
        <v/>
      </c>
      <c r="H902" s="2">
        <f>IF(AND(F902=1,G902=1),"OK","À JUSTIFIER")</f>
        <v/>
      </c>
    </row>
    <row r="903">
      <c r="A903" s="2" t="inlineStr">
        <is>
          <t>EJ011024.TXT</t>
        </is>
      </c>
      <c r="B903" s="3" t="inlineStr">
        <is>
          <t>005561</t>
        </is>
      </c>
      <c r="C903" s="3" t="inlineStr">
        <is>
          <t>004463</t>
        </is>
      </c>
      <c r="D903" s="4" t="n">
        <v>45546</v>
      </c>
      <c r="E903" s="2" t="inlineStr">
        <is>
          <t>10:22</t>
        </is>
      </c>
      <c r="F903" s="5">
        <f>C903-C902</f>
        <v/>
      </c>
      <c r="G903" s="5">
        <f>B903-B902</f>
        <v/>
      </c>
      <c r="H903" s="2">
        <f>IF(AND(F903=1,G903=1),"OK","À JUSTIFIER")</f>
        <v/>
      </c>
    </row>
    <row r="904">
      <c r="A904" s="2" t="inlineStr">
        <is>
          <t>EJ011024.TXT</t>
        </is>
      </c>
      <c r="B904" s="3" t="inlineStr">
        <is>
          <t>005562</t>
        </is>
      </c>
      <c r="C904" s="3" t="inlineStr">
        <is>
          <t>004464</t>
        </is>
      </c>
      <c r="D904" s="4" t="n">
        <v>45546</v>
      </c>
      <c r="E904" s="2" t="inlineStr">
        <is>
          <t>11:48</t>
        </is>
      </c>
      <c r="F904" s="5">
        <f>C904-C903</f>
        <v/>
      </c>
      <c r="G904" s="5">
        <f>B904-B903</f>
        <v/>
      </c>
      <c r="H904" s="2">
        <f>IF(AND(F904=1,G904=1),"OK","À JUSTIFIER")</f>
        <v/>
      </c>
    </row>
    <row r="905">
      <c r="A905" s="2" t="inlineStr">
        <is>
          <t>EJ011024.TXT</t>
        </is>
      </c>
      <c r="B905" s="3" t="inlineStr">
        <is>
          <t>005563</t>
        </is>
      </c>
      <c r="C905" s="3" t="inlineStr">
        <is>
          <t>004465</t>
        </is>
      </c>
      <c r="D905" s="4" t="n">
        <v>45546</v>
      </c>
      <c r="E905" s="2" t="inlineStr">
        <is>
          <t>11:50</t>
        </is>
      </c>
      <c r="F905" s="5">
        <f>C905-C904</f>
        <v/>
      </c>
      <c r="G905" s="5">
        <f>B905-B904</f>
        <v/>
      </c>
      <c r="H905" s="2">
        <f>IF(AND(F905=1,G905=1),"OK","À JUSTIFIER")</f>
        <v/>
      </c>
    </row>
    <row r="906">
      <c r="A906" s="2" t="inlineStr">
        <is>
          <t>EJ011024.TXT</t>
        </is>
      </c>
      <c r="B906" s="3" t="inlineStr">
        <is>
          <t>005564</t>
        </is>
      </c>
      <c r="C906" s="3" t="inlineStr">
        <is>
          <t>004466</t>
        </is>
      </c>
      <c r="D906" s="4" t="n">
        <v>45546</v>
      </c>
      <c r="E906" s="2" t="inlineStr">
        <is>
          <t>11:53</t>
        </is>
      </c>
      <c r="F906" s="5">
        <f>C906-C905</f>
        <v/>
      </c>
      <c r="G906" s="5">
        <f>B906-B905</f>
        <v/>
      </c>
      <c r="H906" s="2">
        <f>IF(AND(F906=1,G906=1),"OK","À JUSTIFIER")</f>
        <v/>
      </c>
    </row>
    <row r="907">
      <c r="A907" s="2" t="inlineStr">
        <is>
          <t>EJ011024.TXT</t>
        </is>
      </c>
      <c r="B907" s="3" t="inlineStr">
        <is>
          <t>005565</t>
        </is>
      </c>
      <c r="C907" s="3" t="inlineStr">
        <is>
          <t>004467</t>
        </is>
      </c>
      <c r="D907" s="4" t="n">
        <v>45546</v>
      </c>
      <c r="E907" s="2" t="inlineStr">
        <is>
          <t>12:00</t>
        </is>
      </c>
      <c r="F907" s="5">
        <f>C907-C906</f>
        <v/>
      </c>
      <c r="G907" s="5">
        <f>B907-B906</f>
        <v/>
      </c>
      <c r="H907" s="2">
        <f>IF(AND(F907=1,G907=1),"OK","À JUSTIFIER")</f>
        <v/>
      </c>
    </row>
    <row r="908">
      <c r="A908" s="2" t="inlineStr">
        <is>
          <t>EJ011024.TXT</t>
        </is>
      </c>
      <c r="B908" s="3" t="inlineStr">
        <is>
          <t>005566</t>
        </is>
      </c>
      <c r="C908" s="3" t="inlineStr">
        <is>
          <t>004468</t>
        </is>
      </c>
      <c r="D908" s="4" t="n">
        <v>45547</v>
      </c>
      <c r="E908" s="2" t="inlineStr">
        <is>
          <t>14:50</t>
        </is>
      </c>
      <c r="F908" s="5">
        <f>C908-C907</f>
        <v/>
      </c>
      <c r="G908" s="5">
        <f>B908-B907</f>
        <v/>
      </c>
      <c r="H908" s="2">
        <f>IF(AND(F908=1,G908=1),"OK","À JUSTIFIER")</f>
        <v/>
      </c>
    </row>
    <row r="909">
      <c r="A909" s="2" t="inlineStr">
        <is>
          <t>EJ011024.TXT</t>
        </is>
      </c>
      <c r="B909" s="3" t="inlineStr">
        <is>
          <t>005567</t>
        </is>
      </c>
      <c r="C909" s="3" t="inlineStr">
        <is>
          <t>004469</t>
        </is>
      </c>
      <c r="D909" s="4" t="n">
        <v>45547</v>
      </c>
      <c r="E909" s="2" t="inlineStr">
        <is>
          <t>14:54</t>
        </is>
      </c>
      <c r="F909" s="5">
        <f>C909-C908</f>
        <v/>
      </c>
      <c r="G909" s="5">
        <f>B909-B908</f>
        <v/>
      </c>
      <c r="H909" s="2">
        <f>IF(AND(F909=1,G909=1),"OK","À JUSTIFIER")</f>
        <v/>
      </c>
    </row>
    <row r="910">
      <c r="A910" s="2" t="inlineStr">
        <is>
          <t>EJ011024.TXT</t>
        </is>
      </c>
      <c r="B910" s="3" t="inlineStr">
        <is>
          <t>005568</t>
        </is>
      </c>
      <c r="C910" s="3" t="inlineStr">
        <is>
          <t>004470</t>
        </is>
      </c>
      <c r="D910" s="4" t="n">
        <v>45547</v>
      </c>
      <c r="E910" s="2" t="inlineStr">
        <is>
          <t>15:03</t>
        </is>
      </c>
      <c r="F910" s="5">
        <f>C910-C909</f>
        <v/>
      </c>
      <c r="G910" s="5">
        <f>B910-B909</f>
        <v/>
      </c>
      <c r="H910" s="2">
        <f>IF(AND(F910=1,G910=1),"OK","À JUSTIFIER")</f>
        <v/>
      </c>
    </row>
    <row r="911">
      <c r="A911" s="2" t="inlineStr">
        <is>
          <t>EJ011024.TXT</t>
        </is>
      </c>
      <c r="B911" s="3" t="inlineStr">
        <is>
          <t>005569</t>
        </is>
      </c>
      <c r="C911" s="3" t="inlineStr">
        <is>
          <t>004471</t>
        </is>
      </c>
      <c r="D911" s="4" t="n">
        <v>45548</v>
      </c>
      <c r="E911" s="2" t="inlineStr">
        <is>
          <t>14:59</t>
        </is>
      </c>
      <c r="F911" s="5">
        <f>C911-C910</f>
        <v/>
      </c>
      <c r="G911" s="5">
        <f>B911-B910</f>
        <v/>
      </c>
      <c r="H911" s="2">
        <f>IF(AND(F911=1,G911=1),"OK","À JUSTIFIER")</f>
        <v/>
      </c>
    </row>
    <row r="912">
      <c r="A912" s="2" t="inlineStr">
        <is>
          <t>EJ011024.TXT</t>
        </is>
      </c>
      <c r="B912" s="3" t="inlineStr">
        <is>
          <t>005570</t>
        </is>
      </c>
      <c r="C912" s="3" t="inlineStr">
        <is>
          <t>004472</t>
        </is>
      </c>
      <c r="D912" s="4" t="n">
        <v>45552</v>
      </c>
      <c r="E912" s="2" t="inlineStr">
        <is>
          <t>10:29</t>
        </is>
      </c>
      <c r="F912" s="5">
        <f>C912-C911</f>
        <v/>
      </c>
      <c r="G912" s="5">
        <f>B912-B911</f>
        <v/>
      </c>
      <c r="H912" s="2">
        <f>IF(AND(F912=1,G912=1),"OK","À JUSTIFIER")</f>
        <v/>
      </c>
    </row>
    <row r="913">
      <c r="A913" s="2" t="inlineStr">
        <is>
          <t>EJ011024.TXT</t>
        </is>
      </c>
      <c r="B913" s="3" t="inlineStr">
        <is>
          <t>005571</t>
        </is>
      </c>
      <c r="C913" s="3" t="inlineStr">
        <is>
          <t>004473</t>
        </is>
      </c>
      <c r="D913" s="4" t="n">
        <v>45552</v>
      </c>
      <c r="E913" s="2" t="inlineStr">
        <is>
          <t>14:34</t>
        </is>
      </c>
      <c r="F913" s="5">
        <f>C913-C912</f>
        <v/>
      </c>
      <c r="G913" s="5">
        <f>B913-B912</f>
        <v/>
      </c>
      <c r="H913" s="2">
        <f>IF(AND(F913=1,G913=1),"OK","À JUSTIFIER")</f>
        <v/>
      </c>
    </row>
    <row r="914">
      <c r="A914" s="2" t="inlineStr">
        <is>
          <t>EJ011024.TXT</t>
        </is>
      </c>
      <c r="B914" s="3" t="inlineStr">
        <is>
          <t>005572</t>
        </is>
      </c>
      <c r="C914" s="3" t="inlineStr">
        <is>
          <t>004474</t>
        </is>
      </c>
      <c r="D914" s="4" t="n">
        <v>45552</v>
      </c>
      <c r="E914" s="2" t="inlineStr">
        <is>
          <t>14:44</t>
        </is>
      </c>
      <c r="F914" s="5">
        <f>C914-C913</f>
        <v/>
      </c>
      <c r="G914" s="5">
        <f>B914-B913</f>
        <v/>
      </c>
      <c r="H914" s="2">
        <f>IF(AND(F914=1,G914=1),"OK","À JUSTIFIER")</f>
        <v/>
      </c>
    </row>
    <row r="915">
      <c r="A915" s="2" t="inlineStr">
        <is>
          <t>EJ011024.TXT</t>
        </is>
      </c>
      <c r="B915" s="3" t="inlineStr">
        <is>
          <t>005573</t>
        </is>
      </c>
      <c r="C915" s="3" t="inlineStr">
        <is>
          <t>004475</t>
        </is>
      </c>
      <c r="D915" s="4" t="n">
        <v>45553</v>
      </c>
      <c r="E915" s="2" t="inlineStr">
        <is>
          <t>10:41</t>
        </is>
      </c>
      <c r="F915" s="5">
        <f>C915-C914</f>
        <v/>
      </c>
      <c r="G915" s="5">
        <f>B915-B914</f>
        <v/>
      </c>
      <c r="H915" s="2">
        <f>IF(AND(F915=1,G915=1),"OK","À JUSTIFIER")</f>
        <v/>
      </c>
    </row>
    <row r="916">
      <c r="A916" s="2" t="inlineStr">
        <is>
          <t>EJ011024.TXT</t>
        </is>
      </c>
      <c r="B916" s="3" t="inlineStr">
        <is>
          <t>005574</t>
        </is>
      </c>
      <c r="C916" s="3" t="inlineStr">
        <is>
          <t>004476</t>
        </is>
      </c>
      <c r="D916" s="4" t="n">
        <v>45559</v>
      </c>
      <c r="E916" s="2" t="inlineStr">
        <is>
          <t>16:00</t>
        </is>
      </c>
      <c r="F916" s="5">
        <f>C916-C915</f>
        <v/>
      </c>
      <c r="G916" s="5">
        <f>B916-B915</f>
        <v/>
      </c>
      <c r="H916" s="2">
        <f>IF(AND(F916=1,G916=1),"OK","À JUSTIFIER")</f>
        <v/>
      </c>
    </row>
    <row r="917">
      <c r="A917" s="2" t="inlineStr">
        <is>
          <t>EJ011024.TXT</t>
        </is>
      </c>
      <c r="B917" s="3" t="inlineStr">
        <is>
          <t>005575</t>
        </is>
      </c>
      <c r="C917" s="3" t="inlineStr">
        <is>
          <t>004477</t>
        </is>
      </c>
      <c r="D917" s="4" t="n">
        <v>45559</v>
      </c>
      <c r="E917" s="2" t="inlineStr">
        <is>
          <t>16:08</t>
        </is>
      </c>
      <c r="F917" s="5">
        <f>C917-C916</f>
        <v/>
      </c>
      <c r="G917" s="5">
        <f>B917-B916</f>
        <v/>
      </c>
      <c r="H917" s="2">
        <f>IF(AND(F917=1,G917=1),"OK","À JUSTIFIER")</f>
        <v/>
      </c>
    </row>
    <row r="918">
      <c r="A918" s="2" t="inlineStr">
        <is>
          <t>EJ011024.TXT</t>
        </is>
      </c>
      <c r="B918" s="3" t="inlineStr">
        <is>
          <t>005576</t>
        </is>
      </c>
      <c r="C918" s="3" t="inlineStr">
        <is>
          <t>004478</t>
        </is>
      </c>
      <c r="D918" s="4" t="n">
        <v>45562</v>
      </c>
      <c r="E918" s="2" t="inlineStr">
        <is>
          <t>15:32</t>
        </is>
      </c>
      <c r="F918" s="5">
        <f>C918-C917</f>
        <v/>
      </c>
      <c r="G918" s="5">
        <f>B918-B917</f>
        <v/>
      </c>
      <c r="H918" s="2">
        <f>IF(AND(F918=1,G918=1),"OK","À JUSTIFIER")</f>
        <v/>
      </c>
    </row>
    <row r="919">
      <c r="A919" s="2" t="inlineStr">
        <is>
          <t>EJ011024.TXT</t>
        </is>
      </c>
      <c r="B919" s="3" t="inlineStr">
        <is>
          <t>005577</t>
        </is>
      </c>
      <c r="C919" s="3" t="inlineStr">
        <is>
          <t>004479</t>
        </is>
      </c>
      <c r="D919" s="4" t="n">
        <v>45565</v>
      </c>
      <c r="E919" s="2" t="inlineStr">
        <is>
          <t>09:13</t>
        </is>
      </c>
      <c r="F919" s="5">
        <f>C919-C918</f>
        <v/>
      </c>
      <c r="G919" s="5">
        <f>B919-B918</f>
        <v/>
      </c>
      <c r="H919" s="2">
        <f>IF(AND(F919=1,G919=1),"OK","À JUSTIFIER")</f>
        <v/>
      </c>
    </row>
    <row r="920">
      <c r="A920" s="2" t="inlineStr">
        <is>
          <t>EJ011024.TXT</t>
        </is>
      </c>
      <c r="B920" s="3" t="inlineStr">
        <is>
          <t>005578</t>
        </is>
      </c>
      <c r="C920" s="3" t="inlineStr">
        <is>
          <t>004480</t>
        </is>
      </c>
      <c r="D920" s="4" t="n">
        <v>45565</v>
      </c>
      <c r="E920" s="2" t="inlineStr">
        <is>
          <t>13:36</t>
        </is>
      </c>
      <c r="F920" s="5">
        <f>C920-C919</f>
        <v/>
      </c>
      <c r="G920" s="5">
        <f>B920-B919</f>
        <v/>
      </c>
      <c r="H920" s="2">
        <f>IF(AND(F920=1,G920=1),"OK","À JUSTIFIER")</f>
        <v/>
      </c>
    </row>
    <row r="921">
      <c r="A921" s="2" t="inlineStr">
        <is>
          <t>EJ011024.TXT</t>
        </is>
      </c>
      <c r="B921" s="3" t="inlineStr">
        <is>
          <t>005579</t>
        </is>
      </c>
      <c r="C921" s="3" t="inlineStr">
        <is>
          <t>004481</t>
        </is>
      </c>
      <c r="D921" s="4" t="n">
        <v>45565</v>
      </c>
      <c r="E921" s="2" t="inlineStr">
        <is>
          <t>16:24</t>
        </is>
      </c>
      <c r="F921" s="5">
        <f>C921-C920</f>
        <v/>
      </c>
      <c r="G921" s="5">
        <f>B921-B920</f>
        <v/>
      </c>
      <c r="H921" s="2">
        <f>IF(AND(F921=1,G921=1),"OK","À JUSTIFIER")</f>
        <v/>
      </c>
    </row>
    <row r="922">
      <c r="A922" s="2" t="inlineStr">
        <is>
          <t>EJ051124.TXT</t>
        </is>
      </c>
      <c r="B922" s="3" t="inlineStr">
        <is>
          <t>005587</t>
        </is>
      </c>
      <c r="C922" s="3" t="inlineStr">
        <is>
          <t>004482</t>
        </is>
      </c>
      <c r="D922" s="4" t="n">
        <v>45566</v>
      </c>
      <c r="E922" s="2" t="inlineStr">
        <is>
          <t>16:37</t>
        </is>
      </c>
      <c r="F922" s="5">
        <f>C922-C921</f>
        <v/>
      </c>
      <c r="G922" s="5">
        <f>B922-B921</f>
        <v/>
      </c>
      <c r="H922" s="2">
        <f>IF(AND(F922=1,G922=1),"OK","À JUSTIFIER")</f>
        <v/>
      </c>
    </row>
    <row r="923">
      <c r="A923" s="2" t="inlineStr">
        <is>
          <t>EJ051124.TXT</t>
        </is>
      </c>
      <c r="B923" s="3" t="inlineStr">
        <is>
          <t>005588</t>
        </is>
      </c>
      <c r="C923" s="3" t="inlineStr">
        <is>
          <t>004483</t>
        </is>
      </c>
      <c r="D923" s="4" t="n">
        <v>45566</v>
      </c>
      <c r="E923" s="2" t="inlineStr">
        <is>
          <t>16:37</t>
        </is>
      </c>
      <c r="F923" s="5">
        <f>C923-C922</f>
        <v/>
      </c>
      <c r="G923" s="5">
        <f>B923-B922</f>
        <v/>
      </c>
      <c r="H923" s="2">
        <f>IF(AND(F923=1,G923=1),"OK","À JUSTIFIER")</f>
        <v/>
      </c>
    </row>
    <row r="924">
      <c r="A924" s="2" t="inlineStr">
        <is>
          <t>EJ051124.TXT</t>
        </is>
      </c>
      <c r="B924" s="3" t="inlineStr">
        <is>
          <t>005589</t>
        </is>
      </c>
      <c r="C924" s="3" t="inlineStr">
        <is>
          <t>004484</t>
        </is>
      </c>
      <c r="D924" s="4" t="n">
        <v>45566</v>
      </c>
      <c r="E924" s="2" t="inlineStr">
        <is>
          <t>16:47</t>
        </is>
      </c>
      <c r="F924" s="5">
        <f>C924-C923</f>
        <v/>
      </c>
      <c r="G924" s="5">
        <f>B924-B923</f>
        <v/>
      </c>
      <c r="H924" s="2">
        <f>IF(AND(F924=1,G924=1),"OK","À JUSTIFIER")</f>
        <v/>
      </c>
    </row>
    <row r="925">
      <c r="A925" s="2" t="inlineStr">
        <is>
          <t>EJ051124.TXT</t>
        </is>
      </c>
      <c r="B925" s="3" t="inlineStr">
        <is>
          <t>005590</t>
        </is>
      </c>
      <c r="C925" s="3" t="inlineStr">
        <is>
          <t>004485</t>
        </is>
      </c>
      <c r="D925" s="4" t="n">
        <v>45568</v>
      </c>
      <c r="E925" s="2" t="inlineStr">
        <is>
          <t>14:51</t>
        </is>
      </c>
      <c r="F925" s="5">
        <f>C925-C924</f>
        <v/>
      </c>
      <c r="G925" s="5">
        <f>B925-B924</f>
        <v/>
      </c>
      <c r="H925" s="2">
        <f>IF(AND(F925=1,G925=1),"OK","À JUSTIFIER")</f>
        <v/>
      </c>
    </row>
    <row r="926">
      <c r="A926" s="2" t="inlineStr">
        <is>
          <t>EJ051124.TXT</t>
        </is>
      </c>
      <c r="B926" s="3" t="inlineStr">
        <is>
          <t>005591</t>
        </is>
      </c>
      <c r="C926" s="3" t="inlineStr">
        <is>
          <t>004486</t>
        </is>
      </c>
      <c r="D926" s="4" t="n">
        <v>45572</v>
      </c>
      <c r="E926" s="2" t="inlineStr">
        <is>
          <t>11:56</t>
        </is>
      </c>
      <c r="F926" s="5">
        <f>C926-C925</f>
        <v/>
      </c>
      <c r="G926" s="5">
        <f>B926-B925</f>
        <v/>
      </c>
      <c r="H926" s="2">
        <f>IF(AND(F926=1,G926=1),"OK","À JUSTIFIER")</f>
        <v/>
      </c>
    </row>
    <row r="927">
      <c r="A927" s="2" t="inlineStr">
        <is>
          <t>EJ051124.TXT</t>
        </is>
      </c>
      <c r="B927" s="3" t="inlineStr">
        <is>
          <t>005592</t>
        </is>
      </c>
      <c r="C927" s="3" t="inlineStr">
        <is>
          <t>004487</t>
        </is>
      </c>
      <c r="D927" s="4" t="n">
        <v>45576</v>
      </c>
      <c r="E927" s="2" t="inlineStr">
        <is>
          <t>15:56</t>
        </is>
      </c>
      <c r="F927" s="5">
        <f>C927-C926</f>
        <v/>
      </c>
      <c r="G927" s="5">
        <f>B927-B926</f>
        <v/>
      </c>
      <c r="H927" s="2">
        <f>IF(AND(F927=1,G927=1),"OK","À JUSTIFIER")</f>
        <v/>
      </c>
    </row>
    <row r="928">
      <c r="A928" s="2" t="inlineStr">
        <is>
          <t>EJ051124.TXT</t>
        </is>
      </c>
      <c r="B928" s="3" t="inlineStr">
        <is>
          <t>005593</t>
        </is>
      </c>
      <c r="C928" s="3" t="inlineStr">
        <is>
          <t>004488</t>
        </is>
      </c>
      <c r="D928" s="4" t="n">
        <v>45577</v>
      </c>
      <c r="E928" s="2" t="inlineStr">
        <is>
          <t>15:56</t>
        </is>
      </c>
      <c r="F928" s="5">
        <f>C928-C927</f>
        <v/>
      </c>
      <c r="G928" s="5">
        <f>B928-B927</f>
        <v/>
      </c>
      <c r="H928" s="2">
        <f>IF(AND(F928=1,G928=1),"OK","À JUSTIFIER")</f>
        <v/>
      </c>
    </row>
    <row r="929">
      <c r="A929" s="2" t="inlineStr">
        <is>
          <t>EJ051124.TXT</t>
        </is>
      </c>
      <c r="B929" s="3" t="inlineStr">
        <is>
          <t>005594</t>
        </is>
      </c>
      <c r="C929" s="3" t="inlineStr">
        <is>
          <t>004489</t>
        </is>
      </c>
      <c r="D929" s="4" t="n">
        <v>45577</v>
      </c>
      <c r="E929" s="2" t="inlineStr">
        <is>
          <t>18:23</t>
        </is>
      </c>
      <c r="F929" s="5">
        <f>C929-C928</f>
        <v/>
      </c>
      <c r="G929" s="5">
        <f>B929-B928</f>
        <v/>
      </c>
      <c r="H929" s="2">
        <f>IF(AND(F929=1,G929=1),"OK","À JUSTIFIER")</f>
        <v/>
      </c>
    </row>
    <row r="930">
      <c r="A930" s="2" t="inlineStr">
        <is>
          <t>EJ051124.TXT</t>
        </is>
      </c>
      <c r="B930" s="3" t="inlineStr">
        <is>
          <t>005595</t>
        </is>
      </c>
      <c r="C930" s="3" t="inlineStr">
        <is>
          <t>004490</t>
        </is>
      </c>
      <c r="D930" s="4" t="n">
        <v>45577</v>
      </c>
      <c r="E930" s="2" t="inlineStr">
        <is>
          <t>18:34</t>
        </is>
      </c>
      <c r="F930" s="5">
        <f>C930-C929</f>
        <v/>
      </c>
      <c r="G930" s="5">
        <f>B930-B929</f>
        <v/>
      </c>
      <c r="H930" s="2">
        <f>IF(AND(F930=1,G930=1),"OK","À JUSTIFIER")</f>
        <v/>
      </c>
    </row>
    <row r="931">
      <c r="A931" s="2" t="inlineStr">
        <is>
          <t>EJ051124.TXT</t>
        </is>
      </c>
      <c r="B931" s="3" t="inlineStr">
        <is>
          <t>005596</t>
        </is>
      </c>
      <c r="C931" s="3" t="inlineStr">
        <is>
          <t>004491</t>
        </is>
      </c>
      <c r="D931" s="4" t="n">
        <v>45579</v>
      </c>
      <c r="E931" s="2" t="inlineStr">
        <is>
          <t>09:58</t>
        </is>
      </c>
      <c r="F931" s="5">
        <f>C931-C930</f>
        <v/>
      </c>
      <c r="G931" s="5">
        <f>B931-B930</f>
        <v/>
      </c>
      <c r="H931" s="2">
        <f>IF(AND(F931=1,G931=1),"OK","À JUSTIFIER")</f>
        <v/>
      </c>
    </row>
    <row r="932">
      <c r="A932" s="2" t="inlineStr">
        <is>
          <t>EJ051124.TXT</t>
        </is>
      </c>
      <c r="B932" s="3" t="inlineStr">
        <is>
          <t>005597</t>
        </is>
      </c>
      <c r="C932" s="3" t="inlineStr">
        <is>
          <t>004492</t>
        </is>
      </c>
      <c r="D932" s="4" t="n">
        <v>45579</v>
      </c>
      <c r="E932" s="2" t="inlineStr">
        <is>
          <t>11:41</t>
        </is>
      </c>
      <c r="F932" s="5">
        <f>C932-C931</f>
        <v/>
      </c>
      <c r="G932" s="5">
        <f>B932-B931</f>
        <v/>
      </c>
      <c r="H932" s="2">
        <f>IF(AND(F932=1,G932=1),"OK","À JUSTIFIER")</f>
        <v/>
      </c>
    </row>
    <row r="933">
      <c r="A933" s="2" t="inlineStr">
        <is>
          <t>EJ051124.TXT</t>
        </is>
      </c>
      <c r="B933" s="3" t="inlineStr">
        <is>
          <t>005598</t>
        </is>
      </c>
      <c r="C933" s="3" t="inlineStr">
        <is>
          <t>004493</t>
        </is>
      </c>
      <c r="D933" s="4" t="n">
        <v>45579</v>
      </c>
      <c r="E933" s="2" t="inlineStr">
        <is>
          <t>11:43</t>
        </is>
      </c>
      <c r="F933" s="5">
        <f>C933-C932</f>
        <v/>
      </c>
      <c r="G933" s="5">
        <f>B933-B932</f>
        <v/>
      </c>
      <c r="H933" s="2">
        <f>IF(AND(F933=1,G933=1),"OK","À JUSTIFIER")</f>
        <v/>
      </c>
    </row>
    <row r="934">
      <c r="A934" s="2" t="inlineStr">
        <is>
          <t>EJ051124.TXT</t>
        </is>
      </c>
      <c r="B934" s="3" t="inlineStr">
        <is>
          <t>005599</t>
        </is>
      </c>
      <c r="C934" s="3" t="inlineStr">
        <is>
          <t>004494</t>
        </is>
      </c>
      <c r="D934" s="4" t="n">
        <v>45579</v>
      </c>
      <c r="E934" s="2" t="inlineStr">
        <is>
          <t>11:44</t>
        </is>
      </c>
      <c r="F934" s="5">
        <f>C934-C933</f>
        <v/>
      </c>
      <c r="G934" s="5">
        <f>B934-B933</f>
        <v/>
      </c>
      <c r="H934" s="2">
        <f>IF(AND(F934=1,G934=1),"OK","À JUSTIFIER")</f>
        <v/>
      </c>
    </row>
    <row r="935">
      <c r="A935" s="2" t="inlineStr">
        <is>
          <t>EJ051124.TXT</t>
        </is>
      </c>
      <c r="B935" s="3" t="inlineStr">
        <is>
          <t>005600</t>
        </is>
      </c>
      <c r="C935" s="3" t="inlineStr">
        <is>
          <t>004495</t>
        </is>
      </c>
      <c r="D935" s="4" t="n">
        <v>45580</v>
      </c>
      <c r="E935" s="2" t="inlineStr">
        <is>
          <t>13:36</t>
        </is>
      </c>
      <c r="F935" s="5">
        <f>C935-C934</f>
        <v/>
      </c>
      <c r="G935" s="5">
        <f>B935-B934</f>
        <v/>
      </c>
      <c r="H935" s="2">
        <f>IF(AND(F935=1,G935=1),"OK","À JUSTIFIER")</f>
        <v/>
      </c>
    </row>
    <row r="936">
      <c r="A936" s="2" t="inlineStr">
        <is>
          <t>EJ051124.TXT</t>
        </is>
      </c>
      <c r="B936" s="3" t="inlineStr">
        <is>
          <t>005601</t>
        </is>
      </c>
      <c r="C936" s="3" t="inlineStr">
        <is>
          <t>004496</t>
        </is>
      </c>
      <c r="D936" s="4" t="n">
        <v>45580</v>
      </c>
      <c r="E936" s="2" t="inlineStr">
        <is>
          <t>13:40</t>
        </is>
      </c>
      <c r="F936" s="5">
        <f>C936-C935</f>
        <v/>
      </c>
      <c r="G936" s="5">
        <f>B936-B935</f>
        <v/>
      </c>
      <c r="H936" s="2">
        <f>IF(AND(F936=1,G936=1),"OK","À JUSTIFIER")</f>
        <v/>
      </c>
    </row>
    <row r="937">
      <c r="A937" s="2" t="inlineStr">
        <is>
          <t>EJ051124.TXT</t>
        </is>
      </c>
      <c r="B937" s="3" t="inlineStr">
        <is>
          <t>005602</t>
        </is>
      </c>
      <c r="C937" s="3" t="inlineStr">
        <is>
          <t>004497</t>
        </is>
      </c>
      <c r="D937" s="4" t="n">
        <v>45580</v>
      </c>
      <c r="E937" s="2" t="inlineStr">
        <is>
          <t>15:19</t>
        </is>
      </c>
      <c r="F937" s="5">
        <f>C937-C936</f>
        <v/>
      </c>
      <c r="G937" s="5">
        <f>B937-B936</f>
        <v/>
      </c>
      <c r="H937" s="2">
        <f>IF(AND(F937=1,G937=1),"OK","À JUSTIFIER")</f>
        <v/>
      </c>
    </row>
    <row r="938">
      <c r="A938" s="2" t="inlineStr">
        <is>
          <t>EJ051124.TXT</t>
        </is>
      </c>
      <c r="B938" s="3" t="inlineStr">
        <is>
          <t>005603</t>
        </is>
      </c>
      <c r="C938" s="3" t="inlineStr">
        <is>
          <t>004498</t>
        </is>
      </c>
      <c r="D938" s="4" t="n">
        <v>45580</v>
      </c>
      <c r="E938" s="2" t="inlineStr">
        <is>
          <t>16:57</t>
        </is>
      </c>
      <c r="F938" s="5">
        <f>C938-C937</f>
        <v/>
      </c>
      <c r="G938" s="5">
        <f>B938-B937</f>
        <v/>
      </c>
      <c r="H938" s="2">
        <f>IF(AND(F938=1,G938=1),"OK","À JUSTIFIER")</f>
        <v/>
      </c>
    </row>
    <row r="939">
      <c r="A939" s="2" t="inlineStr">
        <is>
          <t>EJ051124.TXT</t>
        </is>
      </c>
      <c r="B939" s="3" t="inlineStr">
        <is>
          <t>005604</t>
        </is>
      </c>
      <c r="C939" s="3" t="inlineStr">
        <is>
          <t>004499</t>
        </is>
      </c>
      <c r="D939" s="4" t="n">
        <v>45581</v>
      </c>
      <c r="E939" s="2" t="inlineStr">
        <is>
          <t>14:06</t>
        </is>
      </c>
      <c r="F939" s="5">
        <f>C939-C938</f>
        <v/>
      </c>
      <c r="G939" s="5">
        <f>B939-B938</f>
        <v/>
      </c>
      <c r="H939" s="2">
        <f>IF(AND(F939=1,G939=1),"OK","À JUSTIFIER")</f>
        <v/>
      </c>
    </row>
    <row r="940">
      <c r="A940" s="2" t="inlineStr">
        <is>
          <t>EJ051124.TXT</t>
        </is>
      </c>
      <c r="B940" s="3" t="inlineStr">
        <is>
          <t>005605</t>
        </is>
      </c>
      <c r="C940" s="3" t="inlineStr">
        <is>
          <t>004500</t>
        </is>
      </c>
      <c r="D940" s="4" t="n">
        <v>45589</v>
      </c>
      <c r="E940" s="2" t="inlineStr">
        <is>
          <t>11:39</t>
        </is>
      </c>
      <c r="F940" s="5">
        <f>C940-C939</f>
        <v/>
      </c>
      <c r="G940" s="5">
        <f>B940-B939</f>
        <v/>
      </c>
      <c r="H940" s="2">
        <f>IF(AND(F940=1,G940=1),"OK","À JUSTIFIER")</f>
        <v/>
      </c>
    </row>
    <row r="941">
      <c r="A941" s="2" t="inlineStr">
        <is>
          <t>EJ051124.TXT</t>
        </is>
      </c>
      <c r="B941" s="3" t="inlineStr">
        <is>
          <t>005606</t>
        </is>
      </c>
      <c r="C941" s="3" t="inlineStr">
        <is>
          <t>004501</t>
        </is>
      </c>
      <c r="D941" s="4" t="n">
        <v>45589</v>
      </c>
      <c r="E941" s="2" t="inlineStr">
        <is>
          <t>11:43</t>
        </is>
      </c>
      <c r="F941" s="5">
        <f>C941-C940</f>
        <v/>
      </c>
      <c r="G941" s="5">
        <f>B941-B940</f>
        <v/>
      </c>
      <c r="H941" s="2">
        <f>IF(AND(F941=1,G941=1),"OK","À JUSTIFIER")</f>
        <v/>
      </c>
    </row>
    <row r="942">
      <c r="A942" s="2" t="inlineStr">
        <is>
          <t>EJ051124.TXT</t>
        </is>
      </c>
      <c r="B942" s="3" t="inlineStr">
        <is>
          <t>005607</t>
        </is>
      </c>
      <c r="C942" s="3" t="inlineStr">
        <is>
          <t>004502</t>
        </is>
      </c>
      <c r="D942" s="4" t="n">
        <v>45589</v>
      </c>
      <c r="E942" s="2" t="inlineStr">
        <is>
          <t>12:14</t>
        </is>
      </c>
      <c r="F942" s="5">
        <f>C942-C941</f>
        <v/>
      </c>
      <c r="G942" s="5">
        <f>B942-B941</f>
        <v/>
      </c>
      <c r="H942" s="2">
        <f>IF(AND(F942=1,G942=1),"OK","À JUSTIFIER")</f>
        <v/>
      </c>
    </row>
    <row r="943">
      <c r="A943" s="2" t="inlineStr">
        <is>
          <t>EJ051124.TXT</t>
        </is>
      </c>
      <c r="B943" s="3" t="inlineStr">
        <is>
          <t>005608</t>
        </is>
      </c>
      <c r="C943" s="3" t="inlineStr">
        <is>
          <t>004503</t>
        </is>
      </c>
      <c r="D943" s="4" t="n">
        <v>45589</v>
      </c>
      <c r="E943" s="2" t="inlineStr">
        <is>
          <t>12:31</t>
        </is>
      </c>
      <c r="F943" s="5">
        <f>C943-C942</f>
        <v/>
      </c>
      <c r="G943" s="5">
        <f>B943-B942</f>
        <v/>
      </c>
      <c r="H943" s="2">
        <f>IF(AND(F943=1,G943=1),"OK","À JUSTIFIER")</f>
        <v/>
      </c>
    </row>
    <row r="944">
      <c r="A944" s="2" t="inlineStr">
        <is>
          <t>EJ051124.TXT</t>
        </is>
      </c>
      <c r="B944" s="3" t="inlineStr">
        <is>
          <t>005609</t>
        </is>
      </c>
      <c r="C944" s="3" t="inlineStr">
        <is>
          <t>004504</t>
        </is>
      </c>
      <c r="D944" s="4" t="n">
        <v>45590</v>
      </c>
      <c r="E944" s="2" t="inlineStr">
        <is>
          <t>09:16</t>
        </is>
      </c>
      <c r="F944" s="5">
        <f>C944-C943</f>
        <v/>
      </c>
      <c r="G944" s="5">
        <f>B944-B943</f>
        <v/>
      </c>
      <c r="H944" s="2">
        <f>IF(AND(F944=1,G944=1),"OK","À JUSTIFIER")</f>
        <v/>
      </c>
    </row>
    <row r="945">
      <c r="A945" s="2" t="inlineStr">
        <is>
          <t>EJ051124.TXT</t>
        </is>
      </c>
      <c r="B945" s="3" t="inlineStr">
        <is>
          <t>005610</t>
        </is>
      </c>
      <c r="C945" s="3" t="inlineStr">
        <is>
          <t>004505</t>
        </is>
      </c>
      <c r="D945" s="4" t="n">
        <v>45590</v>
      </c>
      <c r="E945" s="2" t="inlineStr">
        <is>
          <t>16:14</t>
        </is>
      </c>
      <c r="F945" s="5">
        <f>C945-C944</f>
        <v/>
      </c>
      <c r="G945" s="5">
        <f>B945-B944</f>
        <v/>
      </c>
      <c r="H945" s="2">
        <f>IF(AND(F945=1,G945=1),"OK","À JUSTIFIER")</f>
        <v/>
      </c>
    </row>
    <row r="946">
      <c r="A946" s="2" t="inlineStr">
        <is>
          <t>EJ051124.TXT</t>
        </is>
      </c>
      <c r="B946" s="3" t="inlineStr">
        <is>
          <t>005611</t>
        </is>
      </c>
      <c r="C946" s="3" t="inlineStr">
        <is>
          <t>004506</t>
        </is>
      </c>
      <c r="D946" s="4" t="n">
        <v>45590</v>
      </c>
      <c r="E946" s="2" t="inlineStr">
        <is>
          <t>16:34</t>
        </is>
      </c>
      <c r="F946" s="5">
        <f>C946-C945</f>
        <v/>
      </c>
      <c r="G946" s="5">
        <f>B946-B945</f>
        <v/>
      </c>
      <c r="H946" s="2">
        <f>IF(AND(F946=1,G946=1),"OK","À JUSTIFIER")</f>
        <v/>
      </c>
    </row>
    <row r="947">
      <c r="A947" s="2" t="inlineStr">
        <is>
          <t>EJ051124.TXT</t>
        </is>
      </c>
      <c r="B947" s="3" t="inlineStr">
        <is>
          <t>005612</t>
        </is>
      </c>
      <c r="C947" s="3" t="inlineStr">
        <is>
          <t>004507</t>
        </is>
      </c>
      <c r="D947" s="4" t="n">
        <v>45590</v>
      </c>
      <c r="E947" s="2" t="inlineStr">
        <is>
          <t>16:54</t>
        </is>
      </c>
      <c r="F947" s="5">
        <f>C947-C946</f>
        <v/>
      </c>
      <c r="G947" s="5">
        <f>B947-B946</f>
        <v/>
      </c>
      <c r="H947" s="2">
        <f>IF(AND(F947=1,G947=1),"OK","À JUSTIFIER")</f>
        <v/>
      </c>
    </row>
    <row r="948">
      <c r="A948" s="2" t="inlineStr">
        <is>
          <t>EJ051124.TXT</t>
        </is>
      </c>
      <c r="B948" s="3" t="inlineStr">
        <is>
          <t>005613</t>
        </is>
      </c>
      <c r="C948" s="3" t="inlineStr">
        <is>
          <t>004508</t>
        </is>
      </c>
      <c r="D948" s="4" t="n">
        <v>45593</v>
      </c>
      <c r="E948" s="2" t="inlineStr">
        <is>
          <t>16:35</t>
        </is>
      </c>
      <c r="F948" s="5">
        <f>C948-C947</f>
        <v/>
      </c>
      <c r="G948" s="5">
        <f>B948-B947</f>
        <v/>
      </c>
      <c r="H948" s="2">
        <f>IF(AND(F948=1,G948=1),"OK","À JUSTIFIER")</f>
        <v/>
      </c>
    </row>
    <row r="949">
      <c r="A949" s="2" t="inlineStr">
        <is>
          <t>EJ051124.TXT</t>
        </is>
      </c>
      <c r="B949" s="3" t="inlineStr">
        <is>
          <t>005614</t>
        </is>
      </c>
      <c r="C949" s="3" t="inlineStr">
        <is>
          <t>004509</t>
        </is>
      </c>
      <c r="D949" s="4" t="n">
        <v>45593</v>
      </c>
      <c r="E949" s="2" t="inlineStr">
        <is>
          <t>16:36</t>
        </is>
      </c>
      <c r="F949" s="5">
        <f>C949-C948</f>
        <v/>
      </c>
      <c r="G949" s="5">
        <f>B949-B948</f>
        <v/>
      </c>
      <c r="H949" s="2">
        <f>IF(AND(F949=1,G949=1),"OK","À JUSTIFIER")</f>
        <v/>
      </c>
    </row>
    <row r="950">
      <c r="A950" s="2" t="inlineStr">
        <is>
          <t>EJ051124.TXT</t>
        </is>
      </c>
      <c r="B950" s="3" t="inlineStr">
        <is>
          <t>005615</t>
        </is>
      </c>
      <c r="C950" s="3" t="inlineStr">
        <is>
          <t>004510</t>
        </is>
      </c>
      <c r="D950" s="4" t="n">
        <v>45593</v>
      </c>
      <c r="E950" s="2" t="inlineStr">
        <is>
          <t>16:57</t>
        </is>
      </c>
      <c r="F950" s="5">
        <f>C950-C949</f>
        <v/>
      </c>
      <c r="G950" s="5">
        <f>B950-B949</f>
        <v/>
      </c>
      <c r="H950" s="2">
        <f>IF(AND(F950=1,G950=1),"OK","À JUSTIFIER")</f>
        <v/>
      </c>
    </row>
    <row r="951">
      <c r="A951" s="2" t="inlineStr">
        <is>
          <t>EJ051124.TXT</t>
        </is>
      </c>
      <c r="B951" s="3" t="inlineStr">
        <is>
          <t>005616</t>
        </is>
      </c>
      <c r="C951" s="3" t="inlineStr">
        <is>
          <t>004511</t>
        </is>
      </c>
      <c r="D951" s="4" t="n">
        <v>45594</v>
      </c>
      <c r="E951" s="2" t="inlineStr">
        <is>
          <t>16:24</t>
        </is>
      </c>
      <c r="F951" s="5">
        <f>C951-C950</f>
        <v/>
      </c>
      <c r="G951" s="5">
        <f>B951-B950</f>
        <v/>
      </c>
      <c r="H951" s="2">
        <f>IF(AND(F951=1,G951=1),"OK","À JUSTIFIER")</f>
        <v/>
      </c>
    </row>
    <row r="952">
      <c r="A952" s="2" t="inlineStr">
        <is>
          <t>EJ051124.TXT</t>
        </is>
      </c>
      <c r="B952" s="3" t="inlineStr">
        <is>
          <t>005617</t>
        </is>
      </c>
      <c r="C952" s="3" t="inlineStr">
        <is>
          <t>004512</t>
        </is>
      </c>
      <c r="D952" s="4" t="n">
        <v>45594</v>
      </c>
      <c r="E952" s="2" t="inlineStr">
        <is>
          <t>16:39</t>
        </is>
      </c>
      <c r="F952" s="5">
        <f>C952-C951</f>
        <v/>
      </c>
      <c r="G952" s="5">
        <f>B952-B951</f>
        <v/>
      </c>
      <c r="H952" s="2">
        <f>IF(AND(F952=1,G952=1),"OK","À JUSTIFIER")</f>
        <v/>
      </c>
    </row>
    <row r="953">
      <c r="A953" s="2" t="inlineStr">
        <is>
          <t>EJ051124.TXT</t>
        </is>
      </c>
      <c r="B953" s="3" t="inlineStr">
        <is>
          <t>005618</t>
        </is>
      </c>
      <c r="C953" s="3" t="inlineStr">
        <is>
          <t>004513</t>
        </is>
      </c>
      <c r="D953" s="4" t="n">
        <v>45594</v>
      </c>
      <c r="E953" s="2" t="inlineStr">
        <is>
          <t>16:42</t>
        </is>
      </c>
      <c r="F953" s="5">
        <f>C953-C952</f>
        <v/>
      </c>
      <c r="G953" s="5">
        <f>B953-B952</f>
        <v/>
      </c>
      <c r="H953" s="2">
        <f>IF(AND(F953=1,G953=1),"OK","À JUSTIFIER")</f>
        <v/>
      </c>
    </row>
    <row r="954">
      <c r="A954" s="2" t="inlineStr">
        <is>
          <t>EJ051124.TXT</t>
        </is>
      </c>
      <c r="B954" s="3" t="inlineStr">
        <is>
          <t>005619</t>
        </is>
      </c>
      <c r="C954" s="3" t="inlineStr">
        <is>
          <t>004514</t>
        </is>
      </c>
      <c r="D954" s="4" t="n">
        <v>45594</v>
      </c>
      <c r="E954" s="2" t="inlineStr">
        <is>
          <t>17:18</t>
        </is>
      </c>
      <c r="F954" s="5">
        <f>C954-C953</f>
        <v/>
      </c>
      <c r="G954" s="5">
        <f>B954-B953</f>
        <v/>
      </c>
      <c r="H954" s="2">
        <f>IF(AND(F954=1,G954=1),"OK","À JUSTIFIER")</f>
        <v/>
      </c>
    </row>
    <row r="955">
      <c r="A955" s="2" t="inlineStr">
        <is>
          <t>EJ051124.TXT</t>
        </is>
      </c>
      <c r="B955" s="3" t="inlineStr">
        <is>
          <t>005620</t>
        </is>
      </c>
      <c r="C955" s="3" t="inlineStr">
        <is>
          <t>004515</t>
        </is>
      </c>
      <c r="D955" s="4" t="n">
        <v>45595</v>
      </c>
      <c r="E955" s="2" t="inlineStr">
        <is>
          <t>12:40</t>
        </is>
      </c>
      <c r="F955" s="5">
        <f>C955-C954</f>
        <v/>
      </c>
      <c r="G955" s="5">
        <f>B955-B954</f>
        <v/>
      </c>
      <c r="H955" s="2">
        <f>IF(AND(F955=1,G955=1),"OK","À JUSTIFIER")</f>
        <v/>
      </c>
    </row>
    <row r="956">
      <c r="A956" s="2" t="inlineStr">
        <is>
          <t>EJ051124.TXT</t>
        </is>
      </c>
      <c r="B956" s="3" t="inlineStr">
        <is>
          <t>005621</t>
        </is>
      </c>
      <c r="C956" s="3" t="inlineStr">
        <is>
          <t>004516</t>
        </is>
      </c>
      <c r="D956" s="4" t="n">
        <v>45600</v>
      </c>
      <c r="E956" s="2" t="inlineStr">
        <is>
          <t>12:42</t>
        </is>
      </c>
      <c r="F956" s="5">
        <f>C956-C955</f>
        <v/>
      </c>
      <c r="G956" s="5">
        <f>B956-B955</f>
        <v/>
      </c>
      <c r="H956" s="2">
        <f>IF(AND(F956=1,G956=1),"OK","À JUSTIFIER")</f>
        <v/>
      </c>
    </row>
    <row r="957">
      <c r="A957" s="2" t="inlineStr">
        <is>
          <t>EJ051124.TXT</t>
        </is>
      </c>
      <c r="B957" s="3" t="inlineStr">
        <is>
          <t>005622</t>
        </is>
      </c>
      <c r="C957" s="3" t="inlineStr">
        <is>
          <t>004517</t>
        </is>
      </c>
      <c r="D957" s="4" t="n">
        <v>45600</v>
      </c>
      <c r="E957" s="2" t="inlineStr">
        <is>
          <t>12:43</t>
        </is>
      </c>
      <c r="F957" s="5">
        <f>C957-C956</f>
        <v/>
      </c>
      <c r="G957" s="5">
        <f>B957-B956</f>
        <v/>
      </c>
      <c r="H957" s="2">
        <f>IF(AND(F957=1,G957=1),"OK","À JUSTIFIER")</f>
        <v/>
      </c>
    </row>
    <row r="958">
      <c r="A958" s="2" t="inlineStr">
        <is>
          <t>EJ051124.TXT</t>
        </is>
      </c>
      <c r="B958" s="3" t="inlineStr">
        <is>
          <t>005623</t>
        </is>
      </c>
      <c r="C958" s="3" t="inlineStr">
        <is>
          <t>004518</t>
        </is>
      </c>
      <c r="D958" s="4" t="n">
        <v>45600</v>
      </c>
      <c r="E958" s="2" t="inlineStr">
        <is>
          <t>12:43</t>
        </is>
      </c>
      <c r="F958" s="5">
        <f>C958-C957</f>
        <v/>
      </c>
      <c r="G958" s="5">
        <f>B958-B957</f>
        <v/>
      </c>
      <c r="H958" s="2">
        <f>IF(AND(F958=1,G958=1),"OK","À JUSTIFIER")</f>
        <v/>
      </c>
    </row>
    <row r="959">
      <c r="A959" s="2" t="inlineStr">
        <is>
          <t>EJ051124.TXT</t>
        </is>
      </c>
      <c r="B959" s="3" t="inlineStr">
        <is>
          <t>005624</t>
        </is>
      </c>
      <c r="C959" s="3" t="inlineStr">
        <is>
          <t>004519</t>
        </is>
      </c>
      <c r="D959" s="4" t="n">
        <v>45600</v>
      </c>
      <c r="E959" s="2" t="inlineStr">
        <is>
          <t>12:43</t>
        </is>
      </c>
      <c r="F959" s="5">
        <f>C959-C958</f>
        <v/>
      </c>
      <c r="G959" s="5">
        <f>B959-B958</f>
        <v/>
      </c>
      <c r="H959" s="2">
        <f>IF(AND(F959=1,G959=1),"OK","À JUSTIFIER")</f>
        <v/>
      </c>
    </row>
    <row r="960">
      <c r="A960" s="2" t="inlineStr">
        <is>
          <t>EJ051124.TXT</t>
        </is>
      </c>
      <c r="B960" s="3" t="inlineStr">
        <is>
          <t>005625</t>
        </is>
      </c>
      <c r="C960" s="3" t="inlineStr">
        <is>
          <t>004520</t>
        </is>
      </c>
      <c r="D960" s="4" t="n">
        <v>45600</v>
      </c>
      <c r="E960" s="2" t="inlineStr">
        <is>
          <t>15:24</t>
        </is>
      </c>
      <c r="F960" s="5">
        <f>C960-C959</f>
        <v/>
      </c>
      <c r="G960" s="5">
        <f>B960-B959</f>
        <v/>
      </c>
      <c r="H960" s="2">
        <f>IF(AND(F960=1,G960=1),"OK","À JUSTIFIER")</f>
        <v/>
      </c>
    </row>
    <row r="961">
      <c r="A961" s="2" t="inlineStr">
        <is>
          <t>EJ051124.TXT</t>
        </is>
      </c>
      <c r="B961" s="3" t="inlineStr">
        <is>
          <t>005626</t>
        </is>
      </c>
      <c r="C961" s="3" t="inlineStr">
        <is>
          <t>004521</t>
        </is>
      </c>
      <c r="D961" s="4" t="n">
        <v>45601</v>
      </c>
      <c r="E961" s="2" t="inlineStr">
        <is>
          <t>12:46</t>
        </is>
      </c>
      <c r="F961" s="5">
        <f>C961-C960</f>
        <v/>
      </c>
      <c r="G961" s="5">
        <f>B961-B960</f>
        <v/>
      </c>
      <c r="H961" s="2">
        <f>IF(AND(F961=1,G961=1),"OK","À JUSTIFIER")</f>
        <v/>
      </c>
    </row>
    <row r="962">
      <c r="A962" s="2" t="inlineStr">
        <is>
          <t>EJ051124.TXT</t>
        </is>
      </c>
      <c r="B962" s="3" t="inlineStr">
        <is>
          <t>005627</t>
        </is>
      </c>
      <c r="C962" s="3" t="inlineStr">
        <is>
          <t>004522</t>
        </is>
      </c>
      <c r="D962" s="4" t="n">
        <v>45601</v>
      </c>
      <c r="E962" s="2" t="inlineStr">
        <is>
          <t>17:19</t>
        </is>
      </c>
      <c r="F962" s="5">
        <f>C962-C961</f>
        <v/>
      </c>
      <c r="G962" s="5">
        <f>B962-B961</f>
        <v/>
      </c>
      <c r="H962" s="2">
        <f>IF(AND(F962=1,G962=1),"OK","À JUSTIFIER")</f>
        <v/>
      </c>
    </row>
    <row r="963">
      <c r="A963" s="2" t="inlineStr">
        <is>
          <t>EJ051124.TXT</t>
        </is>
      </c>
      <c r="B963" s="3" t="inlineStr">
        <is>
          <t>005628</t>
        </is>
      </c>
      <c r="C963" s="3" t="inlineStr">
        <is>
          <t>004523</t>
        </is>
      </c>
      <c r="D963" s="4" t="n">
        <v>45601</v>
      </c>
      <c r="E963" s="2" t="inlineStr">
        <is>
          <t>17:19</t>
        </is>
      </c>
      <c r="F963" s="5">
        <f>C963-C962</f>
        <v/>
      </c>
      <c r="G963" s="5">
        <f>B963-B962</f>
        <v/>
      </c>
      <c r="H963" s="2">
        <f>IF(AND(F963=1,G963=1),"OK","À JUSTIFIER")</f>
        <v/>
      </c>
    </row>
    <row r="964">
      <c r="A964" s="2" t="inlineStr">
        <is>
          <t>EJ051124.TXT</t>
        </is>
      </c>
      <c r="B964" s="3" t="inlineStr">
        <is>
          <t>005629</t>
        </is>
      </c>
      <c r="C964" s="3" t="inlineStr">
        <is>
          <t>004524</t>
        </is>
      </c>
      <c r="D964" s="4" t="n">
        <v>45601</v>
      </c>
      <c r="E964" s="2" t="inlineStr">
        <is>
          <t>17:22</t>
        </is>
      </c>
      <c r="F964" s="5">
        <f>C964-C963</f>
        <v/>
      </c>
      <c r="G964" s="5">
        <f>B964-B963</f>
        <v/>
      </c>
      <c r="H964" s="2">
        <f>IF(AND(F964=1,G964=1),"OK","À JUSTIFIER")</f>
        <v/>
      </c>
    </row>
    <row r="965">
      <c r="A965" s="2" t="inlineStr">
        <is>
          <t>EJ301124.TXT</t>
        </is>
      </c>
      <c r="B965" s="3" t="inlineStr">
        <is>
          <t>005637</t>
        </is>
      </c>
      <c r="C965" s="3" t="inlineStr">
        <is>
          <t>004525</t>
        </is>
      </c>
      <c r="D965" s="4" t="n">
        <v>45602</v>
      </c>
      <c r="E965" s="2" t="inlineStr">
        <is>
          <t>09:48</t>
        </is>
      </c>
      <c r="F965" s="5">
        <f>C965-C964</f>
        <v/>
      </c>
      <c r="G965" s="5">
        <f>B965-B964</f>
        <v/>
      </c>
      <c r="H965" s="2">
        <f>IF(AND(F965=1,G965=1),"OK","À JUSTIFIER")</f>
        <v/>
      </c>
    </row>
    <row r="966">
      <c r="A966" s="2" t="inlineStr">
        <is>
          <t>EJ301124.TXT</t>
        </is>
      </c>
      <c r="B966" s="3" t="inlineStr">
        <is>
          <t>005638</t>
        </is>
      </c>
      <c r="C966" s="3" t="inlineStr">
        <is>
          <t>004526</t>
        </is>
      </c>
      <c r="D966" s="4" t="n">
        <v>45604</v>
      </c>
      <c r="E966" s="2" t="inlineStr">
        <is>
          <t>18:23</t>
        </is>
      </c>
      <c r="F966" s="5">
        <f>C966-C965</f>
        <v/>
      </c>
      <c r="G966" s="5">
        <f>B966-B965</f>
        <v/>
      </c>
      <c r="H966" s="2">
        <f>IF(AND(F966=1,G966=1),"OK","À JUSTIFIER")</f>
        <v/>
      </c>
    </row>
    <row r="967">
      <c r="A967" s="2" t="inlineStr">
        <is>
          <t>EJ301124.TXT</t>
        </is>
      </c>
      <c r="B967" s="3" t="inlineStr">
        <is>
          <t>005639</t>
        </is>
      </c>
      <c r="C967" s="3" t="inlineStr">
        <is>
          <t>004527</t>
        </is>
      </c>
      <c r="D967" s="4" t="n">
        <v>45604</v>
      </c>
      <c r="E967" s="2" t="inlineStr">
        <is>
          <t>18:40</t>
        </is>
      </c>
      <c r="F967" s="5">
        <f>C967-C966</f>
        <v/>
      </c>
      <c r="G967" s="5">
        <f>B967-B966</f>
        <v/>
      </c>
      <c r="H967" s="2">
        <f>IF(AND(F967=1,G967=1),"OK","À JUSTIFIER")</f>
        <v/>
      </c>
    </row>
    <row r="968">
      <c r="A968" s="2" t="inlineStr">
        <is>
          <t>EJ301124.TXT</t>
        </is>
      </c>
      <c r="B968" s="3" t="inlineStr">
        <is>
          <t>005640</t>
        </is>
      </c>
      <c r="C968" s="3" t="inlineStr">
        <is>
          <t>004528</t>
        </is>
      </c>
      <c r="D968" s="4" t="n">
        <v>45605</v>
      </c>
      <c r="E968" s="2" t="inlineStr">
        <is>
          <t>16:17</t>
        </is>
      </c>
      <c r="F968" s="5">
        <f>C968-C967</f>
        <v/>
      </c>
      <c r="G968" s="5">
        <f>B968-B967</f>
        <v/>
      </c>
      <c r="H968" s="2">
        <f>IF(AND(F968=1,G968=1),"OK","À JUSTIFIER")</f>
        <v/>
      </c>
    </row>
    <row r="969">
      <c r="A969" s="2" t="inlineStr">
        <is>
          <t>EJ301124.TXT</t>
        </is>
      </c>
      <c r="B969" s="3" t="inlineStr">
        <is>
          <t>005641</t>
        </is>
      </c>
      <c r="C969" s="3" t="inlineStr">
        <is>
          <t>004529</t>
        </is>
      </c>
      <c r="D969" s="4" t="n">
        <v>45605</v>
      </c>
      <c r="E969" s="2" t="inlineStr">
        <is>
          <t>16:18</t>
        </is>
      </c>
      <c r="F969" s="5">
        <f>C969-C968</f>
        <v/>
      </c>
      <c r="G969" s="5">
        <f>B969-B968</f>
        <v/>
      </c>
      <c r="H969" s="2">
        <f>IF(AND(F969=1,G969=1),"OK","À JUSTIFIER")</f>
        <v/>
      </c>
    </row>
    <row r="970">
      <c r="A970" s="2" t="inlineStr">
        <is>
          <t>EJ301124.TXT</t>
        </is>
      </c>
      <c r="B970" s="3" t="inlineStr">
        <is>
          <t>005642</t>
        </is>
      </c>
      <c r="C970" s="3" t="inlineStr">
        <is>
          <t>004530</t>
        </is>
      </c>
      <c r="D970" s="4" t="n">
        <v>45614</v>
      </c>
      <c r="E970" s="2" t="inlineStr">
        <is>
          <t>15:40</t>
        </is>
      </c>
      <c r="F970" s="5">
        <f>C970-C969</f>
        <v/>
      </c>
      <c r="G970" s="5">
        <f>B970-B969</f>
        <v/>
      </c>
      <c r="H970" s="2">
        <f>IF(AND(F970=1,G970=1),"OK","À JUSTIFIER")</f>
        <v/>
      </c>
    </row>
    <row r="971">
      <c r="A971" s="2" t="inlineStr">
        <is>
          <t>EJ301124.TXT</t>
        </is>
      </c>
      <c r="B971" s="3" t="inlineStr">
        <is>
          <t>005643</t>
        </is>
      </c>
      <c r="C971" s="3" t="inlineStr">
        <is>
          <t>004531</t>
        </is>
      </c>
      <c r="D971" s="4" t="n">
        <v>45614</v>
      </c>
      <c r="E971" s="2" t="inlineStr">
        <is>
          <t>16:36</t>
        </is>
      </c>
      <c r="F971" s="5">
        <f>C971-C970</f>
        <v/>
      </c>
      <c r="G971" s="5">
        <f>B971-B970</f>
        <v/>
      </c>
      <c r="H971" s="2">
        <f>IF(AND(F971=1,G971=1),"OK","À JUSTIFIER")</f>
        <v/>
      </c>
    </row>
    <row r="972">
      <c r="A972" s="2" t="inlineStr">
        <is>
          <t>EJ301124.TXT</t>
        </is>
      </c>
      <c r="B972" s="3" t="inlineStr">
        <is>
          <t>005644</t>
        </is>
      </c>
      <c r="C972" s="3" t="inlineStr">
        <is>
          <t>004532</t>
        </is>
      </c>
      <c r="D972" s="4" t="n">
        <v>45615</v>
      </c>
      <c r="E972" s="2" t="inlineStr">
        <is>
          <t>11:56</t>
        </is>
      </c>
      <c r="F972" s="5">
        <f>C972-C971</f>
        <v/>
      </c>
      <c r="G972" s="5">
        <f>B972-B971</f>
        <v/>
      </c>
      <c r="H972" s="2">
        <f>IF(AND(F972=1,G972=1),"OK","À JUSTIFIER")</f>
        <v/>
      </c>
    </row>
    <row r="973">
      <c r="A973" s="2" t="inlineStr">
        <is>
          <t>EJ301124.TXT</t>
        </is>
      </c>
      <c r="B973" s="3" t="inlineStr">
        <is>
          <t>005645</t>
        </is>
      </c>
      <c r="C973" s="3" t="inlineStr">
        <is>
          <t>004533</t>
        </is>
      </c>
      <c r="D973" s="4" t="n">
        <v>45621</v>
      </c>
      <c r="E973" s="2" t="inlineStr">
        <is>
          <t>11:36</t>
        </is>
      </c>
      <c r="F973" s="5">
        <f>C973-C972</f>
        <v/>
      </c>
      <c r="G973" s="5">
        <f>B973-B972</f>
        <v/>
      </c>
      <c r="H973" s="2">
        <f>IF(AND(F973=1,G973=1),"OK","À JUSTIFIER")</f>
        <v/>
      </c>
    </row>
    <row r="974">
      <c r="A974" s="2" t="inlineStr">
        <is>
          <t>EJ301124.TXT</t>
        </is>
      </c>
      <c r="B974" s="3" t="inlineStr">
        <is>
          <t>005646</t>
        </is>
      </c>
      <c r="C974" s="3" t="inlineStr">
        <is>
          <t>004534</t>
        </is>
      </c>
      <c r="D974" s="4" t="n">
        <v>45625</v>
      </c>
      <c r="E974" s="2" t="inlineStr">
        <is>
          <t>17:20</t>
        </is>
      </c>
      <c r="F974" s="5">
        <f>C974-C973</f>
        <v/>
      </c>
      <c r="G974" s="5">
        <f>B974-B973</f>
        <v/>
      </c>
      <c r="H974" s="2">
        <f>IF(AND(F974=1,G974=1),"OK","À JUSTIFIER")</f>
        <v/>
      </c>
    </row>
    <row r="975">
      <c r="A975" s="2" t="inlineStr">
        <is>
          <t>EJ301124.TXT</t>
        </is>
      </c>
      <c r="B975" s="3" t="inlineStr">
        <is>
          <t>005647</t>
        </is>
      </c>
      <c r="C975" s="3" t="inlineStr">
        <is>
          <t>004535</t>
        </is>
      </c>
      <c r="D975" s="4" t="n">
        <v>45626</v>
      </c>
      <c r="E975" s="2" t="inlineStr">
        <is>
          <t>15:32</t>
        </is>
      </c>
      <c r="F975" s="5">
        <f>C975-C974</f>
        <v/>
      </c>
      <c r="G975" s="5">
        <f>B975-B974</f>
        <v/>
      </c>
      <c r="H975" s="2">
        <f>IF(AND(F975=1,G975=1),"OK","À JUSTIFIER")</f>
        <v/>
      </c>
    </row>
    <row r="976">
      <c r="A976" s="2" t="inlineStr">
        <is>
          <t>EJ301124.TXT</t>
        </is>
      </c>
      <c r="B976" s="3" t="inlineStr">
        <is>
          <t>005648</t>
        </is>
      </c>
      <c r="C976" s="3" t="inlineStr">
        <is>
          <t>004536</t>
        </is>
      </c>
      <c r="D976" s="4" t="n">
        <v>45626</v>
      </c>
      <c r="E976" s="2" t="inlineStr">
        <is>
          <t>16:29</t>
        </is>
      </c>
      <c r="F976" s="5">
        <f>C976-C975</f>
        <v/>
      </c>
      <c r="G976" s="5">
        <f>B976-B975</f>
        <v/>
      </c>
      <c r="H976" s="2">
        <f>IF(AND(F976=1,G976=1),"OK","À JUSTIFIER")</f>
        <v/>
      </c>
    </row>
    <row r="977">
      <c r="A977" s="2" t="inlineStr">
        <is>
          <t>EJ020125.TXT</t>
        </is>
      </c>
      <c r="B977" s="3" t="inlineStr">
        <is>
          <t>005656</t>
        </is>
      </c>
      <c r="C977" s="3" t="inlineStr">
        <is>
          <t>004537</t>
        </is>
      </c>
      <c r="D977" s="4" t="n">
        <v>45629</v>
      </c>
      <c r="E977" s="2" t="inlineStr">
        <is>
          <t>16:04</t>
        </is>
      </c>
      <c r="F977" s="5">
        <f>C977-C976</f>
        <v/>
      </c>
      <c r="G977" s="5">
        <f>B977-B976</f>
        <v/>
      </c>
      <c r="H977" s="2">
        <f>IF(AND(F977=1,G977=1),"OK","À JUSTIFIER")</f>
        <v/>
      </c>
    </row>
    <row r="978">
      <c r="A978" s="2" t="inlineStr">
        <is>
          <t>EJ020125.TXT</t>
        </is>
      </c>
      <c r="B978" s="3" t="inlineStr">
        <is>
          <t>005657</t>
        </is>
      </c>
      <c r="C978" s="3" t="inlineStr">
        <is>
          <t>004538</t>
        </is>
      </c>
      <c r="D978" s="4" t="n">
        <v>45629</v>
      </c>
      <c r="E978" s="2" t="inlineStr">
        <is>
          <t>17:35</t>
        </is>
      </c>
      <c r="F978" s="5">
        <f>C978-C977</f>
        <v/>
      </c>
      <c r="G978" s="5">
        <f>B978-B977</f>
        <v/>
      </c>
      <c r="H978" s="2">
        <f>IF(AND(F978=1,G978=1),"OK","À JUSTIFIER")</f>
        <v/>
      </c>
    </row>
    <row r="979">
      <c r="A979" s="2" t="inlineStr">
        <is>
          <t>EJ020125.TXT</t>
        </is>
      </c>
      <c r="B979" s="3" t="inlineStr">
        <is>
          <t>005658</t>
        </is>
      </c>
      <c r="C979" s="3" t="inlineStr">
        <is>
          <t>004539</t>
        </is>
      </c>
      <c r="D979" s="4" t="n">
        <v>45632</v>
      </c>
      <c r="E979" s="2" t="inlineStr">
        <is>
          <t>11:59</t>
        </is>
      </c>
      <c r="F979" s="5">
        <f>C979-C978</f>
        <v/>
      </c>
      <c r="G979" s="5">
        <f>B979-B978</f>
        <v/>
      </c>
      <c r="H979" s="2">
        <f>IF(AND(F979=1,G979=1),"OK","À JUSTIFIER")</f>
        <v/>
      </c>
    </row>
    <row r="980">
      <c r="A980" s="2" t="inlineStr">
        <is>
          <t>EJ020125.TXT</t>
        </is>
      </c>
      <c r="B980" s="3" t="inlineStr">
        <is>
          <t>005659</t>
        </is>
      </c>
      <c r="C980" s="3" t="inlineStr">
        <is>
          <t>004540</t>
        </is>
      </c>
      <c r="D980" s="4" t="n">
        <v>45632</v>
      </c>
      <c r="E980" s="2" t="inlineStr">
        <is>
          <t>11:59</t>
        </is>
      </c>
      <c r="F980" s="5">
        <f>C980-C979</f>
        <v/>
      </c>
      <c r="G980" s="5">
        <f>B980-B979</f>
        <v/>
      </c>
      <c r="H980" s="2">
        <f>IF(AND(F980=1,G980=1),"OK","À JUSTIFIER")</f>
        <v/>
      </c>
    </row>
    <row r="981">
      <c r="A981" s="2" t="inlineStr">
        <is>
          <t>EJ020125.TXT</t>
        </is>
      </c>
      <c r="B981" s="3" t="inlineStr">
        <is>
          <t>005660</t>
        </is>
      </c>
      <c r="C981" s="3" t="inlineStr">
        <is>
          <t>004541</t>
        </is>
      </c>
      <c r="D981" s="4" t="n">
        <v>45632</v>
      </c>
      <c r="E981" s="2" t="inlineStr">
        <is>
          <t>18:13</t>
        </is>
      </c>
      <c r="F981" s="5">
        <f>C981-C980</f>
        <v/>
      </c>
      <c r="G981" s="5">
        <f>B981-B980</f>
        <v/>
      </c>
      <c r="H981" s="2">
        <f>IF(AND(F981=1,G981=1),"OK","À JUSTIFIER")</f>
        <v/>
      </c>
    </row>
    <row r="982">
      <c r="A982" s="2" t="inlineStr">
        <is>
          <t>EJ020125.TXT</t>
        </is>
      </c>
      <c r="B982" s="3" t="inlineStr">
        <is>
          <t>005661</t>
        </is>
      </c>
      <c r="C982" s="3" t="inlineStr">
        <is>
          <t>004542</t>
        </is>
      </c>
      <c r="D982" s="4" t="n">
        <v>45635</v>
      </c>
      <c r="E982" s="2" t="inlineStr">
        <is>
          <t>14:35</t>
        </is>
      </c>
      <c r="F982" s="5">
        <f>C982-C981</f>
        <v/>
      </c>
      <c r="G982" s="5">
        <f>B982-B981</f>
        <v/>
      </c>
      <c r="H982" s="2">
        <f>IF(AND(F982=1,G982=1),"OK","À JUSTIFIER")</f>
        <v/>
      </c>
    </row>
    <row r="983">
      <c r="A983" s="2" t="inlineStr">
        <is>
          <t>EJ020125.TXT</t>
        </is>
      </c>
      <c r="B983" s="3" t="inlineStr">
        <is>
          <t>005662</t>
        </is>
      </c>
      <c r="C983" s="3" t="inlineStr">
        <is>
          <t>004543</t>
        </is>
      </c>
      <c r="D983" s="4" t="n">
        <v>45637</v>
      </c>
      <c r="E983" s="2" t="inlineStr">
        <is>
          <t>11:36</t>
        </is>
      </c>
      <c r="F983" s="5">
        <f>C983-C982</f>
        <v/>
      </c>
      <c r="G983" s="5">
        <f>B983-B982</f>
        <v/>
      </c>
      <c r="H983" s="2">
        <f>IF(AND(F983=1,G983=1),"OK","À JUSTIFIER")</f>
        <v/>
      </c>
    </row>
    <row r="984">
      <c r="A984" s="2" t="inlineStr">
        <is>
          <t>EJ020125.TXT</t>
        </is>
      </c>
      <c r="B984" s="3" t="inlineStr">
        <is>
          <t>005663</t>
        </is>
      </c>
      <c r="C984" s="3" t="inlineStr">
        <is>
          <t>004544</t>
        </is>
      </c>
      <c r="D984" s="4" t="n">
        <v>45638</v>
      </c>
      <c r="E984" s="2" t="inlineStr">
        <is>
          <t>12:56</t>
        </is>
      </c>
      <c r="F984" s="5">
        <f>C984-C983</f>
        <v/>
      </c>
      <c r="G984" s="5">
        <f>B984-B983</f>
        <v/>
      </c>
      <c r="H984" s="2">
        <f>IF(AND(F984=1,G984=1),"OK","À JUSTIFIER")</f>
        <v/>
      </c>
    </row>
    <row r="985">
      <c r="A985" s="2" t="inlineStr">
        <is>
          <t>EJ020125.TXT</t>
        </is>
      </c>
      <c r="B985" s="3" t="inlineStr">
        <is>
          <t>005664</t>
        </is>
      </c>
      <c r="C985" s="3" t="inlineStr">
        <is>
          <t>004545</t>
        </is>
      </c>
      <c r="D985" s="4" t="n">
        <v>45643</v>
      </c>
      <c r="E985" s="2" t="inlineStr">
        <is>
          <t>14:57</t>
        </is>
      </c>
      <c r="F985" s="5">
        <f>C985-C984</f>
        <v/>
      </c>
      <c r="G985" s="5">
        <f>B985-B984</f>
        <v/>
      </c>
      <c r="H985" s="2">
        <f>IF(AND(F985=1,G985=1),"OK","À JUSTIFIER")</f>
        <v/>
      </c>
    </row>
    <row r="986">
      <c r="A986" s="2" t="inlineStr">
        <is>
          <t>EJ020125.TXT</t>
        </is>
      </c>
      <c r="B986" s="3" t="inlineStr">
        <is>
          <t>005665</t>
        </is>
      </c>
      <c r="C986" s="3" t="inlineStr">
        <is>
          <t>004546</t>
        </is>
      </c>
      <c r="D986" s="4" t="n">
        <v>45644</v>
      </c>
      <c r="E986" s="2" t="inlineStr">
        <is>
          <t>11:36</t>
        </is>
      </c>
      <c r="F986" s="5">
        <f>C986-C985</f>
        <v/>
      </c>
      <c r="G986" s="5">
        <f>B986-B985</f>
        <v/>
      </c>
      <c r="H986" s="2">
        <f>IF(AND(F986=1,G986=1),"OK","À JUSTIFIER")</f>
        <v/>
      </c>
    </row>
    <row r="987">
      <c r="A987" s="2" t="inlineStr">
        <is>
          <t>EJ020125.TXT</t>
        </is>
      </c>
      <c r="B987" s="3" t="inlineStr">
        <is>
          <t>005666</t>
        </is>
      </c>
      <c r="C987" s="3" t="inlineStr">
        <is>
          <t>004547</t>
        </is>
      </c>
      <c r="D987" s="4" t="n">
        <v>45644</v>
      </c>
      <c r="E987" s="2" t="inlineStr">
        <is>
          <t>11:36</t>
        </is>
      </c>
      <c r="F987" s="5">
        <f>C987-C986</f>
        <v/>
      </c>
      <c r="G987" s="5">
        <f>B987-B986</f>
        <v/>
      </c>
      <c r="H987" s="2">
        <f>IF(AND(F987=1,G987=1),"OK","À JUSTIFIER")</f>
        <v/>
      </c>
    </row>
    <row r="988">
      <c r="A988" s="2" t="inlineStr">
        <is>
          <t>EJ020125.TXT</t>
        </is>
      </c>
      <c r="B988" s="3" t="inlineStr">
        <is>
          <t>005667</t>
        </is>
      </c>
      <c r="C988" s="3" t="inlineStr">
        <is>
          <t>004548</t>
        </is>
      </c>
      <c r="D988" s="4" t="n">
        <v>45644</v>
      </c>
      <c r="E988" s="2" t="inlineStr">
        <is>
          <t>11:36</t>
        </is>
      </c>
      <c r="F988" s="5">
        <f>C988-C987</f>
        <v/>
      </c>
      <c r="G988" s="5">
        <f>B988-B987</f>
        <v/>
      </c>
      <c r="H988" s="2">
        <f>IF(AND(F988=1,G988=1),"OK","À JUSTIFIER")</f>
        <v/>
      </c>
    </row>
    <row r="989">
      <c r="A989" s="2" t="inlineStr">
        <is>
          <t>EJ020125.TXT</t>
        </is>
      </c>
      <c r="B989" s="3" t="inlineStr">
        <is>
          <t>005668</t>
        </is>
      </c>
      <c r="C989" s="3" t="inlineStr">
        <is>
          <t>004549</t>
        </is>
      </c>
      <c r="D989" s="4" t="n">
        <v>45644</v>
      </c>
      <c r="E989" s="2" t="inlineStr">
        <is>
          <t>14:52</t>
        </is>
      </c>
      <c r="F989" s="5">
        <f>C989-C988</f>
        <v/>
      </c>
      <c r="G989" s="5">
        <f>B989-B988</f>
        <v/>
      </c>
      <c r="H989" s="2">
        <f>IF(AND(F989=1,G989=1),"OK","À JUSTIFIER")</f>
        <v/>
      </c>
    </row>
    <row r="990">
      <c r="A990" s="2" t="inlineStr">
        <is>
          <t>EJ020125.TXT</t>
        </is>
      </c>
      <c r="B990" s="3" t="inlineStr">
        <is>
          <t>005669</t>
        </is>
      </c>
      <c r="C990" s="3" t="inlineStr">
        <is>
          <t>004550</t>
        </is>
      </c>
      <c r="D990" s="4" t="n">
        <v>45644</v>
      </c>
      <c r="E990" s="2" t="inlineStr">
        <is>
          <t>14:56</t>
        </is>
      </c>
      <c r="F990" s="5">
        <f>C990-C989</f>
        <v/>
      </c>
      <c r="G990" s="5">
        <f>B990-B989</f>
        <v/>
      </c>
      <c r="H990" s="2">
        <f>IF(AND(F990=1,G990=1),"OK","À JUSTIFIER")</f>
        <v/>
      </c>
    </row>
    <row r="991">
      <c r="A991" s="2" t="inlineStr">
        <is>
          <t>EJ020125.TXT</t>
        </is>
      </c>
      <c r="B991" s="3" t="inlineStr">
        <is>
          <t>005670</t>
        </is>
      </c>
      <c r="C991" s="3" t="inlineStr">
        <is>
          <t>004551</t>
        </is>
      </c>
      <c r="D991" s="4" t="n">
        <v>45644</v>
      </c>
      <c r="E991" s="2" t="inlineStr">
        <is>
          <t>15:42</t>
        </is>
      </c>
      <c r="F991" s="5">
        <f>C991-C990</f>
        <v/>
      </c>
      <c r="G991" s="5">
        <f>B991-B990</f>
        <v/>
      </c>
      <c r="H991" s="2">
        <f>IF(AND(F991=1,G991=1),"OK","À JUSTIFIER")</f>
        <v/>
      </c>
    </row>
    <row r="992">
      <c r="A992" s="2" t="inlineStr">
        <is>
          <t>EJ020125.TXT</t>
        </is>
      </c>
      <c r="B992" s="3" t="inlineStr">
        <is>
          <t>005671</t>
        </is>
      </c>
      <c r="C992" s="3" t="inlineStr">
        <is>
          <t>004552</t>
        </is>
      </c>
      <c r="D992" s="4" t="n">
        <v>45645</v>
      </c>
      <c r="E992" s="2" t="inlineStr">
        <is>
          <t>16:37</t>
        </is>
      </c>
      <c r="F992" s="5">
        <f>C992-C991</f>
        <v/>
      </c>
      <c r="G992" s="5">
        <f>B992-B991</f>
        <v/>
      </c>
      <c r="H992" s="2">
        <f>IF(AND(F992=1,G992=1),"OK","À JUSTIFIER")</f>
        <v/>
      </c>
    </row>
    <row r="993">
      <c r="A993" s="2" t="inlineStr">
        <is>
          <t>EJ020125.TXT</t>
        </is>
      </c>
      <c r="B993" s="3" t="inlineStr">
        <is>
          <t>005672</t>
        </is>
      </c>
      <c r="C993" s="3" t="inlineStr">
        <is>
          <t>004553</t>
        </is>
      </c>
      <c r="D993" s="4" t="n">
        <v>45645</v>
      </c>
      <c r="E993" s="2" t="inlineStr">
        <is>
          <t>17:31</t>
        </is>
      </c>
      <c r="F993" s="5">
        <f>C993-C992</f>
        <v/>
      </c>
      <c r="G993" s="5">
        <f>B993-B992</f>
        <v/>
      </c>
      <c r="H993" s="2">
        <f>IF(AND(F993=1,G993=1),"OK","À JUSTIFIER")</f>
        <v/>
      </c>
    </row>
    <row r="994">
      <c r="A994" s="2" t="inlineStr">
        <is>
          <t>EJ020125.TXT</t>
        </is>
      </c>
      <c r="B994" s="3" t="inlineStr">
        <is>
          <t>005673</t>
        </is>
      </c>
      <c r="C994" s="3" t="inlineStr">
        <is>
          <t>004554</t>
        </is>
      </c>
      <c r="D994" s="4" t="n">
        <v>45645</v>
      </c>
      <c r="E994" s="2" t="inlineStr">
        <is>
          <t>18:17</t>
        </is>
      </c>
      <c r="F994" s="5">
        <f>C994-C993</f>
        <v/>
      </c>
      <c r="G994" s="5">
        <f>B994-B993</f>
        <v/>
      </c>
      <c r="H994" s="2">
        <f>IF(AND(F994=1,G994=1),"OK","À JUSTIFIER")</f>
        <v/>
      </c>
    </row>
    <row r="995">
      <c r="A995" s="2" t="inlineStr">
        <is>
          <t>EJ020125.TXT</t>
        </is>
      </c>
      <c r="B995" s="3" t="inlineStr">
        <is>
          <t>005674</t>
        </is>
      </c>
      <c r="C995" s="3" t="inlineStr">
        <is>
          <t>004555</t>
        </is>
      </c>
      <c r="D995" s="4" t="n">
        <v>45645</v>
      </c>
      <c r="E995" s="2" t="inlineStr">
        <is>
          <t>18:17</t>
        </is>
      </c>
      <c r="F995" s="5">
        <f>C995-C994</f>
        <v/>
      </c>
      <c r="G995" s="5">
        <f>B995-B994</f>
        <v/>
      </c>
      <c r="H995" s="2">
        <f>IF(AND(F995=1,G995=1),"OK","À JUSTIFIER")</f>
        <v/>
      </c>
    </row>
    <row r="996">
      <c r="A996" s="2" t="inlineStr">
        <is>
          <t>EJ020125.TXT</t>
        </is>
      </c>
      <c r="B996" s="3" t="inlineStr">
        <is>
          <t>005675</t>
        </is>
      </c>
      <c r="C996" s="3" t="inlineStr">
        <is>
          <t>004556</t>
        </is>
      </c>
      <c r="D996" s="4" t="n">
        <v>45646</v>
      </c>
      <c r="E996" s="2" t="inlineStr">
        <is>
          <t>10:07</t>
        </is>
      </c>
      <c r="F996" s="5">
        <f>C996-C995</f>
        <v/>
      </c>
      <c r="G996" s="5">
        <f>B996-B995</f>
        <v/>
      </c>
      <c r="H996" s="2">
        <f>IF(AND(F996=1,G996=1),"OK","À JUSTIFIER")</f>
        <v/>
      </c>
    </row>
    <row r="997">
      <c r="A997" s="2" t="inlineStr">
        <is>
          <t>EJ020125.TXT</t>
        </is>
      </c>
      <c r="B997" s="3" t="inlineStr">
        <is>
          <t>005676</t>
        </is>
      </c>
      <c r="C997" s="3" t="inlineStr">
        <is>
          <t>004557</t>
        </is>
      </c>
      <c r="D997" s="4" t="n">
        <v>45646</v>
      </c>
      <c r="E997" s="2" t="inlineStr">
        <is>
          <t>10:07</t>
        </is>
      </c>
      <c r="F997" s="5">
        <f>C997-C996</f>
        <v/>
      </c>
      <c r="G997" s="5">
        <f>B997-B996</f>
        <v/>
      </c>
      <c r="H997" s="2">
        <f>IF(AND(F997=1,G997=1),"OK","À JUSTIFIER")</f>
        <v/>
      </c>
    </row>
    <row r="998">
      <c r="A998" s="2" t="inlineStr">
        <is>
          <t>EJ020125.TXT</t>
        </is>
      </c>
      <c r="B998" s="3" t="inlineStr">
        <is>
          <t>005677</t>
        </is>
      </c>
      <c r="C998" s="3" t="inlineStr">
        <is>
          <t>004558</t>
        </is>
      </c>
      <c r="D998" s="4" t="n">
        <v>45646</v>
      </c>
      <c r="E998" s="2" t="inlineStr">
        <is>
          <t>10:16</t>
        </is>
      </c>
      <c r="F998" s="5">
        <f>C998-C997</f>
        <v/>
      </c>
      <c r="G998" s="5">
        <f>B998-B997</f>
        <v/>
      </c>
      <c r="H998" s="2">
        <f>IF(AND(F998=1,G998=1),"OK","À JUSTIFIER")</f>
        <v/>
      </c>
    </row>
    <row r="999">
      <c r="A999" s="2" t="inlineStr">
        <is>
          <t>EJ020125.TXT</t>
        </is>
      </c>
      <c r="B999" s="3" t="inlineStr">
        <is>
          <t>005678</t>
        </is>
      </c>
      <c r="C999" s="3" t="inlineStr">
        <is>
          <t>004559</t>
        </is>
      </c>
      <c r="D999" s="4" t="n">
        <v>45649</v>
      </c>
      <c r="E999" s="2" t="inlineStr">
        <is>
          <t>14:50</t>
        </is>
      </c>
      <c r="F999" s="5">
        <f>C999-C998</f>
        <v/>
      </c>
      <c r="G999" s="5">
        <f>B999-B998</f>
        <v/>
      </c>
      <c r="H999" s="2">
        <f>IF(AND(F999=1,G999=1),"OK","À JUSTIFIER")</f>
        <v/>
      </c>
    </row>
    <row r="1000">
      <c r="A1000" s="2" t="inlineStr">
        <is>
          <t>EJ020125.TXT</t>
        </is>
      </c>
      <c r="B1000" s="3" t="inlineStr">
        <is>
          <t>005679</t>
        </is>
      </c>
      <c r="C1000" s="3" t="inlineStr">
        <is>
          <t>004560</t>
        </is>
      </c>
      <c r="D1000" s="4" t="n">
        <v>45653</v>
      </c>
      <c r="E1000" s="2" t="inlineStr">
        <is>
          <t>11:13</t>
        </is>
      </c>
      <c r="F1000" s="5">
        <f>C1000-C999</f>
        <v/>
      </c>
      <c r="G1000" s="5">
        <f>B1000-B999</f>
        <v/>
      </c>
      <c r="H1000" s="2">
        <f>IF(AND(F1000=1,G1000=1),"OK","À JUSTIFIER")</f>
        <v/>
      </c>
    </row>
    <row r="1001">
      <c r="A1001" s="2" t="inlineStr">
        <is>
          <t>EJ020125.TXT</t>
        </is>
      </c>
      <c r="B1001" s="3" t="inlineStr">
        <is>
          <t>005680</t>
        </is>
      </c>
      <c r="C1001" s="3" t="inlineStr">
        <is>
          <t>004561</t>
        </is>
      </c>
      <c r="D1001" s="4" t="n">
        <v>45653</v>
      </c>
      <c r="E1001" s="2" t="inlineStr">
        <is>
          <t>11:18</t>
        </is>
      </c>
      <c r="F1001" s="5">
        <f>C1001-C1000</f>
        <v/>
      </c>
      <c r="G1001" s="5">
        <f>B1001-B1000</f>
        <v/>
      </c>
      <c r="H1001" s="2">
        <f>IF(AND(F1001=1,G1001=1),"OK","À JUSTIFIER")</f>
        <v/>
      </c>
    </row>
    <row r="1002">
      <c r="A1002" s="2" t="inlineStr">
        <is>
          <t>EJ020125.TXT</t>
        </is>
      </c>
      <c r="B1002" s="3" t="inlineStr">
        <is>
          <t>005681</t>
        </is>
      </c>
      <c r="C1002" s="3" t="inlineStr">
        <is>
          <t>004562</t>
        </is>
      </c>
      <c r="D1002" s="4" t="n">
        <v>45656</v>
      </c>
      <c r="E1002" s="2" t="inlineStr">
        <is>
          <t>17:51</t>
        </is>
      </c>
      <c r="F1002" s="5">
        <f>C1002-C1001</f>
        <v/>
      </c>
      <c r="G1002" s="5">
        <f>B1002-B1001</f>
        <v/>
      </c>
      <c r="H1002" s="2">
        <f>IF(AND(F1002=1,G1002=1),"OK","À JUSTIFIER")</f>
        <v/>
      </c>
    </row>
    <row r="1003">
      <c r="A1003" s="2" t="inlineStr">
        <is>
          <t>EJ030225.TXT</t>
        </is>
      </c>
      <c r="B1003" s="3" t="inlineStr">
        <is>
          <t>005689</t>
        </is>
      </c>
      <c r="C1003" s="3" t="inlineStr">
        <is>
          <t>004563</t>
        </is>
      </c>
      <c r="D1003" s="4" t="n">
        <v>45663</v>
      </c>
      <c r="E1003" s="2" t="inlineStr">
        <is>
          <t>14:36</t>
        </is>
      </c>
      <c r="F1003" s="5">
        <f>C1003-C1002</f>
        <v/>
      </c>
      <c r="G1003" s="5">
        <f>B1003-B1002</f>
        <v/>
      </c>
      <c r="H1003" s="2">
        <f>IF(AND(F1003=1,G1003=1),"OK","À JUSTIFIER")</f>
        <v/>
      </c>
    </row>
    <row r="1004">
      <c r="A1004" s="2" t="inlineStr">
        <is>
          <t>EJ030225.TXT</t>
        </is>
      </c>
      <c r="B1004" s="3" t="inlineStr">
        <is>
          <t>005690</t>
        </is>
      </c>
      <c r="C1004" s="3" t="inlineStr">
        <is>
          <t>004564</t>
        </is>
      </c>
      <c r="D1004" s="4" t="n">
        <v>45665</v>
      </c>
      <c r="E1004" s="2" t="inlineStr">
        <is>
          <t>16:16</t>
        </is>
      </c>
      <c r="F1004" s="5">
        <f>C1004-C1003</f>
        <v/>
      </c>
      <c r="G1004" s="5">
        <f>B1004-B1003</f>
        <v/>
      </c>
      <c r="H1004" s="2">
        <f>IF(AND(F1004=1,G1004=1),"OK","À JUSTIFIER")</f>
        <v/>
      </c>
    </row>
    <row r="1005">
      <c r="A1005" s="2" t="inlineStr">
        <is>
          <t>EJ030225.TXT</t>
        </is>
      </c>
      <c r="B1005" s="3" t="inlineStr">
        <is>
          <t>005691</t>
        </is>
      </c>
      <c r="C1005" s="3" t="inlineStr">
        <is>
          <t>004565</t>
        </is>
      </c>
      <c r="D1005" s="4" t="n">
        <v>45667</v>
      </c>
      <c r="E1005" s="2" t="inlineStr">
        <is>
          <t>16:53</t>
        </is>
      </c>
      <c r="F1005" s="5">
        <f>C1005-C1004</f>
        <v/>
      </c>
      <c r="G1005" s="5">
        <f>B1005-B1004</f>
        <v/>
      </c>
      <c r="H1005" s="2">
        <f>IF(AND(F1005=1,G1005=1),"OK","À JUSTIFIER")</f>
        <v/>
      </c>
    </row>
    <row r="1006">
      <c r="A1006" s="2" t="inlineStr">
        <is>
          <t>EJ030225.TXT</t>
        </is>
      </c>
      <c r="B1006" s="3" t="inlineStr">
        <is>
          <t>005692</t>
        </is>
      </c>
      <c r="C1006" s="3" t="inlineStr">
        <is>
          <t>004566</t>
        </is>
      </c>
      <c r="D1006" s="4" t="n">
        <v>45667</v>
      </c>
      <c r="E1006" s="2" t="inlineStr">
        <is>
          <t>18:05</t>
        </is>
      </c>
      <c r="F1006" s="5">
        <f>C1006-C1005</f>
        <v/>
      </c>
      <c r="G1006" s="5">
        <f>B1006-B1005</f>
        <v/>
      </c>
      <c r="H1006" s="2">
        <f>IF(AND(F1006=1,G1006=1),"OK","À JUSTIFIER")</f>
        <v/>
      </c>
    </row>
    <row r="1007">
      <c r="A1007" s="2" t="inlineStr">
        <is>
          <t>EJ030225.TXT</t>
        </is>
      </c>
      <c r="B1007" s="3" t="inlineStr">
        <is>
          <t>005693</t>
        </is>
      </c>
      <c r="C1007" s="3" t="inlineStr">
        <is>
          <t>004567</t>
        </is>
      </c>
      <c r="D1007" s="4" t="n">
        <v>45670</v>
      </c>
      <c r="E1007" s="2" t="inlineStr">
        <is>
          <t>12:22</t>
        </is>
      </c>
      <c r="F1007" s="5">
        <f>C1007-C1006</f>
        <v/>
      </c>
      <c r="G1007" s="5">
        <f>B1007-B1006</f>
        <v/>
      </c>
      <c r="H1007" s="2">
        <f>IF(AND(F1007=1,G1007=1),"OK","À JUSTIFIER")</f>
        <v/>
      </c>
    </row>
    <row r="1008">
      <c r="A1008" s="2" t="inlineStr">
        <is>
          <t>EJ030225.TXT</t>
        </is>
      </c>
      <c r="B1008" s="3" t="inlineStr">
        <is>
          <t>005694</t>
        </is>
      </c>
      <c r="C1008" s="3" t="inlineStr">
        <is>
          <t>004568</t>
        </is>
      </c>
      <c r="D1008" s="4" t="n">
        <v>45670</v>
      </c>
      <c r="E1008" s="2" t="inlineStr">
        <is>
          <t>12:29</t>
        </is>
      </c>
      <c r="F1008" s="5">
        <f>C1008-C1007</f>
        <v/>
      </c>
      <c r="G1008" s="5">
        <f>B1008-B1007</f>
        <v/>
      </c>
      <c r="H1008" s="2">
        <f>IF(AND(F1008=1,G1008=1),"OK","À JUSTIFIER")</f>
        <v/>
      </c>
    </row>
    <row r="1009">
      <c r="A1009" s="2" t="inlineStr">
        <is>
          <t>EJ030225.TXT</t>
        </is>
      </c>
      <c r="B1009" s="3" t="inlineStr">
        <is>
          <t>005695</t>
        </is>
      </c>
      <c r="C1009" s="3" t="inlineStr">
        <is>
          <t>004569</t>
        </is>
      </c>
      <c r="D1009" s="4" t="n">
        <v>45670</v>
      </c>
      <c r="E1009" s="2" t="inlineStr">
        <is>
          <t>16:37</t>
        </is>
      </c>
      <c r="F1009" s="5">
        <f>C1009-C1008</f>
        <v/>
      </c>
      <c r="G1009" s="5">
        <f>B1009-B1008</f>
        <v/>
      </c>
      <c r="H1009" s="2">
        <f>IF(AND(F1009=1,G1009=1),"OK","À JUSTIFIER")</f>
        <v/>
      </c>
    </row>
    <row r="1010">
      <c r="A1010" s="2" t="inlineStr">
        <is>
          <t>EJ030225.TXT</t>
        </is>
      </c>
      <c r="B1010" s="3" t="inlineStr">
        <is>
          <t>005696</t>
        </is>
      </c>
      <c r="C1010" s="3" t="inlineStr">
        <is>
          <t>004570</t>
        </is>
      </c>
      <c r="D1010" s="4" t="n">
        <v>45671</v>
      </c>
      <c r="E1010" s="2" t="inlineStr">
        <is>
          <t>15:17</t>
        </is>
      </c>
      <c r="F1010" s="5">
        <f>C1010-C1009</f>
        <v/>
      </c>
      <c r="G1010" s="5">
        <f>B1010-B1009</f>
        <v/>
      </c>
      <c r="H1010" s="2">
        <f>IF(AND(F1010=1,G1010=1),"OK","À JUSTIFIER")</f>
        <v/>
      </c>
    </row>
    <row r="1011">
      <c r="A1011" s="2" t="inlineStr">
        <is>
          <t>EJ030225.TXT</t>
        </is>
      </c>
      <c r="B1011" s="3" t="inlineStr">
        <is>
          <t>005697</t>
        </is>
      </c>
      <c r="C1011" s="3" t="inlineStr">
        <is>
          <t>004571</t>
        </is>
      </c>
      <c r="D1011" s="4" t="n">
        <v>45672</v>
      </c>
      <c r="E1011" s="2" t="inlineStr">
        <is>
          <t>10:59</t>
        </is>
      </c>
      <c r="F1011" s="5">
        <f>C1011-C1010</f>
        <v/>
      </c>
      <c r="G1011" s="5">
        <f>B1011-B1010</f>
        <v/>
      </c>
      <c r="H1011" s="2">
        <f>IF(AND(F1011=1,G1011=1),"OK","À JUSTIFIER")</f>
        <v/>
      </c>
    </row>
    <row r="1012">
      <c r="A1012" s="2" t="inlineStr">
        <is>
          <t>EJ030225.TXT</t>
        </is>
      </c>
      <c r="B1012" s="3" t="inlineStr">
        <is>
          <t>005698</t>
        </is>
      </c>
      <c r="C1012" s="3" t="inlineStr">
        <is>
          <t>004572</t>
        </is>
      </c>
      <c r="D1012" s="4" t="n">
        <v>45672</v>
      </c>
      <c r="E1012" s="2" t="inlineStr">
        <is>
          <t>14:50</t>
        </is>
      </c>
      <c r="F1012" s="5">
        <f>C1012-C1011</f>
        <v/>
      </c>
      <c r="G1012" s="5">
        <f>B1012-B1011</f>
        <v/>
      </c>
      <c r="H1012" s="2">
        <f>IF(AND(F1012=1,G1012=1),"OK","À JUSTIFIER")</f>
        <v/>
      </c>
    </row>
    <row r="1013">
      <c r="A1013" s="2" t="inlineStr">
        <is>
          <t>EJ030225.TXT</t>
        </is>
      </c>
      <c r="B1013" s="3" t="inlineStr">
        <is>
          <t>005699</t>
        </is>
      </c>
      <c r="C1013" s="3" t="inlineStr">
        <is>
          <t>004573</t>
        </is>
      </c>
      <c r="D1013" s="4" t="n">
        <v>45673</v>
      </c>
      <c r="E1013" s="2" t="inlineStr">
        <is>
          <t>15:41</t>
        </is>
      </c>
      <c r="F1013" s="5">
        <f>C1013-C1012</f>
        <v/>
      </c>
      <c r="G1013" s="5">
        <f>B1013-B1012</f>
        <v/>
      </c>
      <c r="H1013" s="2">
        <f>IF(AND(F1013=1,G1013=1),"OK","À JUSTIFIER")</f>
        <v/>
      </c>
    </row>
    <row r="1014">
      <c r="A1014" s="2" t="inlineStr">
        <is>
          <t>EJ030225.TXT</t>
        </is>
      </c>
      <c r="B1014" s="3" t="inlineStr">
        <is>
          <t>005700</t>
        </is>
      </c>
      <c r="C1014" s="3" t="inlineStr">
        <is>
          <t>004574</t>
        </is>
      </c>
      <c r="D1014" s="4" t="n">
        <v>45673</v>
      </c>
      <c r="E1014" s="2" t="inlineStr">
        <is>
          <t>16:00</t>
        </is>
      </c>
      <c r="F1014" s="5">
        <f>C1014-C1013</f>
        <v/>
      </c>
      <c r="G1014" s="5">
        <f>B1014-B1013</f>
        <v/>
      </c>
      <c r="H1014" s="2">
        <f>IF(AND(F1014=1,G1014=1),"OK","À JUSTIFIER")</f>
        <v/>
      </c>
    </row>
    <row r="1015">
      <c r="A1015" s="2" t="inlineStr">
        <is>
          <t>EJ030225.TXT</t>
        </is>
      </c>
      <c r="B1015" s="3" t="inlineStr">
        <is>
          <t>005701</t>
        </is>
      </c>
      <c r="C1015" s="3" t="inlineStr">
        <is>
          <t>004575</t>
        </is>
      </c>
      <c r="D1015" s="4" t="n">
        <v>45673</v>
      </c>
      <c r="E1015" s="2" t="inlineStr">
        <is>
          <t>18:13</t>
        </is>
      </c>
      <c r="F1015" s="5">
        <f>C1015-C1014</f>
        <v/>
      </c>
      <c r="G1015" s="5">
        <f>B1015-B1014</f>
        <v/>
      </c>
      <c r="H1015" s="2">
        <f>IF(AND(F1015=1,G1015=1),"OK","À JUSTIFIER")</f>
        <v/>
      </c>
    </row>
    <row r="1016">
      <c r="A1016" s="2" t="inlineStr">
        <is>
          <t>EJ030225.TXT</t>
        </is>
      </c>
      <c r="B1016" s="3" t="inlineStr">
        <is>
          <t>005702</t>
        </is>
      </c>
      <c r="C1016" s="3" t="inlineStr">
        <is>
          <t>004576</t>
        </is>
      </c>
      <c r="D1016" s="4" t="n">
        <v>45674</v>
      </c>
      <c r="E1016" s="2" t="inlineStr">
        <is>
          <t>17:34</t>
        </is>
      </c>
      <c r="F1016" s="5">
        <f>C1016-C1015</f>
        <v/>
      </c>
      <c r="G1016" s="5">
        <f>B1016-B1015</f>
        <v/>
      </c>
      <c r="H1016" s="2">
        <f>IF(AND(F1016=1,G1016=1),"OK","À JUSTIFIER")</f>
        <v/>
      </c>
    </row>
    <row r="1017">
      <c r="A1017" s="2" t="inlineStr">
        <is>
          <t>EJ030225.TXT</t>
        </is>
      </c>
      <c r="B1017" s="3" t="inlineStr">
        <is>
          <t>005703</t>
        </is>
      </c>
      <c r="C1017" s="3" t="inlineStr">
        <is>
          <t>004577</t>
        </is>
      </c>
      <c r="D1017" s="4" t="n">
        <v>45675</v>
      </c>
      <c r="E1017" s="2" t="inlineStr">
        <is>
          <t>15:09</t>
        </is>
      </c>
      <c r="F1017" s="5">
        <f>C1017-C1016</f>
        <v/>
      </c>
      <c r="G1017" s="5">
        <f>B1017-B1016</f>
        <v/>
      </c>
      <c r="H1017" s="2">
        <f>IF(AND(F1017=1,G1017=1),"OK","À JUSTIFIER")</f>
        <v/>
      </c>
    </row>
    <row r="1018">
      <c r="A1018" s="2" t="inlineStr">
        <is>
          <t>EJ030225.TXT</t>
        </is>
      </c>
      <c r="B1018" s="3" t="inlineStr">
        <is>
          <t>005704</t>
        </is>
      </c>
      <c r="C1018" s="3" t="inlineStr">
        <is>
          <t>004578</t>
        </is>
      </c>
      <c r="D1018" s="4" t="n">
        <v>45678</v>
      </c>
      <c r="E1018" s="2" t="inlineStr">
        <is>
          <t>16:53</t>
        </is>
      </c>
      <c r="F1018" s="5">
        <f>C1018-C1017</f>
        <v/>
      </c>
      <c r="G1018" s="5">
        <f>B1018-B1017</f>
        <v/>
      </c>
      <c r="H1018" s="2">
        <f>IF(AND(F1018=1,G1018=1),"OK","À JUSTIFIER")</f>
        <v/>
      </c>
    </row>
    <row r="1019">
      <c r="A1019" s="2" t="inlineStr">
        <is>
          <t>EJ030225.TXT</t>
        </is>
      </c>
      <c r="B1019" s="3" t="inlineStr">
        <is>
          <t>005705</t>
        </is>
      </c>
      <c r="C1019" s="3" t="inlineStr">
        <is>
          <t>004579</t>
        </is>
      </c>
      <c r="D1019" s="4" t="n">
        <v>45684</v>
      </c>
      <c r="E1019" s="2" t="inlineStr">
        <is>
          <t>12:13</t>
        </is>
      </c>
      <c r="F1019" s="5">
        <f>C1019-C1018</f>
        <v/>
      </c>
      <c r="G1019" s="5">
        <f>B1019-B1018</f>
        <v/>
      </c>
      <c r="H1019" s="2">
        <f>IF(AND(F1019=1,G1019=1),"OK","À JUSTIFIER")</f>
        <v/>
      </c>
    </row>
    <row r="1020">
      <c r="A1020" s="2" t="inlineStr">
        <is>
          <t>EJ030225.TXT</t>
        </is>
      </c>
      <c r="B1020" s="3" t="inlineStr">
        <is>
          <t>005706</t>
        </is>
      </c>
      <c r="C1020" s="3" t="inlineStr">
        <is>
          <t>004580</t>
        </is>
      </c>
      <c r="D1020" s="4" t="n">
        <v>45685</v>
      </c>
      <c r="E1020" s="2" t="inlineStr">
        <is>
          <t>10:10</t>
        </is>
      </c>
      <c r="F1020" s="5">
        <f>C1020-C1019</f>
        <v/>
      </c>
      <c r="G1020" s="5">
        <f>B1020-B1019</f>
        <v/>
      </c>
      <c r="H1020" s="2">
        <f>IF(AND(F1020=1,G1020=1),"OK","À JUSTIFIER")</f>
        <v/>
      </c>
    </row>
    <row r="1021">
      <c r="A1021" s="2" t="inlineStr">
        <is>
          <t>EJ030225.TXT</t>
        </is>
      </c>
      <c r="B1021" s="3" t="inlineStr">
        <is>
          <t>005707</t>
        </is>
      </c>
      <c r="C1021" s="3" t="inlineStr">
        <is>
          <t>004581</t>
        </is>
      </c>
      <c r="D1021" s="4" t="n">
        <v>45685</v>
      </c>
      <c r="E1021" s="2" t="inlineStr">
        <is>
          <t>12:39</t>
        </is>
      </c>
      <c r="F1021" s="5">
        <f>C1021-C1020</f>
        <v/>
      </c>
      <c r="G1021" s="5">
        <f>B1021-B1020</f>
        <v/>
      </c>
      <c r="H1021" s="2">
        <f>IF(AND(F1021=1,G1021=1),"OK","À JUSTIFIER")</f>
        <v/>
      </c>
    </row>
    <row r="1022">
      <c r="A1022" s="2" t="inlineStr">
        <is>
          <t>EJ030225.TXT</t>
        </is>
      </c>
      <c r="B1022" s="3" t="inlineStr">
        <is>
          <t>005708</t>
        </is>
      </c>
      <c r="C1022" s="3" t="inlineStr">
        <is>
          <t>004582</t>
        </is>
      </c>
      <c r="D1022" s="4" t="n">
        <v>45685</v>
      </c>
      <c r="E1022" s="2" t="inlineStr">
        <is>
          <t>14:45</t>
        </is>
      </c>
      <c r="F1022" s="5">
        <f>C1022-C1021</f>
        <v/>
      </c>
      <c r="G1022" s="5">
        <f>B1022-B1021</f>
        <v/>
      </c>
      <c r="H1022" s="2">
        <f>IF(AND(F1022=1,G1022=1),"OK","À JUSTIFIER")</f>
        <v/>
      </c>
    </row>
    <row r="1023">
      <c r="A1023" s="2" t="inlineStr">
        <is>
          <t>EJ030225.TXT</t>
        </is>
      </c>
      <c r="B1023" s="3" t="inlineStr">
        <is>
          <t>005709</t>
        </is>
      </c>
      <c r="C1023" s="3" t="inlineStr">
        <is>
          <t>004583</t>
        </is>
      </c>
      <c r="D1023" s="4" t="n">
        <v>45686</v>
      </c>
      <c r="E1023" s="2" t="inlineStr">
        <is>
          <t>12:12</t>
        </is>
      </c>
      <c r="F1023" s="5">
        <f>C1023-C1022</f>
        <v/>
      </c>
      <c r="G1023" s="5">
        <f>B1023-B1022</f>
        <v/>
      </c>
      <c r="H1023" s="2">
        <f>IF(AND(F1023=1,G1023=1),"OK","À JUSTIFIER")</f>
        <v/>
      </c>
    </row>
    <row r="1024">
      <c r="A1024" s="2" t="inlineStr">
        <is>
          <t>EJ030225.TXT</t>
        </is>
      </c>
      <c r="B1024" s="3" t="inlineStr">
        <is>
          <t>005710</t>
        </is>
      </c>
      <c r="C1024" s="3" t="inlineStr">
        <is>
          <t>004584</t>
        </is>
      </c>
      <c r="D1024" s="4" t="n">
        <v>45686</v>
      </c>
      <c r="E1024" s="2" t="inlineStr">
        <is>
          <t>15:04</t>
        </is>
      </c>
      <c r="F1024" s="5">
        <f>C1024-C1023</f>
        <v/>
      </c>
      <c r="G1024" s="5">
        <f>B1024-B1023</f>
        <v/>
      </c>
      <c r="H1024" s="2">
        <f>IF(AND(F1024=1,G1024=1),"OK","À JUSTIFIER")</f>
        <v/>
      </c>
    </row>
    <row r="1025">
      <c r="A1025" s="2" t="inlineStr">
        <is>
          <t>EJ030225.TXT</t>
        </is>
      </c>
      <c r="B1025" s="3" t="inlineStr">
        <is>
          <t>005711</t>
        </is>
      </c>
      <c r="C1025" s="3" t="inlineStr">
        <is>
          <t>004585</t>
        </is>
      </c>
      <c r="D1025" s="4" t="n">
        <v>45686</v>
      </c>
      <c r="E1025" s="2" t="inlineStr">
        <is>
          <t>16:27</t>
        </is>
      </c>
      <c r="F1025" s="5">
        <f>C1025-C1024</f>
        <v/>
      </c>
      <c r="G1025" s="5">
        <f>B1025-B1024</f>
        <v/>
      </c>
      <c r="H1025" s="2">
        <f>IF(AND(F1025=1,G1025=1),"OK","À JUSTIFIER")</f>
        <v/>
      </c>
    </row>
    <row r="1026">
      <c r="A1026" s="2" t="inlineStr">
        <is>
          <t>EJ030225.TXT</t>
        </is>
      </c>
      <c r="B1026" s="3" t="inlineStr">
        <is>
          <t>005712</t>
        </is>
      </c>
      <c r="C1026" s="3" t="inlineStr">
        <is>
          <t>004586</t>
        </is>
      </c>
      <c r="D1026" s="4" t="n">
        <v>45686</v>
      </c>
      <c r="E1026" s="2" t="inlineStr">
        <is>
          <t>16:43</t>
        </is>
      </c>
      <c r="F1026" s="5">
        <f>C1026-C1025</f>
        <v/>
      </c>
      <c r="G1026" s="5">
        <f>B1026-B1025</f>
        <v/>
      </c>
      <c r="H1026" s="2">
        <f>IF(AND(F1026=1,G1026=1),"OK","À JUSTIFIER")</f>
        <v/>
      </c>
    </row>
    <row r="1027">
      <c r="A1027" s="2" t="inlineStr">
        <is>
          <t>EJ030225.TXT</t>
        </is>
      </c>
      <c r="B1027" s="3" t="inlineStr">
        <is>
          <t>005713</t>
        </is>
      </c>
      <c r="C1027" s="3" t="inlineStr">
        <is>
          <t>004587</t>
        </is>
      </c>
      <c r="D1027" s="4" t="n">
        <v>45688</v>
      </c>
      <c r="E1027" s="2" t="inlineStr">
        <is>
          <t>16:06</t>
        </is>
      </c>
      <c r="F1027" s="5">
        <f>C1027-C1026</f>
        <v/>
      </c>
      <c r="G1027" s="5">
        <f>B1027-B1026</f>
        <v/>
      </c>
      <c r="H1027" s="2">
        <f>IF(AND(F1027=1,G1027=1),"OK","À JUSTIFIER")</f>
        <v/>
      </c>
    </row>
    <row r="1028">
      <c r="A1028" s="2" t="inlineStr">
        <is>
          <t>EJ030225.TXT</t>
        </is>
      </c>
      <c r="B1028" s="3" t="inlineStr">
        <is>
          <t>005714</t>
        </is>
      </c>
      <c r="C1028" s="3" t="inlineStr">
        <is>
          <t>004588</t>
        </is>
      </c>
      <c r="D1028" s="4" t="n">
        <v>45688</v>
      </c>
      <c r="E1028" s="2" t="inlineStr">
        <is>
          <t>17:19</t>
        </is>
      </c>
      <c r="F1028" s="5">
        <f>C1028-C1027</f>
        <v/>
      </c>
      <c r="G1028" s="5">
        <f>B1028-B1027</f>
        <v/>
      </c>
      <c r="H1028" s="2">
        <f>IF(AND(F1028=1,G1028=1),"OK","À JUSTIFIER")</f>
        <v/>
      </c>
    </row>
    <row r="1029">
      <c r="A1029" s="2" t="inlineStr">
        <is>
          <t>EJ030225.TXT</t>
        </is>
      </c>
      <c r="B1029" s="3" t="inlineStr">
        <is>
          <t>005715</t>
        </is>
      </c>
      <c r="C1029" s="3" t="inlineStr">
        <is>
          <t>004589</t>
        </is>
      </c>
      <c r="D1029" s="4" t="n">
        <v>45688</v>
      </c>
      <c r="E1029" s="2" t="inlineStr">
        <is>
          <t>17:39</t>
        </is>
      </c>
      <c r="F1029" s="5">
        <f>C1029-C1028</f>
        <v/>
      </c>
      <c r="G1029" s="5">
        <f>B1029-B1028</f>
        <v/>
      </c>
      <c r="H1029" s="2">
        <f>IF(AND(F1029=1,G1029=1),"OK","À JUSTIFIER")</f>
        <v/>
      </c>
    </row>
    <row r="1030">
      <c r="A1030" s="2" t="inlineStr">
        <is>
          <t>EJ030225.TXT</t>
        </is>
      </c>
      <c r="B1030" s="3" t="inlineStr">
        <is>
          <t>005716</t>
        </is>
      </c>
      <c r="C1030" s="3" t="inlineStr">
        <is>
          <t>004590</t>
        </is>
      </c>
      <c r="D1030" s="4" t="n">
        <v>45691</v>
      </c>
      <c r="E1030" s="2" t="inlineStr">
        <is>
          <t>10:41</t>
        </is>
      </c>
      <c r="F1030" s="5">
        <f>C1030-C1029</f>
        <v/>
      </c>
      <c r="G1030" s="5">
        <f>B1030-B1029</f>
        <v/>
      </c>
      <c r="H1030" s="2">
        <f>IF(AND(F1030=1,G1030=1),"OK","À JUSTIFIER")</f>
        <v/>
      </c>
    </row>
    <row r="1031">
      <c r="A1031" s="2" t="inlineStr">
        <is>
          <t>EJ030225.TXT</t>
        </is>
      </c>
      <c r="B1031" s="3" t="inlineStr">
        <is>
          <t>005717</t>
        </is>
      </c>
      <c r="C1031" s="3" t="inlineStr">
        <is>
          <t>004591</t>
        </is>
      </c>
      <c r="D1031" s="4" t="n">
        <v>45691</v>
      </c>
      <c r="E1031" s="2" t="inlineStr">
        <is>
          <t>10:41</t>
        </is>
      </c>
      <c r="F1031" s="5">
        <f>C1031-C1030</f>
        <v/>
      </c>
      <c r="G1031" s="5">
        <f>B1031-B1030</f>
        <v/>
      </c>
      <c r="H1031" s="2">
        <f>IF(AND(F1031=1,G1031=1),"OK","À JUSTIFIER")</f>
        <v/>
      </c>
    </row>
    <row r="1032">
      <c r="A1032" s="2" t="inlineStr">
        <is>
          <t>EJ010325.TXT</t>
        </is>
      </c>
      <c r="B1032" s="3" t="inlineStr">
        <is>
          <t>005725</t>
        </is>
      </c>
      <c r="C1032" s="3" t="inlineStr">
        <is>
          <t>004592</t>
        </is>
      </c>
      <c r="D1032" s="4" t="n">
        <v>45691</v>
      </c>
      <c r="E1032" s="2" t="inlineStr">
        <is>
          <t>14:34</t>
        </is>
      </c>
      <c r="F1032" s="5">
        <f>C1032-C1031</f>
        <v/>
      </c>
      <c r="G1032" s="5">
        <f>B1032-B1031</f>
        <v/>
      </c>
      <c r="H1032" s="2">
        <f>IF(AND(F1032=1,G1032=1),"OK","À JUSTIFIER")</f>
        <v/>
      </c>
    </row>
    <row r="1033">
      <c r="A1033" s="2" t="inlineStr">
        <is>
          <t>EJ010325.TXT</t>
        </is>
      </c>
      <c r="B1033" s="3" t="inlineStr">
        <is>
          <t>005726</t>
        </is>
      </c>
      <c r="C1033" s="3" t="inlineStr">
        <is>
          <t>004593</t>
        </is>
      </c>
      <c r="D1033" s="4" t="n">
        <v>45691</v>
      </c>
      <c r="E1033" s="2" t="inlineStr">
        <is>
          <t>14:35</t>
        </is>
      </c>
      <c r="F1033" s="5">
        <f>C1033-C1032</f>
        <v/>
      </c>
      <c r="G1033" s="5">
        <f>B1033-B1032</f>
        <v/>
      </c>
      <c r="H1033" s="2">
        <f>IF(AND(F1033=1,G1033=1),"OK","À JUSTIFIER")</f>
        <v/>
      </c>
    </row>
    <row r="1034">
      <c r="A1034" s="2" t="inlineStr">
        <is>
          <t>EJ010325.TXT</t>
        </is>
      </c>
      <c r="B1034" s="3" t="inlineStr">
        <is>
          <t>005727</t>
        </is>
      </c>
      <c r="C1034" s="3" t="inlineStr">
        <is>
          <t>004594</t>
        </is>
      </c>
      <c r="D1034" s="4" t="n">
        <v>45691</v>
      </c>
      <c r="E1034" s="2" t="inlineStr">
        <is>
          <t>14:35</t>
        </is>
      </c>
      <c r="F1034" s="5">
        <f>C1034-C1033</f>
        <v/>
      </c>
      <c r="G1034" s="5">
        <f>B1034-B1033</f>
        <v/>
      </c>
      <c r="H1034" s="2">
        <f>IF(AND(F1034=1,G1034=1),"OK","À JUSTIFIER")</f>
        <v/>
      </c>
    </row>
    <row r="1035">
      <c r="A1035" s="2" t="inlineStr">
        <is>
          <t>EJ010325.TXT</t>
        </is>
      </c>
      <c r="B1035" s="3" t="inlineStr">
        <is>
          <t>005728</t>
        </is>
      </c>
      <c r="C1035" s="3" t="inlineStr">
        <is>
          <t>004595</t>
        </is>
      </c>
      <c r="D1035" s="4" t="n">
        <v>45694</v>
      </c>
      <c r="E1035" s="2" t="inlineStr">
        <is>
          <t>12:47</t>
        </is>
      </c>
      <c r="F1035" s="5">
        <f>C1035-C1034</f>
        <v/>
      </c>
      <c r="G1035" s="5">
        <f>B1035-B1034</f>
        <v/>
      </c>
      <c r="H1035" s="2">
        <f>IF(AND(F1035=1,G1035=1),"OK","À JUSTIFIER")</f>
        <v/>
      </c>
    </row>
    <row r="1036">
      <c r="A1036" s="2" t="inlineStr">
        <is>
          <t>EJ010325.TXT</t>
        </is>
      </c>
      <c r="B1036" s="3" t="inlineStr">
        <is>
          <t>005729</t>
        </is>
      </c>
      <c r="C1036" s="3" t="inlineStr">
        <is>
          <t>004596</t>
        </is>
      </c>
      <c r="D1036" s="4" t="n">
        <v>45694</v>
      </c>
      <c r="E1036" s="2" t="inlineStr">
        <is>
          <t>17:45</t>
        </is>
      </c>
      <c r="F1036" s="5">
        <f>C1036-C1035</f>
        <v/>
      </c>
      <c r="G1036" s="5">
        <f>B1036-B1035</f>
        <v/>
      </c>
      <c r="H1036" s="2">
        <f>IF(AND(F1036=1,G1036=1),"OK","À JUSTIFIER")</f>
        <v/>
      </c>
    </row>
    <row r="1037">
      <c r="A1037" s="2" t="inlineStr">
        <is>
          <t>EJ010325.TXT</t>
        </is>
      </c>
      <c r="B1037" s="3" t="inlineStr">
        <is>
          <t>005730</t>
        </is>
      </c>
      <c r="C1037" s="3" t="inlineStr">
        <is>
          <t>004597</t>
        </is>
      </c>
      <c r="D1037" s="4" t="n">
        <v>45695</v>
      </c>
      <c r="E1037" s="2" t="inlineStr">
        <is>
          <t>16:53</t>
        </is>
      </c>
      <c r="F1037" s="5">
        <f>C1037-C1036</f>
        <v/>
      </c>
      <c r="G1037" s="5">
        <f>B1037-B1036</f>
        <v/>
      </c>
      <c r="H1037" s="2">
        <f>IF(AND(F1037=1,G1037=1),"OK","À JUSTIFIER")</f>
        <v/>
      </c>
    </row>
    <row r="1038">
      <c r="A1038" s="2" t="inlineStr">
        <is>
          <t>EJ010325.TXT</t>
        </is>
      </c>
      <c r="B1038" s="3" t="inlineStr">
        <is>
          <t>005731</t>
        </is>
      </c>
      <c r="C1038" s="3" t="inlineStr">
        <is>
          <t>004598</t>
        </is>
      </c>
      <c r="D1038" s="4" t="n">
        <v>45698</v>
      </c>
      <c r="E1038" s="2" t="inlineStr">
        <is>
          <t>15:37</t>
        </is>
      </c>
      <c r="F1038" s="5">
        <f>C1038-C1037</f>
        <v/>
      </c>
      <c r="G1038" s="5">
        <f>B1038-B1037</f>
        <v/>
      </c>
      <c r="H1038" s="2">
        <f>IF(AND(F1038=1,G1038=1),"OK","À JUSTIFIER")</f>
        <v/>
      </c>
    </row>
    <row r="1039">
      <c r="A1039" s="2" t="inlineStr">
        <is>
          <t>EJ010325.TXT</t>
        </is>
      </c>
      <c r="B1039" s="3" t="inlineStr">
        <is>
          <t>005732</t>
        </is>
      </c>
      <c r="C1039" s="3" t="inlineStr">
        <is>
          <t>004599</t>
        </is>
      </c>
      <c r="D1039" s="4" t="n">
        <v>45699</v>
      </c>
      <c r="E1039" s="2" t="inlineStr">
        <is>
          <t>11:31</t>
        </is>
      </c>
      <c r="F1039" s="5">
        <f>C1039-C1038</f>
        <v/>
      </c>
      <c r="G1039" s="5">
        <f>B1039-B1038</f>
        <v/>
      </c>
      <c r="H1039" s="2">
        <f>IF(AND(F1039=1,G1039=1),"OK","À JUSTIFIER")</f>
        <v/>
      </c>
    </row>
    <row r="1040">
      <c r="A1040" s="2" t="inlineStr">
        <is>
          <t>EJ010325.TXT</t>
        </is>
      </c>
      <c r="B1040" s="3" t="inlineStr">
        <is>
          <t>005733</t>
        </is>
      </c>
      <c r="C1040" s="3" t="inlineStr">
        <is>
          <t>004600</t>
        </is>
      </c>
      <c r="D1040" s="4" t="n">
        <v>45701</v>
      </c>
      <c r="E1040" s="2" t="inlineStr">
        <is>
          <t>15:40</t>
        </is>
      </c>
      <c r="F1040" s="5">
        <f>C1040-C1039</f>
        <v/>
      </c>
      <c r="G1040" s="5">
        <f>B1040-B1039</f>
        <v/>
      </c>
      <c r="H1040" s="2">
        <f>IF(AND(F1040=1,G1040=1),"OK","À JUSTIFIER")</f>
        <v/>
      </c>
    </row>
    <row r="1041">
      <c r="A1041" s="2" t="inlineStr">
        <is>
          <t>EJ010325.TXT</t>
        </is>
      </c>
      <c r="B1041" s="3" t="inlineStr">
        <is>
          <t>005734</t>
        </is>
      </c>
      <c r="C1041" s="3" t="inlineStr">
        <is>
          <t>004601</t>
        </is>
      </c>
      <c r="D1041" s="4" t="n">
        <v>45703</v>
      </c>
      <c r="E1041" s="2" t="inlineStr">
        <is>
          <t>17:39</t>
        </is>
      </c>
      <c r="F1041" s="5">
        <f>C1041-C1040</f>
        <v/>
      </c>
      <c r="G1041" s="5">
        <f>B1041-B1040</f>
        <v/>
      </c>
      <c r="H1041" s="2">
        <f>IF(AND(F1041=1,G1041=1),"OK","À JUSTIFIER")</f>
        <v/>
      </c>
    </row>
    <row r="1042">
      <c r="A1042" s="2" t="inlineStr">
        <is>
          <t>EJ010325.TXT</t>
        </is>
      </c>
      <c r="B1042" s="3" t="inlineStr">
        <is>
          <t>005735</t>
        </is>
      </c>
      <c r="C1042" s="3" t="inlineStr">
        <is>
          <t>004602</t>
        </is>
      </c>
      <c r="D1042" s="4" t="n">
        <v>45705</v>
      </c>
      <c r="E1042" s="2" t="inlineStr">
        <is>
          <t>16:57</t>
        </is>
      </c>
      <c r="F1042" s="5">
        <f>C1042-C1041</f>
        <v/>
      </c>
      <c r="G1042" s="5">
        <f>B1042-B1041</f>
        <v/>
      </c>
      <c r="H1042" s="2">
        <f>IF(AND(F1042=1,G1042=1),"OK","À JUSTIFIER")</f>
        <v/>
      </c>
    </row>
    <row r="1043">
      <c r="A1043" s="2" t="inlineStr">
        <is>
          <t>EJ010325.TXT</t>
        </is>
      </c>
      <c r="B1043" s="3" t="inlineStr">
        <is>
          <t>005736</t>
        </is>
      </c>
      <c r="C1043" s="3" t="inlineStr">
        <is>
          <t>004603</t>
        </is>
      </c>
      <c r="D1043" s="4" t="n">
        <v>45707</v>
      </c>
      <c r="E1043" s="2" t="inlineStr">
        <is>
          <t>14:17</t>
        </is>
      </c>
      <c r="F1043" s="5">
        <f>C1043-C1042</f>
        <v/>
      </c>
      <c r="G1043" s="5">
        <f>B1043-B1042</f>
        <v/>
      </c>
      <c r="H1043" s="2">
        <f>IF(AND(F1043=1,G1043=1),"OK","À JUSTIFIER")</f>
        <v/>
      </c>
    </row>
    <row r="1044">
      <c r="A1044" s="2" t="inlineStr">
        <is>
          <t>EJ010325.TXT</t>
        </is>
      </c>
      <c r="B1044" s="3" t="inlineStr">
        <is>
          <t>005737</t>
        </is>
      </c>
      <c r="C1044" s="3" t="inlineStr">
        <is>
          <t>004604</t>
        </is>
      </c>
      <c r="D1044" s="4" t="n">
        <v>45707</v>
      </c>
      <c r="E1044" s="2" t="inlineStr">
        <is>
          <t>14:17</t>
        </is>
      </c>
      <c r="F1044" s="5">
        <f>C1044-C1043</f>
        <v/>
      </c>
      <c r="G1044" s="5">
        <f>B1044-B1043</f>
        <v/>
      </c>
      <c r="H1044" s="2">
        <f>IF(AND(F1044=1,G1044=1),"OK","À JUSTIFIER")</f>
        <v/>
      </c>
    </row>
    <row r="1045">
      <c r="A1045" s="2" t="inlineStr">
        <is>
          <t>EJ010325.TXT</t>
        </is>
      </c>
      <c r="B1045" s="3" t="inlineStr">
        <is>
          <t>005738</t>
        </is>
      </c>
      <c r="C1045" s="3" t="inlineStr">
        <is>
          <t>004605</t>
        </is>
      </c>
      <c r="D1045" s="4" t="n">
        <v>45708</v>
      </c>
      <c r="E1045" s="2" t="inlineStr">
        <is>
          <t>15:41</t>
        </is>
      </c>
      <c r="F1045" s="5">
        <f>C1045-C1044</f>
        <v/>
      </c>
      <c r="G1045" s="5">
        <f>B1045-B1044</f>
        <v/>
      </c>
      <c r="H1045" s="2">
        <f>IF(AND(F1045=1,G1045=1),"OK","À JUSTIFIER")</f>
        <v/>
      </c>
    </row>
    <row r="1046">
      <c r="A1046" s="2" t="inlineStr">
        <is>
          <t>EJ010325.TXT</t>
        </is>
      </c>
      <c r="B1046" s="3" t="inlineStr">
        <is>
          <t>005739</t>
        </is>
      </c>
      <c r="C1046" s="3" t="inlineStr">
        <is>
          <t>004606</t>
        </is>
      </c>
      <c r="D1046" s="4" t="n">
        <v>45709</v>
      </c>
      <c r="E1046" s="2" t="inlineStr">
        <is>
          <t>14:52</t>
        </is>
      </c>
      <c r="F1046" s="5">
        <f>C1046-C1045</f>
        <v/>
      </c>
      <c r="G1046" s="5">
        <f>B1046-B1045</f>
        <v/>
      </c>
      <c r="H1046" s="2">
        <f>IF(AND(F1046=1,G1046=1),"OK","À JUSTIFIER")</f>
        <v/>
      </c>
    </row>
    <row r="1047">
      <c r="A1047" s="2" t="inlineStr">
        <is>
          <t>EJ010325.TXT</t>
        </is>
      </c>
      <c r="B1047" s="3" t="inlineStr">
        <is>
          <t>005740</t>
        </is>
      </c>
      <c r="C1047" s="3" t="inlineStr">
        <is>
          <t>004607</t>
        </is>
      </c>
      <c r="D1047" s="4" t="n">
        <v>45709</v>
      </c>
      <c r="E1047" s="2" t="inlineStr">
        <is>
          <t>15:29</t>
        </is>
      </c>
      <c r="F1047" s="5">
        <f>C1047-C1046</f>
        <v/>
      </c>
      <c r="G1047" s="5">
        <f>B1047-B1046</f>
        <v/>
      </c>
      <c r="H1047" s="2">
        <f>IF(AND(F1047=1,G1047=1),"OK","À JUSTIFIER")</f>
        <v/>
      </c>
    </row>
    <row r="1048">
      <c r="A1048" s="2" t="inlineStr">
        <is>
          <t>EJ010325.TXT</t>
        </is>
      </c>
      <c r="B1048" s="3" t="inlineStr">
        <is>
          <t>005741</t>
        </is>
      </c>
      <c r="C1048" s="3" t="inlineStr">
        <is>
          <t>004608</t>
        </is>
      </c>
      <c r="D1048" s="4" t="n">
        <v>45712</v>
      </c>
      <c r="E1048" s="2" t="inlineStr">
        <is>
          <t>16:55</t>
        </is>
      </c>
      <c r="F1048" s="5">
        <f>C1048-C1047</f>
        <v/>
      </c>
      <c r="G1048" s="5">
        <f>B1048-B1047</f>
        <v/>
      </c>
      <c r="H1048" s="2">
        <f>IF(AND(F1048=1,G1048=1),"OK","À JUSTIFIER")</f>
        <v/>
      </c>
    </row>
    <row r="1049">
      <c r="A1049" s="2" t="inlineStr">
        <is>
          <t>EJ010325.TXT</t>
        </is>
      </c>
      <c r="B1049" s="3" t="inlineStr">
        <is>
          <t>005742</t>
        </is>
      </c>
      <c r="C1049" s="3" t="inlineStr">
        <is>
          <t>004609</t>
        </is>
      </c>
      <c r="D1049" s="4" t="n">
        <v>45713</v>
      </c>
      <c r="E1049" s="2" t="inlineStr">
        <is>
          <t>10:24</t>
        </is>
      </c>
      <c r="F1049" s="5">
        <f>C1049-C1048</f>
        <v/>
      </c>
      <c r="G1049" s="5">
        <f>B1049-B1048</f>
        <v/>
      </c>
      <c r="H1049" s="2">
        <f>IF(AND(F1049=1,G1049=1),"OK","À JUSTIFIER")</f>
        <v/>
      </c>
    </row>
    <row r="1050">
      <c r="A1050" s="2" t="inlineStr">
        <is>
          <t>EJ010325.TXT</t>
        </is>
      </c>
      <c r="B1050" s="3" t="inlineStr">
        <is>
          <t>005743</t>
        </is>
      </c>
      <c r="C1050" s="3" t="inlineStr">
        <is>
          <t>004610</t>
        </is>
      </c>
      <c r="D1050" s="4" t="n">
        <v>45713</v>
      </c>
      <c r="E1050" s="2" t="inlineStr">
        <is>
          <t>10:24</t>
        </is>
      </c>
      <c r="F1050" s="5">
        <f>C1050-C1049</f>
        <v/>
      </c>
      <c r="G1050" s="5">
        <f>B1050-B1049</f>
        <v/>
      </c>
      <c r="H1050" s="2">
        <f>IF(AND(F1050=1,G1050=1),"OK","À JUSTIFIER")</f>
        <v/>
      </c>
    </row>
    <row r="1051">
      <c r="A1051" s="2" t="inlineStr">
        <is>
          <t>EJ010325.TXT</t>
        </is>
      </c>
      <c r="B1051" s="3" t="inlineStr">
        <is>
          <t>005744</t>
        </is>
      </c>
      <c r="C1051" s="3" t="inlineStr">
        <is>
          <t>004611</t>
        </is>
      </c>
      <c r="D1051" s="4" t="n">
        <v>45713</v>
      </c>
      <c r="E1051" s="2" t="inlineStr">
        <is>
          <t>12:05</t>
        </is>
      </c>
      <c r="F1051" s="5">
        <f>C1051-C1050</f>
        <v/>
      </c>
      <c r="G1051" s="5">
        <f>B1051-B1050</f>
        <v/>
      </c>
      <c r="H1051" s="2">
        <f>IF(AND(F1051=1,G1051=1),"OK","À JUSTIFIER")</f>
        <v/>
      </c>
    </row>
    <row r="1052">
      <c r="A1052" s="2" t="inlineStr">
        <is>
          <t>EJ010325.TXT</t>
        </is>
      </c>
      <c r="B1052" s="3" t="inlineStr">
        <is>
          <t>005745</t>
        </is>
      </c>
      <c r="C1052" s="3" t="inlineStr">
        <is>
          <t>004612</t>
        </is>
      </c>
      <c r="D1052" s="4" t="n">
        <v>45713</v>
      </c>
      <c r="E1052" s="2" t="inlineStr">
        <is>
          <t>12:06</t>
        </is>
      </c>
      <c r="F1052" s="5">
        <f>C1052-C1051</f>
        <v/>
      </c>
      <c r="G1052" s="5">
        <f>B1052-B1051</f>
        <v/>
      </c>
      <c r="H1052" s="2">
        <f>IF(AND(F1052=1,G1052=1),"OK","À JUSTIFIER")</f>
        <v/>
      </c>
    </row>
    <row r="1053">
      <c r="A1053" s="2" t="inlineStr">
        <is>
          <t>EJ010325.TXT</t>
        </is>
      </c>
      <c r="B1053" s="3" t="inlineStr">
        <is>
          <t>005746</t>
        </is>
      </c>
      <c r="C1053" s="3" t="inlineStr">
        <is>
          <t>004613</t>
        </is>
      </c>
      <c r="D1053" s="4" t="n">
        <v>45713</v>
      </c>
      <c r="E1053" s="2" t="inlineStr">
        <is>
          <t>15:53</t>
        </is>
      </c>
      <c r="F1053" s="5">
        <f>C1053-C1052</f>
        <v/>
      </c>
      <c r="G1053" s="5">
        <f>B1053-B1052</f>
        <v/>
      </c>
      <c r="H1053" s="2">
        <f>IF(AND(F1053=1,G1053=1),"OK","À JUSTIFIER")</f>
        <v/>
      </c>
    </row>
    <row r="1054">
      <c r="A1054" s="2" t="inlineStr">
        <is>
          <t>EJ010325.TXT</t>
        </is>
      </c>
      <c r="B1054" s="3" t="inlineStr">
        <is>
          <t>005747</t>
        </is>
      </c>
      <c r="C1054" s="3" t="inlineStr">
        <is>
          <t>004614</t>
        </is>
      </c>
      <c r="D1054" s="4" t="n">
        <v>45716</v>
      </c>
      <c r="E1054" s="2" t="inlineStr">
        <is>
          <t>18:33</t>
        </is>
      </c>
      <c r="F1054" s="5">
        <f>C1054-C1053</f>
        <v/>
      </c>
      <c r="G1054" s="5">
        <f>B1054-B1053</f>
        <v/>
      </c>
      <c r="H1054" s="2">
        <f>IF(AND(F1054=1,G1054=1),"OK","À JUSTIFIER")</f>
        <v/>
      </c>
    </row>
    <row r="1055">
      <c r="A1055" s="2" t="inlineStr">
        <is>
          <t>EJ290325.TXT</t>
        </is>
      </c>
      <c r="B1055" s="3" t="inlineStr">
        <is>
          <t>005755</t>
        </is>
      </c>
      <c r="C1055" s="3" t="inlineStr">
        <is>
          <t>004615</t>
        </is>
      </c>
      <c r="D1055" s="4" t="n">
        <v>45720</v>
      </c>
      <c r="E1055" s="2" t="inlineStr">
        <is>
          <t>11:04</t>
        </is>
      </c>
      <c r="F1055" s="5">
        <f>C1055-C1054</f>
        <v/>
      </c>
      <c r="G1055" s="5">
        <f>B1055-B1054</f>
        <v/>
      </c>
      <c r="H1055" s="2">
        <f>IF(AND(F1055=1,G1055=1),"OK","À JUSTIFIER")</f>
        <v/>
      </c>
    </row>
    <row r="1056">
      <c r="A1056" s="2" t="inlineStr">
        <is>
          <t>EJ290325.TXT</t>
        </is>
      </c>
      <c r="B1056" s="3" t="inlineStr">
        <is>
          <t>005756</t>
        </is>
      </c>
      <c r="C1056" s="3" t="inlineStr">
        <is>
          <t>004616</t>
        </is>
      </c>
      <c r="D1056" s="4" t="n">
        <v>45720</v>
      </c>
      <c r="E1056" s="2" t="inlineStr">
        <is>
          <t>16:20</t>
        </is>
      </c>
      <c r="F1056" s="5">
        <f>C1056-C1055</f>
        <v/>
      </c>
      <c r="G1056" s="5">
        <f>B1056-B1055</f>
        <v/>
      </c>
      <c r="H1056" s="2">
        <f>IF(AND(F1056=1,G1056=1),"OK","À JUSTIFIER")</f>
        <v/>
      </c>
    </row>
    <row r="1057">
      <c r="A1057" s="2" t="inlineStr">
        <is>
          <t>EJ290325.TXT</t>
        </is>
      </c>
      <c r="B1057" s="3" t="inlineStr">
        <is>
          <t>005757</t>
        </is>
      </c>
      <c r="C1057" s="3" t="inlineStr">
        <is>
          <t>004617</t>
        </is>
      </c>
      <c r="D1057" s="4" t="n">
        <v>45720</v>
      </c>
      <c r="E1057" s="2" t="inlineStr">
        <is>
          <t>17:46</t>
        </is>
      </c>
      <c r="F1057" s="5">
        <f>C1057-C1056</f>
        <v/>
      </c>
      <c r="G1057" s="5">
        <f>B1057-B1056</f>
        <v/>
      </c>
      <c r="H1057" s="2">
        <f>IF(AND(F1057=1,G1057=1),"OK","À JUSTIFIER")</f>
        <v/>
      </c>
    </row>
    <row r="1058">
      <c r="A1058" s="2" t="inlineStr">
        <is>
          <t>EJ290325.TXT</t>
        </is>
      </c>
      <c r="B1058" s="3" t="inlineStr">
        <is>
          <t>005758</t>
        </is>
      </c>
      <c r="C1058" s="3" t="inlineStr">
        <is>
          <t>004618</t>
        </is>
      </c>
      <c r="D1058" s="4" t="n">
        <v>45720</v>
      </c>
      <c r="E1058" s="2" t="inlineStr">
        <is>
          <t>18:21</t>
        </is>
      </c>
      <c r="F1058" s="5">
        <f>C1058-C1057</f>
        <v/>
      </c>
      <c r="G1058" s="5">
        <f>B1058-B1057</f>
        <v/>
      </c>
      <c r="H1058" s="2">
        <f>IF(AND(F1058=1,G1058=1),"OK","À JUSTIFIER")</f>
        <v/>
      </c>
    </row>
    <row r="1059">
      <c r="A1059" s="2" t="inlineStr">
        <is>
          <t>EJ290325.TXT</t>
        </is>
      </c>
      <c r="B1059" s="3" t="inlineStr">
        <is>
          <t>005759</t>
        </is>
      </c>
      <c r="C1059" s="3" t="inlineStr">
        <is>
          <t>004619</t>
        </is>
      </c>
      <c r="D1059" s="4" t="n">
        <v>45720</v>
      </c>
      <c r="E1059" s="2" t="inlineStr">
        <is>
          <t>18:23</t>
        </is>
      </c>
      <c r="F1059" s="5">
        <f>C1059-C1058</f>
        <v/>
      </c>
      <c r="G1059" s="5">
        <f>B1059-B1058</f>
        <v/>
      </c>
      <c r="H1059" s="2">
        <f>IF(AND(F1059=1,G1059=1),"OK","À JUSTIFIER")</f>
        <v/>
      </c>
    </row>
    <row r="1060">
      <c r="A1060" s="2" t="inlineStr">
        <is>
          <t>EJ290325.TXT</t>
        </is>
      </c>
      <c r="B1060" s="3" t="inlineStr">
        <is>
          <t>005760</t>
        </is>
      </c>
      <c r="C1060" s="3" t="inlineStr">
        <is>
          <t>004620</t>
        </is>
      </c>
      <c r="D1060" s="4" t="n">
        <v>45721</v>
      </c>
      <c r="E1060" s="2" t="inlineStr">
        <is>
          <t>10:28</t>
        </is>
      </c>
      <c r="F1060" s="5">
        <f>C1060-C1059</f>
        <v/>
      </c>
      <c r="G1060" s="5">
        <f>B1060-B1059</f>
        <v/>
      </c>
      <c r="H1060" s="2">
        <f>IF(AND(F1060=1,G1060=1),"OK","À JUSTIFIER")</f>
        <v/>
      </c>
    </row>
    <row r="1061">
      <c r="A1061" s="2" t="inlineStr">
        <is>
          <t>EJ290325.TXT</t>
        </is>
      </c>
      <c r="B1061" s="3" t="inlineStr">
        <is>
          <t>005761</t>
        </is>
      </c>
      <c r="C1061" s="3" t="inlineStr">
        <is>
          <t>004621</t>
        </is>
      </c>
      <c r="D1061" s="4" t="n">
        <v>45723</v>
      </c>
      <c r="E1061" s="2" t="inlineStr">
        <is>
          <t>16:01</t>
        </is>
      </c>
      <c r="F1061" s="5">
        <f>C1061-C1060</f>
        <v/>
      </c>
      <c r="G1061" s="5">
        <f>B1061-B1060</f>
        <v/>
      </c>
      <c r="H1061" s="2">
        <f>IF(AND(F1061=1,G1061=1),"OK","À JUSTIFIER")</f>
        <v/>
      </c>
    </row>
    <row r="1062">
      <c r="A1062" s="2" t="inlineStr">
        <is>
          <t>EJ290325.TXT</t>
        </is>
      </c>
      <c r="B1062" s="3" t="inlineStr">
        <is>
          <t>005762</t>
        </is>
      </c>
      <c r="C1062" s="3" t="inlineStr">
        <is>
          <t>004622</t>
        </is>
      </c>
      <c r="D1062" s="4" t="n">
        <v>45724</v>
      </c>
      <c r="E1062" s="2" t="inlineStr">
        <is>
          <t>17:39</t>
        </is>
      </c>
      <c r="F1062" s="5">
        <f>C1062-C1061</f>
        <v/>
      </c>
      <c r="G1062" s="5">
        <f>B1062-B1061</f>
        <v/>
      </c>
      <c r="H1062" s="2">
        <f>IF(AND(F1062=1,G1062=1),"OK","À JUSTIFIER")</f>
        <v/>
      </c>
    </row>
    <row r="1063">
      <c r="A1063" s="2" t="inlineStr">
        <is>
          <t>EJ290325.TXT</t>
        </is>
      </c>
      <c r="B1063" s="3" t="inlineStr">
        <is>
          <t>005763</t>
        </is>
      </c>
      <c r="C1063" s="3" t="inlineStr">
        <is>
          <t>004623</t>
        </is>
      </c>
      <c r="D1063" s="4" t="n">
        <v>45724</v>
      </c>
      <c r="E1063" s="2" t="inlineStr">
        <is>
          <t>18:31</t>
        </is>
      </c>
      <c r="F1063" s="5">
        <f>C1063-C1062</f>
        <v/>
      </c>
      <c r="G1063" s="5">
        <f>B1063-B1062</f>
        <v/>
      </c>
      <c r="H1063" s="2">
        <f>IF(AND(F1063=1,G1063=1),"OK","À JUSTIFIER")</f>
        <v/>
      </c>
    </row>
    <row r="1064">
      <c r="A1064" s="2" t="inlineStr">
        <is>
          <t>EJ290325.TXT</t>
        </is>
      </c>
      <c r="B1064" s="3" t="inlineStr">
        <is>
          <t>005764</t>
        </is>
      </c>
      <c r="C1064" s="3" t="inlineStr">
        <is>
          <t>004624</t>
        </is>
      </c>
      <c r="D1064" s="4" t="n">
        <v>45726</v>
      </c>
      <c r="E1064" s="2" t="inlineStr">
        <is>
          <t>11:34</t>
        </is>
      </c>
      <c r="F1064" s="5">
        <f>C1064-C1063</f>
        <v/>
      </c>
      <c r="G1064" s="5">
        <f>B1064-B1063</f>
        <v/>
      </c>
      <c r="H1064" s="2">
        <f>IF(AND(F1064=1,G1064=1),"OK","À JUSTIFIER")</f>
        <v/>
      </c>
    </row>
    <row r="1065">
      <c r="A1065" s="2" t="inlineStr">
        <is>
          <t>EJ290325.TXT</t>
        </is>
      </c>
      <c r="B1065" s="3" t="inlineStr">
        <is>
          <t>005765</t>
        </is>
      </c>
      <c r="C1065" s="3" t="inlineStr">
        <is>
          <t>004625</t>
        </is>
      </c>
      <c r="D1065" s="4" t="n">
        <v>45728</v>
      </c>
      <c r="E1065" s="2" t="inlineStr">
        <is>
          <t>18:32</t>
        </is>
      </c>
      <c r="F1065" s="5">
        <f>C1065-C1064</f>
        <v/>
      </c>
      <c r="G1065" s="5">
        <f>B1065-B1064</f>
        <v/>
      </c>
      <c r="H1065" s="2">
        <f>IF(AND(F1065=1,G1065=1),"OK","À JUSTIFIER")</f>
        <v/>
      </c>
    </row>
    <row r="1066">
      <c r="A1066" s="2" t="inlineStr">
        <is>
          <t>EJ290325.TXT</t>
        </is>
      </c>
      <c r="B1066" s="3" t="inlineStr">
        <is>
          <t>005766</t>
        </is>
      </c>
      <c r="C1066" s="3" t="inlineStr">
        <is>
          <t>004626</t>
        </is>
      </c>
      <c r="D1066" s="4" t="n">
        <v>45729</v>
      </c>
      <c r="E1066" s="2" t="inlineStr">
        <is>
          <t>15:59</t>
        </is>
      </c>
      <c r="F1066" s="5">
        <f>C1066-C1065</f>
        <v/>
      </c>
      <c r="G1066" s="5">
        <f>B1066-B1065</f>
        <v/>
      </c>
      <c r="H1066" s="2">
        <f>IF(AND(F1066=1,G1066=1),"OK","À JUSTIFIER")</f>
        <v/>
      </c>
    </row>
    <row r="1067">
      <c r="A1067" s="2" t="inlineStr">
        <is>
          <t>EJ290325.TXT</t>
        </is>
      </c>
      <c r="B1067" s="3" t="inlineStr">
        <is>
          <t>005767</t>
        </is>
      </c>
      <c r="C1067" s="3" t="inlineStr">
        <is>
          <t>004627</t>
        </is>
      </c>
      <c r="D1067" s="4" t="n">
        <v>45731</v>
      </c>
      <c r="E1067" s="2" t="inlineStr">
        <is>
          <t>15:39</t>
        </is>
      </c>
      <c r="F1067" s="5">
        <f>C1067-C1066</f>
        <v/>
      </c>
      <c r="G1067" s="5">
        <f>B1067-B1066</f>
        <v/>
      </c>
      <c r="H1067" s="2">
        <f>IF(AND(F1067=1,G1067=1),"OK","À JUSTIFIER")</f>
        <v/>
      </c>
    </row>
    <row r="1068">
      <c r="A1068" s="2" t="inlineStr">
        <is>
          <t>EJ290325.TXT</t>
        </is>
      </c>
      <c r="B1068" s="3" t="inlineStr">
        <is>
          <t>005768</t>
        </is>
      </c>
      <c r="C1068" s="3" t="inlineStr">
        <is>
          <t>004628</t>
        </is>
      </c>
      <c r="D1068" s="4" t="n">
        <v>45737</v>
      </c>
      <c r="E1068" s="2" t="inlineStr">
        <is>
          <t>15:09</t>
        </is>
      </c>
      <c r="F1068" s="5">
        <f>C1068-C1067</f>
        <v/>
      </c>
      <c r="G1068" s="5">
        <f>B1068-B1067</f>
        <v/>
      </c>
      <c r="H1068" s="2">
        <f>IF(AND(F1068=1,G1068=1),"OK","À JUSTIFIER")</f>
        <v/>
      </c>
    </row>
    <row r="1069">
      <c r="A1069" s="2" t="inlineStr">
        <is>
          <t>EJ290325.TXT</t>
        </is>
      </c>
      <c r="B1069" s="3" t="inlineStr">
        <is>
          <t>005769</t>
        </is>
      </c>
      <c r="C1069" s="3" t="inlineStr">
        <is>
          <t>004629</t>
        </is>
      </c>
      <c r="D1069" s="4" t="n">
        <v>45737</v>
      </c>
      <c r="E1069" s="2" t="inlineStr">
        <is>
          <t>15:32</t>
        </is>
      </c>
      <c r="F1069" s="5">
        <f>C1069-C1068</f>
        <v/>
      </c>
      <c r="G1069" s="5">
        <f>B1069-B1068</f>
        <v/>
      </c>
      <c r="H1069" s="2">
        <f>IF(AND(F1069=1,G1069=1),"OK","À JUSTIFIER")</f>
        <v/>
      </c>
    </row>
    <row r="1070">
      <c r="A1070" s="2" t="inlineStr">
        <is>
          <t>EJ290325.TXT</t>
        </is>
      </c>
      <c r="B1070" s="3" t="inlineStr">
        <is>
          <t>005770</t>
        </is>
      </c>
      <c r="C1070" s="3" t="inlineStr">
        <is>
          <t>004630</t>
        </is>
      </c>
      <c r="D1070" s="4" t="n">
        <v>45738</v>
      </c>
      <c r="E1070" s="2" t="inlineStr">
        <is>
          <t>17:50</t>
        </is>
      </c>
      <c r="F1070" s="5">
        <f>C1070-C1069</f>
        <v/>
      </c>
      <c r="G1070" s="5">
        <f>B1070-B1069</f>
        <v/>
      </c>
      <c r="H1070" s="2">
        <f>IF(AND(F1070=1,G1070=1),"OK","À JUSTIFIER")</f>
        <v/>
      </c>
    </row>
    <row r="1071">
      <c r="A1071" s="2" t="inlineStr">
        <is>
          <t>EJ290325.TXT</t>
        </is>
      </c>
      <c r="B1071" s="3" t="inlineStr">
        <is>
          <t>005771</t>
        </is>
      </c>
      <c r="C1071" s="3" t="inlineStr">
        <is>
          <t>004631</t>
        </is>
      </c>
      <c r="D1071" s="4" t="n">
        <v>45740</v>
      </c>
      <c r="E1071" s="2" t="inlineStr">
        <is>
          <t>11:20</t>
        </is>
      </c>
      <c r="F1071" s="5">
        <f>C1071-C1070</f>
        <v/>
      </c>
      <c r="G1071" s="5">
        <f>B1071-B1070</f>
        <v/>
      </c>
      <c r="H1071" s="2">
        <f>IF(AND(F1071=1,G1071=1),"OK","À JUSTIFIER")</f>
        <v/>
      </c>
    </row>
    <row r="1072">
      <c r="A1072" s="2" t="inlineStr">
        <is>
          <t>EJ290325.TXT</t>
        </is>
      </c>
      <c r="B1072" s="3" t="inlineStr">
        <is>
          <t>005772</t>
        </is>
      </c>
      <c r="C1072" s="3" t="inlineStr">
        <is>
          <t>004632</t>
        </is>
      </c>
      <c r="D1072" s="4" t="n">
        <v>45742</v>
      </c>
      <c r="E1072" s="2" t="inlineStr">
        <is>
          <t>12:39</t>
        </is>
      </c>
      <c r="F1072" s="5">
        <f>C1072-C1071</f>
        <v/>
      </c>
      <c r="G1072" s="5">
        <f>B1072-B1071</f>
        <v/>
      </c>
      <c r="H1072" s="2">
        <f>IF(AND(F1072=1,G1072=1),"OK","À JUSTIFIER")</f>
        <v/>
      </c>
    </row>
    <row r="1073">
      <c r="A1073" s="2" t="inlineStr">
        <is>
          <t>EJ290325.TXT</t>
        </is>
      </c>
      <c r="B1073" s="3" t="inlineStr">
        <is>
          <t>005773</t>
        </is>
      </c>
      <c r="C1073" s="3" t="inlineStr">
        <is>
          <t>004633</t>
        </is>
      </c>
      <c r="D1073" s="4" t="n">
        <v>45742</v>
      </c>
      <c r="E1073" s="2" t="inlineStr">
        <is>
          <t>19:00</t>
        </is>
      </c>
      <c r="F1073" s="5">
        <f>C1073-C1072</f>
        <v/>
      </c>
      <c r="G1073" s="5">
        <f>B1073-B1072</f>
        <v/>
      </c>
      <c r="H1073" s="2">
        <f>IF(AND(F1073=1,G1073=1),"OK","À JUSTIFIER")</f>
        <v/>
      </c>
    </row>
    <row r="1074">
      <c r="A1074" s="2" t="inlineStr">
        <is>
          <t>EJ290325.TXT</t>
        </is>
      </c>
      <c r="B1074" s="3" t="inlineStr">
        <is>
          <t>005774</t>
        </is>
      </c>
      <c r="C1074" s="3" t="inlineStr">
        <is>
          <t>004634</t>
        </is>
      </c>
      <c r="D1074" s="4" t="n">
        <v>45742</v>
      </c>
      <c r="E1074" s="2" t="inlineStr">
        <is>
          <t>19:00</t>
        </is>
      </c>
      <c r="F1074" s="5">
        <f>C1074-C1073</f>
        <v/>
      </c>
      <c r="G1074" s="5">
        <f>B1074-B1073</f>
        <v/>
      </c>
      <c r="H1074" s="2">
        <f>IF(AND(F1074=1,G1074=1),"OK","À JUSTIFIER")</f>
        <v/>
      </c>
    </row>
    <row r="1075">
      <c r="A1075" s="2" t="inlineStr">
        <is>
          <t>EJ290325.TXT</t>
        </is>
      </c>
      <c r="B1075" s="3" t="inlineStr">
        <is>
          <t>005775</t>
        </is>
      </c>
      <c r="C1075" s="3" t="inlineStr">
        <is>
          <t>004635</t>
        </is>
      </c>
      <c r="D1075" s="4" t="n">
        <v>45742</v>
      </c>
      <c r="E1075" s="2" t="inlineStr">
        <is>
          <t>19:03</t>
        </is>
      </c>
      <c r="F1075" s="5">
        <f>C1075-C1074</f>
        <v/>
      </c>
      <c r="G1075" s="5">
        <f>B1075-B1074</f>
        <v/>
      </c>
      <c r="H1075" s="2">
        <f>IF(AND(F1075=1,G1075=1),"OK","À JUSTIFIER")</f>
        <v/>
      </c>
    </row>
    <row r="1076">
      <c r="A1076" s="2" t="inlineStr">
        <is>
          <t>EJ290325.TXT</t>
        </is>
      </c>
      <c r="B1076" s="3" t="inlineStr">
        <is>
          <t>005776</t>
        </is>
      </c>
      <c r="C1076" s="3" t="inlineStr">
        <is>
          <t>004636</t>
        </is>
      </c>
      <c r="D1076" s="4" t="n">
        <v>45742</v>
      </c>
      <c r="E1076" s="2" t="inlineStr">
        <is>
          <t>19:03</t>
        </is>
      </c>
      <c r="F1076" s="5">
        <f>C1076-C1075</f>
        <v/>
      </c>
      <c r="G1076" s="5">
        <f>B1076-B1075</f>
        <v/>
      </c>
      <c r="H1076" s="2">
        <f>IF(AND(F1076=1,G1076=1),"OK","À JUSTIFIER")</f>
        <v/>
      </c>
    </row>
    <row r="1077">
      <c r="A1077" s="2" t="inlineStr">
        <is>
          <t>EJ290325.TXT</t>
        </is>
      </c>
      <c r="B1077" s="3" t="inlineStr">
        <is>
          <t>005777</t>
        </is>
      </c>
      <c r="C1077" s="3" t="inlineStr">
        <is>
          <t>004637</t>
        </is>
      </c>
      <c r="D1077" s="4" t="n">
        <v>45742</v>
      </c>
      <c r="E1077" s="2" t="inlineStr">
        <is>
          <t>19:03</t>
        </is>
      </c>
      <c r="F1077" s="5">
        <f>C1077-C1076</f>
        <v/>
      </c>
      <c r="G1077" s="5">
        <f>B1077-B1076</f>
        <v/>
      </c>
      <c r="H1077" s="2">
        <f>IF(AND(F1077=1,G1077=1),"OK","À JUSTIFIER")</f>
        <v/>
      </c>
    </row>
    <row r="1078">
      <c r="A1078" s="2" t="inlineStr">
        <is>
          <t>EJ290325.TXT</t>
        </is>
      </c>
      <c r="B1078" s="3" t="inlineStr">
        <is>
          <t>005778</t>
        </is>
      </c>
      <c r="C1078" s="3" t="inlineStr">
        <is>
          <t>004638</t>
        </is>
      </c>
      <c r="D1078" s="4" t="n">
        <v>45742</v>
      </c>
      <c r="E1078" s="2" t="inlineStr">
        <is>
          <t>19:04</t>
        </is>
      </c>
      <c r="F1078" s="5">
        <f>C1078-C1077</f>
        <v/>
      </c>
      <c r="G1078" s="5">
        <f>B1078-B1077</f>
        <v/>
      </c>
      <c r="H1078" s="2">
        <f>IF(AND(F1078=1,G1078=1),"OK","À JUSTIFIER")</f>
        <v/>
      </c>
    </row>
    <row r="1079">
      <c r="A1079" s="2" t="inlineStr">
        <is>
          <t>EJ290325.TXT</t>
        </is>
      </c>
      <c r="B1079" s="3" t="inlineStr">
        <is>
          <t>005779</t>
        </is>
      </c>
      <c r="C1079" s="3" t="inlineStr">
        <is>
          <t>004639</t>
        </is>
      </c>
      <c r="D1079" s="4" t="n">
        <v>45742</v>
      </c>
      <c r="E1079" s="2" t="inlineStr">
        <is>
          <t>19:05</t>
        </is>
      </c>
      <c r="F1079" s="5">
        <f>C1079-C1078</f>
        <v/>
      </c>
      <c r="G1079" s="5">
        <f>B1079-B1078</f>
        <v/>
      </c>
      <c r="H1079" s="2">
        <f>IF(AND(F1079=1,G1079=1),"OK","À JUSTIFIER")</f>
        <v/>
      </c>
    </row>
    <row r="1080">
      <c r="A1080" s="2" t="inlineStr">
        <is>
          <t>EJ290325.TXT</t>
        </is>
      </c>
      <c r="B1080" s="3" t="inlineStr">
        <is>
          <t>005780</t>
        </is>
      </c>
      <c r="C1080" s="3" t="inlineStr">
        <is>
          <t>004640</t>
        </is>
      </c>
      <c r="D1080" s="4" t="n">
        <v>45742</v>
      </c>
      <c r="E1080" s="2" t="inlineStr">
        <is>
          <t>19:05</t>
        </is>
      </c>
      <c r="F1080" s="5">
        <f>C1080-C1079</f>
        <v/>
      </c>
      <c r="G1080" s="5">
        <f>B1080-B1079</f>
        <v/>
      </c>
      <c r="H1080" s="2">
        <f>IF(AND(F1080=1,G1080=1),"OK","À JUSTIFIER")</f>
        <v/>
      </c>
    </row>
    <row r="1081">
      <c r="A1081" s="2" t="inlineStr">
        <is>
          <t>EJ290325.TXT</t>
        </is>
      </c>
      <c r="B1081" s="3" t="inlineStr">
        <is>
          <t>005781</t>
        </is>
      </c>
      <c r="C1081" s="3" t="inlineStr">
        <is>
          <t>004641</t>
        </is>
      </c>
      <c r="D1081" s="4" t="n">
        <v>45743</v>
      </c>
      <c r="E1081" s="2" t="inlineStr">
        <is>
          <t>11:07</t>
        </is>
      </c>
      <c r="F1081" s="5">
        <f>C1081-C1080</f>
        <v/>
      </c>
      <c r="G1081" s="5">
        <f>B1081-B1080</f>
        <v/>
      </c>
      <c r="H1081" s="2">
        <f>IF(AND(F1081=1,G1081=1),"OK","À JUSTIFIER")</f>
        <v/>
      </c>
    </row>
    <row r="1082">
      <c r="A1082" s="2" t="inlineStr">
        <is>
          <t>EJ290325.TXT</t>
        </is>
      </c>
      <c r="B1082" s="3" t="inlineStr">
        <is>
          <t>005782</t>
        </is>
      </c>
      <c r="C1082" s="3" t="inlineStr">
        <is>
          <t>004642</t>
        </is>
      </c>
      <c r="D1082" s="4" t="n">
        <v>45743</v>
      </c>
      <c r="E1082" s="2" t="inlineStr">
        <is>
          <t>11:36</t>
        </is>
      </c>
      <c r="F1082" s="5">
        <f>C1082-C1081</f>
        <v/>
      </c>
      <c r="G1082" s="5">
        <f>B1082-B1081</f>
        <v/>
      </c>
      <c r="H1082" s="2">
        <f>IF(AND(F1082=1,G1082=1),"OK","À JUSTIFIER")</f>
        <v/>
      </c>
    </row>
    <row r="1083">
      <c r="A1083" s="2" t="inlineStr">
        <is>
          <t>EJ290325.TXT</t>
        </is>
      </c>
      <c r="B1083" s="3" t="inlineStr">
        <is>
          <t>005783</t>
        </is>
      </c>
      <c r="C1083" s="3" t="inlineStr">
        <is>
          <t>004643</t>
        </is>
      </c>
      <c r="D1083" s="4" t="n">
        <v>45744</v>
      </c>
      <c r="E1083" s="2" t="inlineStr">
        <is>
          <t>12:41</t>
        </is>
      </c>
      <c r="F1083" s="5">
        <f>C1083-C1082</f>
        <v/>
      </c>
      <c r="G1083" s="5">
        <f>B1083-B1082</f>
        <v/>
      </c>
      <c r="H1083" s="2">
        <f>IF(AND(F1083=1,G1083=1),"OK","À JUSTIFIER")</f>
        <v/>
      </c>
    </row>
    <row r="1084">
      <c r="A1084" s="2" t="inlineStr">
        <is>
          <t>EJ290325.TXT</t>
        </is>
      </c>
      <c r="B1084" s="3" t="inlineStr">
        <is>
          <t>005784</t>
        </is>
      </c>
      <c r="C1084" s="3" t="inlineStr">
        <is>
          <t>004644</t>
        </is>
      </c>
      <c r="D1084" s="4" t="n">
        <v>45744</v>
      </c>
      <c r="E1084" s="2" t="inlineStr">
        <is>
          <t>12:42</t>
        </is>
      </c>
      <c r="F1084" s="5">
        <f>C1084-C1083</f>
        <v/>
      </c>
      <c r="G1084" s="5">
        <f>B1084-B1083</f>
        <v/>
      </c>
      <c r="H1084" s="2">
        <f>IF(AND(F1084=1,G1084=1),"OK","À JUSTIFIER")</f>
        <v/>
      </c>
    </row>
    <row r="1085">
      <c r="A1085" s="2" t="inlineStr">
        <is>
          <t>EJ010725.TXT</t>
        </is>
      </c>
      <c r="B1085" s="3" t="inlineStr">
        <is>
          <t>005793</t>
        </is>
      </c>
      <c r="C1085" s="3" t="inlineStr">
        <is>
          <t>004645</t>
        </is>
      </c>
      <c r="D1085" s="4" t="n">
        <v>45754</v>
      </c>
      <c r="E1085" s="2" t="inlineStr">
        <is>
          <t>16:10</t>
        </is>
      </c>
      <c r="F1085" s="5">
        <f>C1085-C1084</f>
        <v/>
      </c>
      <c r="G1085" s="5">
        <f>B1085-B1084</f>
        <v/>
      </c>
      <c r="H1085" s="2">
        <f>IF(AND(F1085=1,G1085=1),"OK","À JUSTIFIER")</f>
        <v/>
      </c>
    </row>
    <row r="1086">
      <c r="A1086" s="2" t="inlineStr">
        <is>
          <t>EJ010725.TXT</t>
        </is>
      </c>
      <c r="B1086" s="3" t="inlineStr">
        <is>
          <t>005794</t>
        </is>
      </c>
      <c r="C1086" s="3" t="inlineStr">
        <is>
          <t>004646</t>
        </is>
      </c>
      <c r="D1086" s="4" t="n">
        <v>45754</v>
      </c>
      <c r="E1086" s="2" t="inlineStr">
        <is>
          <t>16:13</t>
        </is>
      </c>
      <c r="F1086" s="5">
        <f>C1086-C1085</f>
        <v/>
      </c>
      <c r="G1086" s="5">
        <f>B1086-B1085</f>
        <v/>
      </c>
      <c r="H1086" s="2">
        <f>IF(AND(F1086=1,G1086=1),"OK","À JUSTIFIER")</f>
        <v/>
      </c>
    </row>
    <row r="1087">
      <c r="A1087" s="2" t="inlineStr">
        <is>
          <t>EJ010725.TXT</t>
        </is>
      </c>
      <c r="B1087" s="3" t="inlineStr">
        <is>
          <t>005795</t>
        </is>
      </c>
      <c r="C1087" s="3" t="inlineStr">
        <is>
          <t>004647</t>
        </is>
      </c>
      <c r="D1087" s="4" t="n">
        <v>45754</v>
      </c>
      <c r="E1087" s="2" t="inlineStr">
        <is>
          <t>16:38</t>
        </is>
      </c>
      <c r="F1087" s="5">
        <f>C1087-C1086</f>
        <v/>
      </c>
      <c r="G1087" s="5">
        <f>B1087-B1086</f>
        <v/>
      </c>
      <c r="H1087" s="2">
        <f>IF(AND(F1087=1,G1087=1),"OK","À JUSTIFIER")</f>
        <v/>
      </c>
    </row>
    <row r="1088">
      <c r="A1088" s="2" t="inlineStr">
        <is>
          <t>EJ010725.TXT</t>
        </is>
      </c>
      <c r="B1088" s="3" t="inlineStr">
        <is>
          <t>005796</t>
        </is>
      </c>
      <c r="C1088" s="3" t="inlineStr">
        <is>
          <t>004648</t>
        </is>
      </c>
      <c r="D1088" s="4" t="n">
        <v>45754</v>
      </c>
      <c r="E1088" s="2" t="inlineStr">
        <is>
          <t>16:54</t>
        </is>
      </c>
      <c r="F1088" s="5">
        <f>C1088-C1087</f>
        <v/>
      </c>
      <c r="G1088" s="5">
        <f>B1088-B1087</f>
        <v/>
      </c>
      <c r="H1088" s="2">
        <f>IF(AND(F1088=1,G1088=1),"OK","À JUSTIFIER")</f>
        <v/>
      </c>
    </row>
    <row r="1089">
      <c r="A1089" s="2" t="inlineStr">
        <is>
          <t>EJ010725.TXT</t>
        </is>
      </c>
      <c r="B1089" s="3" t="inlineStr">
        <is>
          <t>005797</t>
        </is>
      </c>
      <c r="C1089" s="3" t="inlineStr">
        <is>
          <t>004649</t>
        </is>
      </c>
      <c r="D1089" s="4" t="n">
        <v>45754</v>
      </c>
      <c r="E1089" s="2" t="inlineStr">
        <is>
          <t>17:01</t>
        </is>
      </c>
      <c r="F1089" s="5">
        <f>C1089-C1088</f>
        <v/>
      </c>
      <c r="G1089" s="5">
        <f>B1089-B1088</f>
        <v/>
      </c>
      <c r="H1089" s="2">
        <f>IF(AND(F1089=1,G1089=1),"OK","À JUSTIFIER")</f>
        <v/>
      </c>
    </row>
    <row r="1090">
      <c r="A1090" s="2" t="inlineStr">
        <is>
          <t>EJ010725.TXT</t>
        </is>
      </c>
      <c r="B1090" s="3" t="inlineStr">
        <is>
          <t>005798</t>
        </is>
      </c>
      <c r="C1090" s="3" t="inlineStr">
        <is>
          <t>004650</t>
        </is>
      </c>
      <c r="D1090" s="4" t="n">
        <v>45755</v>
      </c>
      <c r="E1090" s="2" t="inlineStr">
        <is>
          <t>10:33</t>
        </is>
      </c>
      <c r="F1090" s="5">
        <f>C1090-C1089</f>
        <v/>
      </c>
      <c r="G1090" s="5">
        <f>B1090-B1089</f>
        <v/>
      </c>
      <c r="H1090" s="2">
        <f>IF(AND(F1090=1,G1090=1),"OK","À JUSTIFIER")</f>
        <v/>
      </c>
    </row>
    <row r="1091">
      <c r="A1091" s="2" t="inlineStr">
        <is>
          <t>EJ010725.TXT</t>
        </is>
      </c>
      <c r="B1091" s="3" t="inlineStr">
        <is>
          <t>005799</t>
        </is>
      </c>
      <c r="C1091" s="3" t="inlineStr">
        <is>
          <t>004651</t>
        </is>
      </c>
      <c r="D1091" s="4" t="n">
        <v>45755</v>
      </c>
      <c r="E1091" s="2" t="inlineStr">
        <is>
          <t>16:01</t>
        </is>
      </c>
      <c r="F1091" s="5">
        <f>C1091-C1090</f>
        <v/>
      </c>
      <c r="G1091" s="5">
        <f>B1091-B1090</f>
        <v/>
      </c>
      <c r="H1091" s="2">
        <f>IF(AND(F1091=1,G1091=1),"OK","À JUSTIFIER")</f>
        <v/>
      </c>
    </row>
    <row r="1092">
      <c r="A1092" s="2" t="inlineStr">
        <is>
          <t>EJ010725.TXT</t>
        </is>
      </c>
      <c r="B1092" s="3" t="inlineStr">
        <is>
          <t>005800</t>
        </is>
      </c>
      <c r="C1092" s="3" t="inlineStr">
        <is>
          <t>004652</t>
        </is>
      </c>
      <c r="D1092" s="4" t="n">
        <v>45756</v>
      </c>
      <c r="E1092" s="2" t="inlineStr">
        <is>
          <t>14:53</t>
        </is>
      </c>
      <c r="F1092" s="5">
        <f>C1092-C1091</f>
        <v/>
      </c>
      <c r="G1092" s="5">
        <f>B1092-B1091</f>
        <v/>
      </c>
      <c r="H1092" s="2">
        <f>IF(AND(F1092=1,G1092=1),"OK","À JUSTIFIER")</f>
        <v/>
      </c>
    </row>
    <row r="1093">
      <c r="A1093" s="2" t="inlineStr">
        <is>
          <t>EJ010725.TXT</t>
        </is>
      </c>
      <c r="B1093" s="3" t="inlineStr">
        <is>
          <t>005801</t>
        </is>
      </c>
      <c r="C1093" s="3" t="inlineStr">
        <is>
          <t>004653</t>
        </is>
      </c>
      <c r="D1093" s="4" t="n">
        <v>45757</v>
      </c>
      <c r="E1093" s="2" t="inlineStr">
        <is>
          <t>14:26</t>
        </is>
      </c>
      <c r="F1093" s="5">
        <f>C1093-C1092</f>
        <v/>
      </c>
      <c r="G1093" s="5">
        <f>B1093-B1092</f>
        <v/>
      </c>
      <c r="H1093" s="2">
        <f>IF(AND(F1093=1,G1093=1),"OK","À JUSTIFIER")</f>
        <v/>
      </c>
    </row>
    <row r="1094">
      <c r="A1094" s="2" t="inlineStr">
        <is>
          <t>EJ010725.TXT</t>
        </is>
      </c>
      <c r="B1094" s="3" t="inlineStr">
        <is>
          <t>005802</t>
        </is>
      </c>
      <c r="C1094" s="3" t="inlineStr">
        <is>
          <t>004654</t>
        </is>
      </c>
      <c r="D1094" s="4" t="n">
        <v>45758</v>
      </c>
      <c r="E1094" s="2" t="inlineStr">
        <is>
          <t>10:44</t>
        </is>
      </c>
      <c r="F1094" s="5">
        <f>C1094-C1093</f>
        <v/>
      </c>
      <c r="G1094" s="5">
        <f>B1094-B1093</f>
        <v/>
      </c>
      <c r="H1094" s="2">
        <f>IF(AND(F1094=1,G1094=1),"OK","À JUSTIFIER")</f>
        <v/>
      </c>
    </row>
    <row r="1095">
      <c r="A1095" s="2" t="inlineStr">
        <is>
          <t>EJ010725.TXT</t>
        </is>
      </c>
      <c r="B1095" s="3" t="inlineStr">
        <is>
          <t>005803</t>
        </is>
      </c>
      <c r="C1095" s="3" t="inlineStr">
        <is>
          <t>004655</t>
        </is>
      </c>
      <c r="D1095" s="4" t="n">
        <v>45758</v>
      </c>
      <c r="E1095" s="2" t="inlineStr">
        <is>
          <t>17:22</t>
        </is>
      </c>
      <c r="F1095" s="5">
        <f>C1095-C1094</f>
        <v/>
      </c>
      <c r="G1095" s="5">
        <f>B1095-B1094</f>
        <v/>
      </c>
      <c r="H1095" s="2">
        <f>IF(AND(F1095=1,G1095=1),"OK","À JUSTIFIER")</f>
        <v/>
      </c>
    </row>
    <row r="1096">
      <c r="A1096" s="2" t="inlineStr">
        <is>
          <t>EJ010725.TXT</t>
        </is>
      </c>
      <c r="B1096" s="3" t="inlineStr">
        <is>
          <t>005804</t>
        </is>
      </c>
      <c r="C1096" s="3" t="inlineStr">
        <is>
          <t>004656</t>
        </is>
      </c>
      <c r="D1096" s="4" t="n">
        <v>45762</v>
      </c>
      <c r="E1096" s="2" t="inlineStr">
        <is>
          <t>17:30</t>
        </is>
      </c>
      <c r="F1096" s="5">
        <f>C1096-C1095</f>
        <v/>
      </c>
      <c r="G1096" s="5">
        <f>B1096-B1095</f>
        <v/>
      </c>
      <c r="H1096" s="2">
        <f>IF(AND(F1096=1,G1096=1),"OK","À JUSTIFIER")</f>
        <v/>
      </c>
    </row>
    <row r="1097">
      <c r="A1097" s="2" t="inlineStr">
        <is>
          <t>EJ010725.TXT</t>
        </is>
      </c>
      <c r="B1097" s="3" t="inlineStr">
        <is>
          <t>005805</t>
        </is>
      </c>
      <c r="C1097" s="3" t="inlineStr">
        <is>
          <t>004657</t>
        </is>
      </c>
      <c r="D1097" s="4" t="n">
        <v>45765</v>
      </c>
      <c r="E1097" s="2" t="inlineStr">
        <is>
          <t>12:41</t>
        </is>
      </c>
      <c r="F1097" s="5">
        <f>C1097-C1096</f>
        <v/>
      </c>
      <c r="G1097" s="5">
        <f>B1097-B1096</f>
        <v/>
      </c>
      <c r="H1097" s="2">
        <f>IF(AND(F1097=1,G1097=1),"OK","À JUSTIFIER")</f>
        <v/>
      </c>
    </row>
    <row r="1098">
      <c r="A1098" s="2" t="inlineStr">
        <is>
          <t>EJ010725.TXT</t>
        </is>
      </c>
      <c r="B1098" s="3" t="inlineStr">
        <is>
          <t>005806</t>
        </is>
      </c>
      <c r="C1098" s="3" t="inlineStr">
        <is>
          <t>004658</t>
        </is>
      </c>
      <c r="D1098" s="4" t="n">
        <v>45766</v>
      </c>
      <c r="E1098" s="2" t="inlineStr">
        <is>
          <t>15:25</t>
        </is>
      </c>
      <c r="F1098" s="5">
        <f>C1098-C1097</f>
        <v/>
      </c>
      <c r="G1098" s="5">
        <f>B1098-B1097</f>
        <v/>
      </c>
      <c r="H1098" s="2">
        <f>IF(AND(F1098=1,G1098=1),"OK","À JUSTIFIER")</f>
        <v/>
      </c>
    </row>
    <row r="1099">
      <c r="A1099" s="2" t="inlineStr">
        <is>
          <t>EJ010725.TXT</t>
        </is>
      </c>
      <c r="B1099" s="3" t="inlineStr">
        <is>
          <t>005807</t>
        </is>
      </c>
      <c r="C1099" s="3" t="inlineStr">
        <is>
          <t>004659</t>
        </is>
      </c>
      <c r="D1099" s="4" t="n">
        <v>45770</v>
      </c>
      <c r="E1099" s="2" t="inlineStr">
        <is>
          <t>15:56</t>
        </is>
      </c>
      <c r="F1099" s="5">
        <f>C1099-C1098</f>
        <v/>
      </c>
      <c r="G1099" s="5">
        <f>B1099-B1098</f>
        <v/>
      </c>
      <c r="H1099" s="2">
        <f>IF(AND(F1099=1,G1099=1),"OK","À JUSTIFIER")</f>
        <v/>
      </c>
    </row>
    <row r="1100">
      <c r="A1100" s="2" t="inlineStr">
        <is>
          <t>EJ010725.TXT</t>
        </is>
      </c>
      <c r="B1100" s="3" t="inlineStr">
        <is>
          <t>005808</t>
        </is>
      </c>
      <c r="C1100" s="3" t="inlineStr">
        <is>
          <t>004660</t>
        </is>
      </c>
      <c r="D1100" s="4" t="n">
        <v>45770</v>
      </c>
      <c r="E1100" s="2" t="inlineStr">
        <is>
          <t>17:13</t>
        </is>
      </c>
      <c r="F1100" s="5">
        <f>C1100-C1099</f>
        <v/>
      </c>
      <c r="G1100" s="5">
        <f>B1100-B1099</f>
        <v/>
      </c>
      <c r="H1100" s="2">
        <f>IF(AND(F1100=1,G1100=1),"OK","À JUSTIFIER")</f>
        <v/>
      </c>
    </row>
    <row r="1101">
      <c r="A1101" s="2" t="inlineStr">
        <is>
          <t>EJ010725.TXT</t>
        </is>
      </c>
      <c r="B1101" s="3" t="inlineStr">
        <is>
          <t>005809</t>
        </is>
      </c>
      <c r="C1101" s="3" t="inlineStr">
        <is>
          <t>004661</t>
        </is>
      </c>
      <c r="D1101" s="4" t="n">
        <v>45775</v>
      </c>
      <c r="E1101" s="2" t="inlineStr">
        <is>
          <t>10:23</t>
        </is>
      </c>
      <c r="F1101" s="5">
        <f>C1101-C1100</f>
        <v/>
      </c>
      <c r="G1101" s="5">
        <f>B1101-B1100</f>
        <v/>
      </c>
      <c r="H1101" s="2">
        <f>IF(AND(F1101=1,G1101=1),"OK","À JUSTIFIER")</f>
        <v/>
      </c>
    </row>
    <row r="1102">
      <c r="A1102" s="2" t="inlineStr">
        <is>
          <t>EJ010725.TXT</t>
        </is>
      </c>
      <c r="B1102" s="3" t="inlineStr">
        <is>
          <t>005810</t>
        </is>
      </c>
      <c r="C1102" s="3" t="inlineStr">
        <is>
          <t>004662</t>
        </is>
      </c>
      <c r="D1102" s="4" t="n">
        <v>45777</v>
      </c>
      <c r="E1102" s="2" t="inlineStr">
        <is>
          <t>10:38</t>
        </is>
      </c>
      <c r="F1102" s="5">
        <f>C1102-C1101</f>
        <v/>
      </c>
      <c r="G1102" s="5">
        <f>B1102-B1101</f>
        <v/>
      </c>
      <c r="H1102" s="2">
        <f>IF(AND(F1102=1,G1102=1),"OK","À JUSTIFIER")</f>
        <v/>
      </c>
    </row>
    <row r="1103">
      <c r="A1103" s="2" t="inlineStr">
        <is>
          <t>EJ010725.TXT</t>
        </is>
      </c>
      <c r="B1103" s="3" t="inlineStr">
        <is>
          <t>005811</t>
        </is>
      </c>
      <c r="C1103" s="3" t="inlineStr">
        <is>
          <t>004663</t>
        </is>
      </c>
      <c r="D1103" s="4" t="n">
        <v>45777</v>
      </c>
      <c r="E1103" s="2" t="inlineStr">
        <is>
          <t>15:23</t>
        </is>
      </c>
      <c r="F1103" s="5">
        <f>C1103-C1102</f>
        <v/>
      </c>
      <c r="G1103" s="5">
        <f>B1103-B1102</f>
        <v/>
      </c>
      <c r="H1103" s="2">
        <f>IF(AND(F1103=1,G1103=1),"OK","À JUSTIFIER")</f>
        <v/>
      </c>
    </row>
    <row r="1104">
      <c r="A1104" s="2" t="inlineStr">
        <is>
          <t>EJ010725.TXT</t>
        </is>
      </c>
      <c r="B1104" s="3" t="inlineStr">
        <is>
          <t>005812</t>
        </is>
      </c>
      <c r="C1104" s="3" t="inlineStr">
        <is>
          <t>004664</t>
        </is>
      </c>
      <c r="D1104" s="4" t="n">
        <v>45782</v>
      </c>
      <c r="E1104" s="2" t="inlineStr">
        <is>
          <t>09:49</t>
        </is>
      </c>
      <c r="F1104" s="5">
        <f>C1104-C1103</f>
        <v/>
      </c>
      <c r="G1104" s="5">
        <f>B1104-B1103</f>
        <v/>
      </c>
      <c r="H1104" s="2">
        <f>IF(AND(F1104=1,G1104=1),"OK","À JUSTIFIER")</f>
        <v/>
      </c>
    </row>
    <row r="1105">
      <c r="A1105" s="2" t="inlineStr">
        <is>
          <t>EJ010725.TXT</t>
        </is>
      </c>
      <c r="B1105" s="3" t="inlineStr">
        <is>
          <t>005813</t>
        </is>
      </c>
      <c r="C1105" s="3" t="inlineStr">
        <is>
          <t>004665</t>
        </is>
      </c>
      <c r="D1105" s="4" t="n">
        <v>45782</v>
      </c>
      <c r="E1105" s="2" t="inlineStr">
        <is>
          <t>14:49</t>
        </is>
      </c>
      <c r="F1105" s="5">
        <f>C1105-C1104</f>
        <v/>
      </c>
      <c r="G1105" s="5">
        <f>B1105-B1104</f>
        <v/>
      </c>
      <c r="H1105" s="2">
        <f>IF(AND(F1105=1,G1105=1),"OK","À JUSTIFIER")</f>
        <v/>
      </c>
    </row>
    <row r="1106">
      <c r="A1106" s="2" t="inlineStr">
        <is>
          <t>EJ010725.TXT</t>
        </is>
      </c>
      <c r="B1106" s="3" t="inlineStr">
        <is>
          <t>005814</t>
        </is>
      </c>
      <c r="C1106" s="3" t="inlineStr">
        <is>
          <t>004666</t>
        </is>
      </c>
      <c r="D1106" s="4" t="n">
        <v>45783</v>
      </c>
      <c r="E1106" s="2" t="inlineStr">
        <is>
          <t>13:59</t>
        </is>
      </c>
      <c r="F1106" s="5">
        <f>C1106-C1105</f>
        <v/>
      </c>
      <c r="G1106" s="5">
        <f>B1106-B1105</f>
        <v/>
      </c>
      <c r="H1106" s="2">
        <f>IF(AND(F1106=1,G1106=1),"OK","À JUSTIFIER")</f>
        <v/>
      </c>
    </row>
    <row r="1107">
      <c r="A1107" s="2" t="inlineStr">
        <is>
          <t>EJ010725.TXT</t>
        </is>
      </c>
      <c r="B1107" s="3" t="inlineStr">
        <is>
          <t>005815</t>
        </is>
      </c>
      <c r="C1107" s="3" t="inlineStr">
        <is>
          <t>004667</t>
        </is>
      </c>
      <c r="D1107" s="4" t="n">
        <v>45786</v>
      </c>
      <c r="E1107" s="2" t="inlineStr">
        <is>
          <t>16:03</t>
        </is>
      </c>
      <c r="F1107" s="5">
        <f>C1107-C1106</f>
        <v/>
      </c>
      <c r="G1107" s="5">
        <f>B1107-B1106</f>
        <v/>
      </c>
      <c r="H1107" s="2">
        <f>IF(AND(F1107=1,G1107=1),"OK","À JUSTIFIER")</f>
        <v/>
      </c>
    </row>
    <row r="1108">
      <c r="A1108" s="2" t="inlineStr">
        <is>
          <t>EJ010725.TXT</t>
        </is>
      </c>
      <c r="B1108" s="3" t="inlineStr">
        <is>
          <t>005816</t>
        </is>
      </c>
      <c r="C1108" s="3" t="inlineStr">
        <is>
          <t>004668</t>
        </is>
      </c>
      <c r="D1108" s="4" t="n">
        <v>45786</v>
      </c>
      <c r="E1108" s="2" t="inlineStr">
        <is>
          <t>16:05</t>
        </is>
      </c>
      <c r="F1108" s="5">
        <f>C1108-C1107</f>
        <v/>
      </c>
      <c r="G1108" s="5">
        <f>B1108-B1107</f>
        <v/>
      </c>
      <c r="H1108" s="2">
        <f>IF(AND(F1108=1,G1108=1),"OK","À JUSTIFIER")</f>
        <v/>
      </c>
    </row>
    <row r="1109">
      <c r="A1109" s="2" t="inlineStr">
        <is>
          <t>EJ010725.TXT</t>
        </is>
      </c>
      <c r="B1109" s="3" t="inlineStr">
        <is>
          <t>005817</t>
        </is>
      </c>
      <c r="C1109" s="3" t="inlineStr">
        <is>
          <t>004669</t>
        </is>
      </c>
      <c r="D1109" s="4" t="n">
        <v>45794</v>
      </c>
      <c r="E1109" s="2" t="inlineStr">
        <is>
          <t>17:14</t>
        </is>
      </c>
      <c r="F1109" s="5">
        <f>C1109-C1108</f>
        <v/>
      </c>
      <c r="G1109" s="5">
        <f>B1109-B1108</f>
        <v/>
      </c>
      <c r="H1109" s="2">
        <f>IF(AND(F1109=1,G1109=1),"OK","À JUSTIFIER")</f>
        <v/>
      </c>
    </row>
    <row r="1110">
      <c r="A1110" s="2" t="inlineStr">
        <is>
          <t>EJ010725.TXT</t>
        </is>
      </c>
      <c r="B1110" s="3" t="inlineStr">
        <is>
          <t>005818</t>
        </is>
      </c>
      <c r="C1110" s="3" t="inlineStr">
        <is>
          <t>004670</t>
        </is>
      </c>
      <c r="D1110" s="4" t="n">
        <v>45795</v>
      </c>
      <c r="E1110" s="2" t="inlineStr">
        <is>
          <t>18:35</t>
        </is>
      </c>
      <c r="F1110" s="5">
        <f>C1110-C1109</f>
        <v/>
      </c>
      <c r="G1110" s="5">
        <f>B1110-B1109</f>
        <v/>
      </c>
      <c r="H1110" s="2">
        <f>IF(AND(F1110=1,G1110=1),"OK","À JUSTIFIER")</f>
        <v/>
      </c>
    </row>
    <row r="1111">
      <c r="A1111" s="2" t="inlineStr">
        <is>
          <t>EJ010725.TXT</t>
        </is>
      </c>
      <c r="B1111" s="3" t="inlineStr">
        <is>
          <t>005820</t>
        </is>
      </c>
      <c r="C1111" s="3" t="inlineStr">
        <is>
          <t>004671</t>
        </is>
      </c>
      <c r="D1111" s="4" t="n">
        <v>45805</v>
      </c>
      <c r="E1111" s="2" t="inlineStr">
        <is>
          <t>14:49</t>
        </is>
      </c>
      <c r="F1111" s="5">
        <f>C1111-C1110</f>
        <v/>
      </c>
      <c r="G1111" s="5">
        <f>B1111-B1110</f>
        <v/>
      </c>
      <c r="H1111" s="2">
        <f>IF(AND(F1111=1,G1111=1),"OK","À JUSTIFIER")</f>
        <v/>
      </c>
    </row>
    <row r="1112">
      <c r="A1112" s="2" t="inlineStr">
        <is>
          <t>EJ010725.TXT</t>
        </is>
      </c>
      <c r="B1112" s="3" t="inlineStr">
        <is>
          <t>005821</t>
        </is>
      </c>
      <c r="C1112" s="3" t="inlineStr">
        <is>
          <t>004672</t>
        </is>
      </c>
      <c r="D1112" s="4" t="n">
        <v>45813</v>
      </c>
      <c r="E1112" s="2" t="inlineStr">
        <is>
          <t>16:58</t>
        </is>
      </c>
      <c r="F1112" s="5">
        <f>C1112-C1111</f>
        <v/>
      </c>
      <c r="G1112" s="5">
        <f>B1112-B1111</f>
        <v/>
      </c>
      <c r="H1112" s="2">
        <f>IF(AND(F1112=1,G1112=1),"OK","À JUSTIFIER")</f>
        <v/>
      </c>
    </row>
    <row r="1113">
      <c r="A1113" s="2" t="inlineStr">
        <is>
          <t>EJ010725.TXT</t>
        </is>
      </c>
      <c r="B1113" s="3" t="inlineStr">
        <is>
          <t>005822</t>
        </is>
      </c>
      <c r="C1113" s="3" t="inlineStr">
        <is>
          <t>004673</t>
        </is>
      </c>
      <c r="D1113" s="4" t="n">
        <v>45815</v>
      </c>
      <c r="E1113" s="2" t="inlineStr">
        <is>
          <t>15:32</t>
        </is>
      </c>
      <c r="F1113" s="5">
        <f>C1113-C1112</f>
        <v/>
      </c>
      <c r="G1113" s="5">
        <f>B1113-B1112</f>
        <v/>
      </c>
      <c r="H1113" s="2">
        <f>IF(AND(F1113=1,G1113=1),"OK","À JUSTIFIER")</f>
        <v/>
      </c>
    </row>
    <row r="1114">
      <c r="A1114" s="2" t="inlineStr">
        <is>
          <t>EJ010725.TXT</t>
        </is>
      </c>
      <c r="B1114" s="3" t="inlineStr">
        <is>
          <t>005823</t>
        </is>
      </c>
      <c r="C1114" s="3" t="inlineStr">
        <is>
          <t>004674</t>
        </is>
      </c>
      <c r="D1114" s="4" t="n">
        <v>45820</v>
      </c>
      <c r="E1114" s="2" t="inlineStr">
        <is>
          <t>09:30</t>
        </is>
      </c>
      <c r="F1114" s="5">
        <f>C1114-C1113</f>
        <v/>
      </c>
      <c r="G1114" s="5">
        <f>B1114-B1113</f>
        <v/>
      </c>
      <c r="H1114" s="2">
        <f>IF(AND(F1114=1,G1114=1),"OK","À JUSTIFIER")</f>
        <v/>
      </c>
    </row>
    <row r="1115">
      <c r="A1115" s="2" t="inlineStr">
        <is>
          <t>EJ010725.TXT</t>
        </is>
      </c>
      <c r="B1115" s="3" t="inlineStr">
        <is>
          <t>005824</t>
        </is>
      </c>
      <c r="C1115" s="3" t="inlineStr">
        <is>
          <t>004675</t>
        </is>
      </c>
      <c r="D1115" s="4" t="n">
        <v>45820</v>
      </c>
      <c r="E1115" s="2" t="inlineStr">
        <is>
          <t>14:45</t>
        </is>
      </c>
      <c r="F1115" s="5">
        <f>C1115-C1114</f>
        <v/>
      </c>
      <c r="G1115" s="5">
        <f>B1115-B1114</f>
        <v/>
      </c>
      <c r="H1115" s="2">
        <f>IF(AND(F1115=1,G1115=1),"OK","À JUSTIFIER")</f>
        <v/>
      </c>
    </row>
    <row r="1116">
      <c r="A1116" s="2" t="inlineStr">
        <is>
          <t>EJ010725.TXT</t>
        </is>
      </c>
      <c r="B1116" s="3" t="inlineStr">
        <is>
          <t>005825</t>
        </is>
      </c>
      <c r="C1116" s="3" t="inlineStr">
        <is>
          <t>004676</t>
        </is>
      </c>
      <c r="D1116" s="4" t="n">
        <v>45820</v>
      </c>
      <c r="E1116" s="2" t="inlineStr">
        <is>
          <t>14:46</t>
        </is>
      </c>
      <c r="F1116" s="5">
        <f>C1116-C1115</f>
        <v/>
      </c>
      <c r="G1116" s="5">
        <f>B1116-B1115</f>
        <v/>
      </c>
      <c r="H1116" s="2">
        <f>IF(AND(F1116=1,G1116=1),"OK","À JUSTIFIER")</f>
        <v/>
      </c>
    </row>
    <row r="1117">
      <c r="A1117" s="2" t="inlineStr">
        <is>
          <t>EJ010725.TXT</t>
        </is>
      </c>
      <c r="B1117" s="3" t="inlineStr">
        <is>
          <t>005826</t>
        </is>
      </c>
      <c r="C1117" s="3" t="inlineStr">
        <is>
          <t>004677</t>
        </is>
      </c>
      <c r="D1117" s="4" t="n">
        <v>45834</v>
      </c>
      <c r="E1117" s="2" t="inlineStr">
        <is>
          <t>15:26</t>
        </is>
      </c>
      <c r="F1117" s="5">
        <f>C1117-C1116</f>
        <v/>
      </c>
      <c r="G1117" s="5">
        <f>B1117-B1116</f>
        <v/>
      </c>
      <c r="H1117" s="2">
        <f>IF(AND(F1117=1,G1117=1),"OK","À JUSTIFIER")</f>
        <v/>
      </c>
    </row>
    <row r="1118">
      <c r="A1118" s="2" t="inlineStr">
        <is>
          <t>EJ010725.TXT</t>
        </is>
      </c>
      <c r="B1118" s="3" t="inlineStr">
        <is>
          <t>005827</t>
        </is>
      </c>
      <c r="C1118" s="3" t="inlineStr">
        <is>
          <t>004678</t>
        </is>
      </c>
      <c r="D1118" s="4" t="n">
        <v>45835</v>
      </c>
      <c r="E1118" s="2" t="inlineStr">
        <is>
          <t>17:12</t>
        </is>
      </c>
      <c r="F1118" s="5">
        <f>C1118-C1117</f>
        <v/>
      </c>
      <c r="G1118" s="5">
        <f>B1118-B1117</f>
        <v/>
      </c>
      <c r="H1118" s="2">
        <f>IF(AND(F1118=1,G1118=1),"OK","À JUSTIFIER")</f>
        <v/>
      </c>
    </row>
    <row r="1119">
      <c r="A1119" s="2" t="inlineStr">
        <is>
          <t>EJ310725.TXT</t>
        </is>
      </c>
      <c r="B1119" s="3" t="inlineStr">
        <is>
          <t>005835</t>
        </is>
      </c>
      <c r="C1119" s="3" t="inlineStr">
        <is>
          <t>004679</t>
        </is>
      </c>
      <c r="D1119" s="4" t="n">
        <v>45845</v>
      </c>
      <c r="E1119" s="2" t="inlineStr">
        <is>
          <t>10:59</t>
        </is>
      </c>
      <c r="F1119" s="5">
        <f>C1119-C1118</f>
        <v/>
      </c>
      <c r="G1119" s="5">
        <f>B1119-B1118</f>
        <v/>
      </c>
      <c r="H1119" s="2">
        <f>IF(AND(F1119=1,G1119=1),"OK","À JUSTIFIER")</f>
        <v/>
      </c>
    </row>
    <row r="1120">
      <c r="A1120" s="2" t="inlineStr">
        <is>
          <t>EJ310725.TXT</t>
        </is>
      </c>
      <c r="B1120" s="3" t="inlineStr">
        <is>
          <t>005836</t>
        </is>
      </c>
      <c r="C1120" s="3" t="inlineStr">
        <is>
          <t>004680</t>
        </is>
      </c>
      <c r="D1120" s="4" t="n">
        <v>45845</v>
      </c>
      <c r="E1120" s="2" t="inlineStr">
        <is>
          <t>16:48</t>
        </is>
      </c>
      <c r="F1120" s="5">
        <f>C1120-C1119</f>
        <v/>
      </c>
      <c r="G1120" s="5">
        <f>B1120-B1119</f>
        <v/>
      </c>
      <c r="H1120" s="2">
        <f>IF(AND(F1120=1,G1120=1),"OK","À JUSTIFIER")</f>
        <v/>
      </c>
    </row>
    <row r="1121">
      <c r="A1121" s="2" t="inlineStr">
        <is>
          <t>EJ310725.TXT</t>
        </is>
      </c>
      <c r="B1121" s="3" t="inlineStr">
        <is>
          <t>005837</t>
        </is>
      </c>
      <c r="C1121" s="3" t="inlineStr">
        <is>
          <t>004681</t>
        </is>
      </c>
      <c r="D1121" s="4" t="n">
        <v>45846</v>
      </c>
      <c r="E1121" s="2" t="inlineStr">
        <is>
          <t>11:39</t>
        </is>
      </c>
      <c r="F1121" s="5">
        <f>C1121-C1120</f>
        <v/>
      </c>
      <c r="G1121" s="5">
        <f>B1121-B1120</f>
        <v/>
      </c>
      <c r="H1121" s="2">
        <f>IF(AND(F1121=1,G1121=1),"OK","À JUSTIFIER")</f>
        <v/>
      </c>
    </row>
    <row r="1122">
      <c r="A1122" s="2" t="inlineStr">
        <is>
          <t>EJ310725.TXT</t>
        </is>
      </c>
      <c r="B1122" s="3" t="inlineStr">
        <is>
          <t>005838</t>
        </is>
      </c>
      <c r="C1122" s="3" t="inlineStr">
        <is>
          <t>004682</t>
        </is>
      </c>
      <c r="D1122" s="4" t="n">
        <v>45849</v>
      </c>
      <c r="E1122" s="2" t="inlineStr">
        <is>
          <t>17:08</t>
        </is>
      </c>
      <c r="F1122" s="5">
        <f>C1122-C1121</f>
        <v/>
      </c>
      <c r="G1122" s="5">
        <f>B1122-B1121</f>
        <v/>
      </c>
      <c r="H1122" s="2">
        <f>IF(AND(F1122=1,G1122=1),"OK","À JUSTIFIER")</f>
        <v/>
      </c>
    </row>
    <row r="1123">
      <c r="A1123" s="2" t="inlineStr">
        <is>
          <t>EJ310725.TXT</t>
        </is>
      </c>
      <c r="B1123" s="3" t="inlineStr">
        <is>
          <t>005839</t>
        </is>
      </c>
      <c r="C1123" s="3" t="inlineStr">
        <is>
          <t>004683</t>
        </is>
      </c>
      <c r="D1123" s="4" t="n">
        <v>45853</v>
      </c>
      <c r="E1123" s="2" t="inlineStr">
        <is>
          <t>10:51</t>
        </is>
      </c>
      <c r="F1123" s="5">
        <f>C1123-C1122</f>
        <v/>
      </c>
      <c r="G1123" s="5">
        <f>B1123-B1122</f>
        <v/>
      </c>
      <c r="H1123" s="2">
        <f>IF(AND(F1123=1,G1123=1),"OK","À JUSTIFIER")</f>
        <v/>
      </c>
    </row>
    <row r="1124">
      <c r="A1124" s="2" t="inlineStr">
        <is>
          <t>EJ310725.TXT</t>
        </is>
      </c>
      <c r="B1124" s="3" t="inlineStr">
        <is>
          <t>005840</t>
        </is>
      </c>
      <c r="C1124" s="3" t="inlineStr">
        <is>
          <t>004684</t>
        </is>
      </c>
      <c r="D1124" s="4" t="n">
        <v>45853</v>
      </c>
      <c r="E1124" s="2" t="inlineStr">
        <is>
          <t>10:52</t>
        </is>
      </c>
      <c r="F1124" s="5">
        <f>C1124-C1123</f>
        <v/>
      </c>
      <c r="G1124" s="5">
        <f>B1124-B1123</f>
        <v/>
      </c>
      <c r="H1124" s="2">
        <f>IF(AND(F1124=1,G1124=1),"OK","À JUSTIFIER")</f>
        <v/>
      </c>
    </row>
    <row r="1125">
      <c r="A1125" s="2" t="inlineStr">
        <is>
          <t>EJ310725.TXT</t>
        </is>
      </c>
      <c r="B1125" s="3" t="inlineStr">
        <is>
          <t>005841</t>
        </is>
      </c>
      <c r="C1125" s="3" t="inlineStr">
        <is>
          <t>004685</t>
        </is>
      </c>
      <c r="D1125" s="4" t="n">
        <v>45853</v>
      </c>
      <c r="E1125" s="2" t="inlineStr">
        <is>
          <t>10:53</t>
        </is>
      </c>
      <c r="F1125" s="5">
        <f>C1125-C1124</f>
        <v/>
      </c>
      <c r="G1125" s="5">
        <f>B1125-B1124</f>
        <v/>
      </c>
      <c r="H1125" s="2">
        <f>IF(AND(F1125=1,G1125=1),"OK","À JUSTIFIER")</f>
        <v/>
      </c>
    </row>
    <row r="1126">
      <c r="A1126" s="2" t="inlineStr">
        <is>
          <t>EJ310725.TXT</t>
        </is>
      </c>
      <c r="B1126" s="3" t="inlineStr">
        <is>
          <t>005842</t>
        </is>
      </c>
      <c r="C1126" s="3" t="inlineStr">
        <is>
          <t>004686</t>
        </is>
      </c>
      <c r="D1126" s="4" t="n">
        <v>45853</v>
      </c>
      <c r="E1126" s="2" t="inlineStr">
        <is>
          <t>10:54</t>
        </is>
      </c>
      <c r="F1126" s="5">
        <f>C1126-C1125</f>
        <v/>
      </c>
      <c r="G1126" s="5">
        <f>B1126-B1125</f>
        <v/>
      </c>
      <c r="H1126" s="2">
        <f>IF(AND(F1126=1,G1126=1),"OK","À JUSTIFIER")</f>
        <v/>
      </c>
    </row>
    <row r="1127">
      <c r="A1127" s="2" t="inlineStr">
        <is>
          <t>EJ310725.TXT</t>
        </is>
      </c>
      <c r="B1127" s="3" t="inlineStr">
        <is>
          <t>005843</t>
        </is>
      </c>
      <c r="C1127" s="3" t="inlineStr">
        <is>
          <t>004687</t>
        </is>
      </c>
      <c r="D1127" s="4" t="n">
        <v>45853</v>
      </c>
      <c r="E1127" s="2" t="inlineStr">
        <is>
          <t>10:55</t>
        </is>
      </c>
      <c r="F1127" s="5">
        <f>C1127-C1126</f>
        <v/>
      </c>
      <c r="G1127" s="5">
        <f>B1127-B1126</f>
        <v/>
      </c>
      <c r="H1127" s="2">
        <f>IF(AND(F1127=1,G1127=1),"OK","À JUSTIFIER")</f>
        <v/>
      </c>
    </row>
    <row r="1128">
      <c r="A1128" s="2" t="inlineStr">
        <is>
          <t>EJ310725.TXT</t>
        </is>
      </c>
      <c r="B1128" s="3" t="inlineStr">
        <is>
          <t>005844</t>
        </is>
      </c>
      <c r="C1128" s="3" t="inlineStr">
        <is>
          <t>004688</t>
        </is>
      </c>
      <c r="D1128" s="4" t="n">
        <v>45853</v>
      </c>
      <c r="E1128" s="2" t="inlineStr">
        <is>
          <t>10:56</t>
        </is>
      </c>
      <c r="F1128" s="5">
        <f>C1128-C1127</f>
        <v/>
      </c>
      <c r="G1128" s="5">
        <f>B1128-B1127</f>
        <v/>
      </c>
      <c r="H1128" s="2">
        <f>IF(AND(F1128=1,G1128=1),"OK","À JUSTIFIER")</f>
        <v/>
      </c>
    </row>
    <row r="1129">
      <c r="A1129" s="2" t="inlineStr">
        <is>
          <t>EJ310725.TXT</t>
        </is>
      </c>
      <c r="B1129" s="3" t="inlineStr">
        <is>
          <t>005845</t>
        </is>
      </c>
      <c r="C1129" s="3" t="inlineStr">
        <is>
          <t>004689</t>
        </is>
      </c>
      <c r="D1129" s="4" t="n">
        <v>45853</v>
      </c>
      <c r="E1129" s="2" t="inlineStr">
        <is>
          <t>11:00</t>
        </is>
      </c>
      <c r="F1129" s="5">
        <f>C1129-C1128</f>
        <v/>
      </c>
      <c r="G1129" s="5">
        <f>B1129-B1128</f>
        <v/>
      </c>
      <c r="H1129" s="2">
        <f>IF(AND(F1129=1,G1129=1),"OK","À JUSTIFIER")</f>
        <v/>
      </c>
    </row>
    <row r="1130">
      <c r="A1130" s="2" t="inlineStr">
        <is>
          <t>EJ310725.TXT</t>
        </is>
      </c>
      <c r="B1130" s="3" t="inlineStr">
        <is>
          <t>005846</t>
        </is>
      </c>
      <c r="C1130" s="3" t="inlineStr">
        <is>
          <t>004690</t>
        </is>
      </c>
      <c r="D1130" s="4" t="n">
        <v>45854</v>
      </c>
      <c r="E1130" s="2" t="inlineStr">
        <is>
          <t>13:34</t>
        </is>
      </c>
      <c r="F1130" s="5">
        <f>C1130-C1129</f>
        <v/>
      </c>
      <c r="G1130" s="5">
        <f>B1130-B1129</f>
        <v/>
      </c>
      <c r="H1130" s="2">
        <f>IF(AND(F1130=1,G1130=1),"OK","À JUSTIFIER")</f>
        <v/>
      </c>
    </row>
    <row r="1131">
      <c r="A1131" s="2" t="inlineStr">
        <is>
          <t>EJ310725.TXT</t>
        </is>
      </c>
      <c r="B1131" s="3" t="inlineStr">
        <is>
          <t>005847</t>
        </is>
      </c>
      <c r="C1131" s="3" t="inlineStr">
        <is>
          <t>004691</t>
        </is>
      </c>
      <c r="D1131" s="4" t="n">
        <v>45854</v>
      </c>
      <c r="E1131" s="2" t="inlineStr">
        <is>
          <t>13:34</t>
        </is>
      </c>
      <c r="F1131" s="5">
        <f>C1131-C1130</f>
        <v/>
      </c>
      <c r="G1131" s="5">
        <f>B1131-B1130</f>
        <v/>
      </c>
      <c r="H1131" s="2">
        <f>IF(AND(F1131=1,G1131=1),"OK","À JUSTIFIER")</f>
        <v/>
      </c>
    </row>
    <row r="1132">
      <c r="A1132" s="2" t="inlineStr">
        <is>
          <t>EJ310725.TXT</t>
        </is>
      </c>
      <c r="B1132" s="3" t="inlineStr">
        <is>
          <t>005848</t>
        </is>
      </c>
      <c r="C1132" s="3" t="inlineStr">
        <is>
          <t>004692</t>
        </is>
      </c>
      <c r="D1132" s="4" t="n">
        <v>45854</v>
      </c>
      <c r="E1132" s="2" t="inlineStr">
        <is>
          <t>14:46</t>
        </is>
      </c>
      <c r="F1132" s="5">
        <f>C1132-C1131</f>
        <v/>
      </c>
      <c r="G1132" s="5">
        <f>B1132-B1131</f>
        <v/>
      </c>
      <c r="H1132" s="2">
        <f>IF(AND(F1132=1,G1132=1),"OK","À JUSTIFIER")</f>
        <v/>
      </c>
    </row>
    <row r="1133">
      <c r="A1133" s="2" t="inlineStr">
        <is>
          <t>EJ310725.TXT</t>
        </is>
      </c>
      <c r="B1133" s="3" t="inlineStr">
        <is>
          <t>005849</t>
        </is>
      </c>
      <c r="C1133" s="3" t="inlineStr">
        <is>
          <t>004693</t>
        </is>
      </c>
      <c r="D1133" s="4" t="n">
        <v>45854</v>
      </c>
      <c r="E1133" s="2" t="inlineStr">
        <is>
          <t>14:46</t>
        </is>
      </c>
      <c r="F1133" s="5">
        <f>C1133-C1132</f>
        <v/>
      </c>
      <c r="G1133" s="5">
        <f>B1133-B1132</f>
        <v/>
      </c>
      <c r="H1133" s="2">
        <f>IF(AND(F1133=1,G1133=1),"OK","À JUSTIFIER")</f>
        <v/>
      </c>
    </row>
    <row r="1134">
      <c r="A1134" s="2" t="inlineStr">
        <is>
          <t>EJ310725.TXT</t>
        </is>
      </c>
      <c r="B1134" s="3" t="inlineStr">
        <is>
          <t>005850</t>
        </is>
      </c>
      <c r="C1134" s="3" t="inlineStr">
        <is>
          <t>004694</t>
        </is>
      </c>
      <c r="D1134" s="4" t="n">
        <v>45854</v>
      </c>
      <c r="E1134" s="2" t="inlineStr">
        <is>
          <t>14:47</t>
        </is>
      </c>
      <c r="F1134" s="5">
        <f>C1134-C1133</f>
        <v/>
      </c>
      <c r="G1134" s="5">
        <f>B1134-B1133</f>
        <v/>
      </c>
      <c r="H1134" s="2">
        <f>IF(AND(F1134=1,G1134=1),"OK","À JUSTIFIER")</f>
        <v/>
      </c>
    </row>
    <row r="1135">
      <c r="A1135" s="2" t="inlineStr">
        <is>
          <t>EJ310725.TXT</t>
        </is>
      </c>
      <c r="B1135" s="3" t="inlineStr">
        <is>
          <t>005851</t>
        </is>
      </c>
      <c r="C1135" s="3" t="inlineStr">
        <is>
          <t>004695</t>
        </is>
      </c>
      <c r="D1135" s="4" t="n">
        <v>45856</v>
      </c>
      <c r="E1135" s="2" t="inlineStr">
        <is>
          <t>09:48</t>
        </is>
      </c>
      <c r="F1135" s="5">
        <f>C1135-C1134</f>
        <v/>
      </c>
      <c r="G1135" s="5">
        <f>B1135-B1134</f>
        <v/>
      </c>
      <c r="H1135" s="2">
        <f>IF(AND(F1135=1,G1135=1),"OK","À JUSTIFIER")</f>
        <v/>
      </c>
    </row>
    <row r="1136">
      <c r="A1136" s="2" t="inlineStr">
        <is>
          <t>EJ310725.TXT</t>
        </is>
      </c>
      <c r="B1136" s="3" t="inlineStr">
        <is>
          <t>005852</t>
        </is>
      </c>
      <c r="C1136" s="3" t="inlineStr">
        <is>
          <t>004696</t>
        </is>
      </c>
      <c r="D1136" s="4" t="n">
        <v>45856</v>
      </c>
      <c r="E1136" s="2" t="inlineStr">
        <is>
          <t>09:49</t>
        </is>
      </c>
      <c r="F1136" s="5">
        <f>C1136-C1135</f>
        <v/>
      </c>
      <c r="G1136" s="5">
        <f>B1136-B1135</f>
        <v/>
      </c>
      <c r="H1136" s="2">
        <f>IF(AND(F1136=1,G1136=1),"OK","À JUSTIFIER")</f>
        <v/>
      </c>
    </row>
    <row r="1137">
      <c r="A1137" s="2" t="inlineStr">
        <is>
          <t>EJ310725.TXT</t>
        </is>
      </c>
      <c r="B1137" s="3" t="inlineStr">
        <is>
          <t>005853</t>
        </is>
      </c>
      <c r="C1137" s="3" t="inlineStr">
        <is>
          <t>004697</t>
        </is>
      </c>
      <c r="D1137" s="4" t="n">
        <v>45856</v>
      </c>
      <c r="E1137" s="2" t="inlineStr">
        <is>
          <t>09:49</t>
        </is>
      </c>
      <c r="F1137" s="5">
        <f>C1137-C1136</f>
        <v/>
      </c>
      <c r="G1137" s="5">
        <f>B1137-B1136</f>
        <v/>
      </c>
      <c r="H1137" s="2">
        <f>IF(AND(F1137=1,G1137=1),"OK","À JUSTIFIER")</f>
        <v/>
      </c>
    </row>
    <row r="1138">
      <c r="A1138" s="2" t="inlineStr">
        <is>
          <t>EJ310725.TXT</t>
        </is>
      </c>
      <c r="B1138" s="3" t="inlineStr">
        <is>
          <t>005854</t>
        </is>
      </c>
      <c r="C1138" s="3" t="inlineStr">
        <is>
          <t>004698</t>
        </is>
      </c>
      <c r="D1138" s="4" t="n">
        <v>45856</v>
      </c>
      <c r="E1138" s="2" t="inlineStr">
        <is>
          <t>09:50</t>
        </is>
      </c>
      <c r="F1138" s="5">
        <f>C1138-C1137</f>
        <v/>
      </c>
      <c r="G1138" s="5">
        <f>B1138-B1137</f>
        <v/>
      </c>
      <c r="H1138" s="2">
        <f>IF(AND(F1138=1,G1138=1),"OK","À JUSTIFIER")</f>
        <v/>
      </c>
    </row>
    <row r="1139">
      <c r="A1139" s="2" t="inlineStr">
        <is>
          <t>EJ310725.TXT</t>
        </is>
      </c>
      <c r="B1139" s="3" t="inlineStr">
        <is>
          <t>005855</t>
        </is>
      </c>
      <c r="C1139" s="3" t="inlineStr">
        <is>
          <t>004699</t>
        </is>
      </c>
      <c r="D1139" s="4" t="n">
        <v>45856</v>
      </c>
      <c r="E1139" s="2" t="inlineStr">
        <is>
          <t>09:50</t>
        </is>
      </c>
      <c r="F1139" s="5">
        <f>C1139-C1138</f>
        <v/>
      </c>
      <c r="G1139" s="5">
        <f>B1139-B1138</f>
        <v/>
      </c>
      <c r="H1139" s="2">
        <f>IF(AND(F1139=1,G1139=1),"OK","À JUSTIFIER")</f>
        <v/>
      </c>
    </row>
    <row r="1140">
      <c r="A1140" s="2" t="inlineStr">
        <is>
          <t>EJ310725.TXT</t>
        </is>
      </c>
      <c r="B1140" s="3" t="inlineStr">
        <is>
          <t>005856</t>
        </is>
      </c>
      <c r="C1140" s="3" t="inlineStr">
        <is>
          <t>004700</t>
        </is>
      </c>
      <c r="D1140" s="4" t="n">
        <v>45856</v>
      </c>
      <c r="E1140" s="2" t="inlineStr">
        <is>
          <t>09:51</t>
        </is>
      </c>
      <c r="F1140" s="5">
        <f>C1140-C1139</f>
        <v/>
      </c>
      <c r="G1140" s="5">
        <f>B1140-B1139</f>
        <v/>
      </c>
      <c r="H1140" s="2">
        <f>IF(AND(F1140=1,G1140=1),"OK","À JUSTIFIER")</f>
        <v/>
      </c>
    </row>
    <row r="1141">
      <c r="A1141" s="2" t="inlineStr">
        <is>
          <t>EJ310725.TXT</t>
        </is>
      </c>
      <c r="B1141" s="3" t="inlineStr">
        <is>
          <t>005857</t>
        </is>
      </c>
      <c r="C1141" s="3" t="inlineStr">
        <is>
          <t>004701</t>
        </is>
      </c>
      <c r="D1141" s="4" t="n">
        <v>45856</v>
      </c>
      <c r="E1141" s="2" t="inlineStr">
        <is>
          <t>09:51</t>
        </is>
      </c>
      <c r="F1141" s="5">
        <f>C1141-C1140</f>
        <v/>
      </c>
      <c r="G1141" s="5">
        <f>B1141-B1140</f>
        <v/>
      </c>
      <c r="H1141" s="2">
        <f>IF(AND(F1141=1,G1141=1),"OK","À JUSTIFIER")</f>
        <v/>
      </c>
    </row>
    <row r="1142">
      <c r="A1142" s="2" t="inlineStr">
        <is>
          <t>EJ310725.TXT</t>
        </is>
      </c>
      <c r="B1142" s="3" t="inlineStr">
        <is>
          <t>005858</t>
        </is>
      </c>
      <c r="C1142" s="3" t="inlineStr">
        <is>
          <t>004702</t>
        </is>
      </c>
      <c r="D1142" s="4" t="n">
        <v>45861</v>
      </c>
      <c r="E1142" s="2" t="inlineStr">
        <is>
          <t>14:12</t>
        </is>
      </c>
      <c r="F1142" s="5">
        <f>C1142-C1141</f>
        <v/>
      </c>
      <c r="G1142" s="5">
        <f>B1142-B1141</f>
        <v/>
      </c>
      <c r="H1142" s="2">
        <f>IF(AND(F1142=1,G1142=1),"OK","À JUSTIFIER")</f>
        <v/>
      </c>
    </row>
    <row r="1143">
      <c r="A1143" s="2" t="inlineStr">
        <is>
          <t>EJ310725.TXT</t>
        </is>
      </c>
      <c r="B1143" s="3" t="inlineStr">
        <is>
          <t>005859</t>
        </is>
      </c>
      <c r="C1143" s="3" t="inlineStr">
        <is>
          <t>004703</t>
        </is>
      </c>
      <c r="D1143" s="4" t="n">
        <v>45861</v>
      </c>
      <c r="E1143" s="2" t="inlineStr">
        <is>
          <t>14:15</t>
        </is>
      </c>
      <c r="F1143" s="5">
        <f>C1143-C1142</f>
        <v/>
      </c>
      <c r="G1143" s="5">
        <f>B1143-B1142</f>
        <v/>
      </c>
      <c r="H1143" s="2">
        <f>IF(AND(F1143=1,G1143=1),"OK","À JUSTIFIER")</f>
        <v/>
      </c>
    </row>
    <row r="1144">
      <c r="A1144" s="2" t="inlineStr">
        <is>
          <t>EJ310725.TXT</t>
        </is>
      </c>
      <c r="B1144" s="3" t="inlineStr">
        <is>
          <t>005860</t>
        </is>
      </c>
      <c r="C1144" s="3" t="inlineStr">
        <is>
          <t>004704</t>
        </is>
      </c>
      <c r="D1144" s="4" t="n">
        <v>45863</v>
      </c>
      <c r="E1144" s="2" t="inlineStr">
        <is>
          <t>16:38</t>
        </is>
      </c>
      <c r="F1144" s="5">
        <f>C1144-C1143</f>
        <v/>
      </c>
      <c r="G1144" s="5">
        <f>B1144-B1143</f>
        <v/>
      </c>
      <c r="H1144" s="2">
        <f>IF(AND(F1144=1,G1144=1),"OK","À JUSTIFIER")</f>
        <v/>
      </c>
    </row>
    <row r="1145">
      <c r="A1145" s="2" t="inlineStr">
        <is>
          <t>EJ310725.TXT</t>
        </is>
      </c>
      <c r="B1145" s="3" t="inlineStr">
        <is>
          <t>005861</t>
        </is>
      </c>
      <c r="C1145" s="3" t="inlineStr">
        <is>
          <t>004705</t>
        </is>
      </c>
      <c r="D1145" s="4" t="n">
        <v>45868</v>
      </c>
      <c r="E1145" s="2" t="inlineStr">
        <is>
          <t>17:33</t>
        </is>
      </c>
      <c r="F1145" s="5">
        <f>C1145-C1144</f>
        <v/>
      </c>
      <c r="G1145" s="5">
        <f>B1145-B1144</f>
        <v/>
      </c>
      <c r="H1145" s="2">
        <f>IF(AND(F1145=1,G1145=1),"OK","À JUSTIFIER")</f>
        <v/>
      </c>
    </row>
    <row r="1146">
      <c r="A1146" s="2" t="inlineStr">
        <is>
          <t>EJ020925.TXT</t>
        </is>
      </c>
      <c r="B1146" s="3" t="inlineStr">
        <is>
          <t>005870</t>
        </is>
      </c>
      <c r="C1146" s="3" t="inlineStr">
        <is>
          <t>004706</t>
        </is>
      </c>
      <c r="D1146" s="4" t="n">
        <v>45875</v>
      </c>
      <c r="E1146" s="2" t="inlineStr">
        <is>
          <t>16:53</t>
        </is>
      </c>
      <c r="F1146" s="5">
        <f>C1146-C1145</f>
        <v/>
      </c>
      <c r="G1146" s="5">
        <f>B1146-B1145</f>
        <v/>
      </c>
      <c r="H1146" s="2">
        <f>IF(AND(F1146=1,G1146=1),"OK","À JUSTIFIER")</f>
        <v/>
      </c>
    </row>
    <row r="1147">
      <c r="A1147" s="2" t="inlineStr">
        <is>
          <t>EJ020925.TXT</t>
        </is>
      </c>
      <c r="B1147" s="3" t="inlineStr">
        <is>
          <t>005871</t>
        </is>
      </c>
      <c r="C1147" s="3" t="inlineStr">
        <is>
          <t>004707</t>
        </is>
      </c>
      <c r="D1147" s="4" t="n">
        <v>45883</v>
      </c>
      <c r="E1147" s="2" t="inlineStr">
        <is>
          <t>16:39</t>
        </is>
      </c>
      <c r="F1147" s="5">
        <f>C1147-C1146</f>
        <v/>
      </c>
      <c r="G1147" s="5">
        <f>B1147-B1146</f>
        <v/>
      </c>
      <c r="H1147" s="2">
        <f>IF(AND(F1147=1,G1147=1),"OK","À JUSTIFIER")</f>
        <v/>
      </c>
    </row>
    <row r="1148">
      <c r="A1148" s="2" t="inlineStr">
        <is>
          <t>EJ020925.TXT</t>
        </is>
      </c>
      <c r="B1148" s="3" t="inlineStr">
        <is>
          <t>005872</t>
        </is>
      </c>
      <c r="C1148" s="3" t="inlineStr">
        <is>
          <t>004708</t>
        </is>
      </c>
      <c r="D1148" s="4" t="n">
        <v>45889</v>
      </c>
      <c r="E1148" s="2" t="inlineStr">
        <is>
          <t>14:37</t>
        </is>
      </c>
      <c r="F1148" s="5">
        <f>C1148-C1147</f>
        <v/>
      </c>
      <c r="G1148" s="5">
        <f>B1148-B1147</f>
        <v/>
      </c>
      <c r="H1148" s="2">
        <f>IF(AND(F1148=1,G1148=1),"OK","À JUSTIFIER")</f>
        <v/>
      </c>
    </row>
    <row r="1149">
      <c r="A1149" s="2" t="inlineStr">
        <is>
          <t>EJ020925.TXT</t>
        </is>
      </c>
      <c r="B1149" s="3" t="inlineStr">
        <is>
          <t>005873</t>
        </is>
      </c>
      <c r="C1149" s="3" t="inlineStr">
        <is>
          <t>004709</t>
        </is>
      </c>
      <c r="D1149" s="4" t="n">
        <v>45890</v>
      </c>
      <c r="E1149" s="2" t="inlineStr">
        <is>
          <t>09:43</t>
        </is>
      </c>
      <c r="F1149" s="5">
        <f>C1149-C1148</f>
        <v/>
      </c>
      <c r="G1149" s="5">
        <f>B1149-B1148</f>
        <v/>
      </c>
      <c r="H1149" s="2">
        <f>IF(AND(F1149=1,G1149=1),"OK","À JUSTIFIER")</f>
        <v/>
      </c>
    </row>
    <row r="1150">
      <c r="A1150" s="2" t="inlineStr">
        <is>
          <t>EJ020925.TXT</t>
        </is>
      </c>
      <c r="B1150" s="3" t="inlineStr">
        <is>
          <t>005874</t>
        </is>
      </c>
      <c r="C1150" s="3" t="inlineStr">
        <is>
          <t>004710</t>
        </is>
      </c>
      <c r="D1150" s="4" t="n">
        <v>45891</v>
      </c>
      <c r="E1150" s="2" t="inlineStr">
        <is>
          <t>16:59</t>
        </is>
      </c>
      <c r="F1150" s="5">
        <f>C1150-C1149</f>
        <v/>
      </c>
      <c r="G1150" s="5">
        <f>B1150-B1149</f>
        <v/>
      </c>
      <c r="H1150" s="2">
        <f>IF(AND(F1150=1,G1150=1),"OK","À JUSTIFIER")</f>
        <v/>
      </c>
    </row>
    <row r="1151">
      <c r="A1151" s="2" t="inlineStr">
        <is>
          <t>EJ020925.TXT</t>
        </is>
      </c>
      <c r="B1151" s="3" t="inlineStr">
        <is>
          <t>005875</t>
        </is>
      </c>
      <c r="C1151" s="3" t="inlineStr">
        <is>
          <t>004711</t>
        </is>
      </c>
      <c r="D1151" s="4" t="n">
        <v>45896</v>
      </c>
      <c r="E1151" s="2" t="inlineStr">
        <is>
          <t>13:45</t>
        </is>
      </c>
      <c r="F1151" s="5">
        <f>C1151-C1150</f>
        <v/>
      </c>
      <c r="G1151" s="5">
        <f>B1151-B1150</f>
        <v/>
      </c>
      <c r="H1151" s="2">
        <f>IF(AND(F1151=1,G1151=1),"OK","À JUSTIFIER")</f>
        <v/>
      </c>
    </row>
    <row r="1152">
      <c r="A1152" s="2" t="inlineStr">
        <is>
          <t>EJ020925.TXT</t>
        </is>
      </c>
      <c r="B1152" s="3" t="inlineStr">
        <is>
          <t>005876</t>
        </is>
      </c>
      <c r="C1152" s="3" t="inlineStr">
        <is>
          <t>004712</t>
        </is>
      </c>
      <c r="D1152" s="4" t="n">
        <v>45896</v>
      </c>
      <c r="E1152" s="2" t="inlineStr">
        <is>
          <t>15:09</t>
        </is>
      </c>
      <c r="F1152" s="5">
        <f>C1152-C1151</f>
        <v/>
      </c>
      <c r="G1152" s="5">
        <f>B1152-B1151</f>
        <v/>
      </c>
      <c r="H1152" s="2">
        <f>IF(AND(F1152=1,G1152=1),"OK","À JUSTIFIER")</f>
        <v/>
      </c>
    </row>
    <row r="1153">
      <c r="A1153" s="2" t="inlineStr">
        <is>
          <t>EJ020925.TXT</t>
        </is>
      </c>
      <c r="B1153" s="3" t="inlineStr">
        <is>
          <t>005877</t>
        </is>
      </c>
      <c r="C1153" s="3" t="inlineStr">
        <is>
          <t>004713</t>
        </is>
      </c>
      <c r="D1153" s="4" t="n">
        <v>45896</v>
      </c>
      <c r="E1153" s="2" t="inlineStr">
        <is>
          <t>15:09</t>
        </is>
      </c>
      <c r="F1153" s="5">
        <f>C1153-C1152</f>
        <v/>
      </c>
      <c r="G1153" s="5">
        <f>B1153-B1152</f>
        <v/>
      </c>
      <c r="H1153" s="2">
        <f>IF(AND(F1153=1,G1153=1),"OK","À JUSTIFIER")</f>
        <v/>
      </c>
    </row>
    <row r="1154">
      <c r="A1154" s="2" t="inlineStr">
        <is>
          <t>EJ020925.TXT</t>
        </is>
      </c>
      <c r="B1154" s="3" t="inlineStr">
        <is>
          <t>005878</t>
        </is>
      </c>
      <c r="C1154" s="3" t="inlineStr">
        <is>
          <t>004714</t>
        </is>
      </c>
      <c r="D1154" s="4" t="n">
        <v>45896</v>
      </c>
      <c r="E1154" s="2" t="inlineStr">
        <is>
          <t>15:37</t>
        </is>
      </c>
      <c r="F1154" s="5">
        <f>C1154-C1153</f>
        <v/>
      </c>
      <c r="G1154" s="5">
        <f>B1154-B1153</f>
        <v/>
      </c>
      <c r="H1154" s="2">
        <f>IF(AND(F1154=1,G1154=1),"OK","À JUSTIFIER")</f>
        <v/>
      </c>
    </row>
  </sheetData>
  <autoFilter ref="A1:H1154"/>
  <conditionalFormatting sqref="H2:H1154">
    <cfRule type="expression" priority="1" dxfId="1">
      <formula>ISNUMBER(SEARCH("JUSTIFIER",H2))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E_NUM_INTERNE</t>
        </is>
      </c>
      <c r="B1" s="1" t="inlineStr">
        <is>
          <t>COMPTER_E_NUM_INTERNE</t>
        </is>
      </c>
    </row>
    <row r="2">
      <c r="A2" s="3" t="inlineStr">
        <is>
          <t>004517</t>
        </is>
      </c>
      <c r="B2" s="5">
        <f>COUNTIF('Entetes_TriNumInterne'!$B$2:$B$1154,A2)</f>
        <v/>
      </c>
    </row>
    <row r="3">
      <c r="A3" s="3" t="inlineStr">
        <is>
          <t>004518</t>
        </is>
      </c>
      <c r="B3" s="5">
        <f>COUNTIF('Entetes_TriNumInterne'!$B$2:$B$1154,A3)</f>
        <v/>
      </c>
    </row>
    <row r="4">
      <c r="A4" s="3" t="inlineStr">
        <is>
          <t>004519</t>
        </is>
      </c>
      <c r="B4" s="5">
        <f>COUNTIF('Entetes_TriNumInterne'!$B$2:$B$1154,A4)</f>
        <v/>
      </c>
    </row>
    <row r="5">
      <c r="A5" s="3" t="inlineStr">
        <is>
          <t>004520</t>
        </is>
      </c>
      <c r="B5" s="5">
        <f>COUNTIF('Entetes_TriNumInterne'!$B$2:$B$1154,A5)</f>
        <v/>
      </c>
    </row>
    <row r="6">
      <c r="A6" s="3" t="inlineStr">
        <is>
          <t>004521</t>
        </is>
      </c>
      <c r="B6" s="5">
        <f>COUNTIF('Entetes_TriNumInterne'!$B$2:$B$1154,A6)</f>
        <v/>
      </c>
    </row>
    <row r="7">
      <c r="A7" s="3" t="inlineStr">
        <is>
          <t>004522</t>
        </is>
      </c>
      <c r="B7" s="5">
        <f>COUNTIF('Entetes_TriNumInterne'!$B$2:$B$1154,A7)</f>
        <v/>
      </c>
    </row>
    <row r="8">
      <c r="A8" s="3" t="inlineStr">
        <is>
          <t>004523</t>
        </is>
      </c>
      <c r="B8" s="5">
        <f>COUNTIF('Entetes_TriNumInterne'!$B$2:$B$1154,A8)</f>
        <v/>
      </c>
    </row>
    <row r="9">
      <c r="A9" s="3" t="inlineStr">
        <is>
          <t>004524</t>
        </is>
      </c>
      <c r="B9" s="5">
        <f>COUNTIF('Entetes_TriNumInterne'!$B$2:$B$1154,A9)</f>
        <v/>
      </c>
    </row>
    <row r="10">
      <c r="A10" s="3" t="inlineStr">
        <is>
          <t>004525</t>
        </is>
      </c>
      <c r="B10" s="5">
        <f>COUNTIF('Entetes_TriNumInterne'!$B$2:$B$1154,A10)</f>
        <v/>
      </c>
    </row>
    <row r="11">
      <c r="A11" s="3" t="inlineStr">
        <is>
          <t>004526</t>
        </is>
      </c>
      <c r="B11" s="5">
        <f>COUNTIF('Entetes_TriNumInterne'!$B$2:$B$1154,A11)</f>
        <v/>
      </c>
    </row>
    <row r="12">
      <c r="A12" s="3" t="inlineStr">
        <is>
          <t>004527</t>
        </is>
      </c>
      <c r="B12" s="5">
        <f>COUNTIF('Entetes_TriNumInterne'!$B$2:$B$1154,A12)</f>
        <v/>
      </c>
    </row>
    <row r="13">
      <c r="A13" s="3" t="inlineStr">
        <is>
          <t>004528</t>
        </is>
      </c>
      <c r="B13" s="5">
        <f>COUNTIF('Entetes_TriNumInterne'!$B$2:$B$1154,A13)</f>
        <v/>
      </c>
    </row>
    <row r="14">
      <c r="A14" s="3" t="inlineStr">
        <is>
          <t>004529</t>
        </is>
      </c>
      <c r="B14" s="5">
        <f>COUNTIF('Entetes_TriNumInterne'!$B$2:$B$1154,A14)</f>
        <v/>
      </c>
    </row>
    <row r="15">
      <c r="A15" s="3" t="inlineStr">
        <is>
          <t>004530</t>
        </is>
      </c>
      <c r="B15" s="5">
        <f>COUNTIF('Entetes_TriNumInterne'!$B$2:$B$1154,A15)</f>
        <v/>
      </c>
    </row>
    <row r="16">
      <c r="A16" s="3" t="inlineStr">
        <is>
          <t>004531</t>
        </is>
      </c>
      <c r="B16" s="5">
        <f>COUNTIF('Entetes_TriNumInterne'!$B$2:$B$1154,A16)</f>
        <v/>
      </c>
    </row>
    <row r="17">
      <c r="A17" s="3" t="inlineStr">
        <is>
          <t>004532</t>
        </is>
      </c>
      <c r="B17" s="5">
        <f>COUNTIF('Entetes_TriNumInterne'!$B$2:$B$1154,A17)</f>
        <v/>
      </c>
    </row>
    <row r="18">
      <c r="A18" s="3" t="inlineStr">
        <is>
          <t>004533</t>
        </is>
      </c>
      <c r="B18" s="5">
        <f>COUNTIF('Entetes_TriNumInterne'!$B$2:$B$1154,A18)</f>
        <v/>
      </c>
    </row>
    <row r="19">
      <c r="A19" s="3" t="inlineStr">
        <is>
          <t>004534</t>
        </is>
      </c>
      <c r="B19" s="5">
        <f>COUNTIF('Entetes_TriNumInterne'!$B$2:$B$1154,A19)</f>
        <v/>
      </c>
    </row>
    <row r="20">
      <c r="A20" s="3" t="inlineStr">
        <is>
          <t>004535</t>
        </is>
      </c>
      <c r="B20" s="5">
        <f>COUNTIF('Entetes_TriNumInterne'!$B$2:$B$1154,A20)</f>
        <v/>
      </c>
    </row>
    <row r="21">
      <c r="A21" s="3" t="inlineStr">
        <is>
          <t>004536</t>
        </is>
      </c>
      <c r="B21" s="5">
        <f>COUNTIF('Entetes_TriNumInterne'!$B$2:$B$1154,A21)</f>
        <v/>
      </c>
    </row>
    <row r="22">
      <c r="A22" s="3" t="inlineStr">
        <is>
          <t>004537</t>
        </is>
      </c>
      <c r="B22" s="5">
        <f>COUNTIF('Entetes_TriNumInterne'!$B$2:$B$1154,A22)</f>
        <v/>
      </c>
    </row>
    <row r="23">
      <c r="A23" s="3" t="inlineStr">
        <is>
          <t>004538</t>
        </is>
      </c>
      <c r="B23" s="5">
        <f>COUNTIF('Entetes_TriNumInterne'!$B$2:$B$1154,A23)</f>
        <v/>
      </c>
    </row>
    <row r="24">
      <c r="A24" s="3" t="inlineStr">
        <is>
          <t>004539</t>
        </is>
      </c>
      <c r="B24" s="5">
        <f>COUNTIF('Entetes_TriNumInterne'!$B$2:$B$1154,A24)</f>
        <v/>
      </c>
    </row>
    <row r="25">
      <c r="A25" s="3" t="inlineStr">
        <is>
          <t>004540</t>
        </is>
      </c>
      <c r="B25" s="5">
        <f>COUNTIF('Entetes_TriNumInterne'!$B$2:$B$1154,A25)</f>
        <v/>
      </c>
    </row>
    <row r="26">
      <c r="A26" s="3" t="inlineStr">
        <is>
          <t>004541</t>
        </is>
      </c>
      <c r="B26" s="5">
        <f>COUNTIF('Entetes_TriNumInterne'!$B$2:$B$1154,A26)</f>
        <v/>
      </c>
    </row>
    <row r="27">
      <c r="A27" s="3" t="inlineStr">
        <is>
          <t>004542</t>
        </is>
      </c>
      <c r="B27" s="5">
        <f>COUNTIF('Entetes_TriNumInterne'!$B$2:$B$1154,A27)</f>
        <v/>
      </c>
    </row>
    <row r="28">
      <c r="A28" s="3" t="inlineStr">
        <is>
          <t>004543</t>
        </is>
      </c>
      <c r="B28" s="5">
        <f>COUNTIF('Entetes_TriNumInterne'!$B$2:$B$1154,A28)</f>
        <v/>
      </c>
    </row>
    <row r="29">
      <c r="A29" s="3" t="inlineStr">
        <is>
          <t>004544</t>
        </is>
      </c>
      <c r="B29" s="5">
        <f>COUNTIF('Entetes_TriNumInterne'!$B$2:$B$1154,A29)</f>
        <v/>
      </c>
    </row>
    <row r="30">
      <c r="A30" s="3" t="inlineStr">
        <is>
          <t>004545</t>
        </is>
      </c>
      <c r="B30" s="5">
        <f>COUNTIF('Entetes_TriNumInterne'!$B$2:$B$1154,A30)</f>
        <v/>
      </c>
    </row>
    <row r="31">
      <c r="A31" s="3" t="inlineStr">
        <is>
          <t>004546</t>
        </is>
      </c>
      <c r="B31" s="5">
        <f>COUNTIF('Entetes_TriNumInterne'!$B$2:$B$1154,A31)</f>
        <v/>
      </c>
    </row>
    <row r="32">
      <c r="A32" s="3" t="inlineStr">
        <is>
          <t>004547</t>
        </is>
      </c>
      <c r="B32" s="5">
        <f>COUNTIF('Entetes_TriNumInterne'!$B$2:$B$1154,A32)</f>
        <v/>
      </c>
    </row>
    <row r="33">
      <c r="A33" s="3" t="inlineStr">
        <is>
          <t>004548</t>
        </is>
      </c>
      <c r="B33" s="5">
        <f>COUNTIF('Entetes_TriNumInterne'!$B$2:$B$1154,A33)</f>
        <v/>
      </c>
    </row>
    <row r="34">
      <c r="A34" s="3" t="inlineStr">
        <is>
          <t>004549</t>
        </is>
      </c>
      <c r="B34" s="5">
        <f>COUNTIF('Entetes_TriNumInterne'!$B$2:$B$1154,A34)</f>
        <v/>
      </c>
    </row>
    <row r="35">
      <c r="A35" s="3" t="inlineStr">
        <is>
          <t>004550</t>
        </is>
      </c>
      <c r="B35" s="5">
        <f>COUNTIF('Entetes_TriNumInterne'!$B$2:$B$1154,A35)</f>
        <v/>
      </c>
    </row>
    <row r="36">
      <c r="A36" s="3" t="inlineStr">
        <is>
          <t>004551</t>
        </is>
      </c>
      <c r="B36" s="5">
        <f>COUNTIF('Entetes_TriNumInterne'!$B$2:$B$1154,A36)</f>
        <v/>
      </c>
    </row>
    <row r="37">
      <c r="A37" s="3" t="inlineStr">
        <is>
          <t>004552</t>
        </is>
      </c>
      <c r="B37" s="5">
        <f>COUNTIF('Entetes_TriNumInterne'!$B$2:$B$1154,A37)</f>
        <v/>
      </c>
    </row>
    <row r="38">
      <c r="A38" s="3" t="inlineStr">
        <is>
          <t>004553</t>
        </is>
      </c>
      <c r="B38" s="5">
        <f>COUNTIF('Entetes_TriNumInterne'!$B$2:$B$1154,A38)</f>
        <v/>
      </c>
    </row>
    <row r="39">
      <c r="A39" s="3" t="inlineStr">
        <is>
          <t>004554</t>
        </is>
      </c>
      <c r="B39" s="5">
        <f>COUNTIF('Entetes_TriNumInterne'!$B$2:$B$1154,A39)</f>
        <v/>
      </c>
    </row>
    <row r="40">
      <c r="A40" s="3" t="inlineStr">
        <is>
          <t>004555</t>
        </is>
      </c>
      <c r="B40" s="5">
        <f>COUNTIF('Entetes_TriNumInterne'!$B$2:$B$1154,A40)</f>
        <v/>
      </c>
    </row>
    <row r="41">
      <c r="A41" s="3" t="inlineStr">
        <is>
          <t>004556</t>
        </is>
      </c>
      <c r="B41" s="5">
        <f>COUNTIF('Entetes_TriNumInterne'!$B$2:$B$1154,A41)</f>
        <v/>
      </c>
    </row>
    <row r="42">
      <c r="A42" s="3" t="inlineStr">
        <is>
          <t>004557</t>
        </is>
      </c>
      <c r="B42" s="5">
        <f>COUNTIF('Entetes_TriNumInterne'!$B$2:$B$1154,A42)</f>
        <v/>
      </c>
    </row>
    <row r="43">
      <c r="A43" s="3" t="inlineStr">
        <is>
          <t>004558</t>
        </is>
      </c>
      <c r="B43" s="5">
        <f>COUNTIF('Entetes_TriNumInterne'!$B$2:$B$1154,A43)</f>
        <v/>
      </c>
    </row>
    <row r="44">
      <c r="A44" s="3" t="inlineStr">
        <is>
          <t>004559</t>
        </is>
      </c>
      <c r="B44" s="5">
        <f>COUNTIF('Entetes_TriNumInterne'!$B$2:$B$1154,A44)</f>
        <v/>
      </c>
    </row>
    <row r="45">
      <c r="A45" s="3" t="inlineStr">
        <is>
          <t>004560</t>
        </is>
      </c>
      <c r="B45" s="5">
        <f>COUNTIF('Entetes_TriNumInterne'!$B$2:$B$1154,A45)</f>
        <v/>
      </c>
    </row>
    <row r="46">
      <c r="A46" s="3" t="inlineStr">
        <is>
          <t>004561</t>
        </is>
      </c>
      <c r="B46" s="5">
        <f>COUNTIF('Entetes_TriNumInterne'!$B$2:$B$1154,A46)</f>
        <v/>
      </c>
    </row>
    <row r="47">
      <c r="A47" s="3" t="inlineStr">
        <is>
          <t>004562</t>
        </is>
      </c>
      <c r="B47" s="5">
        <f>COUNTIF('Entetes_TriNumInterne'!$B$2:$B$1154,A47)</f>
        <v/>
      </c>
    </row>
    <row r="48">
      <c r="A48" s="3" t="inlineStr">
        <is>
          <t>004563</t>
        </is>
      </c>
      <c r="B48" s="5">
        <f>COUNTIF('Entetes_TriNumInterne'!$B$2:$B$1154,A48)</f>
        <v/>
      </c>
    </row>
    <row r="49">
      <c r="A49" s="3" t="inlineStr">
        <is>
          <t>004564</t>
        </is>
      </c>
      <c r="B49" s="5">
        <f>COUNTIF('Entetes_TriNumInterne'!$B$2:$B$1154,A49)</f>
        <v/>
      </c>
    </row>
    <row r="50">
      <c r="A50" s="3" t="inlineStr">
        <is>
          <t>004565</t>
        </is>
      </c>
      <c r="B50" s="5">
        <f>COUNTIF('Entetes_TriNumInterne'!$B$2:$B$1154,A50)</f>
        <v/>
      </c>
    </row>
    <row r="51">
      <c r="A51" s="3" t="inlineStr">
        <is>
          <t>004566</t>
        </is>
      </c>
      <c r="B51" s="5">
        <f>COUNTIF('Entetes_TriNumInterne'!$B$2:$B$1154,A51)</f>
        <v/>
      </c>
    </row>
    <row r="52">
      <c r="A52" s="3" t="inlineStr">
        <is>
          <t>004567</t>
        </is>
      </c>
      <c r="B52" s="5">
        <f>COUNTIF('Entetes_TriNumInterne'!$B$2:$B$1154,A52)</f>
        <v/>
      </c>
    </row>
    <row r="53">
      <c r="A53" s="3" t="inlineStr">
        <is>
          <t>004568</t>
        </is>
      </c>
      <c r="B53" s="5">
        <f>COUNTIF('Entetes_TriNumInterne'!$B$2:$B$1154,A53)</f>
        <v/>
      </c>
    </row>
    <row r="54">
      <c r="A54" s="3" t="inlineStr">
        <is>
          <t>004569</t>
        </is>
      </c>
      <c r="B54" s="5">
        <f>COUNTIF('Entetes_TriNumInterne'!$B$2:$B$1154,A54)</f>
        <v/>
      </c>
    </row>
    <row r="55">
      <c r="A55" s="3" t="inlineStr">
        <is>
          <t>004570</t>
        </is>
      </c>
      <c r="B55" s="5">
        <f>COUNTIF('Entetes_TriNumInterne'!$B$2:$B$1154,A55)</f>
        <v/>
      </c>
    </row>
    <row r="56">
      <c r="A56" s="3" t="inlineStr">
        <is>
          <t>004571</t>
        </is>
      </c>
      <c r="B56" s="5">
        <f>COUNTIF('Entetes_TriNumInterne'!$B$2:$B$1154,A56)</f>
        <v/>
      </c>
    </row>
    <row r="57">
      <c r="A57" s="3" t="inlineStr">
        <is>
          <t>004572</t>
        </is>
      </c>
      <c r="B57" s="5">
        <f>COUNTIF('Entetes_TriNumInterne'!$B$2:$B$1154,A57)</f>
        <v/>
      </c>
    </row>
    <row r="58">
      <c r="A58" s="3" t="inlineStr">
        <is>
          <t>004573</t>
        </is>
      </c>
      <c r="B58" s="5">
        <f>COUNTIF('Entetes_TriNumInterne'!$B$2:$B$1154,A58)</f>
        <v/>
      </c>
    </row>
    <row r="59">
      <c r="A59" s="3" t="inlineStr">
        <is>
          <t>004574</t>
        </is>
      </c>
      <c r="B59" s="5">
        <f>COUNTIF('Entetes_TriNumInterne'!$B$2:$B$1154,A59)</f>
        <v/>
      </c>
    </row>
    <row r="60">
      <c r="A60" s="3" t="inlineStr">
        <is>
          <t>004575</t>
        </is>
      </c>
      <c r="B60" s="5">
        <f>COUNTIF('Entetes_TriNumInterne'!$B$2:$B$1154,A60)</f>
        <v/>
      </c>
    </row>
    <row r="61">
      <c r="A61" s="3" t="inlineStr">
        <is>
          <t>004576</t>
        </is>
      </c>
      <c r="B61" s="5">
        <f>COUNTIF('Entetes_TriNumInterne'!$B$2:$B$1154,A61)</f>
        <v/>
      </c>
    </row>
    <row r="62">
      <c r="A62" s="3" t="inlineStr">
        <is>
          <t>004577</t>
        </is>
      </c>
      <c r="B62" s="5">
        <f>COUNTIF('Entetes_TriNumInterne'!$B$2:$B$1154,A62)</f>
        <v/>
      </c>
    </row>
    <row r="63">
      <c r="A63" s="3" t="inlineStr">
        <is>
          <t>004578</t>
        </is>
      </c>
      <c r="B63" s="5">
        <f>COUNTIF('Entetes_TriNumInterne'!$B$2:$B$1154,A63)</f>
        <v/>
      </c>
    </row>
    <row r="64">
      <c r="A64" s="3" t="inlineStr">
        <is>
          <t>004579</t>
        </is>
      </c>
      <c r="B64" s="5">
        <f>COUNTIF('Entetes_TriNumInterne'!$B$2:$B$1154,A64)</f>
        <v/>
      </c>
    </row>
    <row r="65">
      <c r="A65" s="3" t="inlineStr">
        <is>
          <t>004580</t>
        </is>
      </c>
      <c r="B65" s="5">
        <f>COUNTIF('Entetes_TriNumInterne'!$B$2:$B$1154,A65)</f>
        <v/>
      </c>
    </row>
    <row r="66">
      <c r="A66" s="3" t="inlineStr">
        <is>
          <t>004581</t>
        </is>
      </c>
      <c r="B66" s="5">
        <f>COUNTIF('Entetes_TriNumInterne'!$B$2:$B$1154,A66)</f>
        <v/>
      </c>
    </row>
    <row r="67">
      <c r="A67" s="3" t="inlineStr">
        <is>
          <t>004582</t>
        </is>
      </c>
      <c r="B67" s="5">
        <f>COUNTIF('Entetes_TriNumInterne'!$B$2:$B$1154,A67)</f>
        <v/>
      </c>
    </row>
    <row r="68">
      <c r="A68" s="3" t="inlineStr">
        <is>
          <t>004583</t>
        </is>
      </c>
      <c r="B68" s="5">
        <f>COUNTIF('Entetes_TriNumInterne'!$B$2:$B$1154,A68)</f>
        <v/>
      </c>
    </row>
    <row r="69">
      <c r="A69" s="3" t="inlineStr">
        <is>
          <t>004584</t>
        </is>
      </c>
      <c r="B69" s="5">
        <f>COUNTIF('Entetes_TriNumInterne'!$B$2:$B$1154,A69)</f>
        <v/>
      </c>
    </row>
    <row r="70">
      <c r="A70" s="3" t="inlineStr">
        <is>
          <t>004585</t>
        </is>
      </c>
      <c r="B70" s="5">
        <f>COUNTIF('Entetes_TriNumInterne'!$B$2:$B$1154,A70)</f>
        <v/>
      </c>
    </row>
    <row r="71">
      <c r="A71" s="3" t="inlineStr">
        <is>
          <t>004586</t>
        </is>
      </c>
      <c r="B71" s="5">
        <f>COUNTIF('Entetes_TriNumInterne'!$B$2:$B$1154,A71)</f>
        <v/>
      </c>
    </row>
    <row r="72">
      <c r="A72" s="3" t="inlineStr">
        <is>
          <t>004587</t>
        </is>
      </c>
      <c r="B72" s="5">
        <f>COUNTIF('Entetes_TriNumInterne'!$B$2:$B$1154,A72)</f>
        <v/>
      </c>
    </row>
    <row r="73">
      <c r="A73" s="3" t="inlineStr">
        <is>
          <t>004588</t>
        </is>
      </c>
      <c r="B73" s="5">
        <f>COUNTIF('Entetes_TriNumInterne'!$B$2:$B$1154,A73)</f>
        <v/>
      </c>
    </row>
    <row r="74">
      <c r="A74" s="3" t="inlineStr">
        <is>
          <t>004589</t>
        </is>
      </c>
      <c r="B74" s="5">
        <f>COUNTIF('Entetes_TriNumInterne'!$B$2:$B$1154,A74)</f>
        <v/>
      </c>
    </row>
    <row r="75">
      <c r="A75" s="3" t="inlineStr">
        <is>
          <t>004590</t>
        </is>
      </c>
      <c r="B75" s="5">
        <f>COUNTIF('Entetes_TriNumInterne'!$B$2:$B$1154,A75)</f>
        <v/>
      </c>
    </row>
    <row r="76">
      <c r="A76" s="3" t="inlineStr">
        <is>
          <t>004591</t>
        </is>
      </c>
      <c r="B76" s="5">
        <f>COUNTIF('Entetes_TriNumInterne'!$B$2:$B$1154,A76)</f>
        <v/>
      </c>
    </row>
    <row r="77">
      <c r="A77" s="3" t="inlineStr">
        <is>
          <t>004592</t>
        </is>
      </c>
      <c r="B77" s="5">
        <f>COUNTIF('Entetes_TriNumInterne'!$B$2:$B$1154,A77)</f>
        <v/>
      </c>
    </row>
    <row r="78">
      <c r="A78" s="3" t="inlineStr">
        <is>
          <t>004593</t>
        </is>
      </c>
      <c r="B78" s="5">
        <f>COUNTIF('Entetes_TriNumInterne'!$B$2:$B$1154,A78)</f>
        <v/>
      </c>
    </row>
    <row r="79">
      <c r="A79" s="3" t="inlineStr">
        <is>
          <t>004594</t>
        </is>
      </c>
      <c r="B79" s="5">
        <f>COUNTIF('Entetes_TriNumInterne'!$B$2:$B$1154,A79)</f>
        <v/>
      </c>
    </row>
    <row r="80">
      <c r="A80" s="3" t="inlineStr">
        <is>
          <t>004595</t>
        </is>
      </c>
      <c r="B80" s="5">
        <f>COUNTIF('Entetes_TriNumInterne'!$B$2:$B$1154,A80)</f>
        <v/>
      </c>
    </row>
    <row r="81">
      <c r="A81" s="3" t="inlineStr">
        <is>
          <t>004596</t>
        </is>
      </c>
      <c r="B81" s="5">
        <f>COUNTIF('Entetes_TriNumInterne'!$B$2:$B$1154,A81)</f>
        <v/>
      </c>
    </row>
    <row r="82">
      <c r="A82" s="3" t="inlineStr">
        <is>
          <t>004597</t>
        </is>
      </c>
      <c r="B82" s="5">
        <f>COUNTIF('Entetes_TriNumInterne'!$B$2:$B$1154,A82)</f>
        <v/>
      </c>
    </row>
    <row r="83">
      <c r="A83" s="3" t="inlineStr">
        <is>
          <t>004598</t>
        </is>
      </c>
      <c r="B83" s="5">
        <f>COUNTIF('Entetes_TriNumInterne'!$B$2:$B$1154,A83)</f>
        <v/>
      </c>
    </row>
    <row r="84">
      <c r="A84" s="3" t="inlineStr">
        <is>
          <t>004599</t>
        </is>
      </c>
      <c r="B84" s="5">
        <f>COUNTIF('Entetes_TriNumInterne'!$B$2:$B$1154,A84)</f>
        <v/>
      </c>
    </row>
    <row r="85">
      <c r="A85" s="3" t="inlineStr">
        <is>
          <t>004600</t>
        </is>
      </c>
      <c r="B85" s="5">
        <f>COUNTIF('Entetes_TriNumInterne'!$B$2:$B$1154,A85)</f>
        <v/>
      </c>
    </row>
    <row r="86">
      <c r="A86" s="3" t="inlineStr">
        <is>
          <t>004601</t>
        </is>
      </c>
      <c r="B86" s="5">
        <f>COUNTIF('Entetes_TriNumInterne'!$B$2:$B$1154,A86)</f>
        <v/>
      </c>
    </row>
    <row r="87">
      <c r="A87" s="3" t="inlineStr">
        <is>
          <t>004602</t>
        </is>
      </c>
      <c r="B87" s="5">
        <f>COUNTIF('Entetes_TriNumInterne'!$B$2:$B$1154,A87)</f>
        <v/>
      </c>
    </row>
    <row r="88">
      <c r="A88" s="3" t="inlineStr">
        <is>
          <t>004603</t>
        </is>
      </c>
      <c r="B88" s="5">
        <f>COUNTIF('Entetes_TriNumInterne'!$B$2:$B$1154,A88)</f>
        <v/>
      </c>
    </row>
    <row r="89">
      <c r="A89" s="3" t="inlineStr">
        <is>
          <t>004604</t>
        </is>
      </c>
      <c r="B89" s="5">
        <f>COUNTIF('Entetes_TriNumInterne'!$B$2:$B$1154,A89)</f>
        <v/>
      </c>
    </row>
    <row r="90">
      <c r="A90" s="3" t="inlineStr">
        <is>
          <t>004605</t>
        </is>
      </c>
      <c r="B90" s="5">
        <f>COUNTIF('Entetes_TriNumInterne'!$B$2:$B$1154,A90)</f>
        <v/>
      </c>
    </row>
    <row r="91">
      <c r="A91" s="3" t="inlineStr">
        <is>
          <t>004606</t>
        </is>
      </c>
      <c r="B91" s="5">
        <f>COUNTIF('Entetes_TriNumInterne'!$B$2:$B$1154,A91)</f>
        <v/>
      </c>
    </row>
    <row r="92">
      <c r="A92" s="3" t="inlineStr">
        <is>
          <t>004607</t>
        </is>
      </c>
      <c r="B92" s="5">
        <f>COUNTIF('Entetes_TriNumInterne'!$B$2:$B$1154,A92)</f>
        <v/>
      </c>
    </row>
    <row r="93">
      <c r="A93" s="3" t="inlineStr">
        <is>
          <t>004608</t>
        </is>
      </c>
      <c r="B93" s="5">
        <f>COUNTIF('Entetes_TriNumInterne'!$B$2:$B$1154,A93)</f>
        <v/>
      </c>
    </row>
    <row r="94">
      <c r="A94" s="3" t="inlineStr">
        <is>
          <t>004609</t>
        </is>
      </c>
      <c r="B94" s="5">
        <f>COUNTIF('Entetes_TriNumInterne'!$B$2:$B$1154,A94)</f>
        <v/>
      </c>
    </row>
    <row r="95">
      <c r="A95" s="3" t="inlineStr">
        <is>
          <t>004610</t>
        </is>
      </c>
      <c r="B95" s="5">
        <f>COUNTIF('Entetes_TriNumInterne'!$B$2:$B$1154,A95)</f>
        <v/>
      </c>
    </row>
    <row r="96">
      <c r="A96" s="3" t="inlineStr">
        <is>
          <t>004611</t>
        </is>
      </c>
      <c r="B96" s="5">
        <f>COUNTIF('Entetes_TriNumInterne'!$B$2:$B$1154,A96)</f>
        <v/>
      </c>
    </row>
    <row r="97">
      <c r="A97" s="3" t="inlineStr">
        <is>
          <t>004612</t>
        </is>
      </c>
      <c r="B97" s="5">
        <f>COUNTIF('Entetes_TriNumInterne'!$B$2:$B$1154,A97)</f>
        <v/>
      </c>
    </row>
    <row r="98">
      <c r="A98" s="3" t="inlineStr">
        <is>
          <t>004613</t>
        </is>
      </c>
      <c r="B98" s="5">
        <f>COUNTIF('Entetes_TriNumInterne'!$B$2:$B$1154,A98)</f>
        <v/>
      </c>
    </row>
    <row r="99">
      <c r="A99" s="3" t="inlineStr">
        <is>
          <t>004614</t>
        </is>
      </c>
      <c r="B99" s="5">
        <f>COUNTIF('Entetes_TriNumInterne'!$B$2:$B$1154,A99)</f>
        <v/>
      </c>
    </row>
    <row r="100">
      <c r="A100" s="3" t="inlineStr">
        <is>
          <t>004615</t>
        </is>
      </c>
      <c r="B100" s="5">
        <f>COUNTIF('Entetes_TriNumInterne'!$B$2:$B$1154,A100)</f>
        <v/>
      </c>
    </row>
    <row r="101">
      <c r="A101" s="3" t="inlineStr">
        <is>
          <t>004616</t>
        </is>
      </c>
      <c r="B101" s="5">
        <f>COUNTIF('Entetes_TriNumInterne'!$B$2:$B$1154,A101)</f>
        <v/>
      </c>
    </row>
    <row r="102">
      <c r="A102" s="3" t="inlineStr">
        <is>
          <t>004617</t>
        </is>
      </c>
      <c r="B102" s="5">
        <f>COUNTIF('Entetes_TriNumInterne'!$B$2:$B$1154,A102)</f>
        <v/>
      </c>
    </row>
    <row r="103">
      <c r="A103" s="3" t="inlineStr">
        <is>
          <t>004618</t>
        </is>
      </c>
      <c r="B103" s="5">
        <f>COUNTIF('Entetes_TriNumInterne'!$B$2:$B$1154,A103)</f>
        <v/>
      </c>
    </row>
    <row r="104">
      <c r="A104" s="3" t="inlineStr">
        <is>
          <t>004619</t>
        </is>
      </c>
      <c r="B104" s="5">
        <f>COUNTIF('Entetes_TriNumInterne'!$B$2:$B$1154,A104)</f>
        <v/>
      </c>
    </row>
    <row r="105">
      <c r="A105" s="3" t="inlineStr">
        <is>
          <t>004620</t>
        </is>
      </c>
      <c r="B105" s="5">
        <f>COUNTIF('Entetes_TriNumInterne'!$B$2:$B$1154,A105)</f>
        <v/>
      </c>
    </row>
    <row r="106">
      <c r="A106" s="3" t="inlineStr">
        <is>
          <t>004621</t>
        </is>
      </c>
      <c r="B106" s="5">
        <f>COUNTIF('Entetes_TriNumInterne'!$B$2:$B$1154,A106)</f>
        <v/>
      </c>
    </row>
    <row r="107">
      <c r="A107" s="3" t="inlineStr">
        <is>
          <t>004622</t>
        </is>
      </c>
      <c r="B107" s="5">
        <f>COUNTIF('Entetes_TriNumInterne'!$B$2:$B$1154,A107)</f>
        <v/>
      </c>
    </row>
    <row r="108">
      <c r="A108" s="3" t="inlineStr">
        <is>
          <t>004623</t>
        </is>
      </c>
      <c r="B108" s="5">
        <f>COUNTIF('Entetes_TriNumInterne'!$B$2:$B$1154,A108)</f>
        <v/>
      </c>
    </row>
    <row r="109">
      <c r="A109" s="3" t="inlineStr">
        <is>
          <t>004624</t>
        </is>
      </c>
      <c r="B109" s="5">
        <f>COUNTIF('Entetes_TriNumInterne'!$B$2:$B$1154,A109)</f>
        <v/>
      </c>
    </row>
    <row r="110">
      <c r="A110" s="3" t="inlineStr">
        <is>
          <t>004625</t>
        </is>
      </c>
      <c r="B110" s="5">
        <f>COUNTIF('Entetes_TriNumInterne'!$B$2:$B$1154,A110)</f>
        <v/>
      </c>
    </row>
    <row r="111">
      <c r="A111" s="3" t="inlineStr">
        <is>
          <t>004626</t>
        </is>
      </c>
      <c r="B111" s="5">
        <f>COUNTIF('Entetes_TriNumInterne'!$B$2:$B$1154,A111)</f>
        <v/>
      </c>
    </row>
    <row r="112">
      <c r="A112" s="3" t="inlineStr">
        <is>
          <t>004627</t>
        </is>
      </c>
      <c r="B112" s="5">
        <f>COUNTIF('Entetes_TriNumInterne'!$B$2:$B$1154,A112)</f>
        <v/>
      </c>
    </row>
    <row r="113">
      <c r="A113" s="3" t="inlineStr">
        <is>
          <t>004628</t>
        </is>
      </c>
      <c r="B113" s="5">
        <f>COUNTIF('Entetes_TriNumInterne'!$B$2:$B$1154,A113)</f>
        <v/>
      </c>
    </row>
    <row r="114">
      <c r="A114" s="3" t="inlineStr">
        <is>
          <t>004629</t>
        </is>
      </c>
      <c r="B114" s="5">
        <f>COUNTIF('Entetes_TriNumInterne'!$B$2:$B$1154,A114)</f>
        <v/>
      </c>
    </row>
    <row r="115">
      <c r="A115" s="3" t="inlineStr">
        <is>
          <t>004630</t>
        </is>
      </c>
      <c r="B115" s="5">
        <f>COUNTIF('Entetes_TriNumInterne'!$B$2:$B$1154,A115)</f>
        <v/>
      </c>
    </row>
    <row r="116">
      <c r="A116" s="3" t="inlineStr">
        <is>
          <t>004631</t>
        </is>
      </c>
      <c r="B116" s="5">
        <f>COUNTIF('Entetes_TriNumInterne'!$B$2:$B$1154,A116)</f>
        <v/>
      </c>
    </row>
    <row r="117">
      <c r="A117" s="3" t="inlineStr">
        <is>
          <t>004632</t>
        </is>
      </c>
      <c r="B117" s="5">
        <f>COUNTIF('Entetes_TriNumInterne'!$B$2:$B$1154,A117)</f>
        <v/>
      </c>
    </row>
    <row r="118">
      <c r="A118" s="3" t="inlineStr">
        <is>
          <t>004633</t>
        </is>
      </c>
      <c r="B118" s="5">
        <f>COUNTIF('Entetes_TriNumInterne'!$B$2:$B$1154,A118)</f>
        <v/>
      </c>
    </row>
    <row r="119">
      <c r="A119" s="3" t="inlineStr">
        <is>
          <t>004634</t>
        </is>
      </c>
      <c r="B119" s="5">
        <f>COUNTIF('Entetes_TriNumInterne'!$B$2:$B$1154,A119)</f>
        <v/>
      </c>
    </row>
    <row r="120">
      <c r="A120" s="3" t="inlineStr">
        <is>
          <t>004635</t>
        </is>
      </c>
      <c r="B120" s="5">
        <f>COUNTIF('Entetes_TriNumInterne'!$B$2:$B$1154,A120)</f>
        <v/>
      </c>
    </row>
    <row r="121">
      <c r="A121" s="3" t="inlineStr">
        <is>
          <t>004636</t>
        </is>
      </c>
      <c r="B121" s="5">
        <f>COUNTIF('Entetes_TriNumInterne'!$B$2:$B$1154,A121)</f>
        <v/>
      </c>
    </row>
    <row r="122">
      <c r="A122" s="3" t="inlineStr">
        <is>
          <t>004637</t>
        </is>
      </c>
      <c r="B122" s="5">
        <f>COUNTIF('Entetes_TriNumInterne'!$B$2:$B$1154,A122)</f>
        <v/>
      </c>
    </row>
    <row r="123">
      <c r="A123" s="3" t="inlineStr">
        <is>
          <t>004645</t>
        </is>
      </c>
      <c r="B123" s="5">
        <f>COUNTIF('Entetes_TriNumInterne'!$B$2:$B$1154,A123)</f>
        <v/>
      </c>
    </row>
    <row r="124">
      <c r="A124" s="3" t="inlineStr">
        <is>
          <t>004646</t>
        </is>
      </c>
      <c r="B124" s="5">
        <f>COUNTIF('Entetes_TriNumInterne'!$B$2:$B$1154,A124)</f>
        <v/>
      </c>
    </row>
    <row r="125">
      <c r="A125" s="3" t="inlineStr">
        <is>
          <t>004647</t>
        </is>
      </c>
      <c r="B125" s="5">
        <f>COUNTIF('Entetes_TriNumInterne'!$B$2:$B$1154,A125)</f>
        <v/>
      </c>
    </row>
    <row r="126">
      <c r="A126" s="3" t="inlineStr">
        <is>
          <t>004648</t>
        </is>
      </c>
      <c r="B126" s="5">
        <f>COUNTIF('Entetes_TriNumInterne'!$B$2:$B$1154,A126)</f>
        <v/>
      </c>
    </row>
    <row r="127">
      <c r="A127" s="3" t="inlineStr">
        <is>
          <t>004649</t>
        </is>
      </c>
      <c r="B127" s="5">
        <f>COUNTIF('Entetes_TriNumInterne'!$B$2:$B$1154,A127)</f>
        <v/>
      </c>
    </row>
    <row r="128">
      <c r="A128" s="3" t="inlineStr">
        <is>
          <t>004650</t>
        </is>
      </c>
      <c r="B128" s="5">
        <f>COUNTIF('Entetes_TriNumInterne'!$B$2:$B$1154,A128)</f>
        <v/>
      </c>
    </row>
    <row r="129">
      <c r="A129" s="3" t="inlineStr">
        <is>
          <t>004651</t>
        </is>
      </c>
      <c r="B129" s="5">
        <f>COUNTIF('Entetes_TriNumInterne'!$B$2:$B$1154,A129)</f>
        <v/>
      </c>
    </row>
    <row r="130">
      <c r="A130" s="3" t="inlineStr">
        <is>
          <t>004652</t>
        </is>
      </c>
      <c r="B130" s="5">
        <f>COUNTIF('Entetes_TriNumInterne'!$B$2:$B$1154,A130)</f>
        <v/>
      </c>
    </row>
    <row r="131">
      <c r="A131" s="3" t="inlineStr">
        <is>
          <t>004653</t>
        </is>
      </c>
      <c r="B131" s="5">
        <f>COUNTIF('Entetes_TriNumInterne'!$B$2:$B$1154,A131)</f>
        <v/>
      </c>
    </row>
    <row r="132">
      <c r="A132" s="3" t="inlineStr">
        <is>
          <t>004654</t>
        </is>
      </c>
      <c r="B132" s="5">
        <f>COUNTIF('Entetes_TriNumInterne'!$B$2:$B$1154,A132)</f>
        <v/>
      </c>
    </row>
    <row r="133">
      <c r="A133" s="3" t="inlineStr">
        <is>
          <t>004655</t>
        </is>
      </c>
      <c r="B133" s="5">
        <f>COUNTIF('Entetes_TriNumInterne'!$B$2:$B$1154,A133)</f>
        <v/>
      </c>
    </row>
    <row r="134">
      <c r="A134" s="3" t="inlineStr">
        <is>
          <t>004656</t>
        </is>
      </c>
      <c r="B134" s="5">
        <f>COUNTIF('Entetes_TriNumInterne'!$B$2:$B$1154,A134)</f>
        <v/>
      </c>
    </row>
    <row r="135">
      <c r="A135" s="3" t="inlineStr">
        <is>
          <t>004657</t>
        </is>
      </c>
      <c r="B135" s="5">
        <f>COUNTIF('Entetes_TriNumInterne'!$B$2:$B$1154,A135)</f>
        <v/>
      </c>
    </row>
    <row r="136">
      <c r="A136" s="3" t="inlineStr">
        <is>
          <t>004658</t>
        </is>
      </c>
      <c r="B136" s="5">
        <f>COUNTIF('Entetes_TriNumInterne'!$B$2:$B$1154,A136)</f>
        <v/>
      </c>
    </row>
    <row r="137">
      <c r="A137" s="3" t="inlineStr">
        <is>
          <t>004659</t>
        </is>
      </c>
      <c r="B137" s="5">
        <f>COUNTIF('Entetes_TriNumInterne'!$B$2:$B$1154,A137)</f>
        <v/>
      </c>
    </row>
    <row r="138">
      <c r="A138" s="3" t="inlineStr">
        <is>
          <t>004660</t>
        </is>
      </c>
      <c r="B138" s="5">
        <f>COUNTIF('Entetes_TriNumInterne'!$B$2:$B$1154,A138)</f>
        <v/>
      </c>
    </row>
    <row r="139">
      <c r="A139" s="3" t="inlineStr">
        <is>
          <t>004661</t>
        </is>
      </c>
      <c r="B139" s="5">
        <f>COUNTIF('Entetes_TriNumInterne'!$B$2:$B$1154,A139)</f>
        <v/>
      </c>
    </row>
    <row r="140">
      <c r="A140" s="3" t="inlineStr">
        <is>
          <t>004662</t>
        </is>
      </c>
      <c r="B140" s="5">
        <f>COUNTIF('Entetes_TriNumInterne'!$B$2:$B$1154,A140)</f>
        <v/>
      </c>
    </row>
    <row r="141">
      <c r="A141" s="3" t="inlineStr">
        <is>
          <t>004663</t>
        </is>
      </c>
      <c r="B141" s="5">
        <f>COUNTIF('Entetes_TriNumInterne'!$B$2:$B$1154,A141)</f>
        <v/>
      </c>
    </row>
    <row r="142">
      <c r="A142" s="3" t="inlineStr">
        <is>
          <t>004664</t>
        </is>
      </c>
      <c r="B142" s="5">
        <f>COUNTIF('Entetes_TriNumInterne'!$B$2:$B$1154,A142)</f>
        <v/>
      </c>
    </row>
    <row r="143">
      <c r="A143" s="3" t="inlineStr">
        <is>
          <t>004665</t>
        </is>
      </c>
      <c r="B143" s="5">
        <f>COUNTIF('Entetes_TriNumInterne'!$B$2:$B$1154,A143)</f>
        <v/>
      </c>
    </row>
    <row r="144">
      <c r="A144" s="3" t="inlineStr">
        <is>
          <t>004666</t>
        </is>
      </c>
      <c r="B144" s="5">
        <f>COUNTIF('Entetes_TriNumInterne'!$B$2:$B$1154,A144)</f>
        <v/>
      </c>
    </row>
    <row r="145">
      <c r="A145" s="3" t="inlineStr">
        <is>
          <t>004667</t>
        </is>
      </c>
      <c r="B145" s="5">
        <f>COUNTIF('Entetes_TriNumInterne'!$B$2:$B$1154,A145)</f>
        <v/>
      </c>
    </row>
    <row r="146">
      <c r="A146" s="3" t="inlineStr">
        <is>
          <t>004668</t>
        </is>
      </c>
      <c r="B146" s="5">
        <f>COUNTIF('Entetes_TriNumInterne'!$B$2:$B$1154,A146)</f>
        <v/>
      </c>
    </row>
    <row r="147">
      <c r="A147" s="3" t="inlineStr">
        <is>
          <t>004669</t>
        </is>
      </c>
      <c r="B147" s="5">
        <f>COUNTIF('Entetes_TriNumInterne'!$B$2:$B$1154,A147)</f>
        <v/>
      </c>
    </row>
    <row r="148">
      <c r="A148" s="3" t="inlineStr">
        <is>
          <t>004670</t>
        </is>
      </c>
      <c r="B148" s="5">
        <f>COUNTIF('Entetes_TriNumInterne'!$B$2:$B$1154,A148)</f>
        <v/>
      </c>
    </row>
    <row r="149">
      <c r="A149" s="3" t="inlineStr">
        <is>
          <t>004671</t>
        </is>
      </c>
      <c r="B149" s="5">
        <f>COUNTIF('Entetes_TriNumInterne'!$B$2:$B$1154,A149)</f>
        <v/>
      </c>
    </row>
    <row r="150">
      <c r="A150" s="3" t="inlineStr">
        <is>
          <t>004672</t>
        </is>
      </c>
      <c r="B150" s="5">
        <f>COUNTIF('Entetes_TriNumInterne'!$B$2:$B$1154,A150)</f>
        <v/>
      </c>
    </row>
    <row r="151">
      <c r="A151" s="3" t="inlineStr">
        <is>
          <t>004673</t>
        </is>
      </c>
      <c r="B151" s="5">
        <f>COUNTIF('Entetes_TriNumInterne'!$B$2:$B$1154,A151)</f>
        <v/>
      </c>
    </row>
    <row r="152">
      <c r="A152" s="3" t="inlineStr">
        <is>
          <t>004674</t>
        </is>
      </c>
      <c r="B152" s="5">
        <f>COUNTIF('Entetes_TriNumInterne'!$B$2:$B$1154,A152)</f>
        <v/>
      </c>
    </row>
    <row r="153">
      <c r="A153" s="3" t="inlineStr">
        <is>
          <t>004675</t>
        </is>
      </c>
      <c r="B153" s="5">
        <f>COUNTIF('Entetes_TriNumInterne'!$B$2:$B$1154,A153)</f>
        <v/>
      </c>
    </row>
    <row r="154">
      <c r="A154" s="3" t="inlineStr">
        <is>
          <t>004676</t>
        </is>
      </c>
      <c r="B154" s="5">
        <f>COUNTIF('Entetes_TriNumInterne'!$B$2:$B$1154,A154)</f>
        <v/>
      </c>
    </row>
    <row r="155">
      <c r="A155" s="3" t="inlineStr">
        <is>
          <t>004677</t>
        </is>
      </c>
      <c r="B155" s="5">
        <f>COUNTIF('Entetes_TriNumInterne'!$B$2:$B$1154,A155)</f>
        <v/>
      </c>
    </row>
    <row r="156">
      <c r="A156" s="3" t="inlineStr">
        <is>
          <t>004678</t>
        </is>
      </c>
      <c r="B156" s="5">
        <f>COUNTIF('Entetes_TriNumInterne'!$B$2:$B$1154,A156)</f>
        <v/>
      </c>
    </row>
    <row r="157">
      <c r="A157" s="3" t="inlineStr">
        <is>
          <t>004679</t>
        </is>
      </c>
      <c r="B157" s="5">
        <f>COUNTIF('Entetes_TriNumInterne'!$B$2:$B$1154,A157)</f>
        <v/>
      </c>
    </row>
    <row r="158">
      <c r="A158" s="3" t="inlineStr">
        <is>
          <t>004680</t>
        </is>
      </c>
      <c r="B158" s="5">
        <f>COUNTIF('Entetes_TriNumInterne'!$B$2:$B$1154,A158)</f>
        <v/>
      </c>
    </row>
    <row r="159">
      <c r="A159" s="3" t="inlineStr">
        <is>
          <t>004681</t>
        </is>
      </c>
      <c r="B159" s="5">
        <f>COUNTIF('Entetes_TriNumInterne'!$B$2:$B$1154,A159)</f>
        <v/>
      </c>
    </row>
    <row r="160">
      <c r="A160" s="3" t="inlineStr">
        <is>
          <t>004682</t>
        </is>
      </c>
      <c r="B160" s="5">
        <f>COUNTIF('Entetes_TriNumInterne'!$B$2:$B$1154,A160)</f>
        <v/>
      </c>
    </row>
    <row r="161">
      <c r="A161" s="3" t="inlineStr">
        <is>
          <t>004683</t>
        </is>
      </c>
      <c r="B161" s="5">
        <f>COUNTIF('Entetes_TriNumInterne'!$B$2:$B$1154,A161)</f>
        <v/>
      </c>
    </row>
    <row r="162">
      <c r="A162" s="3" t="inlineStr">
        <is>
          <t>004684</t>
        </is>
      </c>
      <c r="B162" s="5">
        <f>COUNTIF('Entetes_TriNumInterne'!$B$2:$B$1154,A162)</f>
        <v/>
      </c>
    </row>
    <row r="163">
      <c r="A163" s="3" t="inlineStr">
        <is>
          <t>004685</t>
        </is>
      </c>
      <c r="B163" s="5">
        <f>COUNTIF('Entetes_TriNumInterne'!$B$2:$B$1154,A163)</f>
        <v/>
      </c>
    </row>
    <row r="164">
      <c r="A164" s="3" t="inlineStr">
        <is>
          <t>004686</t>
        </is>
      </c>
      <c r="B164" s="5">
        <f>COUNTIF('Entetes_TriNumInterne'!$B$2:$B$1154,A164)</f>
        <v/>
      </c>
    </row>
    <row r="165">
      <c r="A165" s="3" t="inlineStr">
        <is>
          <t>004687</t>
        </is>
      </c>
      <c r="B165" s="5">
        <f>COUNTIF('Entetes_TriNumInterne'!$B$2:$B$1154,A165)</f>
        <v/>
      </c>
    </row>
    <row r="166">
      <c r="A166" s="3" t="inlineStr">
        <is>
          <t>004688</t>
        </is>
      </c>
      <c r="B166" s="5">
        <f>COUNTIF('Entetes_TriNumInterne'!$B$2:$B$1154,A166)</f>
        <v/>
      </c>
    </row>
    <row r="167">
      <c r="A167" s="3" t="inlineStr">
        <is>
          <t>004689</t>
        </is>
      </c>
      <c r="B167" s="5">
        <f>COUNTIF('Entetes_TriNumInterne'!$B$2:$B$1154,A167)</f>
        <v/>
      </c>
    </row>
    <row r="168">
      <c r="A168" s="3" t="inlineStr">
        <is>
          <t>004690</t>
        </is>
      </c>
      <c r="B168" s="5">
        <f>COUNTIF('Entetes_TriNumInterne'!$B$2:$B$1154,A168)</f>
        <v/>
      </c>
    </row>
    <row r="169">
      <c r="A169" s="3" t="inlineStr">
        <is>
          <t>004691</t>
        </is>
      </c>
      <c r="B169" s="5">
        <f>COUNTIF('Entetes_TriNumInterne'!$B$2:$B$1154,A169)</f>
        <v/>
      </c>
    </row>
    <row r="170">
      <c r="A170" s="3" t="inlineStr">
        <is>
          <t>004692</t>
        </is>
      </c>
      <c r="B170" s="5">
        <f>COUNTIF('Entetes_TriNumInterne'!$B$2:$B$1154,A170)</f>
        <v/>
      </c>
    </row>
    <row r="171">
      <c r="A171" s="3" t="inlineStr">
        <is>
          <t>004693</t>
        </is>
      </c>
      <c r="B171" s="5">
        <f>COUNTIF('Entetes_TriNumInterne'!$B$2:$B$1154,A171)</f>
        <v/>
      </c>
    </row>
    <row r="172">
      <c r="A172" s="3" t="inlineStr">
        <is>
          <t>004694</t>
        </is>
      </c>
      <c r="B172" s="5">
        <f>COUNTIF('Entetes_TriNumInterne'!$B$2:$B$1154,A172)</f>
        <v/>
      </c>
    </row>
    <row r="173">
      <c r="A173" s="3" t="inlineStr">
        <is>
          <t>004695</t>
        </is>
      </c>
      <c r="B173" s="5">
        <f>COUNTIF('Entetes_TriNumInterne'!$B$2:$B$1154,A173)</f>
        <v/>
      </c>
    </row>
    <row r="174">
      <c r="A174" s="3" t="inlineStr">
        <is>
          <t>004696</t>
        </is>
      </c>
      <c r="B174" s="5">
        <f>COUNTIF('Entetes_TriNumInterne'!$B$2:$B$1154,A174)</f>
        <v/>
      </c>
    </row>
    <row r="175">
      <c r="A175" s="3" t="inlineStr">
        <is>
          <t>004697</t>
        </is>
      </c>
      <c r="B175" s="5">
        <f>COUNTIF('Entetes_TriNumInterne'!$B$2:$B$1154,A175)</f>
        <v/>
      </c>
    </row>
    <row r="176">
      <c r="A176" s="3" t="inlineStr">
        <is>
          <t>004698</t>
        </is>
      </c>
      <c r="B176" s="5">
        <f>COUNTIF('Entetes_TriNumInterne'!$B$2:$B$1154,A176)</f>
        <v/>
      </c>
    </row>
    <row r="177">
      <c r="A177" s="3" t="inlineStr">
        <is>
          <t>004699</t>
        </is>
      </c>
      <c r="B177" s="5">
        <f>COUNTIF('Entetes_TriNumInterne'!$B$2:$B$1154,A177)</f>
        <v/>
      </c>
    </row>
    <row r="178">
      <c r="A178" s="3" t="inlineStr">
        <is>
          <t>004700</t>
        </is>
      </c>
      <c r="B178" s="5">
        <f>COUNTIF('Entetes_TriNumInterne'!$B$2:$B$1154,A178)</f>
        <v/>
      </c>
    </row>
    <row r="179">
      <c r="A179" s="3" t="inlineStr">
        <is>
          <t>004701</t>
        </is>
      </c>
      <c r="B179" s="5">
        <f>COUNTIF('Entetes_TriNumInterne'!$B$2:$B$1154,A179)</f>
        <v/>
      </c>
    </row>
    <row r="180">
      <c r="A180" s="3" t="inlineStr">
        <is>
          <t>004702</t>
        </is>
      </c>
      <c r="B180" s="5">
        <f>COUNTIF('Entetes_TriNumInterne'!$B$2:$B$1154,A180)</f>
        <v/>
      </c>
    </row>
    <row r="181">
      <c r="A181" s="3" t="inlineStr">
        <is>
          <t>004703</t>
        </is>
      </c>
      <c r="B181" s="5">
        <f>COUNTIF('Entetes_TriNumInterne'!$B$2:$B$1154,A181)</f>
        <v/>
      </c>
    </row>
    <row r="182">
      <c r="A182" s="3" t="inlineStr">
        <is>
          <t>004704</t>
        </is>
      </c>
      <c r="B182" s="5">
        <f>COUNTIF('Entetes_TriNumInterne'!$B$2:$B$1154,A182)</f>
        <v/>
      </c>
    </row>
    <row r="183">
      <c r="A183" s="3" t="inlineStr">
        <is>
          <t>004705</t>
        </is>
      </c>
      <c r="B183" s="5">
        <f>COUNTIF('Entetes_TriNumInterne'!$B$2:$B$1154,A183)</f>
        <v/>
      </c>
    </row>
    <row r="184">
      <c r="A184" s="3" t="inlineStr">
        <is>
          <t>004706</t>
        </is>
      </c>
      <c r="B184" s="5">
        <f>COUNTIF('Entetes_TriNumInterne'!$B$2:$B$1154,A184)</f>
        <v/>
      </c>
    </row>
    <row r="185">
      <c r="A185" s="3" t="inlineStr">
        <is>
          <t>004707</t>
        </is>
      </c>
      <c r="B185" s="5">
        <f>COUNTIF('Entetes_TriNumInterne'!$B$2:$B$1154,A185)</f>
        <v/>
      </c>
    </row>
    <row r="186">
      <c r="A186" s="3" t="inlineStr">
        <is>
          <t>004708</t>
        </is>
      </c>
      <c r="B186" s="5">
        <f>COUNTIF('Entetes_TriNumInterne'!$B$2:$B$1154,A186)</f>
        <v/>
      </c>
    </row>
    <row r="187">
      <c r="A187" s="3" t="inlineStr">
        <is>
          <t>004709</t>
        </is>
      </c>
      <c r="B187" s="5">
        <f>COUNTIF('Entetes_TriNumInterne'!$B$2:$B$1154,A187)</f>
        <v/>
      </c>
    </row>
    <row r="188">
      <c r="A188" s="3" t="inlineStr">
        <is>
          <t>004710</t>
        </is>
      </c>
      <c r="B188" s="5">
        <f>COUNTIF('Entetes_TriNumInterne'!$B$2:$B$1154,A188)</f>
        <v/>
      </c>
    </row>
    <row r="189">
      <c r="A189" s="3" t="inlineStr">
        <is>
          <t>004711</t>
        </is>
      </c>
      <c r="B189" s="5">
        <f>COUNTIF('Entetes_TriNumInterne'!$B$2:$B$1154,A189)</f>
        <v/>
      </c>
    </row>
    <row r="190">
      <c r="A190" s="3" t="inlineStr">
        <is>
          <t>004712</t>
        </is>
      </c>
      <c r="B190" s="5">
        <f>COUNTIF('Entetes_TriNumInterne'!$B$2:$B$1154,A190)</f>
        <v/>
      </c>
    </row>
    <row r="191">
      <c r="A191" s="3" t="inlineStr">
        <is>
          <t>004713</t>
        </is>
      </c>
      <c r="B191" s="5">
        <f>COUNTIF('Entetes_TriNumInterne'!$B$2:$B$1154,A191)</f>
        <v/>
      </c>
    </row>
    <row r="192">
      <c r="A192" s="3" t="inlineStr">
        <is>
          <t>004714</t>
        </is>
      </c>
      <c r="B192" s="5">
        <f>COUNTIF('Entetes_TriNumInterne'!$B$2:$B$1154,A192)</f>
        <v/>
      </c>
    </row>
    <row r="193">
      <c r="A193" s="3" t="inlineStr">
        <is>
          <t>004715</t>
        </is>
      </c>
      <c r="B193" s="5">
        <f>COUNTIF('Entetes_TriNumInterne'!$B$2:$B$1154,A193)</f>
        <v/>
      </c>
    </row>
    <row r="194">
      <c r="A194" s="3" t="inlineStr">
        <is>
          <t>004716</t>
        </is>
      </c>
      <c r="B194" s="5">
        <f>COUNTIF('Entetes_TriNumInterne'!$B$2:$B$1154,A194)</f>
        <v/>
      </c>
    </row>
    <row r="195">
      <c r="A195" s="3" t="inlineStr">
        <is>
          <t>004723</t>
        </is>
      </c>
      <c r="B195" s="5">
        <f>COUNTIF('Entetes_TriNumInterne'!$B$2:$B$1154,A195)</f>
        <v/>
      </c>
    </row>
    <row r="196">
      <c r="A196" s="3" t="inlineStr">
        <is>
          <t>004724</t>
        </is>
      </c>
      <c r="B196" s="5">
        <f>COUNTIF('Entetes_TriNumInterne'!$B$2:$B$1154,A196)</f>
        <v/>
      </c>
    </row>
    <row r="197">
      <c r="A197" s="3" t="inlineStr">
        <is>
          <t>004725</t>
        </is>
      </c>
      <c r="B197" s="5">
        <f>COUNTIF('Entetes_TriNumInterne'!$B$2:$B$1154,A197)</f>
        <v/>
      </c>
    </row>
    <row r="198">
      <c r="A198" s="3" t="inlineStr">
        <is>
          <t>004726</t>
        </is>
      </c>
      <c r="B198" s="5">
        <f>COUNTIF('Entetes_TriNumInterne'!$B$2:$B$1154,A198)</f>
        <v/>
      </c>
    </row>
    <row r="199">
      <c r="A199" s="3" t="inlineStr">
        <is>
          <t>004727</t>
        </is>
      </c>
      <c r="B199" s="5">
        <f>COUNTIF('Entetes_TriNumInterne'!$B$2:$B$1154,A199)</f>
        <v/>
      </c>
    </row>
    <row r="200">
      <c r="A200" s="3" t="inlineStr">
        <is>
          <t>004728</t>
        </is>
      </c>
      <c r="B200" s="5">
        <f>COUNTIF('Entetes_TriNumInterne'!$B$2:$B$1154,A200)</f>
        <v/>
      </c>
    </row>
    <row r="201">
      <c r="A201" s="3" t="inlineStr">
        <is>
          <t>004729</t>
        </is>
      </c>
      <c r="B201" s="5">
        <f>COUNTIF('Entetes_TriNumInterne'!$B$2:$B$1154,A201)</f>
        <v/>
      </c>
    </row>
    <row r="202">
      <c r="A202" s="3" t="inlineStr">
        <is>
          <t>004730</t>
        </is>
      </c>
      <c r="B202" s="5">
        <f>COUNTIF('Entetes_TriNumInterne'!$B$2:$B$1154,A202)</f>
        <v/>
      </c>
    </row>
    <row r="203">
      <c r="A203" s="3" t="inlineStr">
        <is>
          <t>004731</t>
        </is>
      </c>
      <c r="B203" s="5">
        <f>COUNTIF('Entetes_TriNumInterne'!$B$2:$B$1154,A203)</f>
        <v/>
      </c>
    </row>
    <row r="204">
      <c r="A204" s="3" t="inlineStr">
        <is>
          <t>004732</t>
        </is>
      </c>
      <c r="B204" s="5">
        <f>COUNTIF('Entetes_TriNumInterne'!$B$2:$B$1154,A204)</f>
        <v/>
      </c>
    </row>
    <row r="205">
      <c r="A205" s="3" t="inlineStr">
        <is>
          <t>004733</t>
        </is>
      </c>
      <c r="B205" s="5">
        <f>COUNTIF('Entetes_TriNumInterne'!$B$2:$B$1154,A205)</f>
        <v/>
      </c>
    </row>
    <row r="206">
      <c r="A206" s="3" t="inlineStr">
        <is>
          <t>004734</t>
        </is>
      </c>
      <c r="B206" s="5">
        <f>COUNTIF('Entetes_TriNumInterne'!$B$2:$B$1154,A206)</f>
        <v/>
      </c>
    </row>
    <row r="207">
      <c r="A207" s="3" t="inlineStr">
        <is>
          <t>004735</t>
        </is>
      </c>
      <c r="B207" s="5">
        <f>COUNTIF('Entetes_TriNumInterne'!$B$2:$B$1154,A207)</f>
        <v/>
      </c>
    </row>
    <row r="208">
      <c r="A208" s="3" t="inlineStr">
        <is>
          <t>004736</t>
        </is>
      </c>
      <c r="B208" s="5">
        <f>COUNTIF('Entetes_TriNumInterne'!$B$2:$B$1154,A208)</f>
        <v/>
      </c>
    </row>
    <row r="209">
      <c r="A209" s="3" t="inlineStr">
        <is>
          <t>004737</t>
        </is>
      </c>
      <c r="B209" s="5">
        <f>COUNTIF('Entetes_TriNumInterne'!$B$2:$B$1154,A209)</f>
        <v/>
      </c>
    </row>
    <row r="210">
      <c r="A210" s="3" t="inlineStr">
        <is>
          <t>004738</t>
        </is>
      </c>
      <c r="B210" s="5">
        <f>COUNTIF('Entetes_TriNumInterne'!$B$2:$B$1154,A210)</f>
        <v/>
      </c>
    </row>
    <row r="211">
      <c r="A211" s="3" t="inlineStr">
        <is>
          <t>004739</t>
        </is>
      </c>
      <c r="B211" s="5">
        <f>COUNTIF('Entetes_TriNumInterne'!$B$2:$B$1154,A211)</f>
        <v/>
      </c>
    </row>
    <row r="212">
      <c r="A212" s="3" t="inlineStr">
        <is>
          <t>004740</t>
        </is>
      </c>
      <c r="B212" s="5">
        <f>COUNTIF('Entetes_TriNumInterne'!$B$2:$B$1154,A212)</f>
        <v/>
      </c>
    </row>
    <row r="213">
      <c r="A213" s="3" t="inlineStr">
        <is>
          <t>004741</t>
        </is>
      </c>
      <c r="B213" s="5">
        <f>COUNTIF('Entetes_TriNumInterne'!$B$2:$B$1154,A213)</f>
        <v/>
      </c>
    </row>
    <row r="214">
      <c r="A214" s="3" t="inlineStr">
        <is>
          <t>004742</t>
        </is>
      </c>
      <c r="B214" s="5">
        <f>COUNTIF('Entetes_TriNumInterne'!$B$2:$B$1154,A214)</f>
        <v/>
      </c>
    </row>
    <row r="215">
      <c r="A215" s="3" t="inlineStr">
        <is>
          <t>004743</t>
        </is>
      </c>
      <c r="B215" s="5">
        <f>COUNTIF('Entetes_TriNumInterne'!$B$2:$B$1154,A215)</f>
        <v/>
      </c>
    </row>
    <row r="216">
      <c r="A216" s="3" t="inlineStr">
        <is>
          <t>004744</t>
        </is>
      </c>
      <c r="B216" s="5">
        <f>COUNTIF('Entetes_TriNumInterne'!$B$2:$B$1154,A216)</f>
        <v/>
      </c>
    </row>
    <row r="217">
      <c r="A217" s="3" t="inlineStr">
        <is>
          <t>004745</t>
        </is>
      </c>
      <c r="B217" s="5">
        <f>COUNTIF('Entetes_TriNumInterne'!$B$2:$B$1154,A217)</f>
        <v/>
      </c>
    </row>
    <row r="218">
      <c r="A218" s="3" t="inlineStr">
        <is>
          <t>004746</t>
        </is>
      </c>
      <c r="B218" s="5">
        <f>COUNTIF('Entetes_TriNumInterne'!$B$2:$B$1154,A218)</f>
        <v/>
      </c>
    </row>
    <row r="219">
      <c r="A219" s="3" t="inlineStr">
        <is>
          <t>004747</t>
        </is>
      </c>
      <c r="B219" s="5">
        <f>COUNTIF('Entetes_TriNumInterne'!$B$2:$B$1154,A219)</f>
        <v/>
      </c>
    </row>
    <row r="220">
      <c r="A220" s="3" t="inlineStr">
        <is>
          <t>004748</t>
        </is>
      </c>
      <c r="B220" s="5">
        <f>COUNTIF('Entetes_TriNumInterne'!$B$2:$B$1154,A220)</f>
        <v/>
      </c>
    </row>
    <row r="221">
      <c r="A221" s="3" t="inlineStr">
        <is>
          <t>004749</t>
        </is>
      </c>
      <c r="B221" s="5">
        <f>COUNTIF('Entetes_TriNumInterne'!$B$2:$B$1154,A221)</f>
        <v/>
      </c>
    </row>
    <row r="222">
      <c r="A222" s="3" t="inlineStr">
        <is>
          <t>004750</t>
        </is>
      </c>
      <c r="B222" s="5">
        <f>COUNTIF('Entetes_TriNumInterne'!$B$2:$B$1154,A222)</f>
        <v/>
      </c>
    </row>
    <row r="223">
      <c r="A223" s="3" t="inlineStr">
        <is>
          <t>004751</t>
        </is>
      </c>
      <c r="B223" s="5">
        <f>COUNTIF('Entetes_TriNumInterne'!$B$2:$B$1154,A223)</f>
        <v/>
      </c>
    </row>
    <row r="224">
      <c r="A224" s="3" t="inlineStr">
        <is>
          <t>004752</t>
        </is>
      </c>
      <c r="B224" s="5">
        <f>COUNTIF('Entetes_TriNumInterne'!$B$2:$B$1154,A224)</f>
        <v/>
      </c>
    </row>
    <row r="225">
      <c r="A225" s="3" t="inlineStr">
        <is>
          <t>004753</t>
        </is>
      </c>
      <c r="B225" s="5">
        <f>COUNTIF('Entetes_TriNumInterne'!$B$2:$B$1154,A225)</f>
        <v/>
      </c>
    </row>
    <row r="226">
      <c r="A226" s="3" t="inlineStr">
        <is>
          <t>004754</t>
        </is>
      </c>
      <c r="B226" s="5">
        <f>COUNTIF('Entetes_TriNumInterne'!$B$2:$B$1154,A226)</f>
        <v/>
      </c>
    </row>
    <row r="227">
      <c r="A227" s="3" t="inlineStr">
        <is>
          <t>004755</t>
        </is>
      </c>
      <c r="B227" s="5">
        <f>COUNTIF('Entetes_TriNumInterne'!$B$2:$B$1154,A227)</f>
        <v/>
      </c>
    </row>
    <row r="228">
      <c r="A228" s="3" t="inlineStr">
        <is>
          <t>004756</t>
        </is>
      </c>
      <c r="B228" s="5">
        <f>COUNTIF('Entetes_TriNumInterne'!$B$2:$B$1154,A228)</f>
        <v/>
      </c>
    </row>
    <row r="229">
      <c r="A229" s="3" t="inlineStr">
        <is>
          <t>004757</t>
        </is>
      </c>
      <c r="B229" s="5">
        <f>COUNTIF('Entetes_TriNumInterne'!$B$2:$B$1154,A229)</f>
        <v/>
      </c>
    </row>
    <row r="230">
      <c r="A230" s="3" t="inlineStr">
        <is>
          <t>004758</t>
        </is>
      </c>
      <c r="B230" s="5">
        <f>COUNTIF('Entetes_TriNumInterne'!$B$2:$B$1154,A230)</f>
        <v/>
      </c>
    </row>
    <row r="231">
      <c r="A231" s="3" t="inlineStr">
        <is>
          <t>004759</t>
        </is>
      </c>
      <c r="B231" s="5">
        <f>COUNTIF('Entetes_TriNumInterne'!$B$2:$B$1154,A231)</f>
        <v/>
      </c>
    </row>
    <row r="232">
      <c r="A232" s="3" t="inlineStr">
        <is>
          <t>004760</t>
        </is>
      </c>
      <c r="B232" s="5">
        <f>COUNTIF('Entetes_TriNumInterne'!$B$2:$B$1154,A232)</f>
        <v/>
      </c>
    </row>
    <row r="233">
      <c r="A233" s="3" t="inlineStr">
        <is>
          <t>004761</t>
        </is>
      </c>
      <c r="B233" s="5">
        <f>COUNTIF('Entetes_TriNumInterne'!$B$2:$B$1154,A233)</f>
        <v/>
      </c>
    </row>
    <row r="234">
      <c r="A234" s="3" t="inlineStr">
        <is>
          <t>004762</t>
        </is>
      </c>
      <c r="B234" s="5">
        <f>COUNTIF('Entetes_TriNumInterne'!$B$2:$B$1154,A234)</f>
        <v/>
      </c>
    </row>
    <row r="235">
      <c r="A235" s="3" t="inlineStr">
        <is>
          <t>004763</t>
        </is>
      </c>
      <c r="B235" s="5">
        <f>COUNTIF('Entetes_TriNumInterne'!$B$2:$B$1154,A235)</f>
        <v/>
      </c>
    </row>
    <row r="236">
      <c r="A236" s="3" t="inlineStr">
        <is>
          <t>004764</t>
        </is>
      </c>
      <c r="B236" s="5">
        <f>COUNTIF('Entetes_TriNumInterne'!$B$2:$B$1154,A236)</f>
        <v/>
      </c>
    </row>
    <row r="237">
      <c r="A237" s="3" t="inlineStr">
        <is>
          <t>004765</t>
        </is>
      </c>
      <c r="B237" s="5">
        <f>COUNTIF('Entetes_TriNumInterne'!$B$2:$B$1154,A237)</f>
        <v/>
      </c>
    </row>
    <row r="238">
      <c r="A238" s="3" t="inlineStr">
        <is>
          <t>004766</t>
        </is>
      </c>
      <c r="B238" s="5">
        <f>COUNTIF('Entetes_TriNumInterne'!$B$2:$B$1154,A238)</f>
        <v/>
      </c>
    </row>
    <row r="239">
      <c r="A239" s="3" t="inlineStr">
        <is>
          <t>004767</t>
        </is>
      </c>
      <c r="B239" s="5">
        <f>COUNTIF('Entetes_TriNumInterne'!$B$2:$B$1154,A239)</f>
        <v/>
      </c>
    </row>
    <row r="240">
      <c r="A240" s="3" t="inlineStr">
        <is>
          <t>004768</t>
        </is>
      </c>
      <c r="B240" s="5">
        <f>COUNTIF('Entetes_TriNumInterne'!$B$2:$B$1154,A240)</f>
        <v/>
      </c>
    </row>
    <row r="241">
      <c r="A241" s="3" t="inlineStr">
        <is>
          <t>004769</t>
        </is>
      </c>
      <c r="B241" s="5">
        <f>COUNTIF('Entetes_TriNumInterne'!$B$2:$B$1154,A241)</f>
        <v/>
      </c>
    </row>
    <row r="242">
      <c r="A242" s="3" t="inlineStr">
        <is>
          <t>004770</t>
        </is>
      </c>
      <c r="B242" s="5">
        <f>COUNTIF('Entetes_TriNumInterne'!$B$2:$B$1154,A242)</f>
        <v/>
      </c>
    </row>
    <row r="243">
      <c r="A243" s="3" t="inlineStr">
        <is>
          <t>004771</t>
        </is>
      </c>
      <c r="B243" s="5">
        <f>COUNTIF('Entetes_TriNumInterne'!$B$2:$B$1154,A243)</f>
        <v/>
      </c>
    </row>
    <row r="244">
      <c r="A244" s="3" t="inlineStr">
        <is>
          <t>004772</t>
        </is>
      </c>
      <c r="B244" s="5">
        <f>COUNTIF('Entetes_TriNumInterne'!$B$2:$B$1154,A244)</f>
        <v/>
      </c>
    </row>
    <row r="245">
      <c r="A245" s="3" t="inlineStr">
        <is>
          <t>004773</t>
        </is>
      </c>
      <c r="B245" s="5">
        <f>COUNTIF('Entetes_TriNumInterne'!$B$2:$B$1154,A245)</f>
        <v/>
      </c>
    </row>
    <row r="246">
      <c r="A246" s="3" t="inlineStr">
        <is>
          <t>004774</t>
        </is>
      </c>
      <c r="B246" s="5">
        <f>COUNTIF('Entetes_TriNumInterne'!$B$2:$B$1154,A246)</f>
        <v/>
      </c>
    </row>
    <row r="247">
      <c r="A247" s="3" t="inlineStr">
        <is>
          <t>004775</t>
        </is>
      </c>
      <c r="B247" s="5">
        <f>COUNTIF('Entetes_TriNumInterne'!$B$2:$B$1154,A247)</f>
        <v/>
      </c>
    </row>
    <row r="248">
      <c r="A248" s="3" t="inlineStr">
        <is>
          <t>004783</t>
        </is>
      </c>
      <c r="B248" s="5">
        <f>COUNTIF('Entetes_TriNumInterne'!$B$2:$B$1154,A248)</f>
        <v/>
      </c>
    </row>
    <row r="249">
      <c r="A249" s="3" t="inlineStr">
        <is>
          <t>004784</t>
        </is>
      </c>
      <c r="B249" s="5">
        <f>COUNTIF('Entetes_TriNumInterne'!$B$2:$B$1154,A249)</f>
        <v/>
      </c>
    </row>
    <row r="250">
      <c r="A250" s="3" t="inlineStr">
        <is>
          <t>004785</t>
        </is>
      </c>
      <c r="B250" s="5">
        <f>COUNTIF('Entetes_TriNumInterne'!$B$2:$B$1154,A250)</f>
        <v/>
      </c>
    </row>
    <row r="251">
      <c r="A251" s="3" t="inlineStr">
        <is>
          <t>004786</t>
        </is>
      </c>
      <c r="B251" s="5">
        <f>COUNTIF('Entetes_TriNumInterne'!$B$2:$B$1154,A251)</f>
        <v/>
      </c>
    </row>
    <row r="252">
      <c r="A252" s="3" t="inlineStr">
        <is>
          <t>004787</t>
        </is>
      </c>
      <c r="B252" s="5">
        <f>COUNTIF('Entetes_TriNumInterne'!$B$2:$B$1154,A252)</f>
        <v/>
      </c>
    </row>
    <row r="253">
      <c r="A253" s="3" t="inlineStr">
        <is>
          <t>004788</t>
        </is>
      </c>
      <c r="B253" s="5">
        <f>COUNTIF('Entetes_TriNumInterne'!$B$2:$B$1154,A253)</f>
        <v/>
      </c>
    </row>
    <row r="254">
      <c r="A254" s="3" t="inlineStr">
        <is>
          <t>004789</t>
        </is>
      </c>
      <c r="B254" s="5">
        <f>COUNTIF('Entetes_TriNumInterne'!$B$2:$B$1154,A254)</f>
        <v/>
      </c>
    </row>
    <row r="255">
      <c r="A255" s="3" t="inlineStr">
        <is>
          <t>004790</t>
        </is>
      </c>
      <c r="B255" s="5">
        <f>COUNTIF('Entetes_TriNumInterne'!$B$2:$B$1154,A255)</f>
        <v/>
      </c>
    </row>
    <row r="256">
      <c r="A256" s="3" t="inlineStr">
        <is>
          <t>004791</t>
        </is>
      </c>
      <c r="B256" s="5">
        <f>COUNTIF('Entetes_TriNumInterne'!$B$2:$B$1154,A256)</f>
        <v/>
      </c>
    </row>
    <row r="257">
      <c r="A257" s="3" t="inlineStr">
        <is>
          <t>004792</t>
        </is>
      </c>
      <c r="B257" s="5">
        <f>COUNTIF('Entetes_TriNumInterne'!$B$2:$B$1154,A257)</f>
        <v/>
      </c>
    </row>
    <row r="258">
      <c r="A258" s="3" t="inlineStr">
        <is>
          <t>004793</t>
        </is>
      </c>
      <c r="B258" s="5">
        <f>COUNTIF('Entetes_TriNumInterne'!$B$2:$B$1154,A258)</f>
        <v/>
      </c>
    </row>
    <row r="259">
      <c r="A259" s="3" t="inlineStr">
        <is>
          <t>004794</t>
        </is>
      </c>
      <c r="B259" s="5">
        <f>COUNTIF('Entetes_TriNumInterne'!$B$2:$B$1154,A259)</f>
        <v/>
      </c>
    </row>
    <row r="260">
      <c r="A260" s="3" t="inlineStr">
        <is>
          <t>004795</t>
        </is>
      </c>
      <c r="B260" s="5">
        <f>COUNTIF('Entetes_TriNumInterne'!$B$2:$B$1154,A260)</f>
        <v/>
      </c>
    </row>
    <row r="261">
      <c r="A261" s="3" t="inlineStr">
        <is>
          <t>004796</t>
        </is>
      </c>
      <c r="B261" s="5">
        <f>COUNTIF('Entetes_TriNumInterne'!$B$2:$B$1154,A261)</f>
        <v/>
      </c>
    </row>
    <row r="262">
      <c r="A262" s="3" t="inlineStr">
        <is>
          <t>004797</t>
        </is>
      </c>
      <c r="B262" s="5">
        <f>COUNTIF('Entetes_TriNumInterne'!$B$2:$B$1154,A262)</f>
        <v/>
      </c>
    </row>
    <row r="263">
      <c r="A263" s="3" t="inlineStr">
        <is>
          <t>004798</t>
        </is>
      </c>
      <c r="B263" s="5">
        <f>COUNTIF('Entetes_TriNumInterne'!$B$2:$B$1154,A263)</f>
        <v/>
      </c>
    </row>
    <row r="264">
      <c r="A264" s="3" t="inlineStr">
        <is>
          <t>004799</t>
        </is>
      </c>
      <c r="B264" s="5">
        <f>COUNTIF('Entetes_TriNumInterne'!$B$2:$B$1154,A264)</f>
        <v/>
      </c>
    </row>
    <row r="265">
      <c r="A265" s="3" t="inlineStr">
        <is>
          <t>004800</t>
        </is>
      </c>
      <c r="B265" s="5">
        <f>COUNTIF('Entetes_TriNumInterne'!$B$2:$B$1154,A265)</f>
        <v/>
      </c>
    </row>
    <row r="266">
      <c r="A266" s="3" t="inlineStr">
        <is>
          <t>004801</t>
        </is>
      </c>
      <c r="B266" s="5">
        <f>COUNTIF('Entetes_TriNumInterne'!$B$2:$B$1154,A266)</f>
        <v/>
      </c>
    </row>
    <row r="267">
      <c r="A267" s="3" t="inlineStr">
        <is>
          <t>004802</t>
        </is>
      </c>
      <c r="B267" s="5">
        <f>COUNTIF('Entetes_TriNumInterne'!$B$2:$B$1154,A267)</f>
        <v/>
      </c>
    </row>
    <row r="268">
      <c r="A268" s="3" t="inlineStr">
        <is>
          <t>004803</t>
        </is>
      </c>
      <c r="B268" s="5">
        <f>COUNTIF('Entetes_TriNumInterne'!$B$2:$B$1154,A268)</f>
        <v/>
      </c>
    </row>
    <row r="269">
      <c r="A269" s="3" t="inlineStr">
        <is>
          <t>004804</t>
        </is>
      </c>
      <c r="B269" s="5">
        <f>COUNTIF('Entetes_TriNumInterne'!$B$2:$B$1154,A269)</f>
        <v/>
      </c>
    </row>
    <row r="270">
      <c r="A270" s="3" t="inlineStr">
        <is>
          <t>004805</t>
        </is>
      </c>
      <c r="B270" s="5">
        <f>COUNTIF('Entetes_TriNumInterne'!$B$2:$B$1154,A270)</f>
        <v/>
      </c>
    </row>
    <row r="271">
      <c r="A271" s="3" t="inlineStr">
        <is>
          <t>004806</t>
        </is>
      </c>
      <c r="B271" s="5">
        <f>COUNTIF('Entetes_TriNumInterne'!$B$2:$B$1154,A271)</f>
        <v/>
      </c>
    </row>
    <row r="272">
      <c r="A272" s="3" t="inlineStr">
        <is>
          <t>004807</t>
        </is>
      </c>
      <c r="B272" s="5">
        <f>COUNTIF('Entetes_TriNumInterne'!$B$2:$B$1154,A272)</f>
        <v/>
      </c>
    </row>
    <row r="273">
      <c r="A273" s="3" t="inlineStr">
        <is>
          <t>004808</t>
        </is>
      </c>
      <c r="B273" s="5">
        <f>COUNTIF('Entetes_TriNumInterne'!$B$2:$B$1154,A273)</f>
        <v/>
      </c>
    </row>
    <row r="274">
      <c r="A274" s="3" t="inlineStr">
        <is>
          <t>004809</t>
        </is>
      </c>
      <c r="B274" s="5">
        <f>COUNTIF('Entetes_TriNumInterne'!$B$2:$B$1154,A274)</f>
        <v/>
      </c>
    </row>
    <row r="275">
      <c r="A275" s="3" t="inlineStr">
        <is>
          <t>004810</t>
        </is>
      </c>
      <c r="B275" s="5">
        <f>COUNTIF('Entetes_TriNumInterne'!$B$2:$B$1154,A275)</f>
        <v/>
      </c>
    </row>
    <row r="276">
      <c r="A276" s="3" t="inlineStr">
        <is>
          <t>004811</t>
        </is>
      </c>
      <c r="B276" s="5">
        <f>COUNTIF('Entetes_TriNumInterne'!$B$2:$B$1154,A276)</f>
        <v/>
      </c>
    </row>
    <row r="277">
      <c r="A277" s="3" t="inlineStr">
        <is>
          <t>004812</t>
        </is>
      </c>
      <c r="B277" s="5">
        <f>COUNTIF('Entetes_TriNumInterne'!$B$2:$B$1154,A277)</f>
        <v/>
      </c>
    </row>
    <row r="278">
      <c r="A278" s="3" t="inlineStr">
        <is>
          <t>004813</t>
        </is>
      </c>
      <c r="B278" s="5">
        <f>COUNTIF('Entetes_TriNumInterne'!$B$2:$B$1154,A278)</f>
        <v/>
      </c>
    </row>
    <row r="279">
      <c r="A279" s="3" t="inlineStr">
        <is>
          <t>004814</t>
        </is>
      </c>
      <c r="B279" s="5">
        <f>COUNTIF('Entetes_TriNumInterne'!$B$2:$B$1154,A279)</f>
        <v/>
      </c>
    </row>
    <row r="280">
      <c r="A280" s="3" t="inlineStr">
        <is>
          <t>004815</t>
        </is>
      </c>
      <c r="B280" s="5">
        <f>COUNTIF('Entetes_TriNumInterne'!$B$2:$B$1154,A280)</f>
        <v/>
      </c>
    </row>
    <row r="281">
      <c r="A281" s="3" t="inlineStr">
        <is>
          <t>004816</t>
        </is>
      </c>
      <c r="B281" s="5">
        <f>COUNTIF('Entetes_TriNumInterne'!$B$2:$B$1154,A281)</f>
        <v/>
      </c>
    </row>
    <row r="282">
      <c r="A282" s="3" t="inlineStr">
        <is>
          <t>004817</t>
        </is>
      </c>
      <c r="B282" s="5">
        <f>COUNTIF('Entetes_TriNumInterne'!$B$2:$B$1154,A282)</f>
        <v/>
      </c>
    </row>
    <row r="283">
      <c r="A283" s="3" t="inlineStr">
        <is>
          <t>004818</t>
        </is>
      </c>
      <c r="B283" s="5">
        <f>COUNTIF('Entetes_TriNumInterne'!$B$2:$B$1154,A283)</f>
        <v/>
      </c>
    </row>
    <row r="284">
      <c r="A284" s="3" t="inlineStr">
        <is>
          <t>004819</t>
        </is>
      </c>
      <c r="B284" s="5">
        <f>COUNTIF('Entetes_TriNumInterne'!$B$2:$B$1154,A284)</f>
        <v/>
      </c>
    </row>
    <row r="285">
      <c r="A285" s="3" t="inlineStr">
        <is>
          <t>004820</t>
        </is>
      </c>
      <c r="B285" s="5">
        <f>COUNTIF('Entetes_TriNumInterne'!$B$2:$B$1154,A285)</f>
        <v/>
      </c>
    </row>
    <row r="286">
      <c r="A286" s="3" t="inlineStr">
        <is>
          <t>004821</t>
        </is>
      </c>
      <c r="B286" s="5">
        <f>COUNTIF('Entetes_TriNumInterne'!$B$2:$B$1154,A286)</f>
        <v/>
      </c>
    </row>
    <row r="287">
      <c r="A287" s="3" t="inlineStr">
        <is>
          <t>004822</t>
        </is>
      </c>
      <c r="B287" s="5">
        <f>COUNTIF('Entetes_TriNumInterne'!$B$2:$B$1154,A287)</f>
        <v/>
      </c>
    </row>
    <row r="288">
      <c r="A288" s="3" t="inlineStr">
        <is>
          <t>004823</t>
        </is>
      </c>
      <c r="B288" s="5">
        <f>COUNTIF('Entetes_TriNumInterne'!$B$2:$B$1154,A288)</f>
        <v/>
      </c>
    </row>
    <row r="289">
      <c r="A289" s="3" t="inlineStr">
        <is>
          <t>004824</t>
        </is>
      </c>
      <c r="B289" s="5">
        <f>COUNTIF('Entetes_TriNumInterne'!$B$2:$B$1154,A289)</f>
        <v/>
      </c>
    </row>
    <row r="290">
      <c r="A290" s="3" t="inlineStr">
        <is>
          <t>004825</t>
        </is>
      </c>
      <c r="B290" s="5">
        <f>COUNTIF('Entetes_TriNumInterne'!$B$2:$B$1154,A290)</f>
        <v/>
      </c>
    </row>
    <row r="291">
      <c r="A291" s="3" t="inlineStr">
        <is>
          <t>004826</t>
        </is>
      </c>
      <c r="B291" s="5">
        <f>COUNTIF('Entetes_TriNumInterne'!$B$2:$B$1154,A291)</f>
        <v/>
      </c>
    </row>
    <row r="292">
      <c r="A292" s="3" t="inlineStr">
        <is>
          <t>004827</t>
        </is>
      </c>
      <c r="B292" s="5">
        <f>COUNTIF('Entetes_TriNumInterne'!$B$2:$B$1154,A292)</f>
        <v/>
      </c>
    </row>
    <row r="293">
      <c r="A293" s="3" t="inlineStr">
        <is>
          <t>004828</t>
        </is>
      </c>
      <c r="B293" s="5">
        <f>COUNTIF('Entetes_TriNumInterne'!$B$2:$B$1154,A293)</f>
        <v/>
      </c>
    </row>
    <row r="294">
      <c r="A294" s="3" t="inlineStr">
        <is>
          <t>004829</t>
        </is>
      </c>
      <c r="B294" s="5">
        <f>COUNTIF('Entetes_TriNumInterne'!$B$2:$B$1154,A294)</f>
        <v/>
      </c>
    </row>
    <row r="295">
      <c r="A295" s="3" t="inlineStr">
        <is>
          <t>004830</t>
        </is>
      </c>
      <c r="B295" s="5">
        <f>COUNTIF('Entetes_TriNumInterne'!$B$2:$B$1154,A295)</f>
        <v/>
      </c>
    </row>
    <row r="296">
      <c r="A296" s="3" t="inlineStr">
        <is>
          <t>004831</t>
        </is>
      </c>
      <c r="B296" s="5">
        <f>COUNTIF('Entetes_TriNumInterne'!$B$2:$B$1154,A296)</f>
        <v/>
      </c>
    </row>
    <row r="297">
      <c r="A297" s="3" t="inlineStr">
        <is>
          <t>004832</t>
        </is>
      </c>
      <c r="B297" s="5">
        <f>COUNTIF('Entetes_TriNumInterne'!$B$2:$B$1154,A297)</f>
        <v/>
      </c>
    </row>
    <row r="298">
      <c r="A298" s="3" t="inlineStr">
        <is>
          <t>004833</t>
        </is>
      </c>
      <c r="B298" s="5">
        <f>COUNTIF('Entetes_TriNumInterne'!$B$2:$B$1154,A298)</f>
        <v/>
      </c>
    </row>
    <row r="299">
      <c r="A299" s="3" t="inlineStr">
        <is>
          <t>004834</t>
        </is>
      </c>
      <c r="B299" s="5">
        <f>COUNTIF('Entetes_TriNumInterne'!$B$2:$B$1154,A299)</f>
        <v/>
      </c>
    </row>
    <row r="300">
      <c r="A300" s="3" t="inlineStr">
        <is>
          <t>004835</t>
        </is>
      </c>
      <c r="B300" s="5">
        <f>COUNTIF('Entetes_TriNumInterne'!$B$2:$B$1154,A300)</f>
        <v/>
      </c>
    </row>
    <row r="301">
      <c r="A301" s="3" t="inlineStr">
        <is>
          <t>004836</t>
        </is>
      </c>
      <c r="B301" s="5">
        <f>COUNTIF('Entetes_TriNumInterne'!$B$2:$B$1154,A301)</f>
        <v/>
      </c>
    </row>
    <row r="302">
      <c r="A302" s="3" t="inlineStr">
        <is>
          <t>004837</t>
        </is>
      </c>
      <c r="B302" s="5">
        <f>COUNTIF('Entetes_TriNumInterne'!$B$2:$B$1154,A302)</f>
        <v/>
      </c>
    </row>
    <row r="303">
      <c r="A303" s="3" t="inlineStr">
        <is>
          <t>004838</t>
        </is>
      </c>
      <c r="B303" s="5">
        <f>COUNTIF('Entetes_TriNumInterne'!$B$2:$B$1154,A303)</f>
        <v/>
      </c>
    </row>
    <row r="304">
      <c r="A304" s="3" t="inlineStr">
        <is>
          <t>004839</t>
        </is>
      </c>
      <c r="B304" s="5">
        <f>COUNTIF('Entetes_TriNumInterne'!$B$2:$B$1154,A304)</f>
        <v/>
      </c>
    </row>
    <row r="305">
      <c r="A305" s="3" t="inlineStr">
        <is>
          <t>004840</t>
        </is>
      </c>
      <c r="B305" s="5">
        <f>COUNTIF('Entetes_TriNumInterne'!$B$2:$B$1154,A305)</f>
        <v/>
      </c>
    </row>
    <row r="306">
      <c r="A306" s="3" t="inlineStr">
        <is>
          <t>004841</t>
        </is>
      </c>
      <c r="B306" s="5">
        <f>COUNTIF('Entetes_TriNumInterne'!$B$2:$B$1154,A306)</f>
        <v/>
      </c>
    </row>
    <row r="307">
      <c r="A307" s="3" t="inlineStr">
        <is>
          <t>004842</t>
        </is>
      </c>
      <c r="B307" s="5">
        <f>COUNTIF('Entetes_TriNumInterne'!$B$2:$B$1154,A307)</f>
        <v/>
      </c>
    </row>
    <row r="308">
      <c r="A308" s="3" t="inlineStr">
        <is>
          <t>004843</t>
        </is>
      </c>
      <c r="B308" s="5">
        <f>COUNTIF('Entetes_TriNumInterne'!$B$2:$B$1154,A308)</f>
        <v/>
      </c>
    </row>
    <row r="309">
      <c r="A309" s="3" t="inlineStr">
        <is>
          <t>004844</t>
        </is>
      </c>
      <c r="B309" s="5">
        <f>COUNTIF('Entetes_TriNumInterne'!$B$2:$B$1154,A309)</f>
        <v/>
      </c>
    </row>
    <row r="310">
      <c r="A310" s="3" t="inlineStr">
        <is>
          <t>004845</t>
        </is>
      </c>
      <c r="B310" s="5">
        <f>COUNTIF('Entetes_TriNumInterne'!$B$2:$B$1154,A310)</f>
        <v/>
      </c>
    </row>
    <row r="311">
      <c r="A311" s="3" t="inlineStr">
        <is>
          <t>004846</t>
        </is>
      </c>
      <c r="B311" s="5">
        <f>COUNTIF('Entetes_TriNumInterne'!$B$2:$B$1154,A311)</f>
        <v/>
      </c>
    </row>
    <row r="312">
      <c r="A312" s="3" t="inlineStr">
        <is>
          <t>004847</t>
        </is>
      </c>
      <c r="B312" s="5">
        <f>COUNTIF('Entetes_TriNumInterne'!$B$2:$B$1154,A312)</f>
        <v/>
      </c>
    </row>
    <row r="313">
      <c r="A313" s="3" t="inlineStr">
        <is>
          <t>004848</t>
        </is>
      </c>
      <c r="B313" s="5">
        <f>COUNTIF('Entetes_TriNumInterne'!$B$2:$B$1154,A313)</f>
        <v/>
      </c>
    </row>
    <row r="314">
      <c r="A314" s="3" t="inlineStr">
        <is>
          <t>004849</t>
        </is>
      </c>
      <c r="B314" s="5">
        <f>COUNTIF('Entetes_TriNumInterne'!$B$2:$B$1154,A314)</f>
        <v/>
      </c>
    </row>
    <row r="315">
      <c r="A315" s="3" t="inlineStr">
        <is>
          <t>004850</t>
        </is>
      </c>
      <c r="B315" s="5">
        <f>COUNTIF('Entetes_TriNumInterne'!$B$2:$B$1154,A315)</f>
        <v/>
      </c>
    </row>
    <row r="316">
      <c r="A316" s="3" t="inlineStr">
        <is>
          <t>004851</t>
        </is>
      </c>
      <c r="B316" s="5">
        <f>COUNTIF('Entetes_TriNumInterne'!$B$2:$B$1154,A316)</f>
        <v/>
      </c>
    </row>
    <row r="317">
      <c r="A317" s="3" t="inlineStr">
        <is>
          <t>004852</t>
        </is>
      </c>
      <c r="B317" s="5">
        <f>COUNTIF('Entetes_TriNumInterne'!$B$2:$B$1154,A317)</f>
        <v/>
      </c>
    </row>
    <row r="318">
      <c r="A318" s="3" t="inlineStr">
        <is>
          <t>004853</t>
        </is>
      </c>
      <c r="B318" s="5">
        <f>COUNTIF('Entetes_TriNumInterne'!$B$2:$B$1154,A318)</f>
        <v/>
      </c>
    </row>
    <row r="319">
      <c r="A319" s="3" t="inlineStr">
        <is>
          <t>004854</t>
        </is>
      </c>
      <c r="B319" s="5">
        <f>COUNTIF('Entetes_TriNumInterne'!$B$2:$B$1154,A319)</f>
        <v/>
      </c>
    </row>
    <row r="320">
      <c r="A320" s="3" t="inlineStr">
        <is>
          <t>004862</t>
        </is>
      </c>
      <c r="B320" s="5">
        <f>COUNTIF('Entetes_TriNumInterne'!$B$2:$B$1154,A320)</f>
        <v/>
      </c>
    </row>
    <row r="321">
      <c r="A321" s="3" t="inlineStr">
        <is>
          <t>004863</t>
        </is>
      </c>
      <c r="B321" s="5">
        <f>COUNTIF('Entetes_TriNumInterne'!$B$2:$B$1154,A321)</f>
        <v/>
      </c>
    </row>
    <row r="322">
      <c r="A322" s="3" t="inlineStr">
        <is>
          <t>004864</t>
        </is>
      </c>
      <c r="B322" s="5">
        <f>COUNTIF('Entetes_TriNumInterne'!$B$2:$B$1154,A322)</f>
        <v/>
      </c>
    </row>
    <row r="323">
      <c r="A323" s="3" t="inlineStr">
        <is>
          <t>004865</t>
        </is>
      </c>
      <c r="B323" s="5">
        <f>COUNTIF('Entetes_TriNumInterne'!$B$2:$B$1154,A323)</f>
        <v/>
      </c>
    </row>
    <row r="324">
      <c r="A324" s="3" t="inlineStr">
        <is>
          <t>004866</t>
        </is>
      </c>
      <c r="B324" s="5">
        <f>COUNTIF('Entetes_TriNumInterne'!$B$2:$B$1154,A324)</f>
        <v/>
      </c>
    </row>
    <row r="325">
      <c r="A325" s="3" t="inlineStr">
        <is>
          <t>004867</t>
        </is>
      </c>
      <c r="B325" s="5">
        <f>COUNTIF('Entetes_TriNumInterne'!$B$2:$B$1154,A325)</f>
        <v/>
      </c>
    </row>
    <row r="326">
      <c r="A326" s="3" t="inlineStr">
        <is>
          <t>004868</t>
        </is>
      </c>
      <c r="B326" s="5">
        <f>COUNTIF('Entetes_TriNumInterne'!$B$2:$B$1154,A326)</f>
        <v/>
      </c>
    </row>
    <row r="327">
      <c r="A327" s="3" t="inlineStr">
        <is>
          <t>004869</t>
        </is>
      </c>
      <c r="B327" s="5">
        <f>COUNTIF('Entetes_TriNumInterne'!$B$2:$B$1154,A327)</f>
        <v/>
      </c>
    </row>
    <row r="328">
      <c r="A328" s="3" t="inlineStr">
        <is>
          <t>004870</t>
        </is>
      </c>
      <c r="B328" s="5">
        <f>COUNTIF('Entetes_TriNumInterne'!$B$2:$B$1154,A328)</f>
        <v/>
      </c>
    </row>
    <row r="329">
      <c r="A329" s="3" t="inlineStr">
        <is>
          <t>004871</t>
        </is>
      </c>
      <c r="B329" s="5">
        <f>COUNTIF('Entetes_TriNumInterne'!$B$2:$B$1154,A329)</f>
        <v/>
      </c>
    </row>
    <row r="330">
      <c r="A330" s="3" t="inlineStr">
        <is>
          <t>004872</t>
        </is>
      </c>
      <c r="B330" s="5">
        <f>COUNTIF('Entetes_TriNumInterne'!$B$2:$B$1154,A330)</f>
        <v/>
      </c>
    </row>
    <row r="331">
      <c r="A331" s="3" t="inlineStr">
        <is>
          <t>004873</t>
        </is>
      </c>
      <c r="B331" s="5">
        <f>COUNTIF('Entetes_TriNumInterne'!$B$2:$B$1154,A331)</f>
        <v/>
      </c>
    </row>
    <row r="332">
      <c r="A332" s="3" t="inlineStr">
        <is>
          <t>004874</t>
        </is>
      </c>
      <c r="B332" s="5">
        <f>COUNTIF('Entetes_TriNumInterne'!$B$2:$B$1154,A332)</f>
        <v/>
      </c>
    </row>
    <row r="333">
      <c r="A333" s="3" t="inlineStr">
        <is>
          <t>004875</t>
        </is>
      </c>
      <c r="B333" s="5">
        <f>COUNTIF('Entetes_TriNumInterne'!$B$2:$B$1154,A333)</f>
        <v/>
      </c>
    </row>
    <row r="334">
      <c r="A334" s="3" t="inlineStr">
        <is>
          <t>004876</t>
        </is>
      </c>
      <c r="B334" s="5">
        <f>COUNTIF('Entetes_TriNumInterne'!$B$2:$B$1154,A334)</f>
        <v/>
      </c>
    </row>
    <row r="335">
      <c r="A335" s="3" t="inlineStr">
        <is>
          <t>004877</t>
        </is>
      </c>
      <c r="B335" s="5">
        <f>COUNTIF('Entetes_TriNumInterne'!$B$2:$B$1154,A335)</f>
        <v/>
      </c>
    </row>
    <row r="336">
      <c r="A336" s="3" t="inlineStr">
        <is>
          <t>004878</t>
        </is>
      </c>
      <c r="B336" s="5">
        <f>COUNTIF('Entetes_TriNumInterne'!$B$2:$B$1154,A336)</f>
        <v/>
      </c>
    </row>
    <row r="337">
      <c r="A337" s="3" t="inlineStr">
        <is>
          <t>004879</t>
        </is>
      </c>
      <c r="B337" s="5">
        <f>COUNTIF('Entetes_TriNumInterne'!$B$2:$B$1154,A337)</f>
        <v/>
      </c>
    </row>
    <row r="338">
      <c r="A338" s="3" t="inlineStr">
        <is>
          <t>004880</t>
        </is>
      </c>
      <c r="B338" s="5">
        <f>COUNTIF('Entetes_TriNumInterne'!$B$2:$B$1154,A338)</f>
        <v/>
      </c>
    </row>
    <row r="339">
      <c r="A339" s="3" t="inlineStr">
        <is>
          <t>004881</t>
        </is>
      </c>
      <c r="B339" s="5">
        <f>COUNTIF('Entetes_TriNumInterne'!$B$2:$B$1154,A339)</f>
        <v/>
      </c>
    </row>
    <row r="340">
      <c r="A340" s="3" t="inlineStr">
        <is>
          <t>004882</t>
        </is>
      </c>
      <c r="B340" s="5">
        <f>COUNTIF('Entetes_TriNumInterne'!$B$2:$B$1154,A340)</f>
        <v/>
      </c>
    </row>
    <row r="341">
      <c r="A341" s="3" t="inlineStr">
        <is>
          <t>004883</t>
        </is>
      </c>
      <c r="B341" s="5">
        <f>COUNTIF('Entetes_TriNumInterne'!$B$2:$B$1154,A341)</f>
        <v/>
      </c>
    </row>
    <row r="342">
      <c r="A342" s="3" t="inlineStr">
        <is>
          <t>004884</t>
        </is>
      </c>
      <c r="B342" s="5">
        <f>COUNTIF('Entetes_TriNumInterne'!$B$2:$B$1154,A342)</f>
        <v/>
      </c>
    </row>
    <row r="343">
      <c r="A343" s="3" t="inlineStr">
        <is>
          <t>004885</t>
        </is>
      </c>
      <c r="B343" s="5">
        <f>COUNTIF('Entetes_TriNumInterne'!$B$2:$B$1154,A343)</f>
        <v/>
      </c>
    </row>
    <row r="344">
      <c r="A344" s="3" t="inlineStr">
        <is>
          <t>004886</t>
        </is>
      </c>
      <c r="B344" s="5">
        <f>COUNTIF('Entetes_TriNumInterne'!$B$2:$B$1154,A344)</f>
        <v/>
      </c>
    </row>
    <row r="345">
      <c r="A345" s="3" t="inlineStr">
        <is>
          <t>004887</t>
        </is>
      </c>
      <c r="B345" s="5">
        <f>COUNTIF('Entetes_TriNumInterne'!$B$2:$B$1154,A345)</f>
        <v/>
      </c>
    </row>
    <row r="346">
      <c r="A346" s="3" t="inlineStr">
        <is>
          <t>004888</t>
        </is>
      </c>
      <c r="B346" s="5">
        <f>COUNTIF('Entetes_TriNumInterne'!$B$2:$B$1154,A346)</f>
        <v/>
      </c>
    </row>
    <row r="347">
      <c r="A347" s="3" t="inlineStr">
        <is>
          <t>004889</t>
        </is>
      </c>
      <c r="B347" s="5">
        <f>COUNTIF('Entetes_TriNumInterne'!$B$2:$B$1154,A347)</f>
        <v/>
      </c>
    </row>
    <row r="348">
      <c r="A348" s="3" t="inlineStr">
        <is>
          <t>004890</t>
        </is>
      </c>
      <c r="B348" s="5">
        <f>COUNTIF('Entetes_TriNumInterne'!$B$2:$B$1154,A348)</f>
        <v/>
      </c>
    </row>
    <row r="349">
      <c r="A349" s="3" t="inlineStr">
        <is>
          <t>004891</t>
        </is>
      </c>
      <c r="B349" s="5">
        <f>COUNTIF('Entetes_TriNumInterne'!$B$2:$B$1154,A349)</f>
        <v/>
      </c>
    </row>
    <row r="350">
      <c r="A350" s="3" t="inlineStr">
        <is>
          <t>004892</t>
        </is>
      </c>
      <c r="B350" s="5">
        <f>COUNTIF('Entetes_TriNumInterne'!$B$2:$B$1154,A350)</f>
        <v/>
      </c>
    </row>
    <row r="351">
      <c r="A351" s="3" t="inlineStr">
        <is>
          <t>004893</t>
        </is>
      </c>
      <c r="B351" s="5">
        <f>COUNTIF('Entetes_TriNumInterne'!$B$2:$B$1154,A351)</f>
        <v/>
      </c>
    </row>
    <row r="352">
      <c r="A352" s="3" t="inlineStr">
        <is>
          <t>004894</t>
        </is>
      </c>
      <c r="B352" s="5">
        <f>COUNTIF('Entetes_TriNumInterne'!$B$2:$B$1154,A352)</f>
        <v/>
      </c>
    </row>
    <row r="353">
      <c r="A353" s="3" t="inlineStr">
        <is>
          <t>004895</t>
        </is>
      </c>
      <c r="B353" s="5">
        <f>COUNTIF('Entetes_TriNumInterne'!$B$2:$B$1154,A353)</f>
        <v/>
      </c>
    </row>
    <row r="354">
      <c r="A354" s="3" t="inlineStr">
        <is>
          <t>004896</t>
        </is>
      </c>
      <c r="B354" s="5">
        <f>COUNTIF('Entetes_TriNumInterne'!$B$2:$B$1154,A354)</f>
        <v/>
      </c>
    </row>
    <row r="355">
      <c r="A355" s="3" t="inlineStr">
        <is>
          <t>004897</t>
        </is>
      </c>
      <c r="B355" s="5">
        <f>COUNTIF('Entetes_TriNumInterne'!$B$2:$B$1154,A355)</f>
        <v/>
      </c>
    </row>
    <row r="356">
      <c r="A356" s="3" t="inlineStr">
        <is>
          <t>004898</t>
        </is>
      </c>
      <c r="B356" s="5">
        <f>COUNTIF('Entetes_TriNumInterne'!$B$2:$B$1154,A356)</f>
        <v/>
      </c>
    </row>
    <row r="357">
      <c r="A357" s="3" t="inlineStr">
        <is>
          <t>004899</t>
        </is>
      </c>
      <c r="B357" s="5">
        <f>COUNTIF('Entetes_TriNumInterne'!$B$2:$B$1154,A357)</f>
        <v/>
      </c>
    </row>
    <row r="358">
      <c r="A358" s="3" t="inlineStr">
        <is>
          <t>004900</t>
        </is>
      </c>
      <c r="B358" s="5">
        <f>COUNTIF('Entetes_TriNumInterne'!$B$2:$B$1154,A358)</f>
        <v/>
      </c>
    </row>
    <row r="359">
      <c r="A359" s="3" t="inlineStr">
        <is>
          <t>004901</t>
        </is>
      </c>
      <c r="B359" s="5">
        <f>COUNTIF('Entetes_TriNumInterne'!$B$2:$B$1154,A359)</f>
        <v/>
      </c>
    </row>
    <row r="360">
      <c r="A360" s="3" t="inlineStr">
        <is>
          <t>004902</t>
        </is>
      </c>
      <c r="B360" s="5">
        <f>COUNTIF('Entetes_TriNumInterne'!$B$2:$B$1154,A360)</f>
        <v/>
      </c>
    </row>
    <row r="361">
      <c r="A361" s="3" t="inlineStr">
        <is>
          <t>004903</t>
        </is>
      </c>
      <c r="B361" s="5">
        <f>COUNTIF('Entetes_TriNumInterne'!$B$2:$B$1154,A361)</f>
        <v/>
      </c>
    </row>
    <row r="362">
      <c r="A362" s="3" t="inlineStr">
        <is>
          <t>004904</t>
        </is>
      </c>
      <c r="B362" s="5">
        <f>COUNTIF('Entetes_TriNumInterne'!$B$2:$B$1154,A362)</f>
        <v/>
      </c>
    </row>
    <row r="363">
      <c r="A363" s="3" t="inlineStr">
        <is>
          <t>004905</t>
        </is>
      </c>
      <c r="B363" s="5">
        <f>COUNTIF('Entetes_TriNumInterne'!$B$2:$B$1154,A363)</f>
        <v/>
      </c>
    </row>
    <row r="364">
      <c r="A364" s="3" t="inlineStr">
        <is>
          <t>004906</t>
        </is>
      </c>
      <c r="B364" s="5">
        <f>COUNTIF('Entetes_TriNumInterne'!$B$2:$B$1154,A364)</f>
        <v/>
      </c>
    </row>
    <row r="365">
      <c r="A365" s="3" t="inlineStr">
        <is>
          <t>004907</t>
        </is>
      </c>
      <c r="B365" s="5">
        <f>COUNTIF('Entetes_TriNumInterne'!$B$2:$B$1154,A365)</f>
        <v/>
      </c>
    </row>
    <row r="366">
      <c r="A366" s="3" t="inlineStr">
        <is>
          <t>004908</t>
        </is>
      </c>
      <c r="B366" s="5">
        <f>COUNTIF('Entetes_TriNumInterne'!$B$2:$B$1154,A366)</f>
        <v/>
      </c>
    </row>
    <row r="367">
      <c r="A367" s="3" t="inlineStr">
        <is>
          <t>004916</t>
        </is>
      </c>
      <c r="B367" s="5">
        <f>COUNTIF('Entetes_TriNumInterne'!$B$2:$B$1154,A367)</f>
        <v/>
      </c>
    </row>
    <row r="368">
      <c r="A368" s="3" t="inlineStr">
        <is>
          <t>004917</t>
        </is>
      </c>
      <c r="B368" s="5">
        <f>COUNTIF('Entetes_TriNumInterne'!$B$2:$B$1154,A368)</f>
        <v/>
      </c>
    </row>
    <row r="369">
      <c r="A369" s="3" t="inlineStr">
        <is>
          <t>004918</t>
        </is>
      </c>
      <c r="B369" s="5">
        <f>COUNTIF('Entetes_TriNumInterne'!$B$2:$B$1154,A369)</f>
        <v/>
      </c>
    </row>
    <row r="370">
      <c r="A370" s="3" t="inlineStr">
        <is>
          <t>004919</t>
        </is>
      </c>
      <c r="B370" s="5">
        <f>COUNTIF('Entetes_TriNumInterne'!$B$2:$B$1154,A370)</f>
        <v/>
      </c>
    </row>
    <row r="371">
      <c r="A371" s="3" t="inlineStr">
        <is>
          <t>004920</t>
        </is>
      </c>
      <c r="B371" s="5">
        <f>COUNTIF('Entetes_TriNumInterne'!$B$2:$B$1154,A371)</f>
        <v/>
      </c>
    </row>
    <row r="372">
      <c r="A372" s="3" t="inlineStr">
        <is>
          <t>004921</t>
        </is>
      </c>
      <c r="B372" s="5">
        <f>COUNTIF('Entetes_TriNumInterne'!$B$2:$B$1154,A372)</f>
        <v/>
      </c>
    </row>
    <row r="373">
      <c r="A373" s="3" t="inlineStr">
        <is>
          <t>004922</t>
        </is>
      </c>
      <c r="B373" s="5">
        <f>COUNTIF('Entetes_TriNumInterne'!$B$2:$B$1154,A373)</f>
        <v/>
      </c>
    </row>
    <row r="374">
      <c r="A374" s="3" t="inlineStr">
        <is>
          <t>004923</t>
        </is>
      </c>
      <c r="B374" s="5">
        <f>COUNTIF('Entetes_TriNumInterne'!$B$2:$B$1154,A374)</f>
        <v/>
      </c>
    </row>
    <row r="375">
      <c r="A375" s="3" t="inlineStr">
        <is>
          <t>004924</t>
        </is>
      </c>
      <c r="B375" s="5">
        <f>COUNTIF('Entetes_TriNumInterne'!$B$2:$B$1154,A375)</f>
        <v/>
      </c>
    </row>
    <row r="376">
      <c r="A376" s="3" t="inlineStr">
        <is>
          <t>004925</t>
        </is>
      </c>
      <c r="B376" s="5">
        <f>COUNTIF('Entetes_TriNumInterne'!$B$2:$B$1154,A376)</f>
        <v/>
      </c>
    </row>
    <row r="377">
      <c r="A377" s="3" t="inlineStr">
        <is>
          <t>004926</t>
        </is>
      </c>
      <c r="B377" s="5">
        <f>COUNTIF('Entetes_TriNumInterne'!$B$2:$B$1154,A377)</f>
        <v/>
      </c>
    </row>
    <row r="378">
      <c r="A378" s="3" t="inlineStr">
        <is>
          <t>004927</t>
        </is>
      </c>
      <c r="B378" s="5">
        <f>COUNTIF('Entetes_TriNumInterne'!$B$2:$B$1154,A378)</f>
        <v/>
      </c>
    </row>
    <row r="379">
      <c r="A379" s="3" t="inlineStr">
        <is>
          <t>004928</t>
        </is>
      </c>
      <c r="B379" s="5">
        <f>COUNTIF('Entetes_TriNumInterne'!$B$2:$B$1154,A379)</f>
        <v/>
      </c>
    </row>
    <row r="380">
      <c r="A380" s="3" t="inlineStr">
        <is>
          <t>004929</t>
        </is>
      </c>
      <c r="B380" s="5">
        <f>COUNTIF('Entetes_TriNumInterne'!$B$2:$B$1154,A380)</f>
        <v/>
      </c>
    </row>
    <row r="381">
      <c r="A381" s="3" t="inlineStr">
        <is>
          <t>004930</t>
        </is>
      </c>
      <c r="B381" s="5">
        <f>COUNTIF('Entetes_TriNumInterne'!$B$2:$B$1154,A381)</f>
        <v/>
      </c>
    </row>
    <row r="382">
      <c r="A382" s="3" t="inlineStr">
        <is>
          <t>004931</t>
        </is>
      </c>
      <c r="B382" s="5">
        <f>COUNTIF('Entetes_TriNumInterne'!$B$2:$B$1154,A382)</f>
        <v/>
      </c>
    </row>
    <row r="383">
      <c r="A383" s="3" t="inlineStr">
        <is>
          <t>004932</t>
        </is>
      </c>
      <c r="B383" s="5">
        <f>COUNTIF('Entetes_TriNumInterne'!$B$2:$B$1154,A383)</f>
        <v/>
      </c>
    </row>
    <row r="384">
      <c r="A384" s="3" t="inlineStr">
        <is>
          <t>004933</t>
        </is>
      </c>
      <c r="B384" s="5">
        <f>COUNTIF('Entetes_TriNumInterne'!$B$2:$B$1154,A384)</f>
        <v/>
      </c>
    </row>
    <row r="385">
      <c r="A385" s="3" t="inlineStr">
        <is>
          <t>004934</t>
        </is>
      </c>
      <c r="B385" s="5">
        <f>COUNTIF('Entetes_TriNumInterne'!$B$2:$B$1154,A385)</f>
        <v/>
      </c>
    </row>
    <row r="386">
      <c r="A386" s="3" t="inlineStr">
        <is>
          <t>004935</t>
        </is>
      </c>
      <c r="B386" s="5">
        <f>COUNTIF('Entetes_TriNumInterne'!$B$2:$B$1154,A386)</f>
        <v/>
      </c>
    </row>
    <row r="387">
      <c r="A387" s="3" t="inlineStr">
        <is>
          <t>004936</t>
        </is>
      </c>
      <c r="B387" s="5">
        <f>COUNTIF('Entetes_TriNumInterne'!$B$2:$B$1154,A387)</f>
        <v/>
      </c>
    </row>
    <row r="388">
      <c r="A388" s="3" t="inlineStr">
        <is>
          <t>004937</t>
        </is>
      </c>
      <c r="B388" s="5">
        <f>COUNTIF('Entetes_TriNumInterne'!$B$2:$B$1154,A388)</f>
        <v/>
      </c>
    </row>
    <row r="389">
      <c r="A389" s="3" t="inlineStr">
        <is>
          <t>004938</t>
        </is>
      </c>
      <c r="B389" s="5">
        <f>COUNTIF('Entetes_TriNumInterne'!$B$2:$B$1154,A389)</f>
        <v/>
      </c>
    </row>
    <row r="390">
      <c r="A390" s="3" t="inlineStr">
        <is>
          <t>004939</t>
        </is>
      </c>
      <c r="B390" s="5">
        <f>COUNTIF('Entetes_TriNumInterne'!$B$2:$B$1154,A390)</f>
        <v/>
      </c>
    </row>
    <row r="391">
      <c r="A391" s="3" t="inlineStr">
        <is>
          <t>004940</t>
        </is>
      </c>
      <c r="B391" s="5">
        <f>COUNTIF('Entetes_TriNumInterne'!$B$2:$B$1154,A391)</f>
        <v/>
      </c>
    </row>
    <row r="392">
      <c r="A392" s="3" t="inlineStr">
        <is>
          <t>004941</t>
        </is>
      </c>
      <c r="B392" s="5">
        <f>COUNTIF('Entetes_TriNumInterne'!$B$2:$B$1154,A392)</f>
        <v/>
      </c>
    </row>
    <row r="393">
      <c r="A393" s="3" t="inlineStr">
        <is>
          <t>004942</t>
        </is>
      </c>
      <c r="B393" s="5">
        <f>COUNTIF('Entetes_TriNumInterne'!$B$2:$B$1154,A393)</f>
        <v/>
      </c>
    </row>
    <row r="394">
      <c r="A394" s="3" t="inlineStr">
        <is>
          <t>004943</t>
        </is>
      </c>
      <c r="B394" s="5">
        <f>COUNTIF('Entetes_TriNumInterne'!$B$2:$B$1154,A394)</f>
        <v/>
      </c>
    </row>
    <row r="395">
      <c r="A395" s="3" t="inlineStr">
        <is>
          <t>004944</t>
        </is>
      </c>
      <c r="B395" s="5">
        <f>COUNTIF('Entetes_TriNumInterne'!$B$2:$B$1154,A395)</f>
        <v/>
      </c>
    </row>
    <row r="396">
      <c r="A396" s="3" t="inlineStr">
        <is>
          <t>004945</t>
        </is>
      </c>
      <c r="B396" s="5">
        <f>COUNTIF('Entetes_TriNumInterne'!$B$2:$B$1154,A396)</f>
        <v/>
      </c>
    </row>
    <row r="397">
      <c r="A397" s="3" t="inlineStr">
        <is>
          <t>004946</t>
        </is>
      </c>
      <c r="B397" s="5">
        <f>COUNTIF('Entetes_TriNumInterne'!$B$2:$B$1154,A397)</f>
        <v/>
      </c>
    </row>
    <row r="398">
      <c r="A398" s="3" t="inlineStr">
        <is>
          <t>004947</t>
        </is>
      </c>
      <c r="B398" s="5">
        <f>COUNTIF('Entetes_TriNumInterne'!$B$2:$B$1154,A398)</f>
        <v/>
      </c>
    </row>
    <row r="399">
      <c r="A399" s="3" t="inlineStr">
        <is>
          <t>004948</t>
        </is>
      </c>
      <c r="B399" s="5">
        <f>COUNTIF('Entetes_TriNumInterne'!$B$2:$B$1154,A399)</f>
        <v/>
      </c>
    </row>
    <row r="400">
      <c r="A400" s="3" t="inlineStr">
        <is>
          <t>004949</t>
        </is>
      </c>
      <c r="B400" s="5">
        <f>COUNTIF('Entetes_TriNumInterne'!$B$2:$B$1154,A400)</f>
        <v/>
      </c>
    </row>
    <row r="401">
      <c r="A401" s="3" t="inlineStr">
        <is>
          <t>004950</t>
        </is>
      </c>
      <c r="B401" s="5">
        <f>COUNTIF('Entetes_TriNumInterne'!$B$2:$B$1154,A401)</f>
        <v/>
      </c>
    </row>
    <row r="402">
      <c r="A402" s="3" t="inlineStr">
        <is>
          <t>004951</t>
        </is>
      </c>
      <c r="B402" s="5">
        <f>COUNTIF('Entetes_TriNumInterne'!$B$2:$B$1154,A402)</f>
        <v/>
      </c>
    </row>
    <row r="403">
      <c r="A403" s="3" t="inlineStr">
        <is>
          <t>004952</t>
        </is>
      </c>
      <c r="B403" s="5">
        <f>COUNTIF('Entetes_TriNumInterne'!$B$2:$B$1154,A403)</f>
        <v/>
      </c>
    </row>
    <row r="404">
      <c r="A404" s="3" t="inlineStr">
        <is>
          <t>004953</t>
        </is>
      </c>
      <c r="B404" s="5">
        <f>COUNTIF('Entetes_TriNumInterne'!$B$2:$B$1154,A404)</f>
        <v/>
      </c>
    </row>
    <row r="405">
      <c r="A405" s="3" t="inlineStr">
        <is>
          <t>004954</t>
        </is>
      </c>
      <c r="B405" s="5">
        <f>COUNTIF('Entetes_TriNumInterne'!$B$2:$B$1154,A405)</f>
        <v/>
      </c>
    </row>
    <row r="406">
      <c r="A406" s="3" t="inlineStr">
        <is>
          <t>004955</t>
        </is>
      </c>
      <c r="B406" s="5">
        <f>COUNTIF('Entetes_TriNumInterne'!$B$2:$B$1154,A406)</f>
        <v/>
      </c>
    </row>
    <row r="407">
      <c r="A407" s="3" t="inlineStr">
        <is>
          <t>004956</t>
        </is>
      </c>
      <c r="B407" s="5">
        <f>COUNTIF('Entetes_TriNumInterne'!$B$2:$B$1154,A407)</f>
        <v/>
      </c>
    </row>
    <row r="408">
      <c r="A408" s="3" t="inlineStr">
        <is>
          <t>004957</t>
        </is>
      </c>
      <c r="B408" s="5">
        <f>COUNTIF('Entetes_TriNumInterne'!$B$2:$B$1154,A408)</f>
        <v/>
      </c>
    </row>
    <row r="409">
      <c r="A409" s="3" t="inlineStr">
        <is>
          <t>004958</t>
        </is>
      </c>
      <c r="B409" s="5">
        <f>COUNTIF('Entetes_TriNumInterne'!$B$2:$B$1154,A409)</f>
        <v/>
      </c>
    </row>
    <row r="410">
      <c r="A410" s="3" t="inlineStr">
        <is>
          <t>004959</t>
        </is>
      </c>
      <c r="B410" s="5">
        <f>COUNTIF('Entetes_TriNumInterne'!$B$2:$B$1154,A410)</f>
        <v/>
      </c>
    </row>
    <row r="411">
      <c r="A411" s="3" t="inlineStr">
        <is>
          <t>004960</t>
        </is>
      </c>
      <c r="B411" s="5">
        <f>COUNTIF('Entetes_TriNumInterne'!$B$2:$B$1154,A411)</f>
        <v/>
      </c>
    </row>
    <row r="412">
      <c r="A412" s="3" t="inlineStr">
        <is>
          <t>004961</t>
        </is>
      </c>
      <c r="B412" s="5">
        <f>COUNTIF('Entetes_TriNumInterne'!$B$2:$B$1154,A412)</f>
        <v/>
      </c>
    </row>
    <row r="413">
      <c r="A413" s="3" t="inlineStr">
        <is>
          <t>004962</t>
        </is>
      </c>
      <c r="B413" s="5">
        <f>COUNTIF('Entetes_TriNumInterne'!$B$2:$B$1154,A413)</f>
        <v/>
      </c>
    </row>
    <row r="414">
      <c r="A414" s="3" t="inlineStr">
        <is>
          <t>004970</t>
        </is>
      </c>
      <c r="B414" s="5">
        <f>COUNTIF('Entetes_TriNumInterne'!$B$2:$B$1154,A414)</f>
        <v/>
      </c>
    </row>
    <row r="415">
      <c r="A415" s="3" t="inlineStr">
        <is>
          <t>004971</t>
        </is>
      </c>
      <c r="B415" s="5">
        <f>COUNTIF('Entetes_TriNumInterne'!$B$2:$B$1154,A415)</f>
        <v/>
      </c>
    </row>
    <row r="416">
      <c r="A416" s="3" t="inlineStr">
        <is>
          <t>004972</t>
        </is>
      </c>
      <c r="B416" s="5">
        <f>COUNTIF('Entetes_TriNumInterne'!$B$2:$B$1154,A416)</f>
        <v/>
      </c>
    </row>
    <row r="417">
      <c r="A417" s="3" t="inlineStr">
        <is>
          <t>004973</t>
        </is>
      </c>
      <c r="B417" s="5">
        <f>COUNTIF('Entetes_TriNumInterne'!$B$2:$B$1154,A417)</f>
        <v/>
      </c>
    </row>
    <row r="418">
      <c r="A418" s="3" t="inlineStr">
        <is>
          <t>004974</t>
        </is>
      </c>
      <c r="B418" s="5">
        <f>COUNTIF('Entetes_TriNumInterne'!$B$2:$B$1154,A418)</f>
        <v/>
      </c>
    </row>
    <row r="419">
      <c r="A419" s="3" t="inlineStr">
        <is>
          <t>004975</t>
        </is>
      </c>
      <c r="B419" s="5">
        <f>COUNTIF('Entetes_TriNumInterne'!$B$2:$B$1154,A419)</f>
        <v/>
      </c>
    </row>
    <row r="420">
      <c r="A420" s="3" t="inlineStr">
        <is>
          <t>004976</t>
        </is>
      </c>
      <c r="B420" s="5">
        <f>COUNTIF('Entetes_TriNumInterne'!$B$2:$B$1154,A420)</f>
        <v/>
      </c>
    </row>
    <row r="421">
      <c r="A421" s="3" t="inlineStr">
        <is>
          <t>004977</t>
        </is>
      </c>
      <c r="B421" s="5">
        <f>COUNTIF('Entetes_TriNumInterne'!$B$2:$B$1154,A421)</f>
        <v/>
      </c>
    </row>
    <row r="422">
      <c r="A422" s="3" t="inlineStr">
        <is>
          <t>004978</t>
        </is>
      </c>
      <c r="B422" s="5">
        <f>COUNTIF('Entetes_TriNumInterne'!$B$2:$B$1154,A422)</f>
        <v/>
      </c>
    </row>
    <row r="423">
      <c r="A423" s="3" t="inlineStr">
        <is>
          <t>004979</t>
        </is>
      </c>
      <c r="B423" s="5">
        <f>COUNTIF('Entetes_TriNumInterne'!$B$2:$B$1154,A423)</f>
        <v/>
      </c>
    </row>
    <row r="424">
      <c r="A424" s="3" t="inlineStr">
        <is>
          <t>004980</t>
        </is>
      </c>
      <c r="B424" s="5">
        <f>COUNTIF('Entetes_TriNumInterne'!$B$2:$B$1154,A424)</f>
        <v/>
      </c>
    </row>
    <row r="425">
      <c r="A425" s="3" t="inlineStr">
        <is>
          <t>004981</t>
        </is>
      </c>
      <c r="B425" s="5">
        <f>COUNTIF('Entetes_TriNumInterne'!$B$2:$B$1154,A425)</f>
        <v/>
      </c>
    </row>
    <row r="426">
      <c r="A426" s="3" t="inlineStr">
        <is>
          <t>004982</t>
        </is>
      </c>
      <c r="B426" s="5">
        <f>COUNTIF('Entetes_TriNumInterne'!$B$2:$B$1154,A426)</f>
        <v/>
      </c>
    </row>
    <row r="427">
      <c r="A427" s="3" t="inlineStr">
        <is>
          <t>004983</t>
        </is>
      </c>
      <c r="B427" s="5">
        <f>COUNTIF('Entetes_TriNumInterne'!$B$2:$B$1154,A427)</f>
        <v/>
      </c>
    </row>
    <row r="428">
      <c r="A428" s="3" t="inlineStr">
        <is>
          <t>004984</t>
        </is>
      </c>
      <c r="B428" s="5">
        <f>COUNTIF('Entetes_TriNumInterne'!$B$2:$B$1154,A428)</f>
        <v/>
      </c>
    </row>
    <row r="429">
      <c r="A429" s="3" t="inlineStr">
        <is>
          <t>004985</t>
        </is>
      </c>
      <c r="B429" s="5">
        <f>COUNTIF('Entetes_TriNumInterne'!$B$2:$B$1154,A429)</f>
        <v/>
      </c>
    </row>
    <row r="430">
      <c r="A430" s="3" t="inlineStr">
        <is>
          <t>004986</t>
        </is>
      </c>
      <c r="B430" s="5">
        <f>COUNTIF('Entetes_TriNumInterne'!$B$2:$B$1154,A430)</f>
        <v/>
      </c>
    </row>
    <row r="431">
      <c r="A431" s="3" t="inlineStr">
        <is>
          <t>004987</t>
        </is>
      </c>
      <c r="B431" s="5">
        <f>COUNTIF('Entetes_TriNumInterne'!$B$2:$B$1154,A431)</f>
        <v/>
      </c>
    </row>
    <row r="432">
      <c r="A432" s="3" t="inlineStr">
        <is>
          <t>004988</t>
        </is>
      </c>
      <c r="B432" s="5">
        <f>COUNTIF('Entetes_TriNumInterne'!$B$2:$B$1154,A432)</f>
        <v/>
      </c>
    </row>
    <row r="433">
      <c r="A433" s="3" t="inlineStr">
        <is>
          <t>004989</t>
        </is>
      </c>
      <c r="B433" s="5">
        <f>COUNTIF('Entetes_TriNumInterne'!$B$2:$B$1154,A433)</f>
        <v/>
      </c>
    </row>
    <row r="434">
      <c r="A434" s="3" t="inlineStr">
        <is>
          <t>004990</t>
        </is>
      </c>
      <c r="B434" s="5">
        <f>COUNTIF('Entetes_TriNumInterne'!$B$2:$B$1154,A434)</f>
        <v/>
      </c>
    </row>
    <row r="435">
      <c r="A435" s="3" t="inlineStr">
        <is>
          <t>004991</t>
        </is>
      </c>
      <c r="B435" s="5">
        <f>COUNTIF('Entetes_TriNumInterne'!$B$2:$B$1154,A435)</f>
        <v/>
      </c>
    </row>
    <row r="436">
      <c r="A436" s="3" t="inlineStr">
        <is>
          <t>004992</t>
        </is>
      </c>
      <c r="B436" s="5">
        <f>COUNTIF('Entetes_TriNumInterne'!$B$2:$B$1154,A436)</f>
        <v/>
      </c>
    </row>
    <row r="437">
      <c r="A437" s="3" t="inlineStr">
        <is>
          <t>004993</t>
        </is>
      </c>
      <c r="B437" s="5">
        <f>COUNTIF('Entetes_TriNumInterne'!$B$2:$B$1154,A437)</f>
        <v/>
      </c>
    </row>
    <row r="438">
      <c r="A438" s="3" t="inlineStr">
        <is>
          <t>004994</t>
        </is>
      </c>
      <c r="B438" s="5">
        <f>COUNTIF('Entetes_TriNumInterne'!$B$2:$B$1154,A438)</f>
        <v/>
      </c>
    </row>
    <row r="439">
      <c r="A439" s="3" t="inlineStr">
        <is>
          <t>004995</t>
        </is>
      </c>
      <c r="B439" s="5">
        <f>COUNTIF('Entetes_TriNumInterne'!$B$2:$B$1154,A439)</f>
        <v/>
      </c>
    </row>
    <row r="440">
      <c r="A440" s="3" t="inlineStr">
        <is>
          <t>004996</t>
        </is>
      </c>
      <c r="B440" s="5">
        <f>COUNTIF('Entetes_TriNumInterne'!$B$2:$B$1154,A440)</f>
        <v/>
      </c>
    </row>
    <row r="441">
      <c r="A441" s="3" t="inlineStr">
        <is>
          <t>004997</t>
        </is>
      </c>
      <c r="B441" s="5">
        <f>COUNTIF('Entetes_TriNumInterne'!$B$2:$B$1154,A441)</f>
        <v/>
      </c>
    </row>
    <row r="442">
      <c r="A442" s="3" t="inlineStr">
        <is>
          <t>004998</t>
        </is>
      </c>
      <c r="B442" s="5">
        <f>COUNTIF('Entetes_TriNumInterne'!$B$2:$B$1154,A442)</f>
        <v/>
      </c>
    </row>
    <row r="443">
      <c r="A443" s="3" t="inlineStr">
        <is>
          <t>004999</t>
        </is>
      </c>
      <c r="B443" s="5">
        <f>COUNTIF('Entetes_TriNumInterne'!$B$2:$B$1154,A443)</f>
        <v/>
      </c>
    </row>
    <row r="444">
      <c r="A444" s="3" t="inlineStr">
        <is>
          <t>005000</t>
        </is>
      </c>
      <c r="B444" s="5">
        <f>COUNTIF('Entetes_TriNumInterne'!$B$2:$B$1154,A444)</f>
        <v/>
      </c>
    </row>
    <row r="445">
      <c r="A445" s="3" t="inlineStr">
        <is>
          <t>005001</t>
        </is>
      </c>
      <c r="B445" s="5">
        <f>COUNTIF('Entetes_TriNumInterne'!$B$2:$B$1154,A445)</f>
        <v/>
      </c>
    </row>
    <row r="446">
      <c r="A446" s="3" t="inlineStr">
        <is>
          <t>005002</t>
        </is>
      </c>
      <c r="B446" s="5">
        <f>COUNTIF('Entetes_TriNumInterne'!$B$2:$B$1154,A446)</f>
        <v/>
      </c>
    </row>
    <row r="447">
      <c r="A447" s="3" t="inlineStr">
        <is>
          <t>005003</t>
        </is>
      </c>
      <c r="B447" s="5">
        <f>COUNTIF('Entetes_TriNumInterne'!$B$2:$B$1154,A447)</f>
        <v/>
      </c>
    </row>
    <row r="448">
      <c r="A448" s="3" t="inlineStr">
        <is>
          <t>005004</t>
        </is>
      </c>
      <c r="B448" s="5">
        <f>COUNTIF('Entetes_TriNumInterne'!$B$2:$B$1154,A448)</f>
        <v/>
      </c>
    </row>
    <row r="449">
      <c r="A449" s="3" t="inlineStr">
        <is>
          <t>005005</t>
        </is>
      </c>
      <c r="B449" s="5">
        <f>COUNTIF('Entetes_TriNumInterne'!$B$2:$B$1154,A449)</f>
        <v/>
      </c>
    </row>
    <row r="450">
      <c r="A450" s="3" t="inlineStr">
        <is>
          <t>005006</t>
        </is>
      </c>
      <c r="B450" s="5">
        <f>COUNTIF('Entetes_TriNumInterne'!$B$2:$B$1154,A450)</f>
        <v/>
      </c>
    </row>
    <row r="451">
      <c r="A451" s="3" t="inlineStr">
        <is>
          <t>005007</t>
        </is>
      </c>
      <c r="B451" s="5">
        <f>COUNTIF('Entetes_TriNumInterne'!$B$2:$B$1154,A451)</f>
        <v/>
      </c>
    </row>
    <row r="452">
      <c r="A452" s="3" t="inlineStr">
        <is>
          <t>005015</t>
        </is>
      </c>
      <c r="B452" s="5">
        <f>COUNTIF('Entetes_TriNumInterne'!$B$2:$B$1154,A452)</f>
        <v/>
      </c>
    </row>
    <row r="453">
      <c r="A453" s="3" t="inlineStr">
        <is>
          <t>005016</t>
        </is>
      </c>
      <c r="B453" s="5">
        <f>COUNTIF('Entetes_TriNumInterne'!$B$2:$B$1154,A453)</f>
        <v/>
      </c>
    </row>
    <row r="454">
      <c r="A454" s="3" t="inlineStr">
        <is>
          <t>005017</t>
        </is>
      </c>
      <c r="B454" s="5">
        <f>COUNTIF('Entetes_TriNumInterne'!$B$2:$B$1154,A454)</f>
        <v/>
      </c>
    </row>
    <row r="455">
      <c r="A455" s="3" t="inlineStr">
        <is>
          <t>005018</t>
        </is>
      </c>
      <c r="B455" s="5">
        <f>COUNTIF('Entetes_TriNumInterne'!$B$2:$B$1154,A455)</f>
        <v/>
      </c>
    </row>
    <row r="456">
      <c r="A456" s="3" t="inlineStr">
        <is>
          <t>005019</t>
        </is>
      </c>
      <c r="B456" s="5">
        <f>COUNTIF('Entetes_TriNumInterne'!$B$2:$B$1154,A456)</f>
        <v/>
      </c>
    </row>
    <row r="457">
      <c r="A457" s="3" t="inlineStr">
        <is>
          <t>005020</t>
        </is>
      </c>
      <c r="B457" s="5">
        <f>COUNTIF('Entetes_TriNumInterne'!$B$2:$B$1154,A457)</f>
        <v/>
      </c>
    </row>
    <row r="458">
      <c r="A458" s="3" t="inlineStr">
        <is>
          <t>005021</t>
        </is>
      </c>
      <c r="B458" s="5">
        <f>COUNTIF('Entetes_TriNumInterne'!$B$2:$B$1154,A458)</f>
        <v/>
      </c>
    </row>
    <row r="459">
      <c r="A459" s="3" t="inlineStr">
        <is>
          <t>005022</t>
        </is>
      </c>
      <c r="B459" s="5">
        <f>COUNTIF('Entetes_TriNumInterne'!$B$2:$B$1154,A459)</f>
        <v/>
      </c>
    </row>
    <row r="460">
      <c r="A460" s="3" t="inlineStr">
        <is>
          <t>005023</t>
        </is>
      </c>
      <c r="B460" s="5">
        <f>COUNTIF('Entetes_TriNumInterne'!$B$2:$B$1154,A460)</f>
        <v/>
      </c>
    </row>
    <row r="461">
      <c r="A461" s="3" t="inlineStr">
        <is>
          <t>005024</t>
        </is>
      </c>
      <c r="B461" s="5">
        <f>COUNTIF('Entetes_TriNumInterne'!$B$2:$B$1154,A461)</f>
        <v/>
      </c>
    </row>
    <row r="462">
      <c r="A462" s="3" t="inlineStr">
        <is>
          <t>005025</t>
        </is>
      </c>
      <c r="B462" s="5">
        <f>COUNTIF('Entetes_TriNumInterne'!$B$2:$B$1154,A462)</f>
        <v/>
      </c>
    </row>
    <row r="463">
      <c r="A463" s="3" t="inlineStr">
        <is>
          <t>005026</t>
        </is>
      </c>
      <c r="B463" s="5">
        <f>COUNTIF('Entetes_TriNumInterne'!$B$2:$B$1154,A463)</f>
        <v/>
      </c>
    </row>
    <row r="464">
      <c r="A464" s="3" t="inlineStr">
        <is>
          <t>005027</t>
        </is>
      </c>
      <c r="B464" s="5">
        <f>COUNTIF('Entetes_TriNumInterne'!$B$2:$B$1154,A464)</f>
        <v/>
      </c>
    </row>
    <row r="465">
      <c r="A465" s="3" t="inlineStr">
        <is>
          <t>005028</t>
        </is>
      </c>
      <c r="B465" s="5">
        <f>COUNTIF('Entetes_TriNumInterne'!$B$2:$B$1154,A465)</f>
        <v/>
      </c>
    </row>
    <row r="466">
      <c r="A466" s="3" t="inlineStr">
        <is>
          <t>005029</t>
        </is>
      </c>
      <c r="B466" s="5">
        <f>COUNTIF('Entetes_TriNumInterne'!$B$2:$B$1154,A466)</f>
        <v/>
      </c>
    </row>
    <row r="467">
      <c r="A467" s="3" t="inlineStr">
        <is>
          <t>005030</t>
        </is>
      </c>
      <c r="B467" s="5">
        <f>COUNTIF('Entetes_TriNumInterne'!$B$2:$B$1154,A467)</f>
        <v/>
      </c>
    </row>
    <row r="468">
      <c r="A468" s="3" t="inlineStr">
        <is>
          <t>005031</t>
        </is>
      </c>
      <c r="B468" s="5">
        <f>COUNTIF('Entetes_TriNumInterne'!$B$2:$B$1154,A468)</f>
        <v/>
      </c>
    </row>
    <row r="469">
      <c r="A469" s="3" t="inlineStr">
        <is>
          <t>005032</t>
        </is>
      </c>
      <c r="B469" s="5">
        <f>COUNTIF('Entetes_TriNumInterne'!$B$2:$B$1154,A469)</f>
        <v/>
      </c>
    </row>
    <row r="470">
      <c r="A470" s="3" t="inlineStr">
        <is>
          <t>005033</t>
        </is>
      </c>
      <c r="B470" s="5">
        <f>COUNTIF('Entetes_TriNumInterne'!$B$2:$B$1154,A470)</f>
        <v/>
      </c>
    </row>
    <row r="471">
      <c r="A471" s="3" t="inlineStr">
        <is>
          <t>005034</t>
        </is>
      </c>
      <c r="B471" s="5">
        <f>COUNTIF('Entetes_TriNumInterne'!$B$2:$B$1154,A471)</f>
        <v/>
      </c>
    </row>
    <row r="472">
      <c r="A472" s="3" t="inlineStr">
        <is>
          <t>005035</t>
        </is>
      </c>
      <c r="B472" s="5">
        <f>COUNTIF('Entetes_TriNumInterne'!$B$2:$B$1154,A472)</f>
        <v/>
      </c>
    </row>
    <row r="473">
      <c r="A473" s="3" t="inlineStr">
        <is>
          <t>005036</t>
        </is>
      </c>
      <c r="B473" s="5">
        <f>COUNTIF('Entetes_TriNumInterne'!$B$2:$B$1154,A473)</f>
        <v/>
      </c>
    </row>
    <row r="474">
      <c r="A474" s="3" t="inlineStr">
        <is>
          <t>005037</t>
        </is>
      </c>
      <c r="B474" s="5">
        <f>COUNTIF('Entetes_TriNumInterne'!$B$2:$B$1154,A474)</f>
        <v/>
      </c>
    </row>
    <row r="475">
      <c r="A475" s="3" t="inlineStr">
        <is>
          <t>005038</t>
        </is>
      </c>
      <c r="B475" s="5">
        <f>COUNTIF('Entetes_TriNumInterne'!$B$2:$B$1154,A475)</f>
        <v/>
      </c>
    </row>
    <row r="476">
      <c r="A476" s="3" t="inlineStr">
        <is>
          <t>005039</t>
        </is>
      </c>
      <c r="B476" s="5">
        <f>COUNTIF('Entetes_TriNumInterne'!$B$2:$B$1154,A476)</f>
        <v/>
      </c>
    </row>
    <row r="477">
      <c r="A477" s="3" t="inlineStr">
        <is>
          <t>005040</t>
        </is>
      </c>
      <c r="B477" s="5">
        <f>COUNTIF('Entetes_TriNumInterne'!$B$2:$B$1154,A477)</f>
        <v/>
      </c>
    </row>
    <row r="478">
      <c r="A478" s="3" t="inlineStr">
        <is>
          <t>005041</t>
        </is>
      </c>
      <c r="B478" s="5">
        <f>COUNTIF('Entetes_TriNumInterne'!$B$2:$B$1154,A478)</f>
        <v/>
      </c>
    </row>
    <row r="479">
      <c r="A479" s="3" t="inlineStr">
        <is>
          <t>005042</t>
        </is>
      </c>
      <c r="B479" s="5">
        <f>COUNTIF('Entetes_TriNumInterne'!$B$2:$B$1154,A479)</f>
        <v/>
      </c>
    </row>
    <row r="480">
      <c r="A480" s="3" t="inlineStr">
        <is>
          <t>005043</t>
        </is>
      </c>
      <c r="B480" s="5">
        <f>COUNTIF('Entetes_TriNumInterne'!$B$2:$B$1154,A480)</f>
        <v/>
      </c>
    </row>
    <row r="481">
      <c r="A481" s="3" t="inlineStr">
        <is>
          <t>005044</t>
        </is>
      </c>
      <c r="B481" s="5">
        <f>COUNTIF('Entetes_TriNumInterne'!$B$2:$B$1154,A481)</f>
        <v/>
      </c>
    </row>
    <row r="482">
      <c r="A482" s="3" t="inlineStr">
        <is>
          <t>005045</t>
        </is>
      </c>
      <c r="B482" s="5">
        <f>COUNTIF('Entetes_TriNumInterne'!$B$2:$B$1154,A482)</f>
        <v/>
      </c>
    </row>
    <row r="483">
      <c r="A483" s="3" t="inlineStr">
        <is>
          <t>005046</t>
        </is>
      </c>
      <c r="B483" s="5">
        <f>COUNTIF('Entetes_TriNumInterne'!$B$2:$B$1154,A483)</f>
        <v/>
      </c>
    </row>
    <row r="484">
      <c r="A484" s="3" t="inlineStr">
        <is>
          <t>005047</t>
        </is>
      </c>
      <c r="B484" s="5">
        <f>COUNTIF('Entetes_TriNumInterne'!$B$2:$B$1154,A484)</f>
        <v/>
      </c>
    </row>
    <row r="485">
      <c r="A485" s="3" t="inlineStr">
        <is>
          <t>005048</t>
        </is>
      </c>
      <c r="B485" s="5">
        <f>COUNTIF('Entetes_TriNumInterne'!$B$2:$B$1154,A485)</f>
        <v/>
      </c>
    </row>
    <row r="486">
      <c r="A486" s="3" t="inlineStr">
        <is>
          <t>005049</t>
        </is>
      </c>
      <c r="B486" s="5">
        <f>COUNTIF('Entetes_TriNumInterne'!$B$2:$B$1154,A486)</f>
        <v/>
      </c>
    </row>
    <row r="487">
      <c r="A487" s="3" t="inlineStr">
        <is>
          <t>005050</t>
        </is>
      </c>
      <c r="B487" s="5">
        <f>COUNTIF('Entetes_TriNumInterne'!$B$2:$B$1154,A487)</f>
        <v/>
      </c>
    </row>
    <row r="488">
      <c r="A488" s="3" t="inlineStr">
        <is>
          <t>005051</t>
        </is>
      </c>
      <c r="B488" s="5">
        <f>COUNTIF('Entetes_TriNumInterne'!$B$2:$B$1154,A488)</f>
        <v/>
      </c>
    </row>
    <row r="489">
      <c r="A489" s="3" t="inlineStr">
        <is>
          <t>005052</t>
        </is>
      </c>
      <c r="B489" s="5">
        <f>COUNTIF('Entetes_TriNumInterne'!$B$2:$B$1154,A489)</f>
        <v/>
      </c>
    </row>
    <row r="490">
      <c r="A490" s="3" t="inlineStr">
        <is>
          <t>005053</t>
        </is>
      </c>
      <c r="B490" s="5">
        <f>COUNTIF('Entetes_TriNumInterne'!$B$2:$B$1154,A490)</f>
        <v/>
      </c>
    </row>
    <row r="491">
      <c r="A491" s="3" t="inlineStr">
        <is>
          <t>005061</t>
        </is>
      </c>
      <c r="B491" s="5">
        <f>COUNTIF('Entetes_TriNumInterne'!$B$2:$B$1154,A491)</f>
        <v/>
      </c>
    </row>
    <row r="492">
      <c r="A492" s="3" t="inlineStr">
        <is>
          <t>005062</t>
        </is>
      </c>
      <c r="B492" s="5">
        <f>COUNTIF('Entetes_TriNumInterne'!$B$2:$B$1154,A492)</f>
        <v/>
      </c>
    </row>
    <row r="493">
      <c r="A493" s="3" t="inlineStr">
        <is>
          <t>005063</t>
        </is>
      </c>
      <c r="B493" s="5">
        <f>COUNTIF('Entetes_TriNumInterne'!$B$2:$B$1154,A493)</f>
        <v/>
      </c>
    </row>
    <row r="494">
      <c r="A494" s="3" t="inlineStr">
        <is>
          <t>005064</t>
        </is>
      </c>
      <c r="B494" s="5">
        <f>COUNTIF('Entetes_TriNumInterne'!$B$2:$B$1154,A494)</f>
        <v/>
      </c>
    </row>
    <row r="495">
      <c r="A495" s="3" t="inlineStr">
        <is>
          <t>005065</t>
        </is>
      </c>
      <c r="B495" s="5">
        <f>COUNTIF('Entetes_TriNumInterne'!$B$2:$B$1154,A495)</f>
        <v/>
      </c>
    </row>
    <row r="496">
      <c r="A496" s="3" t="inlineStr">
        <is>
          <t>005066</t>
        </is>
      </c>
      <c r="B496" s="5">
        <f>COUNTIF('Entetes_TriNumInterne'!$B$2:$B$1154,A496)</f>
        <v/>
      </c>
    </row>
    <row r="497">
      <c r="A497" s="3" t="inlineStr">
        <is>
          <t>005067</t>
        </is>
      </c>
      <c r="B497" s="5">
        <f>COUNTIF('Entetes_TriNumInterne'!$B$2:$B$1154,A497)</f>
        <v/>
      </c>
    </row>
    <row r="498">
      <c r="A498" s="3" t="inlineStr">
        <is>
          <t>005068</t>
        </is>
      </c>
      <c r="B498" s="5">
        <f>COUNTIF('Entetes_TriNumInterne'!$B$2:$B$1154,A498)</f>
        <v/>
      </c>
    </row>
    <row r="499">
      <c r="A499" s="3" t="inlineStr">
        <is>
          <t>005069</t>
        </is>
      </c>
      <c r="B499" s="5">
        <f>COUNTIF('Entetes_TriNumInterne'!$B$2:$B$1154,A499)</f>
        <v/>
      </c>
    </row>
    <row r="500">
      <c r="A500" s="3" t="inlineStr">
        <is>
          <t>005070</t>
        </is>
      </c>
      <c r="B500" s="5">
        <f>COUNTIF('Entetes_TriNumInterne'!$B$2:$B$1154,A500)</f>
        <v/>
      </c>
    </row>
    <row r="501">
      <c r="A501" s="3" t="inlineStr">
        <is>
          <t>005071</t>
        </is>
      </c>
      <c r="B501" s="5">
        <f>COUNTIF('Entetes_TriNumInterne'!$B$2:$B$1154,A501)</f>
        <v/>
      </c>
    </row>
    <row r="502">
      <c r="A502" s="3" t="inlineStr">
        <is>
          <t>005072</t>
        </is>
      </c>
      <c r="B502" s="5">
        <f>COUNTIF('Entetes_TriNumInterne'!$B$2:$B$1154,A502)</f>
        <v/>
      </c>
    </row>
    <row r="503">
      <c r="A503" s="3" t="inlineStr">
        <is>
          <t>005073</t>
        </is>
      </c>
      <c r="B503" s="5">
        <f>COUNTIF('Entetes_TriNumInterne'!$B$2:$B$1154,A503)</f>
        <v/>
      </c>
    </row>
    <row r="504">
      <c r="A504" s="3" t="inlineStr">
        <is>
          <t>005074</t>
        </is>
      </c>
      <c r="B504" s="5">
        <f>COUNTIF('Entetes_TriNumInterne'!$B$2:$B$1154,A504)</f>
        <v/>
      </c>
    </row>
    <row r="505">
      <c r="A505" s="3" t="inlineStr">
        <is>
          <t>005075</t>
        </is>
      </c>
      <c r="B505" s="5">
        <f>COUNTIF('Entetes_TriNumInterne'!$B$2:$B$1154,A505)</f>
        <v/>
      </c>
    </row>
    <row r="506">
      <c r="A506" s="3" t="inlineStr">
        <is>
          <t>005076</t>
        </is>
      </c>
      <c r="B506" s="5">
        <f>COUNTIF('Entetes_TriNumInterne'!$B$2:$B$1154,A506)</f>
        <v/>
      </c>
    </row>
    <row r="507">
      <c r="A507" s="3" t="inlineStr">
        <is>
          <t>005077</t>
        </is>
      </c>
      <c r="B507" s="5">
        <f>COUNTIF('Entetes_TriNumInterne'!$B$2:$B$1154,A507)</f>
        <v/>
      </c>
    </row>
    <row r="508">
      <c r="A508" s="3" t="inlineStr">
        <is>
          <t>005078</t>
        </is>
      </c>
      <c r="B508" s="5">
        <f>COUNTIF('Entetes_TriNumInterne'!$B$2:$B$1154,A508)</f>
        <v/>
      </c>
    </row>
    <row r="509">
      <c r="A509" s="3" t="inlineStr">
        <is>
          <t>005079</t>
        </is>
      </c>
      <c r="B509" s="5">
        <f>COUNTIF('Entetes_TriNumInterne'!$B$2:$B$1154,A509)</f>
        <v/>
      </c>
    </row>
    <row r="510">
      <c r="A510" s="3" t="inlineStr">
        <is>
          <t>005080</t>
        </is>
      </c>
      <c r="B510" s="5">
        <f>COUNTIF('Entetes_TriNumInterne'!$B$2:$B$1154,A510)</f>
        <v/>
      </c>
    </row>
    <row r="511">
      <c r="A511" s="3" t="inlineStr">
        <is>
          <t>005081</t>
        </is>
      </c>
      <c r="B511" s="5">
        <f>COUNTIF('Entetes_TriNumInterne'!$B$2:$B$1154,A511)</f>
        <v/>
      </c>
    </row>
    <row r="512">
      <c r="A512" s="3" t="inlineStr">
        <is>
          <t>005082</t>
        </is>
      </c>
      <c r="B512" s="5">
        <f>COUNTIF('Entetes_TriNumInterne'!$B$2:$B$1154,A512)</f>
        <v/>
      </c>
    </row>
    <row r="513">
      <c r="A513" s="3" t="inlineStr">
        <is>
          <t>005083</t>
        </is>
      </c>
      <c r="B513" s="5">
        <f>COUNTIF('Entetes_TriNumInterne'!$B$2:$B$1154,A513)</f>
        <v/>
      </c>
    </row>
    <row r="514">
      <c r="A514" s="3" t="inlineStr">
        <is>
          <t>005084</t>
        </is>
      </c>
      <c r="B514" s="5">
        <f>COUNTIF('Entetes_TriNumInterne'!$B$2:$B$1154,A514)</f>
        <v/>
      </c>
    </row>
    <row r="515">
      <c r="A515" s="3" t="inlineStr">
        <is>
          <t>005085</t>
        </is>
      </c>
      <c r="B515" s="5">
        <f>COUNTIF('Entetes_TriNumInterne'!$B$2:$B$1154,A515)</f>
        <v/>
      </c>
    </row>
    <row r="516">
      <c r="A516" s="3" t="inlineStr">
        <is>
          <t>005086</t>
        </is>
      </c>
      <c r="B516" s="5">
        <f>COUNTIF('Entetes_TriNumInterne'!$B$2:$B$1154,A516)</f>
        <v/>
      </c>
    </row>
    <row r="517">
      <c r="A517" s="3" t="inlineStr">
        <is>
          <t>005087</t>
        </is>
      </c>
      <c r="B517" s="5">
        <f>COUNTIF('Entetes_TriNumInterne'!$B$2:$B$1154,A517)</f>
        <v/>
      </c>
    </row>
    <row r="518">
      <c r="A518" s="3" t="inlineStr">
        <is>
          <t>005088</t>
        </is>
      </c>
      <c r="B518" s="5">
        <f>COUNTIF('Entetes_TriNumInterne'!$B$2:$B$1154,A518)</f>
        <v/>
      </c>
    </row>
    <row r="519">
      <c r="A519" s="3" t="inlineStr">
        <is>
          <t>005089</t>
        </is>
      </c>
      <c r="B519" s="5">
        <f>COUNTIF('Entetes_TriNumInterne'!$B$2:$B$1154,A519)</f>
        <v/>
      </c>
    </row>
    <row r="520">
      <c r="A520" s="3" t="inlineStr">
        <is>
          <t>005090</t>
        </is>
      </c>
      <c r="B520" s="5">
        <f>COUNTIF('Entetes_TriNumInterne'!$B$2:$B$1154,A520)</f>
        <v/>
      </c>
    </row>
    <row r="521">
      <c r="A521" s="3" t="inlineStr">
        <is>
          <t>005091</t>
        </is>
      </c>
      <c r="B521" s="5">
        <f>COUNTIF('Entetes_TriNumInterne'!$B$2:$B$1154,A521)</f>
        <v/>
      </c>
    </row>
    <row r="522">
      <c r="A522" s="3" t="inlineStr">
        <is>
          <t>005092</t>
        </is>
      </c>
      <c r="B522" s="5">
        <f>COUNTIF('Entetes_TriNumInterne'!$B$2:$B$1154,A522)</f>
        <v/>
      </c>
    </row>
    <row r="523">
      <c r="A523" s="3" t="inlineStr">
        <is>
          <t>005093</t>
        </is>
      </c>
      <c r="B523" s="5">
        <f>COUNTIF('Entetes_TriNumInterne'!$B$2:$B$1154,A523)</f>
        <v/>
      </c>
    </row>
    <row r="524">
      <c r="A524" s="3" t="inlineStr">
        <is>
          <t>005094</t>
        </is>
      </c>
      <c r="B524" s="5">
        <f>COUNTIF('Entetes_TriNumInterne'!$B$2:$B$1154,A524)</f>
        <v/>
      </c>
    </row>
    <row r="525">
      <c r="A525" s="3" t="inlineStr">
        <is>
          <t>005095</t>
        </is>
      </c>
      <c r="B525" s="5">
        <f>COUNTIF('Entetes_TriNumInterne'!$B$2:$B$1154,A525)</f>
        <v/>
      </c>
    </row>
    <row r="526">
      <c r="A526" s="3" t="inlineStr">
        <is>
          <t>005096</t>
        </is>
      </c>
      <c r="B526" s="5">
        <f>COUNTIF('Entetes_TriNumInterne'!$B$2:$B$1154,A526)</f>
        <v/>
      </c>
    </row>
    <row r="527">
      <c r="A527" s="3" t="inlineStr">
        <is>
          <t>005097</t>
        </is>
      </c>
      <c r="B527" s="5">
        <f>COUNTIF('Entetes_TriNumInterne'!$B$2:$B$1154,A527)</f>
        <v/>
      </c>
    </row>
    <row r="528">
      <c r="A528" s="3" t="inlineStr">
        <is>
          <t>005098</t>
        </is>
      </c>
      <c r="B528" s="5">
        <f>COUNTIF('Entetes_TriNumInterne'!$B$2:$B$1154,A528)</f>
        <v/>
      </c>
    </row>
    <row r="529">
      <c r="A529" s="3" t="inlineStr">
        <is>
          <t>005099</t>
        </is>
      </c>
      <c r="B529" s="5">
        <f>COUNTIF('Entetes_TriNumInterne'!$B$2:$B$1154,A529)</f>
        <v/>
      </c>
    </row>
    <row r="530">
      <c r="A530" s="3" t="inlineStr">
        <is>
          <t>005100</t>
        </is>
      </c>
      <c r="B530" s="5">
        <f>COUNTIF('Entetes_TriNumInterne'!$B$2:$B$1154,A530)</f>
        <v/>
      </c>
    </row>
    <row r="531">
      <c r="A531" s="3" t="inlineStr">
        <is>
          <t>005101</t>
        </is>
      </c>
      <c r="B531" s="5">
        <f>COUNTIF('Entetes_TriNumInterne'!$B$2:$B$1154,A531)</f>
        <v/>
      </c>
    </row>
    <row r="532">
      <c r="A532" s="3" t="inlineStr">
        <is>
          <t>005102</t>
        </is>
      </c>
      <c r="B532" s="5">
        <f>COUNTIF('Entetes_TriNumInterne'!$B$2:$B$1154,A532)</f>
        <v/>
      </c>
    </row>
    <row r="533">
      <c r="A533" s="3" t="inlineStr">
        <is>
          <t>005103</t>
        </is>
      </c>
      <c r="B533" s="5">
        <f>COUNTIF('Entetes_TriNumInterne'!$B$2:$B$1154,A533)</f>
        <v/>
      </c>
    </row>
    <row r="534">
      <c r="A534" s="3" t="inlineStr">
        <is>
          <t>005104</t>
        </is>
      </c>
      <c r="B534" s="5">
        <f>COUNTIF('Entetes_TriNumInterne'!$B$2:$B$1154,A534)</f>
        <v/>
      </c>
    </row>
    <row r="535">
      <c r="A535" s="3" t="inlineStr">
        <is>
          <t>005105</t>
        </is>
      </c>
      <c r="B535" s="5">
        <f>COUNTIF('Entetes_TriNumInterne'!$B$2:$B$1154,A535)</f>
        <v/>
      </c>
    </row>
    <row r="536">
      <c r="A536" s="3" t="inlineStr">
        <is>
          <t>005106</t>
        </is>
      </c>
      <c r="B536" s="5">
        <f>COUNTIF('Entetes_TriNumInterne'!$B$2:$B$1154,A536)</f>
        <v/>
      </c>
    </row>
    <row r="537">
      <c r="A537" s="3" t="inlineStr">
        <is>
          <t>005107</t>
        </is>
      </c>
      <c r="B537" s="5">
        <f>COUNTIF('Entetes_TriNumInterne'!$B$2:$B$1154,A537)</f>
        <v/>
      </c>
    </row>
    <row r="538">
      <c r="A538" s="3" t="inlineStr">
        <is>
          <t>005108</t>
        </is>
      </c>
      <c r="B538" s="5">
        <f>COUNTIF('Entetes_TriNumInterne'!$B$2:$B$1154,A538)</f>
        <v/>
      </c>
    </row>
    <row r="539">
      <c r="A539" s="3" t="inlineStr">
        <is>
          <t>005109</t>
        </is>
      </c>
      <c r="B539" s="5">
        <f>COUNTIF('Entetes_TriNumInterne'!$B$2:$B$1154,A539)</f>
        <v/>
      </c>
    </row>
    <row r="540">
      <c r="A540" s="3" t="inlineStr">
        <is>
          <t>005110</t>
        </is>
      </c>
      <c r="B540" s="5">
        <f>COUNTIF('Entetes_TriNumInterne'!$B$2:$B$1154,A540)</f>
        <v/>
      </c>
    </row>
    <row r="541">
      <c r="A541" s="3" t="inlineStr">
        <is>
          <t>005111</t>
        </is>
      </c>
      <c r="B541" s="5">
        <f>COUNTIF('Entetes_TriNumInterne'!$B$2:$B$1154,A541)</f>
        <v/>
      </c>
    </row>
    <row r="542">
      <c r="A542" s="3" t="inlineStr">
        <is>
          <t>005112</t>
        </is>
      </c>
      <c r="B542" s="5">
        <f>COUNTIF('Entetes_TriNumInterne'!$B$2:$B$1154,A542)</f>
        <v/>
      </c>
    </row>
    <row r="543">
      <c r="A543" s="3" t="inlineStr">
        <is>
          <t>005113</t>
        </is>
      </c>
      <c r="B543" s="5">
        <f>COUNTIF('Entetes_TriNumInterne'!$B$2:$B$1154,A543)</f>
        <v/>
      </c>
    </row>
    <row r="544">
      <c r="A544" s="3" t="inlineStr">
        <is>
          <t>005114</t>
        </is>
      </c>
      <c r="B544" s="5">
        <f>COUNTIF('Entetes_TriNumInterne'!$B$2:$B$1154,A544)</f>
        <v/>
      </c>
    </row>
    <row r="545">
      <c r="A545" s="3" t="inlineStr">
        <is>
          <t>005115</t>
        </is>
      </c>
      <c r="B545" s="5">
        <f>COUNTIF('Entetes_TriNumInterne'!$B$2:$B$1154,A545)</f>
        <v/>
      </c>
    </row>
    <row r="546">
      <c r="A546" s="3" t="inlineStr">
        <is>
          <t>005116</t>
        </is>
      </c>
      <c r="B546" s="5">
        <f>COUNTIF('Entetes_TriNumInterne'!$B$2:$B$1154,A546)</f>
        <v/>
      </c>
    </row>
    <row r="547">
      <c r="A547" s="3" t="inlineStr">
        <is>
          <t>005117</t>
        </is>
      </c>
      <c r="B547" s="5">
        <f>COUNTIF('Entetes_TriNumInterne'!$B$2:$B$1154,A547)</f>
        <v/>
      </c>
    </row>
    <row r="548">
      <c r="A548" s="3" t="inlineStr">
        <is>
          <t>005118</t>
        </is>
      </c>
      <c r="B548" s="5">
        <f>COUNTIF('Entetes_TriNumInterne'!$B$2:$B$1154,A548)</f>
        <v/>
      </c>
    </row>
    <row r="549">
      <c r="A549" s="3" t="inlineStr">
        <is>
          <t>005119</t>
        </is>
      </c>
      <c r="B549" s="5">
        <f>COUNTIF('Entetes_TriNumInterne'!$B$2:$B$1154,A549)</f>
        <v/>
      </c>
    </row>
    <row r="550">
      <c r="A550" s="3" t="inlineStr">
        <is>
          <t>005120</t>
        </is>
      </c>
      <c r="B550" s="5">
        <f>COUNTIF('Entetes_TriNumInterne'!$B$2:$B$1154,A550)</f>
        <v/>
      </c>
    </row>
    <row r="551">
      <c r="A551" s="3" t="inlineStr">
        <is>
          <t>005128</t>
        </is>
      </c>
      <c r="B551" s="5">
        <f>COUNTIF('Entetes_TriNumInterne'!$B$2:$B$1154,A551)</f>
        <v/>
      </c>
    </row>
    <row r="552">
      <c r="A552" s="3" t="inlineStr">
        <is>
          <t>005129</t>
        </is>
      </c>
      <c r="B552" s="5">
        <f>COUNTIF('Entetes_TriNumInterne'!$B$2:$B$1154,A552)</f>
        <v/>
      </c>
    </row>
    <row r="553">
      <c r="A553" s="3" t="inlineStr">
        <is>
          <t>005130</t>
        </is>
      </c>
      <c r="B553" s="5">
        <f>COUNTIF('Entetes_TriNumInterne'!$B$2:$B$1154,A553)</f>
        <v/>
      </c>
    </row>
    <row r="554">
      <c r="A554" s="3" t="inlineStr">
        <is>
          <t>005131</t>
        </is>
      </c>
      <c r="B554" s="5">
        <f>COUNTIF('Entetes_TriNumInterne'!$B$2:$B$1154,A554)</f>
        <v/>
      </c>
    </row>
    <row r="555">
      <c r="A555" s="3" t="inlineStr">
        <is>
          <t>005132</t>
        </is>
      </c>
      <c r="B555" s="5">
        <f>COUNTIF('Entetes_TriNumInterne'!$B$2:$B$1154,A555)</f>
        <v/>
      </c>
    </row>
    <row r="556">
      <c r="A556" s="3" t="inlineStr">
        <is>
          <t>005133</t>
        </is>
      </c>
      <c r="B556" s="5">
        <f>COUNTIF('Entetes_TriNumInterne'!$B$2:$B$1154,A556)</f>
        <v/>
      </c>
    </row>
    <row r="557">
      <c r="A557" s="3" t="inlineStr">
        <is>
          <t>005134</t>
        </is>
      </c>
      <c r="B557" s="5">
        <f>COUNTIF('Entetes_TriNumInterne'!$B$2:$B$1154,A557)</f>
        <v/>
      </c>
    </row>
    <row r="558">
      <c r="A558" s="3" t="inlineStr">
        <is>
          <t>005135</t>
        </is>
      </c>
      <c r="B558" s="5">
        <f>COUNTIF('Entetes_TriNumInterne'!$B$2:$B$1154,A558)</f>
        <v/>
      </c>
    </row>
    <row r="559">
      <c r="A559" s="3" t="inlineStr">
        <is>
          <t>005136</t>
        </is>
      </c>
      <c r="B559" s="5">
        <f>COUNTIF('Entetes_TriNumInterne'!$B$2:$B$1154,A559)</f>
        <v/>
      </c>
    </row>
    <row r="560">
      <c r="A560" s="3" t="inlineStr">
        <is>
          <t>005137</t>
        </is>
      </c>
      <c r="B560" s="5">
        <f>COUNTIF('Entetes_TriNumInterne'!$B$2:$B$1154,A560)</f>
        <v/>
      </c>
    </row>
    <row r="561">
      <c r="A561" s="3" t="inlineStr">
        <is>
          <t>005138</t>
        </is>
      </c>
      <c r="B561" s="5">
        <f>COUNTIF('Entetes_TriNumInterne'!$B$2:$B$1154,A561)</f>
        <v/>
      </c>
    </row>
    <row r="562">
      <c r="A562" s="3" t="inlineStr">
        <is>
          <t>005139</t>
        </is>
      </c>
      <c r="B562" s="5">
        <f>COUNTIF('Entetes_TriNumInterne'!$B$2:$B$1154,A562)</f>
        <v/>
      </c>
    </row>
    <row r="563">
      <c r="A563" s="3" t="inlineStr">
        <is>
          <t>005140</t>
        </is>
      </c>
      <c r="B563" s="5">
        <f>COUNTIF('Entetes_TriNumInterne'!$B$2:$B$1154,A563)</f>
        <v/>
      </c>
    </row>
    <row r="564">
      <c r="A564" s="3" t="inlineStr">
        <is>
          <t>005141</t>
        </is>
      </c>
      <c r="B564" s="5">
        <f>COUNTIF('Entetes_TriNumInterne'!$B$2:$B$1154,A564)</f>
        <v/>
      </c>
    </row>
    <row r="565">
      <c r="A565" s="3" t="inlineStr">
        <is>
          <t>005142</t>
        </is>
      </c>
      <c r="B565" s="5">
        <f>COUNTIF('Entetes_TriNumInterne'!$B$2:$B$1154,A565)</f>
        <v/>
      </c>
    </row>
    <row r="566">
      <c r="A566" s="3" t="inlineStr">
        <is>
          <t>005143</t>
        </is>
      </c>
      <c r="B566" s="5">
        <f>COUNTIF('Entetes_TriNumInterne'!$B$2:$B$1154,A566)</f>
        <v/>
      </c>
    </row>
    <row r="567">
      <c r="A567" s="3" t="inlineStr">
        <is>
          <t>005144</t>
        </is>
      </c>
      <c r="B567" s="5">
        <f>COUNTIF('Entetes_TriNumInterne'!$B$2:$B$1154,A567)</f>
        <v/>
      </c>
    </row>
    <row r="568">
      <c r="A568" s="3" t="inlineStr">
        <is>
          <t>005145</t>
        </is>
      </c>
      <c r="B568" s="5">
        <f>COUNTIF('Entetes_TriNumInterne'!$B$2:$B$1154,A568)</f>
        <v/>
      </c>
    </row>
    <row r="569">
      <c r="A569" s="3" t="inlineStr">
        <is>
          <t>005146</t>
        </is>
      </c>
      <c r="B569" s="5">
        <f>COUNTIF('Entetes_TriNumInterne'!$B$2:$B$1154,A569)</f>
        <v/>
      </c>
    </row>
    <row r="570">
      <c r="A570" s="3" t="inlineStr">
        <is>
          <t>005147</t>
        </is>
      </c>
      <c r="B570" s="5">
        <f>COUNTIF('Entetes_TriNumInterne'!$B$2:$B$1154,A570)</f>
        <v/>
      </c>
    </row>
    <row r="571">
      <c r="A571" s="3" t="inlineStr">
        <is>
          <t>005148</t>
        </is>
      </c>
      <c r="B571" s="5">
        <f>COUNTIF('Entetes_TriNumInterne'!$B$2:$B$1154,A571)</f>
        <v/>
      </c>
    </row>
    <row r="572">
      <c r="A572" s="3" t="inlineStr">
        <is>
          <t>005149</t>
        </is>
      </c>
      <c r="B572" s="5">
        <f>COUNTIF('Entetes_TriNumInterne'!$B$2:$B$1154,A572)</f>
        <v/>
      </c>
    </row>
    <row r="573">
      <c r="A573" s="3" t="inlineStr">
        <is>
          <t>005150</t>
        </is>
      </c>
      <c r="B573" s="5">
        <f>COUNTIF('Entetes_TriNumInterne'!$B$2:$B$1154,A573)</f>
        <v/>
      </c>
    </row>
    <row r="574">
      <c r="A574" s="3" t="inlineStr">
        <is>
          <t>005151</t>
        </is>
      </c>
      <c r="B574" s="5">
        <f>COUNTIF('Entetes_TriNumInterne'!$B$2:$B$1154,A574)</f>
        <v/>
      </c>
    </row>
    <row r="575">
      <c r="A575" s="3" t="inlineStr">
        <is>
          <t>005152</t>
        </is>
      </c>
      <c r="B575" s="5">
        <f>COUNTIF('Entetes_TriNumInterne'!$B$2:$B$1154,A575)</f>
        <v/>
      </c>
    </row>
    <row r="576">
      <c r="A576" s="3" t="inlineStr">
        <is>
          <t>005153</t>
        </is>
      </c>
      <c r="B576" s="5">
        <f>COUNTIF('Entetes_TriNumInterne'!$B$2:$B$1154,A576)</f>
        <v/>
      </c>
    </row>
    <row r="577">
      <c r="A577" s="3" t="inlineStr">
        <is>
          <t>005154</t>
        </is>
      </c>
      <c r="B577" s="5">
        <f>COUNTIF('Entetes_TriNumInterne'!$B$2:$B$1154,A577)</f>
        <v/>
      </c>
    </row>
    <row r="578">
      <c r="A578" s="3" t="inlineStr">
        <is>
          <t>005155</t>
        </is>
      </c>
      <c r="B578" s="5">
        <f>COUNTIF('Entetes_TriNumInterne'!$B$2:$B$1154,A578)</f>
        <v/>
      </c>
    </row>
    <row r="579">
      <c r="A579" s="3" t="inlineStr">
        <is>
          <t>005156</t>
        </is>
      </c>
      <c r="B579" s="5">
        <f>COUNTIF('Entetes_TriNumInterne'!$B$2:$B$1154,A579)</f>
        <v/>
      </c>
    </row>
    <row r="580">
      <c r="A580" s="3" t="inlineStr">
        <is>
          <t>005157</t>
        </is>
      </c>
      <c r="B580" s="5">
        <f>COUNTIF('Entetes_TriNumInterne'!$B$2:$B$1154,A580)</f>
        <v/>
      </c>
    </row>
    <row r="581">
      <c r="A581" s="3" t="inlineStr">
        <is>
          <t>005158</t>
        </is>
      </c>
      <c r="B581" s="5">
        <f>COUNTIF('Entetes_TriNumInterne'!$B$2:$B$1154,A581)</f>
        <v/>
      </c>
    </row>
    <row r="582">
      <c r="A582" s="3" t="inlineStr">
        <is>
          <t>005159</t>
        </is>
      </c>
      <c r="B582" s="5">
        <f>COUNTIF('Entetes_TriNumInterne'!$B$2:$B$1154,A582)</f>
        <v/>
      </c>
    </row>
    <row r="583">
      <c r="A583" s="3" t="inlineStr">
        <is>
          <t>005160</t>
        </is>
      </c>
      <c r="B583" s="5">
        <f>COUNTIF('Entetes_TriNumInterne'!$B$2:$B$1154,A583)</f>
        <v/>
      </c>
    </row>
    <row r="584">
      <c r="A584" s="3" t="inlineStr">
        <is>
          <t>005161</t>
        </is>
      </c>
      <c r="B584" s="5">
        <f>COUNTIF('Entetes_TriNumInterne'!$B$2:$B$1154,A584)</f>
        <v/>
      </c>
    </row>
    <row r="585">
      <c r="A585" s="3" t="inlineStr">
        <is>
          <t>005162</t>
        </is>
      </c>
      <c r="B585" s="5">
        <f>COUNTIF('Entetes_TriNumInterne'!$B$2:$B$1154,A585)</f>
        <v/>
      </c>
    </row>
    <row r="586">
      <c r="A586" s="3" t="inlineStr">
        <is>
          <t>005163</t>
        </is>
      </c>
      <c r="B586" s="5">
        <f>COUNTIF('Entetes_TriNumInterne'!$B$2:$B$1154,A586)</f>
        <v/>
      </c>
    </row>
    <row r="587">
      <c r="A587" s="3" t="inlineStr">
        <is>
          <t>005164</t>
        </is>
      </c>
      <c r="B587" s="5">
        <f>COUNTIF('Entetes_TriNumInterne'!$B$2:$B$1154,A587)</f>
        <v/>
      </c>
    </row>
    <row r="588">
      <c r="A588" s="3" t="inlineStr">
        <is>
          <t>005173</t>
        </is>
      </c>
      <c r="B588" s="5">
        <f>COUNTIF('Entetes_TriNumInterne'!$B$2:$B$1154,A588)</f>
        <v/>
      </c>
    </row>
    <row r="589">
      <c r="A589" s="3" t="inlineStr">
        <is>
          <t>005174</t>
        </is>
      </c>
      <c r="B589" s="5">
        <f>COUNTIF('Entetes_TriNumInterne'!$B$2:$B$1154,A589)</f>
        <v/>
      </c>
    </row>
    <row r="590">
      <c r="A590" s="3" t="inlineStr">
        <is>
          <t>005175</t>
        </is>
      </c>
      <c r="B590" s="5">
        <f>COUNTIF('Entetes_TriNumInterne'!$B$2:$B$1154,A590)</f>
        <v/>
      </c>
    </row>
    <row r="591">
      <c r="A591" s="3" t="inlineStr">
        <is>
          <t>005176</t>
        </is>
      </c>
      <c r="B591" s="5">
        <f>COUNTIF('Entetes_TriNumInterne'!$B$2:$B$1154,A591)</f>
        <v/>
      </c>
    </row>
    <row r="592">
      <c r="A592" s="3" t="inlineStr">
        <is>
          <t>005177</t>
        </is>
      </c>
      <c r="B592" s="5">
        <f>COUNTIF('Entetes_TriNumInterne'!$B$2:$B$1154,A592)</f>
        <v/>
      </c>
    </row>
    <row r="593">
      <c r="A593" s="3" t="inlineStr">
        <is>
          <t>005178</t>
        </is>
      </c>
      <c r="B593" s="5">
        <f>COUNTIF('Entetes_TriNumInterne'!$B$2:$B$1154,A593)</f>
        <v/>
      </c>
    </row>
    <row r="594">
      <c r="A594" s="3" t="inlineStr">
        <is>
          <t>005187</t>
        </is>
      </c>
      <c r="B594" s="5">
        <f>COUNTIF('Entetes_TriNumInterne'!$B$2:$B$1154,A594)</f>
        <v/>
      </c>
    </row>
    <row r="595">
      <c r="A595" s="3" t="inlineStr">
        <is>
          <t>005188</t>
        </is>
      </c>
      <c r="B595" s="5">
        <f>COUNTIF('Entetes_TriNumInterne'!$B$2:$B$1154,A595)</f>
        <v/>
      </c>
    </row>
    <row r="596">
      <c r="A596" s="3" t="inlineStr">
        <is>
          <t>005189</t>
        </is>
      </c>
      <c r="B596" s="5">
        <f>COUNTIF('Entetes_TriNumInterne'!$B$2:$B$1154,A596)</f>
        <v/>
      </c>
    </row>
    <row r="597">
      <c r="A597" s="3" t="inlineStr">
        <is>
          <t>005190</t>
        </is>
      </c>
      <c r="B597" s="5">
        <f>COUNTIF('Entetes_TriNumInterne'!$B$2:$B$1154,A597)</f>
        <v/>
      </c>
    </row>
    <row r="598">
      <c r="A598" s="3" t="inlineStr">
        <is>
          <t>005191</t>
        </is>
      </c>
      <c r="B598" s="5">
        <f>COUNTIF('Entetes_TriNumInterne'!$B$2:$B$1154,A598)</f>
        <v/>
      </c>
    </row>
    <row r="599">
      <c r="A599" s="3" t="inlineStr">
        <is>
          <t>005192</t>
        </is>
      </c>
      <c r="B599" s="5">
        <f>COUNTIF('Entetes_TriNumInterne'!$B$2:$B$1154,A599)</f>
        <v/>
      </c>
    </row>
    <row r="600">
      <c r="A600" s="3" t="inlineStr">
        <is>
          <t>005193</t>
        </is>
      </c>
      <c r="B600" s="5">
        <f>COUNTIF('Entetes_TriNumInterne'!$B$2:$B$1154,A600)</f>
        <v/>
      </c>
    </row>
    <row r="601">
      <c r="A601" s="3" t="inlineStr">
        <is>
          <t>005194</t>
        </is>
      </c>
      <c r="B601" s="5">
        <f>COUNTIF('Entetes_TriNumInterne'!$B$2:$B$1154,A601)</f>
        <v/>
      </c>
    </row>
    <row r="602">
      <c r="A602" s="3" t="inlineStr">
        <is>
          <t>005195</t>
        </is>
      </c>
      <c r="B602" s="5">
        <f>COUNTIF('Entetes_TriNumInterne'!$B$2:$B$1154,A602)</f>
        <v/>
      </c>
    </row>
    <row r="603">
      <c r="A603" s="3" t="inlineStr">
        <is>
          <t>005196</t>
        </is>
      </c>
      <c r="B603" s="5">
        <f>COUNTIF('Entetes_TriNumInterne'!$B$2:$B$1154,A603)</f>
        <v/>
      </c>
    </row>
    <row r="604">
      <c r="A604" s="3" t="inlineStr">
        <is>
          <t>005197</t>
        </is>
      </c>
      <c r="B604" s="5">
        <f>COUNTIF('Entetes_TriNumInterne'!$B$2:$B$1154,A604)</f>
        <v/>
      </c>
    </row>
    <row r="605">
      <c r="A605" s="3" t="inlineStr">
        <is>
          <t>005198</t>
        </is>
      </c>
      <c r="B605" s="5">
        <f>COUNTIF('Entetes_TriNumInterne'!$B$2:$B$1154,A605)</f>
        <v/>
      </c>
    </row>
    <row r="606">
      <c r="A606" s="3" t="inlineStr">
        <is>
          <t>005199</t>
        </is>
      </c>
      <c r="B606" s="5">
        <f>COUNTIF('Entetes_TriNumInterne'!$B$2:$B$1154,A606)</f>
        <v/>
      </c>
    </row>
    <row r="607">
      <c r="A607" s="3" t="inlineStr">
        <is>
          <t>005200</t>
        </is>
      </c>
      <c r="B607" s="5">
        <f>COUNTIF('Entetes_TriNumInterne'!$B$2:$B$1154,A607)</f>
        <v/>
      </c>
    </row>
    <row r="608">
      <c r="A608" s="3" t="inlineStr">
        <is>
          <t>005201</t>
        </is>
      </c>
      <c r="B608" s="5">
        <f>COUNTIF('Entetes_TriNumInterne'!$B$2:$B$1154,A608)</f>
        <v/>
      </c>
    </row>
    <row r="609">
      <c r="A609" s="3" t="inlineStr">
        <is>
          <t>005202</t>
        </is>
      </c>
      <c r="B609" s="5">
        <f>COUNTIF('Entetes_TriNumInterne'!$B$2:$B$1154,A609)</f>
        <v/>
      </c>
    </row>
    <row r="610">
      <c r="A610" s="3" t="inlineStr">
        <is>
          <t>005203</t>
        </is>
      </c>
      <c r="B610" s="5">
        <f>COUNTIF('Entetes_TriNumInterne'!$B$2:$B$1154,A610)</f>
        <v/>
      </c>
    </row>
    <row r="611">
      <c r="A611" s="3" t="inlineStr">
        <is>
          <t>005204</t>
        </is>
      </c>
      <c r="B611" s="5">
        <f>COUNTIF('Entetes_TriNumInterne'!$B$2:$B$1154,A611)</f>
        <v/>
      </c>
    </row>
    <row r="612">
      <c r="A612" s="3" t="inlineStr">
        <is>
          <t>005205</t>
        </is>
      </c>
      <c r="B612" s="5">
        <f>COUNTIF('Entetes_TriNumInterne'!$B$2:$B$1154,A612)</f>
        <v/>
      </c>
    </row>
    <row r="613">
      <c r="A613" s="3" t="inlineStr">
        <is>
          <t>005206</t>
        </is>
      </c>
      <c r="B613" s="5">
        <f>COUNTIF('Entetes_TriNumInterne'!$B$2:$B$1154,A613)</f>
        <v/>
      </c>
    </row>
    <row r="614">
      <c r="A614" s="3" t="inlineStr">
        <is>
          <t>005207</t>
        </is>
      </c>
      <c r="B614" s="5">
        <f>COUNTIF('Entetes_TriNumInterne'!$B$2:$B$1154,A614)</f>
        <v/>
      </c>
    </row>
    <row r="615">
      <c r="A615" s="3" t="inlineStr">
        <is>
          <t>005208</t>
        </is>
      </c>
      <c r="B615" s="5">
        <f>COUNTIF('Entetes_TriNumInterne'!$B$2:$B$1154,A615)</f>
        <v/>
      </c>
    </row>
    <row r="616">
      <c r="A616" s="3" t="inlineStr">
        <is>
          <t>005209</t>
        </is>
      </c>
      <c r="B616" s="5">
        <f>COUNTIF('Entetes_TriNumInterne'!$B$2:$B$1154,A616)</f>
        <v/>
      </c>
    </row>
    <row r="617">
      <c r="A617" s="3" t="inlineStr">
        <is>
          <t>005210</t>
        </is>
      </c>
      <c r="B617" s="5">
        <f>COUNTIF('Entetes_TriNumInterne'!$B$2:$B$1154,A617)</f>
        <v/>
      </c>
    </row>
    <row r="618">
      <c r="A618" s="3" t="inlineStr">
        <is>
          <t>005211</t>
        </is>
      </c>
      <c r="B618" s="5">
        <f>COUNTIF('Entetes_TriNumInterne'!$B$2:$B$1154,A618)</f>
        <v/>
      </c>
    </row>
    <row r="619">
      <c r="A619" s="3" t="inlineStr">
        <is>
          <t>005212</t>
        </is>
      </c>
      <c r="B619" s="5">
        <f>COUNTIF('Entetes_TriNumInterne'!$B$2:$B$1154,A619)</f>
        <v/>
      </c>
    </row>
    <row r="620">
      <c r="A620" s="3" t="inlineStr">
        <is>
          <t>005213</t>
        </is>
      </c>
      <c r="B620" s="5">
        <f>COUNTIF('Entetes_TriNumInterne'!$B$2:$B$1154,A620)</f>
        <v/>
      </c>
    </row>
    <row r="621">
      <c r="A621" s="3" t="inlineStr">
        <is>
          <t>005214</t>
        </is>
      </c>
      <c r="B621" s="5">
        <f>COUNTIF('Entetes_TriNumInterne'!$B$2:$B$1154,A621)</f>
        <v/>
      </c>
    </row>
    <row r="622">
      <c r="A622" s="3" t="inlineStr">
        <is>
          <t>005215</t>
        </is>
      </c>
      <c r="B622" s="5">
        <f>COUNTIF('Entetes_TriNumInterne'!$B$2:$B$1154,A622)</f>
        <v/>
      </c>
    </row>
    <row r="623">
      <c r="A623" s="3" t="inlineStr">
        <is>
          <t>005216</t>
        </is>
      </c>
      <c r="B623" s="5">
        <f>COUNTIF('Entetes_TriNumInterne'!$B$2:$B$1154,A623)</f>
        <v/>
      </c>
    </row>
    <row r="624">
      <c r="A624" s="3" t="inlineStr">
        <is>
          <t>005217</t>
        </is>
      </c>
      <c r="B624" s="5">
        <f>COUNTIF('Entetes_TriNumInterne'!$B$2:$B$1154,A624)</f>
        <v/>
      </c>
    </row>
    <row r="625">
      <c r="A625" s="3" t="inlineStr">
        <is>
          <t>005218</t>
        </is>
      </c>
      <c r="B625" s="5">
        <f>COUNTIF('Entetes_TriNumInterne'!$B$2:$B$1154,A625)</f>
        <v/>
      </c>
    </row>
    <row r="626">
      <c r="A626" s="3" t="inlineStr">
        <is>
          <t>005219</t>
        </is>
      </c>
      <c r="B626" s="5">
        <f>COUNTIF('Entetes_TriNumInterne'!$B$2:$B$1154,A626)</f>
        <v/>
      </c>
    </row>
    <row r="627">
      <c r="A627" s="3" t="inlineStr">
        <is>
          <t>005220</t>
        </is>
      </c>
      <c r="B627" s="5">
        <f>COUNTIF('Entetes_TriNumInterne'!$B$2:$B$1154,A627)</f>
        <v/>
      </c>
    </row>
    <row r="628">
      <c r="A628" s="3" t="inlineStr">
        <is>
          <t>005221</t>
        </is>
      </c>
      <c r="B628" s="5">
        <f>COUNTIF('Entetes_TriNumInterne'!$B$2:$B$1154,A628)</f>
        <v/>
      </c>
    </row>
    <row r="629">
      <c r="A629" s="3" t="inlineStr">
        <is>
          <t>005222</t>
        </is>
      </c>
      <c r="B629" s="5">
        <f>COUNTIF('Entetes_TriNumInterne'!$B$2:$B$1154,A629)</f>
        <v/>
      </c>
    </row>
    <row r="630">
      <c r="A630" s="3" t="inlineStr">
        <is>
          <t>005230</t>
        </is>
      </c>
      <c r="B630" s="5">
        <f>COUNTIF('Entetes_TriNumInterne'!$B$2:$B$1154,A630)</f>
        <v/>
      </c>
    </row>
    <row r="631">
      <c r="A631" s="3" t="inlineStr">
        <is>
          <t>005231</t>
        </is>
      </c>
      <c r="B631" s="5">
        <f>COUNTIF('Entetes_TriNumInterne'!$B$2:$B$1154,A631)</f>
        <v/>
      </c>
    </row>
    <row r="632">
      <c r="A632" s="3" t="inlineStr">
        <is>
          <t>005232</t>
        </is>
      </c>
      <c r="B632" s="5">
        <f>COUNTIF('Entetes_TriNumInterne'!$B$2:$B$1154,A632)</f>
        <v/>
      </c>
    </row>
    <row r="633">
      <c r="A633" s="3" t="inlineStr">
        <is>
          <t>005233</t>
        </is>
      </c>
      <c r="B633" s="5">
        <f>COUNTIF('Entetes_TriNumInterne'!$B$2:$B$1154,A633)</f>
        <v/>
      </c>
    </row>
    <row r="634">
      <c r="A634" s="3" t="inlineStr">
        <is>
          <t>005234</t>
        </is>
      </c>
      <c r="B634" s="5">
        <f>COUNTIF('Entetes_TriNumInterne'!$B$2:$B$1154,A634)</f>
        <v/>
      </c>
    </row>
    <row r="635">
      <c r="A635" s="3" t="inlineStr">
        <is>
          <t>005235</t>
        </is>
      </c>
      <c r="B635" s="5">
        <f>COUNTIF('Entetes_TriNumInterne'!$B$2:$B$1154,A635)</f>
        <v/>
      </c>
    </row>
    <row r="636">
      <c r="A636" s="3" t="inlineStr">
        <is>
          <t>005236</t>
        </is>
      </c>
      <c r="B636" s="5">
        <f>COUNTIF('Entetes_TriNumInterne'!$B$2:$B$1154,A636)</f>
        <v/>
      </c>
    </row>
    <row r="637">
      <c r="A637" s="3" t="inlineStr">
        <is>
          <t>005237</t>
        </is>
      </c>
      <c r="B637" s="5">
        <f>COUNTIF('Entetes_TriNumInterne'!$B$2:$B$1154,A637)</f>
        <v/>
      </c>
    </row>
    <row r="638">
      <c r="A638" s="3" t="inlineStr">
        <is>
          <t>005238</t>
        </is>
      </c>
      <c r="B638" s="5">
        <f>COUNTIF('Entetes_TriNumInterne'!$B$2:$B$1154,A638)</f>
        <v/>
      </c>
    </row>
    <row r="639">
      <c r="A639" s="3" t="inlineStr">
        <is>
          <t>005239</t>
        </is>
      </c>
      <c r="B639" s="5">
        <f>COUNTIF('Entetes_TriNumInterne'!$B$2:$B$1154,A639)</f>
        <v/>
      </c>
    </row>
    <row r="640">
      <c r="A640" s="3" t="inlineStr">
        <is>
          <t>005240</t>
        </is>
      </c>
      <c r="B640" s="5">
        <f>COUNTIF('Entetes_TriNumInterne'!$B$2:$B$1154,A640)</f>
        <v/>
      </c>
    </row>
    <row r="641">
      <c r="A641" s="3" t="inlineStr">
        <is>
          <t>005241</t>
        </is>
      </c>
      <c r="B641" s="5">
        <f>COUNTIF('Entetes_TriNumInterne'!$B$2:$B$1154,A641)</f>
        <v/>
      </c>
    </row>
    <row r="642">
      <c r="A642" s="3" t="inlineStr">
        <is>
          <t>005242</t>
        </is>
      </c>
      <c r="B642" s="5">
        <f>COUNTIF('Entetes_TriNumInterne'!$B$2:$B$1154,A642)</f>
        <v/>
      </c>
    </row>
    <row r="643">
      <c r="A643" s="3" t="inlineStr">
        <is>
          <t>005243</t>
        </is>
      </c>
      <c r="B643" s="5">
        <f>COUNTIF('Entetes_TriNumInterne'!$B$2:$B$1154,A643)</f>
        <v/>
      </c>
    </row>
    <row r="644">
      <c r="A644" s="3" t="inlineStr">
        <is>
          <t>005244</t>
        </is>
      </c>
      <c r="B644" s="5">
        <f>COUNTIF('Entetes_TriNumInterne'!$B$2:$B$1154,A644)</f>
        <v/>
      </c>
    </row>
    <row r="645">
      <c r="A645" s="3" t="inlineStr">
        <is>
          <t>005245</t>
        </is>
      </c>
      <c r="B645" s="5">
        <f>COUNTIF('Entetes_TriNumInterne'!$B$2:$B$1154,A645)</f>
        <v/>
      </c>
    </row>
    <row r="646">
      <c r="A646" s="3" t="inlineStr">
        <is>
          <t>005246</t>
        </is>
      </c>
      <c r="B646" s="5">
        <f>COUNTIF('Entetes_TriNumInterne'!$B$2:$B$1154,A646)</f>
        <v/>
      </c>
    </row>
    <row r="647">
      <c r="A647" s="3" t="inlineStr">
        <is>
          <t>005247</t>
        </is>
      </c>
      <c r="B647" s="5">
        <f>COUNTIF('Entetes_TriNumInterne'!$B$2:$B$1154,A647)</f>
        <v/>
      </c>
    </row>
    <row r="648">
      <c r="A648" s="3" t="inlineStr">
        <is>
          <t>005248</t>
        </is>
      </c>
      <c r="B648" s="5">
        <f>COUNTIF('Entetes_TriNumInterne'!$B$2:$B$1154,A648)</f>
        <v/>
      </c>
    </row>
    <row r="649">
      <c r="A649" s="3" t="inlineStr">
        <is>
          <t>005249</t>
        </is>
      </c>
      <c r="B649" s="5">
        <f>COUNTIF('Entetes_TriNumInterne'!$B$2:$B$1154,A649)</f>
        <v/>
      </c>
    </row>
    <row r="650">
      <c r="A650" s="3" t="inlineStr">
        <is>
          <t>005250</t>
        </is>
      </c>
      <c r="B650" s="5">
        <f>COUNTIF('Entetes_TriNumInterne'!$B$2:$B$1154,A650)</f>
        <v/>
      </c>
    </row>
    <row r="651">
      <c r="A651" s="3" t="inlineStr">
        <is>
          <t>005258</t>
        </is>
      </c>
      <c r="B651" s="5">
        <f>COUNTIF('Entetes_TriNumInterne'!$B$2:$B$1154,A651)</f>
        <v/>
      </c>
    </row>
    <row r="652">
      <c r="A652" s="3" t="inlineStr">
        <is>
          <t>005259</t>
        </is>
      </c>
      <c r="B652" s="5">
        <f>COUNTIF('Entetes_TriNumInterne'!$B$2:$B$1154,A652)</f>
        <v/>
      </c>
    </row>
    <row r="653">
      <c r="A653" s="3" t="inlineStr">
        <is>
          <t>005260</t>
        </is>
      </c>
      <c r="B653" s="5">
        <f>COUNTIF('Entetes_TriNumInterne'!$B$2:$B$1154,A653)</f>
        <v/>
      </c>
    </row>
    <row r="654">
      <c r="A654" s="3" t="inlineStr">
        <is>
          <t>005261</t>
        </is>
      </c>
      <c r="B654" s="5">
        <f>COUNTIF('Entetes_TriNumInterne'!$B$2:$B$1154,A654)</f>
        <v/>
      </c>
    </row>
    <row r="655">
      <c r="A655" s="3" t="inlineStr">
        <is>
          <t>005262</t>
        </is>
      </c>
      <c r="B655" s="5">
        <f>COUNTIF('Entetes_TriNumInterne'!$B$2:$B$1154,A655)</f>
        <v/>
      </c>
    </row>
    <row r="656">
      <c r="A656" s="3" t="inlineStr">
        <is>
          <t>005263</t>
        </is>
      </c>
      <c r="B656" s="5">
        <f>COUNTIF('Entetes_TriNumInterne'!$B$2:$B$1154,A656)</f>
        <v/>
      </c>
    </row>
    <row r="657">
      <c r="A657" s="3" t="inlineStr">
        <is>
          <t>005264</t>
        </is>
      </c>
      <c r="B657" s="5">
        <f>COUNTIF('Entetes_TriNumInterne'!$B$2:$B$1154,A657)</f>
        <v/>
      </c>
    </row>
    <row r="658">
      <c r="A658" s="3" t="inlineStr">
        <is>
          <t>005265</t>
        </is>
      </c>
      <c r="B658" s="5">
        <f>COUNTIF('Entetes_TriNumInterne'!$B$2:$B$1154,A658)</f>
        <v/>
      </c>
    </row>
    <row r="659">
      <c r="A659" s="3" t="inlineStr">
        <is>
          <t>005266</t>
        </is>
      </c>
      <c r="B659" s="5">
        <f>COUNTIF('Entetes_TriNumInterne'!$B$2:$B$1154,A659)</f>
        <v/>
      </c>
    </row>
    <row r="660">
      <c r="A660" s="3" t="inlineStr">
        <is>
          <t>005267</t>
        </is>
      </c>
      <c r="B660" s="5">
        <f>COUNTIF('Entetes_TriNumInterne'!$B$2:$B$1154,A660)</f>
        <v/>
      </c>
    </row>
    <row r="661">
      <c r="A661" s="3" t="inlineStr">
        <is>
          <t>005268</t>
        </is>
      </c>
      <c r="B661" s="5">
        <f>COUNTIF('Entetes_TriNumInterne'!$B$2:$B$1154,A661)</f>
        <v/>
      </c>
    </row>
    <row r="662">
      <c r="A662" s="3" t="inlineStr">
        <is>
          <t>005269</t>
        </is>
      </c>
      <c r="B662" s="5">
        <f>COUNTIF('Entetes_TriNumInterne'!$B$2:$B$1154,A662)</f>
        <v/>
      </c>
    </row>
    <row r="663">
      <c r="A663" s="3" t="inlineStr">
        <is>
          <t>005270</t>
        </is>
      </c>
      <c r="B663" s="5">
        <f>COUNTIF('Entetes_TriNumInterne'!$B$2:$B$1154,A663)</f>
        <v/>
      </c>
    </row>
    <row r="664">
      <c r="A664" s="3" t="inlineStr">
        <is>
          <t>005271</t>
        </is>
      </c>
      <c r="B664" s="5">
        <f>COUNTIF('Entetes_TriNumInterne'!$B$2:$B$1154,A664)</f>
        <v/>
      </c>
    </row>
    <row r="665">
      <c r="A665" s="3" t="inlineStr">
        <is>
          <t>005272</t>
        </is>
      </c>
      <c r="B665" s="5">
        <f>COUNTIF('Entetes_TriNumInterne'!$B$2:$B$1154,A665)</f>
        <v/>
      </c>
    </row>
    <row r="666">
      <c r="A666" s="3" t="inlineStr">
        <is>
          <t>005273</t>
        </is>
      </c>
      <c r="B666" s="5">
        <f>COUNTIF('Entetes_TriNumInterne'!$B$2:$B$1154,A666)</f>
        <v/>
      </c>
    </row>
    <row r="667">
      <c r="A667" s="3" t="inlineStr">
        <is>
          <t>005274</t>
        </is>
      </c>
      <c r="B667" s="5">
        <f>COUNTIF('Entetes_TriNumInterne'!$B$2:$B$1154,A667)</f>
        <v/>
      </c>
    </row>
    <row r="668">
      <c r="A668" s="3" t="inlineStr">
        <is>
          <t>005275</t>
        </is>
      </c>
      <c r="B668" s="5">
        <f>COUNTIF('Entetes_TriNumInterne'!$B$2:$B$1154,A668)</f>
        <v/>
      </c>
    </row>
    <row r="669">
      <c r="A669" s="3" t="inlineStr">
        <is>
          <t>005276</t>
        </is>
      </c>
      <c r="B669" s="5">
        <f>COUNTIF('Entetes_TriNumInterne'!$B$2:$B$1154,A669)</f>
        <v/>
      </c>
    </row>
    <row r="670">
      <c r="A670" s="3" t="inlineStr">
        <is>
          <t>005278</t>
        </is>
      </c>
      <c r="B670" s="5">
        <f>COUNTIF('Entetes_TriNumInterne'!$B$2:$B$1154,A670)</f>
        <v/>
      </c>
    </row>
    <row r="671">
      <c r="A671" s="3" t="inlineStr">
        <is>
          <t>005279</t>
        </is>
      </c>
      <c r="B671" s="5">
        <f>COUNTIF('Entetes_TriNumInterne'!$B$2:$B$1154,A671)</f>
        <v/>
      </c>
    </row>
    <row r="672">
      <c r="A672" s="3" t="inlineStr">
        <is>
          <t>005280</t>
        </is>
      </c>
      <c r="B672" s="5">
        <f>COUNTIF('Entetes_TriNumInterne'!$B$2:$B$1154,A672)</f>
        <v/>
      </c>
    </row>
    <row r="673">
      <c r="A673" s="3" t="inlineStr">
        <is>
          <t>005281</t>
        </is>
      </c>
      <c r="B673" s="5">
        <f>COUNTIF('Entetes_TriNumInterne'!$B$2:$B$1154,A673)</f>
        <v/>
      </c>
    </row>
    <row r="674">
      <c r="A674" s="3" t="inlineStr">
        <is>
          <t>005282</t>
        </is>
      </c>
      <c r="B674" s="5">
        <f>COUNTIF('Entetes_TriNumInterne'!$B$2:$B$1154,A674)</f>
        <v/>
      </c>
    </row>
    <row r="675">
      <c r="A675" s="3" t="inlineStr">
        <is>
          <t>005289</t>
        </is>
      </c>
      <c r="B675" s="5">
        <f>COUNTIF('Entetes_TriNumInterne'!$B$2:$B$1154,A675)</f>
        <v/>
      </c>
    </row>
    <row r="676">
      <c r="A676" s="3" t="inlineStr">
        <is>
          <t>005290</t>
        </is>
      </c>
      <c r="B676" s="5">
        <f>COUNTIF('Entetes_TriNumInterne'!$B$2:$B$1154,A676)</f>
        <v/>
      </c>
    </row>
    <row r="677">
      <c r="A677" s="3" t="inlineStr">
        <is>
          <t>005291</t>
        </is>
      </c>
      <c r="B677" s="5">
        <f>COUNTIF('Entetes_TriNumInterne'!$B$2:$B$1154,A677)</f>
        <v/>
      </c>
    </row>
    <row r="678">
      <c r="A678" s="3" t="inlineStr">
        <is>
          <t>005292</t>
        </is>
      </c>
      <c r="B678" s="5">
        <f>COUNTIF('Entetes_TriNumInterne'!$B$2:$B$1154,A678)</f>
        <v/>
      </c>
    </row>
    <row r="679">
      <c r="A679" s="3" t="inlineStr">
        <is>
          <t>005293</t>
        </is>
      </c>
      <c r="B679" s="5">
        <f>COUNTIF('Entetes_TriNumInterne'!$B$2:$B$1154,A679)</f>
        <v/>
      </c>
    </row>
    <row r="680">
      <c r="A680" s="3" t="inlineStr">
        <is>
          <t>005294</t>
        </is>
      </c>
      <c r="B680" s="5">
        <f>COUNTIF('Entetes_TriNumInterne'!$B$2:$B$1154,A680)</f>
        <v/>
      </c>
    </row>
    <row r="681">
      <c r="A681" s="3" t="inlineStr">
        <is>
          <t>005295</t>
        </is>
      </c>
      <c r="B681" s="5">
        <f>COUNTIF('Entetes_TriNumInterne'!$B$2:$B$1154,A681)</f>
        <v/>
      </c>
    </row>
    <row r="682">
      <c r="A682" s="3" t="inlineStr">
        <is>
          <t>005296</t>
        </is>
      </c>
      <c r="B682" s="5">
        <f>COUNTIF('Entetes_TriNumInterne'!$B$2:$B$1154,A682)</f>
        <v/>
      </c>
    </row>
    <row r="683">
      <c r="A683" s="3" t="inlineStr">
        <is>
          <t>005297</t>
        </is>
      </c>
      <c r="B683" s="5">
        <f>COUNTIF('Entetes_TriNumInterne'!$B$2:$B$1154,A683)</f>
        <v/>
      </c>
    </row>
    <row r="684">
      <c r="A684" s="3" t="inlineStr">
        <is>
          <t>005298</t>
        </is>
      </c>
      <c r="B684" s="5">
        <f>COUNTIF('Entetes_TriNumInterne'!$B$2:$B$1154,A684)</f>
        <v/>
      </c>
    </row>
    <row r="685">
      <c r="A685" s="3" t="inlineStr">
        <is>
          <t>005299</t>
        </is>
      </c>
      <c r="B685" s="5">
        <f>COUNTIF('Entetes_TriNumInterne'!$B$2:$B$1154,A685)</f>
        <v/>
      </c>
    </row>
    <row r="686">
      <c r="A686" s="3" t="inlineStr">
        <is>
          <t>005300</t>
        </is>
      </c>
      <c r="B686" s="5">
        <f>COUNTIF('Entetes_TriNumInterne'!$B$2:$B$1154,A686)</f>
        <v/>
      </c>
    </row>
    <row r="687">
      <c r="A687" s="3" t="inlineStr">
        <is>
          <t>005301</t>
        </is>
      </c>
      <c r="B687" s="5">
        <f>COUNTIF('Entetes_TriNumInterne'!$B$2:$B$1154,A687)</f>
        <v/>
      </c>
    </row>
    <row r="688">
      <c r="A688" s="3" t="inlineStr">
        <is>
          <t>005302</t>
        </is>
      </c>
      <c r="B688" s="5">
        <f>COUNTIF('Entetes_TriNumInterne'!$B$2:$B$1154,A688)</f>
        <v/>
      </c>
    </row>
    <row r="689">
      <c r="A689" s="3" t="inlineStr">
        <is>
          <t>005303</t>
        </is>
      </c>
      <c r="B689" s="5">
        <f>COUNTIF('Entetes_TriNumInterne'!$B$2:$B$1154,A689)</f>
        <v/>
      </c>
    </row>
    <row r="690">
      <c r="A690" s="3" t="inlineStr">
        <is>
          <t>005304</t>
        </is>
      </c>
      <c r="B690" s="5">
        <f>COUNTIF('Entetes_TriNumInterne'!$B$2:$B$1154,A690)</f>
        <v/>
      </c>
    </row>
    <row r="691">
      <c r="A691" s="3" t="inlineStr">
        <is>
          <t>005305</t>
        </is>
      </c>
      <c r="B691" s="5">
        <f>COUNTIF('Entetes_TriNumInterne'!$B$2:$B$1154,A691)</f>
        <v/>
      </c>
    </row>
    <row r="692">
      <c r="A692" s="3" t="inlineStr">
        <is>
          <t>005306</t>
        </is>
      </c>
      <c r="B692" s="5">
        <f>COUNTIF('Entetes_TriNumInterne'!$B$2:$B$1154,A692)</f>
        <v/>
      </c>
    </row>
    <row r="693">
      <c r="A693" s="3" t="inlineStr">
        <is>
          <t>005307</t>
        </is>
      </c>
      <c r="B693" s="5">
        <f>COUNTIF('Entetes_TriNumInterne'!$B$2:$B$1154,A693)</f>
        <v/>
      </c>
    </row>
    <row r="694">
      <c r="A694" s="3" t="inlineStr">
        <is>
          <t>005308</t>
        </is>
      </c>
      <c r="B694" s="5">
        <f>COUNTIF('Entetes_TriNumInterne'!$B$2:$B$1154,A694)</f>
        <v/>
      </c>
    </row>
    <row r="695">
      <c r="A695" s="3" t="inlineStr">
        <is>
          <t>005309</t>
        </is>
      </c>
      <c r="B695" s="5">
        <f>COUNTIF('Entetes_TriNumInterne'!$B$2:$B$1154,A695)</f>
        <v/>
      </c>
    </row>
    <row r="696">
      <c r="A696" s="3" t="inlineStr">
        <is>
          <t>005310</t>
        </is>
      </c>
      <c r="B696" s="5">
        <f>COUNTIF('Entetes_TriNumInterne'!$B$2:$B$1154,A696)</f>
        <v/>
      </c>
    </row>
    <row r="697">
      <c r="A697" s="3" t="inlineStr">
        <is>
          <t>005311</t>
        </is>
      </c>
      <c r="B697" s="5">
        <f>COUNTIF('Entetes_TriNumInterne'!$B$2:$B$1154,A697)</f>
        <v/>
      </c>
    </row>
    <row r="698">
      <c r="A698" s="3" t="inlineStr">
        <is>
          <t>005312</t>
        </is>
      </c>
      <c r="B698" s="5">
        <f>COUNTIF('Entetes_TriNumInterne'!$B$2:$B$1154,A698)</f>
        <v/>
      </c>
    </row>
    <row r="699">
      <c r="A699" s="3" t="inlineStr">
        <is>
          <t>005313</t>
        </is>
      </c>
      <c r="B699" s="5">
        <f>COUNTIF('Entetes_TriNumInterne'!$B$2:$B$1154,A699)</f>
        <v/>
      </c>
    </row>
    <row r="700">
      <c r="A700" s="3" t="inlineStr">
        <is>
          <t>005314</t>
        </is>
      </c>
      <c r="B700" s="5">
        <f>COUNTIF('Entetes_TriNumInterne'!$B$2:$B$1154,A700)</f>
        <v/>
      </c>
    </row>
    <row r="701">
      <c r="A701" s="3" t="inlineStr">
        <is>
          <t>005315</t>
        </is>
      </c>
      <c r="B701" s="5">
        <f>COUNTIF('Entetes_TriNumInterne'!$B$2:$B$1154,A701)</f>
        <v/>
      </c>
    </row>
    <row r="702">
      <c r="A702" s="3" t="inlineStr">
        <is>
          <t>005316</t>
        </is>
      </c>
      <c r="B702" s="5">
        <f>COUNTIF('Entetes_TriNumInterne'!$B$2:$B$1154,A702)</f>
        <v/>
      </c>
    </row>
    <row r="703">
      <c r="A703" s="3" t="inlineStr">
        <is>
          <t>005317</t>
        </is>
      </c>
      <c r="B703" s="5">
        <f>COUNTIF('Entetes_TriNumInterne'!$B$2:$B$1154,A703)</f>
        <v/>
      </c>
    </row>
    <row r="704">
      <c r="A704" s="3" t="inlineStr">
        <is>
          <t>005318</t>
        </is>
      </c>
      <c r="B704" s="5">
        <f>COUNTIF('Entetes_TriNumInterne'!$B$2:$B$1154,A704)</f>
        <v/>
      </c>
    </row>
    <row r="705">
      <c r="A705" s="3" t="inlineStr">
        <is>
          <t>005319</t>
        </is>
      </c>
      <c r="B705" s="5">
        <f>COUNTIF('Entetes_TriNumInterne'!$B$2:$B$1154,A705)</f>
        <v/>
      </c>
    </row>
    <row r="706">
      <c r="A706" s="3" t="inlineStr">
        <is>
          <t>005320</t>
        </is>
      </c>
      <c r="B706" s="5">
        <f>COUNTIF('Entetes_TriNumInterne'!$B$2:$B$1154,A706)</f>
        <v/>
      </c>
    </row>
    <row r="707">
      <c r="A707" s="3" t="inlineStr">
        <is>
          <t>005321</t>
        </is>
      </c>
      <c r="B707" s="5">
        <f>COUNTIF('Entetes_TriNumInterne'!$B$2:$B$1154,A707)</f>
        <v/>
      </c>
    </row>
    <row r="708">
      <c r="A708" s="3" t="inlineStr">
        <is>
          <t>005322</t>
        </is>
      </c>
      <c r="B708" s="5">
        <f>COUNTIF('Entetes_TriNumInterne'!$B$2:$B$1154,A708)</f>
        <v/>
      </c>
    </row>
    <row r="709">
      <c r="A709" s="3" t="inlineStr">
        <is>
          <t>005323</t>
        </is>
      </c>
      <c r="B709" s="5">
        <f>COUNTIF('Entetes_TriNumInterne'!$B$2:$B$1154,A709)</f>
        <v/>
      </c>
    </row>
    <row r="710">
      <c r="A710" s="3" t="inlineStr">
        <is>
          <t>005324</t>
        </is>
      </c>
      <c r="B710" s="5">
        <f>COUNTIF('Entetes_TriNumInterne'!$B$2:$B$1154,A710)</f>
        <v/>
      </c>
    </row>
    <row r="711">
      <c r="A711" s="3" t="inlineStr">
        <is>
          <t>005325</t>
        </is>
      </c>
      <c r="B711" s="5">
        <f>COUNTIF('Entetes_TriNumInterne'!$B$2:$B$1154,A711)</f>
        <v/>
      </c>
    </row>
    <row r="712">
      <c r="A712" s="3" t="inlineStr">
        <is>
          <t>005333</t>
        </is>
      </c>
      <c r="B712" s="5">
        <f>COUNTIF('Entetes_TriNumInterne'!$B$2:$B$1154,A712)</f>
        <v/>
      </c>
    </row>
    <row r="713">
      <c r="A713" s="3" t="inlineStr">
        <is>
          <t>005334</t>
        </is>
      </c>
      <c r="B713" s="5">
        <f>COUNTIF('Entetes_TriNumInterne'!$B$2:$B$1154,A713)</f>
        <v/>
      </c>
    </row>
    <row r="714">
      <c r="A714" s="3" t="inlineStr">
        <is>
          <t>005335</t>
        </is>
      </c>
      <c r="B714" s="5">
        <f>COUNTIF('Entetes_TriNumInterne'!$B$2:$B$1154,A714)</f>
        <v/>
      </c>
    </row>
    <row r="715">
      <c r="A715" s="3" t="inlineStr">
        <is>
          <t>005336</t>
        </is>
      </c>
      <c r="B715" s="5">
        <f>COUNTIF('Entetes_TriNumInterne'!$B$2:$B$1154,A715)</f>
        <v/>
      </c>
    </row>
    <row r="716">
      <c r="A716" s="3" t="inlineStr">
        <is>
          <t>005337</t>
        </is>
      </c>
      <c r="B716" s="5">
        <f>COUNTIF('Entetes_TriNumInterne'!$B$2:$B$1154,A716)</f>
        <v/>
      </c>
    </row>
    <row r="717">
      <c r="A717" s="3" t="inlineStr">
        <is>
          <t>005338</t>
        </is>
      </c>
      <c r="B717" s="5">
        <f>COUNTIF('Entetes_TriNumInterne'!$B$2:$B$1154,A717)</f>
        <v/>
      </c>
    </row>
    <row r="718">
      <c r="A718" s="3" t="inlineStr">
        <is>
          <t>005339</t>
        </is>
      </c>
      <c r="B718" s="5">
        <f>COUNTIF('Entetes_TriNumInterne'!$B$2:$B$1154,A718)</f>
        <v/>
      </c>
    </row>
    <row r="719">
      <c r="A719" s="3" t="inlineStr">
        <is>
          <t>005340</t>
        </is>
      </c>
      <c r="B719" s="5">
        <f>COUNTIF('Entetes_TriNumInterne'!$B$2:$B$1154,A719)</f>
        <v/>
      </c>
    </row>
    <row r="720">
      <c r="A720" s="3" t="inlineStr">
        <is>
          <t>005341</t>
        </is>
      </c>
      <c r="B720" s="5">
        <f>COUNTIF('Entetes_TriNumInterne'!$B$2:$B$1154,A720)</f>
        <v/>
      </c>
    </row>
    <row r="721">
      <c r="A721" s="3" t="inlineStr">
        <is>
          <t>005342</t>
        </is>
      </c>
      <c r="B721" s="5">
        <f>COUNTIF('Entetes_TriNumInterne'!$B$2:$B$1154,A721)</f>
        <v/>
      </c>
    </row>
    <row r="722">
      <c r="A722" s="3" t="inlineStr">
        <is>
          <t>005343</t>
        </is>
      </c>
      <c r="B722" s="5">
        <f>COUNTIF('Entetes_TriNumInterne'!$B$2:$B$1154,A722)</f>
        <v/>
      </c>
    </row>
    <row r="723">
      <c r="A723" s="3" t="inlineStr">
        <is>
          <t>005344</t>
        </is>
      </c>
      <c r="B723" s="5">
        <f>COUNTIF('Entetes_TriNumInterne'!$B$2:$B$1154,A723)</f>
        <v/>
      </c>
    </row>
    <row r="724">
      <c r="A724" s="3" t="inlineStr">
        <is>
          <t>005345</t>
        </is>
      </c>
      <c r="B724" s="5">
        <f>COUNTIF('Entetes_TriNumInterne'!$B$2:$B$1154,A724)</f>
        <v/>
      </c>
    </row>
    <row r="725">
      <c r="A725" s="3" t="inlineStr">
        <is>
          <t>005347</t>
        </is>
      </c>
      <c r="B725" s="5">
        <f>COUNTIF('Entetes_TriNumInterne'!$B$2:$B$1154,A725)</f>
        <v/>
      </c>
    </row>
    <row r="726">
      <c r="A726" s="3" t="inlineStr">
        <is>
          <t>005348</t>
        </is>
      </c>
      <c r="B726" s="5">
        <f>COUNTIF('Entetes_TriNumInterne'!$B$2:$B$1154,A726)</f>
        <v/>
      </c>
    </row>
    <row r="727">
      <c r="A727" s="3" t="inlineStr">
        <is>
          <t>005349</t>
        </is>
      </c>
      <c r="B727" s="5">
        <f>COUNTIF('Entetes_TriNumInterne'!$B$2:$B$1154,A727)</f>
        <v/>
      </c>
    </row>
    <row r="728">
      <c r="A728" s="3" t="inlineStr">
        <is>
          <t>005350</t>
        </is>
      </c>
      <c r="B728" s="5">
        <f>COUNTIF('Entetes_TriNumInterne'!$B$2:$B$1154,A728)</f>
        <v/>
      </c>
    </row>
    <row r="729">
      <c r="A729" s="3" t="inlineStr">
        <is>
          <t>005351</t>
        </is>
      </c>
      <c r="B729" s="5">
        <f>COUNTIF('Entetes_TriNumInterne'!$B$2:$B$1154,A729)</f>
        <v/>
      </c>
    </row>
    <row r="730">
      <c r="A730" s="3" t="inlineStr">
        <is>
          <t>005352</t>
        </is>
      </c>
      <c r="B730" s="5">
        <f>COUNTIF('Entetes_TriNumInterne'!$B$2:$B$1154,A730)</f>
        <v/>
      </c>
    </row>
    <row r="731">
      <c r="A731" s="3" t="inlineStr">
        <is>
          <t>005353</t>
        </is>
      </c>
      <c r="B731" s="5">
        <f>COUNTIF('Entetes_TriNumInterne'!$B$2:$B$1154,A731)</f>
        <v/>
      </c>
    </row>
    <row r="732">
      <c r="A732" s="3" t="inlineStr">
        <is>
          <t>005354</t>
        </is>
      </c>
      <c r="B732" s="5">
        <f>COUNTIF('Entetes_TriNumInterne'!$B$2:$B$1154,A732)</f>
        <v/>
      </c>
    </row>
    <row r="733">
      <c r="A733" s="3" t="inlineStr">
        <is>
          <t>005355</t>
        </is>
      </c>
      <c r="B733" s="5">
        <f>COUNTIF('Entetes_TriNumInterne'!$B$2:$B$1154,A733)</f>
        <v/>
      </c>
    </row>
    <row r="734">
      <c r="A734" s="3" t="inlineStr">
        <is>
          <t>005356</t>
        </is>
      </c>
      <c r="B734" s="5">
        <f>COUNTIF('Entetes_TriNumInterne'!$B$2:$B$1154,A734)</f>
        <v/>
      </c>
    </row>
    <row r="735">
      <c r="A735" s="3" t="inlineStr">
        <is>
          <t>005357</t>
        </is>
      </c>
      <c r="B735" s="5">
        <f>COUNTIF('Entetes_TriNumInterne'!$B$2:$B$1154,A735)</f>
        <v/>
      </c>
    </row>
    <row r="736">
      <c r="A736" s="3" t="inlineStr">
        <is>
          <t>005358</t>
        </is>
      </c>
      <c r="B736" s="5">
        <f>COUNTIF('Entetes_TriNumInterne'!$B$2:$B$1154,A736)</f>
        <v/>
      </c>
    </row>
    <row r="737">
      <c r="A737" s="3" t="inlineStr">
        <is>
          <t>005367</t>
        </is>
      </c>
      <c r="B737" s="5">
        <f>COUNTIF('Entetes_TriNumInterne'!$B$2:$B$1154,A737)</f>
        <v/>
      </c>
    </row>
    <row r="738">
      <c r="A738" s="3" t="inlineStr">
        <is>
          <t>005368</t>
        </is>
      </c>
      <c r="B738" s="5">
        <f>COUNTIF('Entetes_TriNumInterne'!$B$2:$B$1154,A738)</f>
        <v/>
      </c>
    </row>
    <row r="739">
      <c r="A739" s="3" t="inlineStr">
        <is>
          <t>005369</t>
        </is>
      </c>
      <c r="B739" s="5">
        <f>COUNTIF('Entetes_TriNumInterne'!$B$2:$B$1154,A739)</f>
        <v/>
      </c>
    </row>
    <row r="740">
      <c r="A740" s="3" t="inlineStr">
        <is>
          <t>005370</t>
        </is>
      </c>
      <c r="B740" s="5">
        <f>COUNTIF('Entetes_TriNumInterne'!$B$2:$B$1154,A740)</f>
        <v/>
      </c>
    </row>
    <row r="741">
      <c r="A741" s="3" t="inlineStr">
        <is>
          <t>005371</t>
        </is>
      </c>
      <c r="B741" s="5">
        <f>COUNTIF('Entetes_TriNumInterne'!$B$2:$B$1154,A741)</f>
        <v/>
      </c>
    </row>
    <row r="742">
      <c r="A742" s="3" t="inlineStr">
        <is>
          <t>005372</t>
        </is>
      </c>
      <c r="B742" s="5">
        <f>COUNTIF('Entetes_TriNumInterne'!$B$2:$B$1154,A742)</f>
        <v/>
      </c>
    </row>
    <row r="743">
      <c r="A743" s="3" t="inlineStr">
        <is>
          <t>005373</t>
        </is>
      </c>
      <c r="B743" s="5">
        <f>COUNTIF('Entetes_TriNumInterne'!$B$2:$B$1154,A743)</f>
        <v/>
      </c>
    </row>
    <row r="744">
      <c r="A744" s="3" t="inlineStr">
        <is>
          <t>005374</t>
        </is>
      </c>
      <c r="B744" s="5">
        <f>COUNTIF('Entetes_TriNumInterne'!$B$2:$B$1154,A744)</f>
        <v/>
      </c>
    </row>
    <row r="745">
      <c r="A745" s="3" t="inlineStr">
        <is>
          <t>005375</t>
        </is>
      </c>
      <c r="B745" s="5">
        <f>COUNTIF('Entetes_TriNumInterne'!$B$2:$B$1154,A745)</f>
        <v/>
      </c>
    </row>
    <row r="746">
      <c r="A746" s="3" t="inlineStr">
        <is>
          <t>005376</t>
        </is>
      </c>
      <c r="B746" s="5">
        <f>COUNTIF('Entetes_TriNumInterne'!$B$2:$B$1154,A746)</f>
        <v/>
      </c>
    </row>
    <row r="747">
      <c r="A747" s="3" t="inlineStr">
        <is>
          <t>005377</t>
        </is>
      </c>
      <c r="B747" s="5">
        <f>COUNTIF('Entetes_TriNumInterne'!$B$2:$B$1154,A747)</f>
        <v/>
      </c>
    </row>
    <row r="748">
      <c r="A748" s="3" t="inlineStr">
        <is>
          <t>005378</t>
        </is>
      </c>
      <c r="B748" s="5">
        <f>COUNTIF('Entetes_TriNumInterne'!$B$2:$B$1154,A748)</f>
        <v/>
      </c>
    </row>
    <row r="749">
      <c r="A749" s="3" t="inlineStr">
        <is>
          <t>005379</t>
        </is>
      </c>
      <c r="B749" s="5">
        <f>COUNTIF('Entetes_TriNumInterne'!$B$2:$B$1154,A749)</f>
        <v/>
      </c>
    </row>
    <row r="750">
      <c r="A750" s="3" t="inlineStr">
        <is>
          <t>005380</t>
        </is>
      </c>
      <c r="B750" s="5">
        <f>COUNTIF('Entetes_TriNumInterne'!$B$2:$B$1154,A750)</f>
        <v/>
      </c>
    </row>
    <row r="751">
      <c r="A751" s="3" t="inlineStr">
        <is>
          <t>005381</t>
        </is>
      </c>
      <c r="B751" s="5">
        <f>COUNTIF('Entetes_TriNumInterne'!$B$2:$B$1154,A751)</f>
        <v/>
      </c>
    </row>
    <row r="752">
      <c r="A752" s="3" t="inlineStr">
        <is>
          <t>005382</t>
        </is>
      </c>
      <c r="B752" s="5">
        <f>COUNTIF('Entetes_TriNumInterne'!$B$2:$B$1154,A752)</f>
        <v/>
      </c>
    </row>
    <row r="753">
      <c r="A753" s="3" t="inlineStr">
        <is>
          <t>005383</t>
        </is>
      </c>
      <c r="B753" s="5">
        <f>COUNTIF('Entetes_TriNumInterne'!$B$2:$B$1154,A753)</f>
        <v/>
      </c>
    </row>
    <row r="754">
      <c r="A754" s="3" t="inlineStr">
        <is>
          <t>005384</t>
        </is>
      </c>
      <c r="B754" s="5">
        <f>COUNTIF('Entetes_TriNumInterne'!$B$2:$B$1154,A754)</f>
        <v/>
      </c>
    </row>
    <row r="755">
      <c r="A755" s="3" t="inlineStr">
        <is>
          <t>005385</t>
        </is>
      </c>
      <c r="B755" s="5">
        <f>COUNTIF('Entetes_TriNumInterne'!$B$2:$B$1154,A755)</f>
        <v/>
      </c>
    </row>
    <row r="756">
      <c r="A756" s="3" t="inlineStr">
        <is>
          <t>005386</t>
        </is>
      </c>
      <c r="B756" s="5">
        <f>COUNTIF('Entetes_TriNumInterne'!$B$2:$B$1154,A756)</f>
        <v/>
      </c>
    </row>
    <row r="757">
      <c r="A757" s="3" t="inlineStr">
        <is>
          <t>005387</t>
        </is>
      </c>
      <c r="B757" s="5">
        <f>COUNTIF('Entetes_TriNumInterne'!$B$2:$B$1154,A757)</f>
        <v/>
      </c>
    </row>
    <row r="758">
      <c r="A758" s="3" t="inlineStr">
        <is>
          <t>005388</t>
        </is>
      </c>
      <c r="B758" s="5">
        <f>COUNTIF('Entetes_TriNumInterne'!$B$2:$B$1154,A758)</f>
        <v/>
      </c>
    </row>
    <row r="759">
      <c r="A759" s="3" t="inlineStr">
        <is>
          <t>005389</t>
        </is>
      </c>
      <c r="B759" s="5">
        <f>COUNTIF('Entetes_TriNumInterne'!$B$2:$B$1154,A759)</f>
        <v/>
      </c>
    </row>
    <row r="760">
      <c r="A760" s="3" t="inlineStr">
        <is>
          <t>005390</t>
        </is>
      </c>
      <c r="B760" s="5">
        <f>COUNTIF('Entetes_TriNumInterne'!$B$2:$B$1154,A760)</f>
        <v/>
      </c>
    </row>
    <row r="761">
      <c r="A761" s="3" t="inlineStr">
        <is>
          <t>005391</t>
        </is>
      </c>
      <c r="B761" s="5">
        <f>COUNTIF('Entetes_TriNumInterne'!$B$2:$B$1154,A761)</f>
        <v/>
      </c>
    </row>
    <row r="762">
      <c r="A762" s="3" t="inlineStr">
        <is>
          <t>005392</t>
        </is>
      </c>
      <c r="B762" s="5">
        <f>COUNTIF('Entetes_TriNumInterne'!$B$2:$B$1154,A762)</f>
        <v/>
      </c>
    </row>
    <row r="763">
      <c r="A763" s="3" t="inlineStr">
        <is>
          <t>005393</t>
        </is>
      </c>
      <c r="B763" s="5">
        <f>COUNTIF('Entetes_TriNumInterne'!$B$2:$B$1154,A763)</f>
        <v/>
      </c>
    </row>
    <row r="764">
      <c r="A764" s="3" t="inlineStr">
        <is>
          <t>005394</t>
        </is>
      </c>
      <c r="B764" s="5">
        <f>COUNTIF('Entetes_TriNumInterne'!$B$2:$B$1154,A764)</f>
        <v/>
      </c>
    </row>
    <row r="765">
      <c r="A765" s="3" t="inlineStr">
        <is>
          <t>005401</t>
        </is>
      </c>
      <c r="B765" s="5">
        <f>COUNTIF('Entetes_TriNumInterne'!$B$2:$B$1154,A765)</f>
        <v/>
      </c>
    </row>
    <row r="766">
      <c r="A766" s="3" t="inlineStr">
        <is>
          <t>005402</t>
        </is>
      </c>
      <c r="B766" s="5">
        <f>COUNTIF('Entetes_TriNumInterne'!$B$2:$B$1154,A766)</f>
        <v/>
      </c>
    </row>
    <row r="767">
      <c r="A767" s="3" t="inlineStr">
        <is>
          <t>005403</t>
        </is>
      </c>
      <c r="B767" s="5">
        <f>COUNTIF('Entetes_TriNumInterne'!$B$2:$B$1154,A767)</f>
        <v/>
      </c>
    </row>
    <row r="768">
      <c r="A768" s="3" t="inlineStr">
        <is>
          <t>005404</t>
        </is>
      </c>
      <c r="B768" s="5">
        <f>COUNTIF('Entetes_TriNumInterne'!$B$2:$B$1154,A768)</f>
        <v/>
      </c>
    </row>
    <row r="769">
      <c r="A769" s="3" t="inlineStr">
        <is>
          <t>005405</t>
        </is>
      </c>
      <c r="B769" s="5">
        <f>COUNTIF('Entetes_TriNumInterne'!$B$2:$B$1154,A769)</f>
        <v/>
      </c>
    </row>
    <row r="770">
      <c r="A770" s="3" t="inlineStr">
        <is>
          <t>005406</t>
        </is>
      </c>
      <c r="B770" s="5">
        <f>COUNTIF('Entetes_TriNumInterne'!$B$2:$B$1154,A770)</f>
        <v/>
      </c>
    </row>
    <row r="771">
      <c r="A771" s="3" t="inlineStr">
        <is>
          <t>005407</t>
        </is>
      </c>
      <c r="B771" s="5">
        <f>COUNTIF('Entetes_TriNumInterne'!$B$2:$B$1154,A771)</f>
        <v/>
      </c>
    </row>
    <row r="772">
      <c r="A772" s="3" t="inlineStr">
        <is>
          <t>005408</t>
        </is>
      </c>
      <c r="B772" s="5">
        <f>COUNTIF('Entetes_TriNumInterne'!$B$2:$B$1154,A772)</f>
        <v/>
      </c>
    </row>
    <row r="773">
      <c r="A773" s="3" t="inlineStr">
        <is>
          <t>005409</t>
        </is>
      </c>
      <c r="B773" s="5">
        <f>COUNTIF('Entetes_TriNumInterne'!$B$2:$B$1154,A773)</f>
        <v/>
      </c>
    </row>
    <row r="774">
      <c r="A774" s="3" t="inlineStr">
        <is>
          <t>005410</t>
        </is>
      </c>
      <c r="B774" s="5">
        <f>COUNTIF('Entetes_TriNumInterne'!$B$2:$B$1154,A774)</f>
        <v/>
      </c>
    </row>
    <row r="775">
      <c r="A775" s="3" t="inlineStr">
        <is>
          <t>005411</t>
        </is>
      </c>
      <c r="B775" s="5">
        <f>COUNTIF('Entetes_TriNumInterne'!$B$2:$B$1154,A775)</f>
        <v/>
      </c>
    </row>
    <row r="776">
      <c r="A776" s="3" t="inlineStr">
        <is>
          <t>005412</t>
        </is>
      </c>
      <c r="B776" s="5">
        <f>COUNTIF('Entetes_TriNumInterne'!$B$2:$B$1154,A776)</f>
        <v/>
      </c>
    </row>
    <row r="777">
      <c r="A777" s="3" t="inlineStr">
        <is>
          <t>005413</t>
        </is>
      </c>
      <c r="B777" s="5">
        <f>COUNTIF('Entetes_TriNumInterne'!$B$2:$B$1154,A777)</f>
        <v/>
      </c>
    </row>
    <row r="778">
      <c r="A778" s="3" t="inlineStr">
        <is>
          <t>005414</t>
        </is>
      </c>
      <c r="B778" s="5">
        <f>COUNTIF('Entetes_TriNumInterne'!$B$2:$B$1154,A778)</f>
        <v/>
      </c>
    </row>
    <row r="779">
      <c r="A779" s="3" t="inlineStr">
        <is>
          <t>005415</t>
        </is>
      </c>
      <c r="B779" s="5">
        <f>COUNTIF('Entetes_TriNumInterne'!$B$2:$B$1154,A779)</f>
        <v/>
      </c>
    </row>
    <row r="780">
      <c r="A780" s="3" t="inlineStr">
        <is>
          <t>005416</t>
        </is>
      </c>
      <c r="B780" s="5">
        <f>COUNTIF('Entetes_TriNumInterne'!$B$2:$B$1154,A780)</f>
        <v/>
      </c>
    </row>
    <row r="781">
      <c r="A781" s="3" t="inlineStr">
        <is>
          <t>005417</t>
        </is>
      </c>
      <c r="B781" s="5">
        <f>COUNTIF('Entetes_TriNumInterne'!$B$2:$B$1154,A781)</f>
        <v/>
      </c>
    </row>
    <row r="782">
      <c r="A782" s="3" t="inlineStr">
        <is>
          <t>005418</t>
        </is>
      </c>
      <c r="B782" s="5">
        <f>COUNTIF('Entetes_TriNumInterne'!$B$2:$B$1154,A782)</f>
        <v/>
      </c>
    </row>
    <row r="783">
      <c r="A783" s="3" t="inlineStr">
        <is>
          <t>005419</t>
        </is>
      </c>
      <c r="B783" s="5">
        <f>COUNTIF('Entetes_TriNumInterne'!$B$2:$B$1154,A783)</f>
        <v/>
      </c>
    </row>
    <row r="784">
      <c r="A784" s="3" t="inlineStr">
        <is>
          <t>005420</t>
        </is>
      </c>
      <c r="B784" s="5">
        <f>COUNTIF('Entetes_TriNumInterne'!$B$2:$B$1154,A784)</f>
        <v/>
      </c>
    </row>
    <row r="785">
      <c r="A785" s="3" t="inlineStr">
        <is>
          <t>005421</t>
        </is>
      </c>
      <c r="B785" s="5">
        <f>COUNTIF('Entetes_TriNumInterne'!$B$2:$B$1154,A785)</f>
        <v/>
      </c>
    </row>
    <row r="786">
      <c r="A786" s="3" t="inlineStr">
        <is>
          <t>005422</t>
        </is>
      </c>
      <c r="B786" s="5">
        <f>COUNTIF('Entetes_TriNumInterne'!$B$2:$B$1154,A786)</f>
        <v/>
      </c>
    </row>
    <row r="787">
      <c r="A787" s="3" t="inlineStr">
        <is>
          <t>005423</t>
        </is>
      </c>
      <c r="B787" s="5">
        <f>COUNTIF('Entetes_TriNumInterne'!$B$2:$B$1154,A787)</f>
        <v/>
      </c>
    </row>
    <row r="788">
      <c r="A788" s="3" t="inlineStr">
        <is>
          <t>005424</t>
        </is>
      </c>
      <c r="B788" s="5">
        <f>COUNTIF('Entetes_TriNumInterne'!$B$2:$B$1154,A788)</f>
        <v/>
      </c>
    </row>
    <row r="789">
      <c r="A789" s="3" t="inlineStr">
        <is>
          <t>005425</t>
        </is>
      </c>
      <c r="B789" s="5">
        <f>COUNTIF('Entetes_TriNumInterne'!$B$2:$B$1154,A789)</f>
        <v/>
      </c>
    </row>
    <row r="790">
      <c r="A790" s="3" t="inlineStr">
        <is>
          <t>005426</t>
        </is>
      </c>
      <c r="B790" s="5">
        <f>COUNTIF('Entetes_TriNumInterne'!$B$2:$B$1154,A790)</f>
        <v/>
      </c>
    </row>
    <row r="791">
      <c r="A791" s="3" t="inlineStr">
        <is>
          <t>005427</t>
        </is>
      </c>
      <c r="B791" s="5">
        <f>COUNTIF('Entetes_TriNumInterne'!$B$2:$B$1154,A791)</f>
        <v/>
      </c>
    </row>
    <row r="792">
      <c r="A792" s="3" t="inlineStr">
        <is>
          <t>005428</t>
        </is>
      </c>
      <c r="B792" s="5">
        <f>COUNTIF('Entetes_TriNumInterne'!$B$2:$B$1154,A792)</f>
        <v/>
      </c>
    </row>
    <row r="793">
      <c r="A793" s="3" t="inlineStr">
        <is>
          <t>005429</t>
        </is>
      </c>
      <c r="B793" s="5">
        <f>COUNTIF('Entetes_TriNumInterne'!$B$2:$B$1154,A793)</f>
        <v/>
      </c>
    </row>
    <row r="794">
      <c r="A794" s="3" t="inlineStr">
        <is>
          <t>005430</t>
        </is>
      </c>
      <c r="B794" s="5">
        <f>COUNTIF('Entetes_TriNumInterne'!$B$2:$B$1154,A794)</f>
        <v/>
      </c>
    </row>
    <row r="795">
      <c r="A795" s="3" t="inlineStr">
        <is>
          <t>005431</t>
        </is>
      </c>
      <c r="B795" s="5">
        <f>COUNTIF('Entetes_TriNumInterne'!$B$2:$B$1154,A795)</f>
        <v/>
      </c>
    </row>
    <row r="796">
      <c r="A796" s="3" t="inlineStr">
        <is>
          <t>005432</t>
        </is>
      </c>
      <c r="B796" s="5">
        <f>COUNTIF('Entetes_TriNumInterne'!$B$2:$B$1154,A796)</f>
        <v/>
      </c>
    </row>
    <row r="797">
      <c r="A797" s="3" t="inlineStr">
        <is>
          <t>005433</t>
        </is>
      </c>
      <c r="B797" s="5">
        <f>COUNTIF('Entetes_TriNumInterne'!$B$2:$B$1154,A797)</f>
        <v/>
      </c>
    </row>
    <row r="798">
      <c r="A798" s="3" t="inlineStr">
        <is>
          <t>005434</t>
        </is>
      </c>
      <c r="B798" s="5">
        <f>COUNTIF('Entetes_TriNumInterne'!$B$2:$B$1154,A798)</f>
        <v/>
      </c>
    </row>
    <row r="799">
      <c r="A799" s="3" t="inlineStr">
        <is>
          <t>005435</t>
        </is>
      </c>
      <c r="B799" s="5">
        <f>COUNTIF('Entetes_TriNumInterne'!$B$2:$B$1154,A799)</f>
        <v/>
      </c>
    </row>
    <row r="800">
      <c r="A800" s="3" t="inlineStr">
        <is>
          <t>005436</t>
        </is>
      </c>
      <c r="B800" s="5">
        <f>COUNTIF('Entetes_TriNumInterne'!$B$2:$B$1154,A800)</f>
        <v/>
      </c>
    </row>
    <row r="801">
      <c r="A801" s="3" t="inlineStr">
        <is>
          <t>005437</t>
        </is>
      </c>
      <c r="B801" s="5">
        <f>COUNTIF('Entetes_TriNumInterne'!$B$2:$B$1154,A801)</f>
        <v/>
      </c>
    </row>
    <row r="802">
      <c r="A802" s="3" t="inlineStr">
        <is>
          <t>005438</t>
        </is>
      </c>
      <c r="B802" s="5">
        <f>COUNTIF('Entetes_TriNumInterne'!$B$2:$B$1154,A802)</f>
        <v/>
      </c>
    </row>
    <row r="803">
      <c r="A803" s="3" t="inlineStr">
        <is>
          <t>005439</t>
        </is>
      </c>
      <c r="B803" s="5">
        <f>COUNTIF('Entetes_TriNumInterne'!$B$2:$B$1154,A803)</f>
        <v/>
      </c>
    </row>
    <row r="804">
      <c r="A804" s="3" t="inlineStr">
        <is>
          <t>005440</t>
        </is>
      </c>
      <c r="B804" s="5">
        <f>COUNTIF('Entetes_TriNumInterne'!$B$2:$B$1154,A804)</f>
        <v/>
      </c>
    </row>
    <row r="805">
      <c r="A805" s="3" t="inlineStr">
        <is>
          <t>005441</t>
        </is>
      </c>
      <c r="B805" s="5">
        <f>COUNTIF('Entetes_TriNumInterne'!$B$2:$B$1154,A805)</f>
        <v/>
      </c>
    </row>
    <row r="806">
      <c r="A806" s="3" t="inlineStr">
        <is>
          <t>005442</t>
        </is>
      </c>
      <c r="B806" s="5">
        <f>COUNTIF('Entetes_TriNumInterne'!$B$2:$B$1154,A806)</f>
        <v/>
      </c>
    </row>
    <row r="807">
      <c r="A807" s="3" t="inlineStr">
        <is>
          <t>005443</t>
        </is>
      </c>
      <c r="B807" s="5">
        <f>COUNTIF('Entetes_TriNumInterne'!$B$2:$B$1154,A807)</f>
        <v/>
      </c>
    </row>
    <row r="808">
      <c r="A808" s="3" t="inlineStr">
        <is>
          <t>005444</t>
        </is>
      </c>
      <c r="B808" s="5">
        <f>COUNTIF('Entetes_TriNumInterne'!$B$2:$B$1154,A808)</f>
        <v/>
      </c>
    </row>
    <row r="809">
      <c r="A809" s="3" t="inlineStr">
        <is>
          <t>005445</t>
        </is>
      </c>
      <c r="B809" s="5">
        <f>COUNTIF('Entetes_TriNumInterne'!$B$2:$B$1154,A809)</f>
        <v/>
      </c>
    </row>
    <row r="810">
      <c r="A810" s="3" t="inlineStr">
        <is>
          <t>005446</t>
        </is>
      </c>
      <c r="B810" s="5">
        <f>COUNTIF('Entetes_TriNumInterne'!$B$2:$B$1154,A810)</f>
        <v/>
      </c>
    </row>
    <row r="811">
      <c r="A811" s="3" t="inlineStr">
        <is>
          <t>005447</t>
        </is>
      </c>
      <c r="B811" s="5">
        <f>COUNTIF('Entetes_TriNumInterne'!$B$2:$B$1154,A811)</f>
        <v/>
      </c>
    </row>
    <row r="812">
      <c r="A812" s="3" t="inlineStr">
        <is>
          <t>005455</t>
        </is>
      </c>
      <c r="B812" s="5">
        <f>COUNTIF('Entetes_TriNumInterne'!$B$2:$B$1154,A812)</f>
        <v/>
      </c>
    </row>
    <row r="813">
      <c r="A813" s="3" t="inlineStr">
        <is>
          <t>005456</t>
        </is>
      </c>
      <c r="B813" s="5">
        <f>COUNTIF('Entetes_TriNumInterne'!$B$2:$B$1154,A813)</f>
        <v/>
      </c>
    </row>
    <row r="814">
      <c r="A814" s="3" t="inlineStr">
        <is>
          <t>005457</t>
        </is>
      </c>
      <c r="B814" s="5">
        <f>COUNTIF('Entetes_TriNumInterne'!$B$2:$B$1154,A814)</f>
        <v/>
      </c>
    </row>
    <row r="815">
      <c r="A815" s="3" t="inlineStr">
        <is>
          <t>005458</t>
        </is>
      </c>
      <c r="B815" s="5">
        <f>COUNTIF('Entetes_TriNumInterne'!$B$2:$B$1154,A815)</f>
        <v/>
      </c>
    </row>
    <row r="816">
      <c r="A816" s="3" t="inlineStr">
        <is>
          <t>005459</t>
        </is>
      </c>
      <c r="B816" s="5">
        <f>COUNTIF('Entetes_TriNumInterne'!$B$2:$B$1154,A816)</f>
        <v/>
      </c>
    </row>
    <row r="817">
      <c r="A817" s="3" t="inlineStr">
        <is>
          <t>005460</t>
        </is>
      </c>
      <c r="B817" s="5">
        <f>COUNTIF('Entetes_TriNumInterne'!$B$2:$B$1154,A817)</f>
        <v/>
      </c>
    </row>
    <row r="818">
      <c r="A818" s="3" t="inlineStr">
        <is>
          <t>005461</t>
        </is>
      </c>
      <c r="B818" s="5">
        <f>COUNTIF('Entetes_TriNumInterne'!$B$2:$B$1154,A818)</f>
        <v/>
      </c>
    </row>
    <row r="819">
      <c r="A819" s="3" t="inlineStr">
        <is>
          <t>005462</t>
        </is>
      </c>
      <c r="B819" s="5">
        <f>COUNTIF('Entetes_TriNumInterne'!$B$2:$B$1154,A819)</f>
        <v/>
      </c>
    </row>
    <row r="820">
      <c r="A820" s="3" t="inlineStr">
        <is>
          <t>005463</t>
        </is>
      </c>
      <c r="B820" s="5">
        <f>COUNTIF('Entetes_TriNumInterne'!$B$2:$B$1154,A820)</f>
        <v/>
      </c>
    </row>
    <row r="821">
      <c r="A821" s="3" t="inlineStr">
        <is>
          <t>005464</t>
        </is>
      </c>
      <c r="B821" s="5">
        <f>COUNTIF('Entetes_TriNumInterne'!$B$2:$B$1154,A821)</f>
        <v/>
      </c>
    </row>
    <row r="822">
      <c r="A822" s="3" t="inlineStr">
        <is>
          <t>005465</t>
        </is>
      </c>
      <c r="B822" s="5">
        <f>COUNTIF('Entetes_TriNumInterne'!$B$2:$B$1154,A822)</f>
        <v/>
      </c>
    </row>
    <row r="823">
      <c r="A823" s="3" t="inlineStr">
        <is>
          <t>005466</t>
        </is>
      </c>
      <c r="B823" s="5">
        <f>COUNTIF('Entetes_TriNumInterne'!$B$2:$B$1154,A823)</f>
        <v/>
      </c>
    </row>
    <row r="824">
      <c r="A824" s="3" t="inlineStr">
        <is>
          <t>005467</t>
        </is>
      </c>
      <c r="B824" s="5">
        <f>COUNTIF('Entetes_TriNumInterne'!$B$2:$B$1154,A824)</f>
        <v/>
      </c>
    </row>
    <row r="825">
      <c r="A825" s="3" t="inlineStr">
        <is>
          <t>005468</t>
        </is>
      </c>
      <c r="B825" s="5">
        <f>COUNTIF('Entetes_TriNumInterne'!$B$2:$B$1154,A825)</f>
        <v/>
      </c>
    </row>
    <row r="826">
      <c r="A826" s="3" t="inlineStr">
        <is>
          <t>005469</t>
        </is>
      </c>
      <c r="B826" s="5">
        <f>COUNTIF('Entetes_TriNumInterne'!$B$2:$B$1154,A826)</f>
        <v/>
      </c>
    </row>
    <row r="827">
      <c r="A827" s="3" t="inlineStr">
        <is>
          <t>005470</t>
        </is>
      </c>
      <c r="B827" s="5">
        <f>COUNTIF('Entetes_TriNumInterne'!$B$2:$B$1154,A827)</f>
        <v/>
      </c>
    </row>
    <row r="828">
      <c r="A828" s="3" t="inlineStr">
        <is>
          <t>005471</t>
        </is>
      </c>
      <c r="B828" s="5">
        <f>COUNTIF('Entetes_TriNumInterne'!$B$2:$B$1154,A828)</f>
        <v/>
      </c>
    </row>
    <row r="829">
      <c r="A829" s="3" t="inlineStr">
        <is>
          <t>005472</t>
        </is>
      </c>
      <c r="B829" s="5">
        <f>COUNTIF('Entetes_TriNumInterne'!$B$2:$B$1154,A829)</f>
        <v/>
      </c>
    </row>
    <row r="830">
      <c r="A830" s="3" t="inlineStr">
        <is>
          <t>005473</t>
        </is>
      </c>
      <c r="B830" s="5">
        <f>COUNTIF('Entetes_TriNumInterne'!$B$2:$B$1154,A830)</f>
        <v/>
      </c>
    </row>
    <row r="831">
      <c r="A831" s="3" t="inlineStr">
        <is>
          <t>005474</t>
        </is>
      </c>
      <c r="B831" s="5">
        <f>COUNTIF('Entetes_TriNumInterne'!$B$2:$B$1154,A831)</f>
        <v/>
      </c>
    </row>
    <row r="832">
      <c r="A832" s="3" t="inlineStr">
        <is>
          <t>005475</t>
        </is>
      </c>
      <c r="B832" s="5">
        <f>COUNTIF('Entetes_TriNumInterne'!$B$2:$B$1154,A832)</f>
        <v/>
      </c>
    </row>
    <row r="833">
      <c r="A833" s="3" t="inlineStr">
        <is>
          <t>005476</t>
        </is>
      </c>
      <c r="B833" s="5">
        <f>COUNTIF('Entetes_TriNumInterne'!$B$2:$B$1154,A833)</f>
        <v/>
      </c>
    </row>
    <row r="834">
      <c r="A834" s="3" t="inlineStr">
        <is>
          <t>005477</t>
        </is>
      </c>
      <c r="B834" s="5">
        <f>COUNTIF('Entetes_TriNumInterne'!$B$2:$B$1154,A834)</f>
        <v/>
      </c>
    </row>
    <row r="835">
      <c r="A835" s="3" t="inlineStr">
        <is>
          <t>005478</t>
        </is>
      </c>
      <c r="B835" s="5">
        <f>COUNTIF('Entetes_TriNumInterne'!$B$2:$B$1154,A835)</f>
        <v/>
      </c>
    </row>
    <row r="836">
      <c r="A836" s="3" t="inlineStr">
        <is>
          <t>005479</t>
        </is>
      </c>
      <c r="B836" s="5">
        <f>COUNTIF('Entetes_TriNumInterne'!$B$2:$B$1154,A836)</f>
        <v/>
      </c>
    </row>
    <row r="837">
      <c r="A837" s="3" t="inlineStr">
        <is>
          <t>005480</t>
        </is>
      </c>
      <c r="B837" s="5">
        <f>COUNTIF('Entetes_TriNumInterne'!$B$2:$B$1154,A837)</f>
        <v/>
      </c>
    </row>
    <row r="838">
      <c r="A838" s="3" t="inlineStr">
        <is>
          <t>005481</t>
        </is>
      </c>
      <c r="B838" s="5">
        <f>COUNTIF('Entetes_TriNumInterne'!$B$2:$B$1154,A838)</f>
        <v/>
      </c>
    </row>
    <row r="839">
      <c r="A839" s="3" t="inlineStr">
        <is>
          <t>005482</t>
        </is>
      </c>
      <c r="B839" s="5">
        <f>COUNTIF('Entetes_TriNumInterne'!$B$2:$B$1154,A839)</f>
        <v/>
      </c>
    </row>
    <row r="840">
      <c r="A840" s="3" t="inlineStr">
        <is>
          <t>005483</t>
        </is>
      </c>
      <c r="B840" s="5">
        <f>COUNTIF('Entetes_TriNumInterne'!$B$2:$B$1154,A840)</f>
        <v/>
      </c>
    </row>
    <row r="841">
      <c r="A841" s="3" t="inlineStr">
        <is>
          <t>005484</t>
        </is>
      </c>
      <c r="B841" s="5">
        <f>COUNTIF('Entetes_TriNumInterne'!$B$2:$B$1154,A841)</f>
        <v/>
      </c>
    </row>
    <row r="842">
      <c r="A842" s="3" t="inlineStr">
        <is>
          <t>005485</t>
        </is>
      </c>
      <c r="B842" s="5">
        <f>COUNTIF('Entetes_TriNumInterne'!$B$2:$B$1154,A842)</f>
        <v/>
      </c>
    </row>
    <row r="843">
      <c r="A843" s="3" t="inlineStr">
        <is>
          <t>005486</t>
        </is>
      </c>
      <c r="B843" s="5">
        <f>COUNTIF('Entetes_TriNumInterne'!$B$2:$B$1154,A843)</f>
        <v/>
      </c>
    </row>
    <row r="844">
      <c r="A844" s="3" t="inlineStr">
        <is>
          <t>005487</t>
        </is>
      </c>
      <c r="B844" s="5">
        <f>COUNTIF('Entetes_TriNumInterne'!$B$2:$B$1154,A844)</f>
        <v/>
      </c>
    </row>
    <row r="845">
      <c r="A845" s="3" t="inlineStr">
        <is>
          <t>005488</t>
        </is>
      </c>
      <c r="B845" s="5">
        <f>COUNTIF('Entetes_TriNumInterne'!$B$2:$B$1154,A845)</f>
        <v/>
      </c>
    </row>
    <row r="846">
      <c r="A846" s="3" t="inlineStr">
        <is>
          <t>005489</t>
        </is>
      </c>
      <c r="B846" s="5">
        <f>COUNTIF('Entetes_TriNumInterne'!$B$2:$B$1154,A846)</f>
        <v/>
      </c>
    </row>
    <row r="847">
      <c r="A847" s="3" t="inlineStr">
        <is>
          <t>005490</t>
        </is>
      </c>
      <c r="B847" s="5">
        <f>COUNTIF('Entetes_TriNumInterne'!$B$2:$B$1154,A847)</f>
        <v/>
      </c>
    </row>
    <row r="848">
      <c r="A848" s="3" t="inlineStr">
        <is>
          <t>005499</t>
        </is>
      </c>
      <c r="B848" s="5">
        <f>COUNTIF('Entetes_TriNumInterne'!$B$2:$B$1154,A848)</f>
        <v/>
      </c>
    </row>
    <row r="849">
      <c r="A849" s="3" t="inlineStr">
        <is>
          <t>005500</t>
        </is>
      </c>
      <c r="B849" s="5">
        <f>COUNTIF('Entetes_TriNumInterne'!$B$2:$B$1154,A849)</f>
        <v/>
      </c>
    </row>
    <row r="850">
      <c r="A850" s="3" t="inlineStr">
        <is>
          <t>005501</t>
        </is>
      </c>
      <c r="B850" s="5">
        <f>COUNTIF('Entetes_TriNumInterne'!$B$2:$B$1154,A850)</f>
        <v/>
      </c>
    </row>
    <row r="851">
      <c r="A851" s="3" t="inlineStr">
        <is>
          <t>005502</t>
        </is>
      </c>
      <c r="B851" s="5">
        <f>COUNTIF('Entetes_TriNumInterne'!$B$2:$B$1154,A851)</f>
        <v/>
      </c>
    </row>
    <row r="852">
      <c r="A852" s="3" t="inlineStr">
        <is>
          <t>005503</t>
        </is>
      </c>
      <c r="B852" s="5">
        <f>COUNTIF('Entetes_TriNumInterne'!$B$2:$B$1154,A852)</f>
        <v/>
      </c>
    </row>
    <row r="853">
      <c r="A853" s="3" t="inlineStr">
        <is>
          <t>005504</t>
        </is>
      </c>
      <c r="B853" s="5">
        <f>COUNTIF('Entetes_TriNumInterne'!$B$2:$B$1154,A853)</f>
        <v/>
      </c>
    </row>
    <row r="854">
      <c r="A854" s="3" t="inlineStr">
        <is>
          <t>005505</t>
        </is>
      </c>
      <c r="B854" s="5">
        <f>COUNTIF('Entetes_TriNumInterne'!$B$2:$B$1154,A854)</f>
        <v/>
      </c>
    </row>
    <row r="855">
      <c r="A855" s="3" t="inlineStr">
        <is>
          <t>005506</t>
        </is>
      </c>
      <c r="B855" s="5">
        <f>COUNTIF('Entetes_TriNumInterne'!$B$2:$B$1154,A855)</f>
        <v/>
      </c>
    </row>
    <row r="856">
      <c r="A856" s="3" t="inlineStr">
        <is>
          <t>005507</t>
        </is>
      </c>
      <c r="B856" s="5">
        <f>COUNTIF('Entetes_TriNumInterne'!$B$2:$B$1154,A856)</f>
        <v/>
      </c>
    </row>
    <row r="857">
      <c r="A857" s="3" t="inlineStr">
        <is>
          <t>005508</t>
        </is>
      </c>
      <c r="B857" s="5">
        <f>COUNTIF('Entetes_TriNumInterne'!$B$2:$B$1154,A857)</f>
        <v/>
      </c>
    </row>
    <row r="858">
      <c r="A858" s="3" t="inlineStr">
        <is>
          <t>005509</t>
        </is>
      </c>
      <c r="B858" s="5">
        <f>COUNTIF('Entetes_TriNumInterne'!$B$2:$B$1154,A858)</f>
        <v/>
      </c>
    </row>
    <row r="859">
      <c r="A859" s="3" t="inlineStr">
        <is>
          <t>005510</t>
        </is>
      </c>
      <c r="B859" s="5">
        <f>COUNTIF('Entetes_TriNumInterne'!$B$2:$B$1154,A859)</f>
        <v/>
      </c>
    </row>
    <row r="860">
      <c r="A860" s="3" t="inlineStr">
        <is>
          <t>005511</t>
        </is>
      </c>
      <c r="B860" s="5">
        <f>COUNTIF('Entetes_TriNumInterne'!$B$2:$B$1154,A860)</f>
        <v/>
      </c>
    </row>
    <row r="861">
      <c r="A861" s="3" t="inlineStr">
        <is>
          <t>005512</t>
        </is>
      </c>
      <c r="B861" s="5">
        <f>COUNTIF('Entetes_TriNumInterne'!$B$2:$B$1154,A861)</f>
        <v/>
      </c>
    </row>
    <row r="862">
      <c r="A862" s="3" t="inlineStr">
        <is>
          <t>005513</t>
        </is>
      </c>
      <c r="B862" s="5">
        <f>COUNTIF('Entetes_TriNumInterne'!$B$2:$B$1154,A862)</f>
        <v/>
      </c>
    </row>
    <row r="863">
      <c r="A863" s="3" t="inlineStr">
        <is>
          <t>005514</t>
        </is>
      </c>
      <c r="B863" s="5">
        <f>COUNTIF('Entetes_TriNumInterne'!$B$2:$B$1154,A863)</f>
        <v/>
      </c>
    </row>
    <row r="864">
      <c r="A864" s="3" t="inlineStr">
        <is>
          <t>005515</t>
        </is>
      </c>
      <c r="B864" s="5">
        <f>COUNTIF('Entetes_TriNumInterne'!$B$2:$B$1154,A864)</f>
        <v/>
      </c>
    </row>
    <row r="865">
      <c r="A865" s="3" t="inlineStr">
        <is>
          <t>005516</t>
        </is>
      </c>
      <c r="B865" s="5">
        <f>COUNTIF('Entetes_TriNumInterne'!$B$2:$B$1154,A865)</f>
        <v/>
      </c>
    </row>
    <row r="866">
      <c r="A866" s="3" t="inlineStr">
        <is>
          <t>005517</t>
        </is>
      </c>
      <c r="B866" s="5">
        <f>COUNTIF('Entetes_TriNumInterne'!$B$2:$B$1154,A866)</f>
        <v/>
      </c>
    </row>
    <row r="867">
      <c r="A867" s="3" t="inlineStr">
        <is>
          <t>005518</t>
        </is>
      </c>
      <c r="B867" s="5">
        <f>COUNTIF('Entetes_TriNumInterne'!$B$2:$B$1154,A867)</f>
        <v/>
      </c>
    </row>
    <row r="868">
      <c r="A868" s="3" t="inlineStr">
        <is>
          <t>005519</t>
        </is>
      </c>
      <c r="B868" s="5">
        <f>COUNTIF('Entetes_TriNumInterne'!$B$2:$B$1154,A868)</f>
        <v/>
      </c>
    </row>
    <row r="869">
      <c r="A869" s="3" t="inlineStr">
        <is>
          <t>005520</t>
        </is>
      </c>
      <c r="B869" s="5">
        <f>COUNTIF('Entetes_TriNumInterne'!$B$2:$B$1154,A869)</f>
        <v/>
      </c>
    </row>
    <row r="870">
      <c r="A870" s="3" t="inlineStr">
        <is>
          <t>005521</t>
        </is>
      </c>
      <c r="B870" s="5">
        <f>COUNTIF('Entetes_TriNumInterne'!$B$2:$B$1154,A870)</f>
        <v/>
      </c>
    </row>
    <row r="871">
      <c r="A871" s="3" t="inlineStr">
        <is>
          <t>005522</t>
        </is>
      </c>
      <c r="B871" s="5">
        <f>COUNTIF('Entetes_TriNumInterne'!$B$2:$B$1154,A871)</f>
        <v/>
      </c>
    </row>
    <row r="872">
      <c r="A872" s="3" t="inlineStr">
        <is>
          <t>005523</t>
        </is>
      </c>
      <c r="B872" s="5">
        <f>COUNTIF('Entetes_TriNumInterne'!$B$2:$B$1154,A872)</f>
        <v/>
      </c>
    </row>
    <row r="873">
      <c r="A873" s="3" t="inlineStr">
        <is>
          <t>005524</t>
        </is>
      </c>
      <c r="B873" s="5">
        <f>COUNTIF('Entetes_TriNumInterne'!$B$2:$B$1154,A873)</f>
        <v/>
      </c>
    </row>
    <row r="874">
      <c r="A874" s="3" t="inlineStr">
        <is>
          <t>005525</t>
        </is>
      </c>
      <c r="B874" s="5">
        <f>COUNTIF('Entetes_TriNumInterne'!$B$2:$B$1154,A874)</f>
        <v/>
      </c>
    </row>
    <row r="875">
      <c r="A875" s="3" t="inlineStr">
        <is>
          <t>005526</t>
        </is>
      </c>
      <c r="B875" s="5">
        <f>COUNTIF('Entetes_TriNumInterne'!$B$2:$B$1154,A875)</f>
        <v/>
      </c>
    </row>
    <row r="876">
      <c r="A876" s="3" t="inlineStr">
        <is>
          <t>005527</t>
        </is>
      </c>
      <c r="B876" s="5">
        <f>COUNTIF('Entetes_TriNumInterne'!$B$2:$B$1154,A876)</f>
        <v/>
      </c>
    </row>
    <row r="877">
      <c r="A877" s="3" t="inlineStr">
        <is>
          <t>005528</t>
        </is>
      </c>
      <c r="B877" s="5">
        <f>COUNTIF('Entetes_TriNumInterne'!$B$2:$B$1154,A877)</f>
        <v/>
      </c>
    </row>
    <row r="878">
      <c r="A878" s="3" t="inlineStr">
        <is>
          <t>005529</t>
        </is>
      </c>
      <c r="B878" s="5">
        <f>COUNTIF('Entetes_TriNumInterne'!$B$2:$B$1154,A878)</f>
        <v/>
      </c>
    </row>
    <row r="879">
      <c r="A879" s="3" t="inlineStr">
        <is>
          <t>005530</t>
        </is>
      </c>
      <c r="B879" s="5">
        <f>COUNTIF('Entetes_TriNumInterne'!$B$2:$B$1154,A879)</f>
        <v/>
      </c>
    </row>
    <row r="880">
      <c r="A880" s="3" t="inlineStr">
        <is>
          <t>005531</t>
        </is>
      </c>
      <c r="B880" s="5">
        <f>COUNTIF('Entetes_TriNumInterne'!$B$2:$B$1154,A880)</f>
        <v/>
      </c>
    </row>
    <row r="881">
      <c r="A881" s="3" t="inlineStr">
        <is>
          <t>005532</t>
        </is>
      </c>
      <c r="B881" s="5">
        <f>COUNTIF('Entetes_TriNumInterne'!$B$2:$B$1154,A881)</f>
        <v/>
      </c>
    </row>
    <row r="882">
      <c r="A882" s="3" t="inlineStr">
        <is>
          <t>005533</t>
        </is>
      </c>
      <c r="B882" s="5">
        <f>COUNTIF('Entetes_TriNumInterne'!$B$2:$B$1154,A882)</f>
        <v/>
      </c>
    </row>
    <row r="883">
      <c r="A883" s="3" t="inlineStr">
        <is>
          <t>005534</t>
        </is>
      </c>
      <c r="B883" s="5">
        <f>COUNTIF('Entetes_TriNumInterne'!$B$2:$B$1154,A883)</f>
        <v/>
      </c>
    </row>
    <row r="884">
      <c r="A884" s="3" t="inlineStr">
        <is>
          <t>005535</t>
        </is>
      </c>
      <c r="B884" s="5">
        <f>COUNTIF('Entetes_TriNumInterne'!$B$2:$B$1154,A884)</f>
        <v/>
      </c>
    </row>
    <row r="885">
      <c r="A885" s="3" t="inlineStr">
        <is>
          <t>005536</t>
        </is>
      </c>
      <c r="B885" s="5">
        <f>COUNTIF('Entetes_TriNumInterne'!$B$2:$B$1154,A885)</f>
        <v/>
      </c>
    </row>
    <row r="886">
      <c r="A886" s="3" t="inlineStr">
        <is>
          <t>005537</t>
        </is>
      </c>
      <c r="B886" s="5">
        <f>COUNTIF('Entetes_TriNumInterne'!$B$2:$B$1154,A886)</f>
        <v/>
      </c>
    </row>
    <row r="887">
      <c r="A887" s="3" t="inlineStr">
        <is>
          <t>005538</t>
        </is>
      </c>
      <c r="B887" s="5">
        <f>COUNTIF('Entetes_TriNumInterne'!$B$2:$B$1154,A887)</f>
        <v/>
      </c>
    </row>
    <row r="888">
      <c r="A888" s="3" t="inlineStr">
        <is>
          <t>005539</t>
        </is>
      </c>
      <c r="B888" s="5">
        <f>COUNTIF('Entetes_TriNumInterne'!$B$2:$B$1154,A888)</f>
        <v/>
      </c>
    </row>
    <row r="889">
      <c r="A889" s="3" t="inlineStr">
        <is>
          <t>005540</t>
        </is>
      </c>
      <c r="B889" s="5">
        <f>COUNTIF('Entetes_TriNumInterne'!$B$2:$B$1154,A889)</f>
        <v/>
      </c>
    </row>
    <row r="890">
      <c r="A890" s="3" t="inlineStr">
        <is>
          <t>005541</t>
        </is>
      </c>
      <c r="B890" s="5">
        <f>COUNTIF('Entetes_TriNumInterne'!$B$2:$B$1154,A890)</f>
        <v/>
      </c>
    </row>
    <row r="891">
      <c r="A891" s="3" t="inlineStr">
        <is>
          <t>005542</t>
        </is>
      </c>
      <c r="B891" s="5">
        <f>COUNTIF('Entetes_TriNumInterne'!$B$2:$B$1154,A891)</f>
        <v/>
      </c>
    </row>
    <row r="892">
      <c r="A892" s="3" t="inlineStr">
        <is>
          <t>005543</t>
        </is>
      </c>
      <c r="B892" s="5">
        <f>COUNTIF('Entetes_TriNumInterne'!$B$2:$B$1154,A892)</f>
        <v/>
      </c>
    </row>
    <row r="893">
      <c r="A893" s="3" t="inlineStr">
        <is>
          <t>005544</t>
        </is>
      </c>
      <c r="B893" s="5">
        <f>COUNTIF('Entetes_TriNumInterne'!$B$2:$B$1154,A893)</f>
        <v/>
      </c>
    </row>
    <row r="894">
      <c r="A894" s="3" t="inlineStr">
        <is>
          <t>005545</t>
        </is>
      </c>
      <c r="B894" s="5">
        <f>COUNTIF('Entetes_TriNumInterne'!$B$2:$B$1154,A894)</f>
        <v/>
      </c>
    </row>
    <row r="895">
      <c r="A895" s="3" t="inlineStr">
        <is>
          <t>005546</t>
        </is>
      </c>
      <c r="B895" s="5">
        <f>COUNTIF('Entetes_TriNumInterne'!$B$2:$B$1154,A895)</f>
        <v/>
      </c>
    </row>
    <row r="896">
      <c r="A896" s="3" t="inlineStr">
        <is>
          <t>005547</t>
        </is>
      </c>
      <c r="B896" s="5">
        <f>COUNTIF('Entetes_TriNumInterne'!$B$2:$B$1154,A896)</f>
        <v/>
      </c>
    </row>
    <row r="897">
      <c r="A897" s="3" t="inlineStr">
        <is>
          <t>005555</t>
        </is>
      </c>
      <c r="B897" s="5">
        <f>COUNTIF('Entetes_TriNumInterne'!$B$2:$B$1154,A897)</f>
        <v/>
      </c>
    </row>
    <row r="898">
      <c r="A898" s="3" t="inlineStr">
        <is>
          <t>005556</t>
        </is>
      </c>
      <c r="B898" s="5">
        <f>COUNTIF('Entetes_TriNumInterne'!$B$2:$B$1154,A898)</f>
        <v/>
      </c>
    </row>
    <row r="899">
      <c r="A899" s="3" t="inlineStr">
        <is>
          <t>005557</t>
        </is>
      </c>
      <c r="B899" s="5">
        <f>COUNTIF('Entetes_TriNumInterne'!$B$2:$B$1154,A899)</f>
        <v/>
      </c>
    </row>
    <row r="900">
      <c r="A900" s="3" t="inlineStr">
        <is>
          <t>005558</t>
        </is>
      </c>
      <c r="B900" s="5">
        <f>COUNTIF('Entetes_TriNumInterne'!$B$2:$B$1154,A900)</f>
        <v/>
      </c>
    </row>
    <row r="901">
      <c r="A901" s="3" t="inlineStr">
        <is>
          <t>005559</t>
        </is>
      </c>
      <c r="B901" s="5">
        <f>COUNTIF('Entetes_TriNumInterne'!$B$2:$B$1154,A901)</f>
        <v/>
      </c>
    </row>
    <row r="902">
      <c r="A902" s="3" t="inlineStr">
        <is>
          <t>005560</t>
        </is>
      </c>
      <c r="B902" s="5">
        <f>COUNTIF('Entetes_TriNumInterne'!$B$2:$B$1154,A902)</f>
        <v/>
      </c>
    </row>
    <row r="903">
      <c r="A903" s="3" t="inlineStr">
        <is>
          <t>005561</t>
        </is>
      </c>
      <c r="B903" s="5">
        <f>COUNTIF('Entetes_TriNumInterne'!$B$2:$B$1154,A903)</f>
        <v/>
      </c>
    </row>
    <row r="904">
      <c r="A904" s="3" t="inlineStr">
        <is>
          <t>005562</t>
        </is>
      </c>
      <c r="B904" s="5">
        <f>COUNTIF('Entetes_TriNumInterne'!$B$2:$B$1154,A904)</f>
        <v/>
      </c>
    </row>
    <row r="905">
      <c r="A905" s="3" t="inlineStr">
        <is>
          <t>005563</t>
        </is>
      </c>
      <c r="B905" s="5">
        <f>COUNTIF('Entetes_TriNumInterne'!$B$2:$B$1154,A905)</f>
        <v/>
      </c>
    </row>
    <row r="906">
      <c r="A906" s="3" t="inlineStr">
        <is>
          <t>005564</t>
        </is>
      </c>
      <c r="B906" s="5">
        <f>COUNTIF('Entetes_TriNumInterne'!$B$2:$B$1154,A906)</f>
        <v/>
      </c>
    </row>
    <row r="907">
      <c r="A907" s="3" t="inlineStr">
        <is>
          <t>005565</t>
        </is>
      </c>
      <c r="B907" s="5">
        <f>COUNTIF('Entetes_TriNumInterne'!$B$2:$B$1154,A907)</f>
        <v/>
      </c>
    </row>
    <row r="908">
      <c r="A908" s="3" t="inlineStr">
        <is>
          <t>005566</t>
        </is>
      </c>
      <c r="B908" s="5">
        <f>COUNTIF('Entetes_TriNumInterne'!$B$2:$B$1154,A908)</f>
        <v/>
      </c>
    </row>
    <row r="909">
      <c r="A909" s="3" t="inlineStr">
        <is>
          <t>005567</t>
        </is>
      </c>
      <c r="B909" s="5">
        <f>COUNTIF('Entetes_TriNumInterne'!$B$2:$B$1154,A909)</f>
        <v/>
      </c>
    </row>
    <row r="910">
      <c r="A910" s="3" t="inlineStr">
        <is>
          <t>005568</t>
        </is>
      </c>
      <c r="B910" s="5">
        <f>COUNTIF('Entetes_TriNumInterne'!$B$2:$B$1154,A910)</f>
        <v/>
      </c>
    </row>
    <row r="911">
      <c r="A911" s="3" t="inlineStr">
        <is>
          <t>005569</t>
        </is>
      </c>
      <c r="B911" s="5">
        <f>COUNTIF('Entetes_TriNumInterne'!$B$2:$B$1154,A911)</f>
        <v/>
      </c>
    </row>
    <row r="912">
      <c r="A912" s="3" t="inlineStr">
        <is>
          <t>005570</t>
        </is>
      </c>
      <c r="B912" s="5">
        <f>COUNTIF('Entetes_TriNumInterne'!$B$2:$B$1154,A912)</f>
        <v/>
      </c>
    </row>
    <row r="913">
      <c r="A913" s="3" t="inlineStr">
        <is>
          <t>005571</t>
        </is>
      </c>
      <c r="B913" s="5">
        <f>COUNTIF('Entetes_TriNumInterne'!$B$2:$B$1154,A913)</f>
        <v/>
      </c>
    </row>
    <row r="914">
      <c r="A914" s="3" t="inlineStr">
        <is>
          <t>005572</t>
        </is>
      </c>
      <c r="B914" s="5">
        <f>COUNTIF('Entetes_TriNumInterne'!$B$2:$B$1154,A914)</f>
        <v/>
      </c>
    </row>
    <row r="915">
      <c r="A915" s="3" t="inlineStr">
        <is>
          <t>005573</t>
        </is>
      </c>
      <c r="B915" s="5">
        <f>COUNTIF('Entetes_TriNumInterne'!$B$2:$B$1154,A915)</f>
        <v/>
      </c>
    </row>
    <row r="916">
      <c r="A916" s="3" t="inlineStr">
        <is>
          <t>005574</t>
        </is>
      </c>
      <c r="B916" s="5">
        <f>COUNTIF('Entetes_TriNumInterne'!$B$2:$B$1154,A916)</f>
        <v/>
      </c>
    </row>
    <row r="917">
      <c r="A917" s="3" t="inlineStr">
        <is>
          <t>005575</t>
        </is>
      </c>
      <c r="B917" s="5">
        <f>COUNTIF('Entetes_TriNumInterne'!$B$2:$B$1154,A917)</f>
        <v/>
      </c>
    </row>
    <row r="918">
      <c r="A918" s="3" t="inlineStr">
        <is>
          <t>005576</t>
        </is>
      </c>
      <c r="B918" s="5">
        <f>COUNTIF('Entetes_TriNumInterne'!$B$2:$B$1154,A918)</f>
        <v/>
      </c>
    </row>
    <row r="919">
      <c r="A919" s="3" t="inlineStr">
        <is>
          <t>005577</t>
        </is>
      </c>
      <c r="B919" s="5">
        <f>COUNTIF('Entetes_TriNumInterne'!$B$2:$B$1154,A919)</f>
        <v/>
      </c>
    </row>
    <row r="920">
      <c r="A920" s="3" t="inlineStr">
        <is>
          <t>005578</t>
        </is>
      </c>
      <c r="B920" s="5">
        <f>COUNTIF('Entetes_TriNumInterne'!$B$2:$B$1154,A920)</f>
        <v/>
      </c>
    </row>
    <row r="921">
      <c r="A921" s="3" t="inlineStr">
        <is>
          <t>005579</t>
        </is>
      </c>
      <c r="B921" s="5">
        <f>COUNTIF('Entetes_TriNumInterne'!$B$2:$B$1154,A921)</f>
        <v/>
      </c>
    </row>
    <row r="922">
      <c r="A922" s="3" t="inlineStr">
        <is>
          <t>005587</t>
        </is>
      </c>
      <c r="B922" s="5">
        <f>COUNTIF('Entetes_TriNumInterne'!$B$2:$B$1154,A922)</f>
        <v/>
      </c>
    </row>
    <row r="923">
      <c r="A923" s="3" t="inlineStr">
        <is>
          <t>005588</t>
        </is>
      </c>
      <c r="B923" s="5">
        <f>COUNTIF('Entetes_TriNumInterne'!$B$2:$B$1154,A923)</f>
        <v/>
      </c>
    </row>
    <row r="924">
      <c r="A924" s="3" t="inlineStr">
        <is>
          <t>005589</t>
        </is>
      </c>
      <c r="B924" s="5">
        <f>COUNTIF('Entetes_TriNumInterne'!$B$2:$B$1154,A924)</f>
        <v/>
      </c>
    </row>
    <row r="925">
      <c r="A925" s="3" t="inlineStr">
        <is>
          <t>005590</t>
        </is>
      </c>
      <c r="B925" s="5">
        <f>COUNTIF('Entetes_TriNumInterne'!$B$2:$B$1154,A925)</f>
        <v/>
      </c>
    </row>
    <row r="926">
      <c r="A926" s="3" t="inlineStr">
        <is>
          <t>005591</t>
        </is>
      </c>
      <c r="B926" s="5">
        <f>COUNTIF('Entetes_TriNumInterne'!$B$2:$B$1154,A926)</f>
        <v/>
      </c>
    </row>
    <row r="927">
      <c r="A927" s="3" t="inlineStr">
        <is>
          <t>005592</t>
        </is>
      </c>
      <c r="B927" s="5">
        <f>COUNTIF('Entetes_TriNumInterne'!$B$2:$B$1154,A927)</f>
        <v/>
      </c>
    </row>
    <row r="928">
      <c r="A928" s="3" t="inlineStr">
        <is>
          <t>005593</t>
        </is>
      </c>
      <c r="B928" s="5">
        <f>COUNTIF('Entetes_TriNumInterne'!$B$2:$B$1154,A928)</f>
        <v/>
      </c>
    </row>
    <row r="929">
      <c r="A929" s="3" t="inlineStr">
        <is>
          <t>005594</t>
        </is>
      </c>
      <c r="B929" s="5">
        <f>COUNTIF('Entetes_TriNumInterne'!$B$2:$B$1154,A929)</f>
        <v/>
      </c>
    </row>
    <row r="930">
      <c r="A930" s="3" t="inlineStr">
        <is>
          <t>005595</t>
        </is>
      </c>
      <c r="B930" s="5">
        <f>COUNTIF('Entetes_TriNumInterne'!$B$2:$B$1154,A930)</f>
        <v/>
      </c>
    </row>
    <row r="931">
      <c r="A931" s="3" t="inlineStr">
        <is>
          <t>005596</t>
        </is>
      </c>
      <c r="B931" s="5">
        <f>COUNTIF('Entetes_TriNumInterne'!$B$2:$B$1154,A931)</f>
        <v/>
      </c>
    </row>
    <row r="932">
      <c r="A932" s="3" t="inlineStr">
        <is>
          <t>005597</t>
        </is>
      </c>
      <c r="B932" s="5">
        <f>COUNTIF('Entetes_TriNumInterne'!$B$2:$B$1154,A932)</f>
        <v/>
      </c>
    </row>
    <row r="933">
      <c r="A933" s="3" t="inlineStr">
        <is>
          <t>005598</t>
        </is>
      </c>
      <c r="B933" s="5">
        <f>COUNTIF('Entetes_TriNumInterne'!$B$2:$B$1154,A933)</f>
        <v/>
      </c>
    </row>
    <row r="934">
      <c r="A934" s="3" t="inlineStr">
        <is>
          <t>005599</t>
        </is>
      </c>
      <c r="B934" s="5">
        <f>COUNTIF('Entetes_TriNumInterne'!$B$2:$B$1154,A934)</f>
        <v/>
      </c>
    </row>
    <row r="935">
      <c r="A935" s="3" t="inlineStr">
        <is>
          <t>005600</t>
        </is>
      </c>
      <c r="B935" s="5">
        <f>COUNTIF('Entetes_TriNumInterne'!$B$2:$B$1154,A935)</f>
        <v/>
      </c>
    </row>
    <row r="936">
      <c r="A936" s="3" t="inlineStr">
        <is>
          <t>005601</t>
        </is>
      </c>
      <c r="B936" s="5">
        <f>COUNTIF('Entetes_TriNumInterne'!$B$2:$B$1154,A936)</f>
        <v/>
      </c>
    </row>
    <row r="937">
      <c r="A937" s="3" t="inlineStr">
        <is>
          <t>005602</t>
        </is>
      </c>
      <c r="B937" s="5">
        <f>COUNTIF('Entetes_TriNumInterne'!$B$2:$B$1154,A937)</f>
        <v/>
      </c>
    </row>
    <row r="938">
      <c r="A938" s="3" t="inlineStr">
        <is>
          <t>005603</t>
        </is>
      </c>
      <c r="B938" s="5">
        <f>COUNTIF('Entetes_TriNumInterne'!$B$2:$B$1154,A938)</f>
        <v/>
      </c>
    </row>
    <row r="939">
      <c r="A939" s="3" t="inlineStr">
        <is>
          <t>005604</t>
        </is>
      </c>
      <c r="B939" s="5">
        <f>COUNTIF('Entetes_TriNumInterne'!$B$2:$B$1154,A939)</f>
        <v/>
      </c>
    </row>
    <row r="940">
      <c r="A940" s="3" t="inlineStr">
        <is>
          <t>005605</t>
        </is>
      </c>
      <c r="B940" s="5">
        <f>COUNTIF('Entetes_TriNumInterne'!$B$2:$B$1154,A940)</f>
        <v/>
      </c>
    </row>
    <row r="941">
      <c r="A941" s="3" t="inlineStr">
        <is>
          <t>005606</t>
        </is>
      </c>
      <c r="B941" s="5">
        <f>COUNTIF('Entetes_TriNumInterne'!$B$2:$B$1154,A941)</f>
        <v/>
      </c>
    </row>
    <row r="942">
      <c r="A942" s="3" t="inlineStr">
        <is>
          <t>005607</t>
        </is>
      </c>
      <c r="B942" s="5">
        <f>COUNTIF('Entetes_TriNumInterne'!$B$2:$B$1154,A942)</f>
        <v/>
      </c>
    </row>
    <row r="943">
      <c r="A943" s="3" t="inlineStr">
        <is>
          <t>005608</t>
        </is>
      </c>
      <c r="B943" s="5">
        <f>COUNTIF('Entetes_TriNumInterne'!$B$2:$B$1154,A943)</f>
        <v/>
      </c>
    </row>
    <row r="944">
      <c r="A944" s="3" t="inlineStr">
        <is>
          <t>005609</t>
        </is>
      </c>
      <c r="B944" s="5">
        <f>COUNTIF('Entetes_TriNumInterne'!$B$2:$B$1154,A944)</f>
        <v/>
      </c>
    </row>
    <row r="945">
      <c r="A945" s="3" t="inlineStr">
        <is>
          <t>005610</t>
        </is>
      </c>
      <c r="B945" s="5">
        <f>COUNTIF('Entetes_TriNumInterne'!$B$2:$B$1154,A945)</f>
        <v/>
      </c>
    </row>
    <row r="946">
      <c r="A946" s="3" t="inlineStr">
        <is>
          <t>005611</t>
        </is>
      </c>
      <c r="B946" s="5">
        <f>COUNTIF('Entetes_TriNumInterne'!$B$2:$B$1154,A946)</f>
        <v/>
      </c>
    </row>
    <row r="947">
      <c r="A947" s="3" t="inlineStr">
        <is>
          <t>005612</t>
        </is>
      </c>
      <c r="B947" s="5">
        <f>COUNTIF('Entetes_TriNumInterne'!$B$2:$B$1154,A947)</f>
        <v/>
      </c>
    </row>
    <row r="948">
      <c r="A948" s="3" t="inlineStr">
        <is>
          <t>005613</t>
        </is>
      </c>
      <c r="B948" s="5">
        <f>COUNTIF('Entetes_TriNumInterne'!$B$2:$B$1154,A948)</f>
        <v/>
      </c>
    </row>
    <row r="949">
      <c r="A949" s="3" t="inlineStr">
        <is>
          <t>005614</t>
        </is>
      </c>
      <c r="B949" s="5">
        <f>COUNTIF('Entetes_TriNumInterne'!$B$2:$B$1154,A949)</f>
        <v/>
      </c>
    </row>
    <row r="950">
      <c r="A950" s="3" t="inlineStr">
        <is>
          <t>005615</t>
        </is>
      </c>
      <c r="B950" s="5">
        <f>COUNTIF('Entetes_TriNumInterne'!$B$2:$B$1154,A950)</f>
        <v/>
      </c>
    </row>
    <row r="951">
      <c r="A951" s="3" t="inlineStr">
        <is>
          <t>005616</t>
        </is>
      </c>
      <c r="B951" s="5">
        <f>COUNTIF('Entetes_TriNumInterne'!$B$2:$B$1154,A951)</f>
        <v/>
      </c>
    </row>
    <row r="952">
      <c r="A952" s="3" t="inlineStr">
        <is>
          <t>005617</t>
        </is>
      </c>
      <c r="B952" s="5">
        <f>COUNTIF('Entetes_TriNumInterne'!$B$2:$B$1154,A952)</f>
        <v/>
      </c>
    </row>
    <row r="953">
      <c r="A953" s="3" t="inlineStr">
        <is>
          <t>005618</t>
        </is>
      </c>
      <c r="B953" s="5">
        <f>COUNTIF('Entetes_TriNumInterne'!$B$2:$B$1154,A953)</f>
        <v/>
      </c>
    </row>
    <row r="954">
      <c r="A954" s="3" t="inlineStr">
        <is>
          <t>005619</t>
        </is>
      </c>
      <c r="B954" s="5">
        <f>COUNTIF('Entetes_TriNumInterne'!$B$2:$B$1154,A954)</f>
        <v/>
      </c>
    </row>
    <row r="955">
      <c r="A955" s="3" t="inlineStr">
        <is>
          <t>005620</t>
        </is>
      </c>
      <c r="B955" s="5">
        <f>COUNTIF('Entetes_TriNumInterne'!$B$2:$B$1154,A955)</f>
        <v/>
      </c>
    </row>
    <row r="956">
      <c r="A956" s="3" t="inlineStr">
        <is>
          <t>005621</t>
        </is>
      </c>
      <c r="B956" s="5">
        <f>COUNTIF('Entetes_TriNumInterne'!$B$2:$B$1154,A956)</f>
        <v/>
      </c>
    </row>
    <row r="957">
      <c r="A957" s="3" t="inlineStr">
        <is>
          <t>005622</t>
        </is>
      </c>
      <c r="B957" s="5">
        <f>COUNTIF('Entetes_TriNumInterne'!$B$2:$B$1154,A957)</f>
        <v/>
      </c>
    </row>
    <row r="958">
      <c r="A958" s="3" t="inlineStr">
        <is>
          <t>005623</t>
        </is>
      </c>
      <c r="B958" s="5">
        <f>COUNTIF('Entetes_TriNumInterne'!$B$2:$B$1154,A958)</f>
        <v/>
      </c>
    </row>
    <row r="959">
      <c r="A959" s="3" t="inlineStr">
        <is>
          <t>005624</t>
        </is>
      </c>
      <c r="B959" s="5">
        <f>COUNTIF('Entetes_TriNumInterne'!$B$2:$B$1154,A959)</f>
        <v/>
      </c>
    </row>
    <row r="960">
      <c r="A960" s="3" t="inlineStr">
        <is>
          <t>005625</t>
        </is>
      </c>
      <c r="B960" s="5">
        <f>COUNTIF('Entetes_TriNumInterne'!$B$2:$B$1154,A960)</f>
        <v/>
      </c>
    </row>
    <row r="961">
      <c r="A961" s="3" t="inlineStr">
        <is>
          <t>005626</t>
        </is>
      </c>
      <c r="B961" s="5">
        <f>COUNTIF('Entetes_TriNumInterne'!$B$2:$B$1154,A961)</f>
        <v/>
      </c>
    </row>
    <row r="962">
      <c r="A962" s="3" t="inlineStr">
        <is>
          <t>005627</t>
        </is>
      </c>
      <c r="B962" s="5">
        <f>COUNTIF('Entetes_TriNumInterne'!$B$2:$B$1154,A962)</f>
        <v/>
      </c>
    </row>
    <row r="963">
      <c r="A963" s="3" t="inlineStr">
        <is>
          <t>005628</t>
        </is>
      </c>
      <c r="B963" s="5">
        <f>COUNTIF('Entetes_TriNumInterne'!$B$2:$B$1154,A963)</f>
        <v/>
      </c>
    </row>
    <row r="964">
      <c r="A964" s="3" t="inlineStr">
        <is>
          <t>005629</t>
        </is>
      </c>
      <c r="B964" s="5">
        <f>COUNTIF('Entetes_TriNumInterne'!$B$2:$B$1154,A964)</f>
        <v/>
      </c>
    </row>
    <row r="965">
      <c r="A965" s="3" t="inlineStr">
        <is>
          <t>005637</t>
        </is>
      </c>
      <c r="B965" s="5">
        <f>COUNTIF('Entetes_TriNumInterne'!$B$2:$B$1154,A965)</f>
        <v/>
      </c>
    </row>
    <row r="966">
      <c r="A966" s="3" t="inlineStr">
        <is>
          <t>005638</t>
        </is>
      </c>
      <c r="B966" s="5">
        <f>COUNTIF('Entetes_TriNumInterne'!$B$2:$B$1154,A966)</f>
        <v/>
      </c>
    </row>
    <row r="967">
      <c r="A967" s="3" t="inlineStr">
        <is>
          <t>005639</t>
        </is>
      </c>
      <c r="B967" s="5">
        <f>COUNTIF('Entetes_TriNumInterne'!$B$2:$B$1154,A967)</f>
        <v/>
      </c>
    </row>
    <row r="968">
      <c r="A968" s="3" t="inlineStr">
        <is>
          <t>005640</t>
        </is>
      </c>
      <c r="B968" s="5">
        <f>COUNTIF('Entetes_TriNumInterne'!$B$2:$B$1154,A968)</f>
        <v/>
      </c>
    </row>
    <row r="969">
      <c r="A969" s="3" t="inlineStr">
        <is>
          <t>005641</t>
        </is>
      </c>
      <c r="B969" s="5">
        <f>COUNTIF('Entetes_TriNumInterne'!$B$2:$B$1154,A969)</f>
        <v/>
      </c>
    </row>
    <row r="970">
      <c r="A970" s="3" t="inlineStr">
        <is>
          <t>005642</t>
        </is>
      </c>
      <c r="B970" s="5">
        <f>COUNTIF('Entetes_TriNumInterne'!$B$2:$B$1154,A970)</f>
        <v/>
      </c>
    </row>
    <row r="971">
      <c r="A971" s="3" t="inlineStr">
        <is>
          <t>005643</t>
        </is>
      </c>
      <c r="B971" s="5">
        <f>COUNTIF('Entetes_TriNumInterne'!$B$2:$B$1154,A971)</f>
        <v/>
      </c>
    </row>
    <row r="972">
      <c r="A972" s="3" t="inlineStr">
        <is>
          <t>005644</t>
        </is>
      </c>
      <c r="B972" s="5">
        <f>COUNTIF('Entetes_TriNumInterne'!$B$2:$B$1154,A972)</f>
        <v/>
      </c>
    </row>
    <row r="973">
      <c r="A973" s="3" t="inlineStr">
        <is>
          <t>005645</t>
        </is>
      </c>
      <c r="B973" s="5">
        <f>COUNTIF('Entetes_TriNumInterne'!$B$2:$B$1154,A973)</f>
        <v/>
      </c>
    </row>
    <row r="974">
      <c r="A974" s="3" t="inlineStr">
        <is>
          <t>005646</t>
        </is>
      </c>
      <c r="B974" s="5">
        <f>COUNTIF('Entetes_TriNumInterne'!$B$2:$B$1154,A974)</f>
        <v/>
      </c>
    </row>
    <row r="975">
      <c r="A975" s="3" t="inlineStr">
        <is>
          <t>005647</t>
        </is>
      </c>
      <c r="B975" s="5">
        <f>COUNTIF('Entetes_TriNumInterne'!$B$2:$B$1154,A975)</f>
        <v/>
      </c>
    </row>
    <row r="976">
      <c r="A976" s="3" t="inlineStr">
        <is>
          <t>005648</t>
        </is>
      </c>
      <c r="B976" s="5">
        <f>COUNTIF('Entetes_TriNumInterne'!$B$2:$B$1154,A976)</f>
        <v/>
      </c>
    </row>
    <row r="977">
      <c r="A977" s="3" t="inlineStr">
        <is>
          <t>005656</t>
        </is>
      </c>
      <c r="B977" s="5">
        <f>COUNTIF('Entetes_TriNumInterne'!$B$2:$B$1154,A977)</f>
        <v/>
      </c>
    </row>
    <row r="978">
      <c r="A978" s="3" t="inlineStr">
        <is>
          <t>005657</t>
        </is>
      </c>
      <c r="B978" s="5">
        <f>COUNTIF('Entetes_TriNumInterne'!$B$2:$B$1154,A978)</f>
        <v/>
      </c>
    </row>
    <row r="979">
      <c r="A979" s="3" t="inlineStr">
        <is>
          <t>005658</t>
        </is>
      </c>
      <c r="B979" s="5">
        <f>COUNTIF('Entetes_TriNumInterne'!$B$2:$B$1154,A979)</f>
        <v/>
      </c>
    </row>
    <row r="980">
      <c r="A980" s="3" t="inlineStr">
        <is>
          <t>005659</t>
        </is>
      </c>
      <c r="B980" s="5">
        <f>COUNTIF('Entetes_TriNumInterne'!$B$2:$B$1154,A980)</f>
        <v/>
      </c>
    </row>
    <row r="981">
      <c r="A981" s="3" t="inlineStr">
        <is>
          <t>005660</t>
        </is>
      </c>
      <c r="B981" s="5">
        <f>COUNTIF('Entetes_TriNumInterne'!$B$2:$B$1154,A981)</f>
        <v/>
      </c>
    </row>
    <row r="982">
      <c r="A982" s="3" t="inlineStr">
        <is>
          <t>005661</t>
        </is>
      </c>
      <c r="B982" s="5">
        <f>COUNTIF('Entetes_TriNumInterne'!$B$2:$B$1154,A982)</f>
        <v/>
      </c>
    </row>
    <row r="983">
      <c r="A983" s="3" t="inlineStr">
        <is>
          <t>005662</t>
        </is>
      </c>
      <c r="B983" s="5">
        <f>COUNTIF('Entetes_TriNumInterne'!$B$2:$B$1154,A983)</f>
        <v/>
      </c>
    </row>
    <row r="984">
      <c r="A984" s="3" t="inlineStr">
        <is>
          <t>005663</t>
        </is>
      </c>
      <c r="B984" s="5">
        <f>COUNTIF('Entetes_TriNumInterne'!$B$2:$B$1154,A984)</f>
        <v/>
      </c>
    </row>
    <row r="985">
      <c r="A985" s="3" t="inlineStr">
        <is>
          <t>005664</t>
        </is>
      </c>
      <c r="B985" s="5">
        <f>COUNTIF('Entetes_TriNumInterne'!$B$2:$B$1154,A985)</f>
        <v/>
      </c>
    </row>
    <row r="986">
      <c r="A986" s="3" t="inlineStr">
        <is>
          <t>005665</t>
        </is>
      </c>
      <c r="B986" s="5">
        <f>COUNTIF('Entetes_TriNumInterne'!$B$2:$B$1154,A986)</f>
        <v/>
      </c>
    </row>
    <row r="987">
      <c r="A987" s="3" t="inlineStr">
        <is>
          <t>005666</t>
        </is>
      </c>
      <c r="B987" s="5">
        <f>COUNTIF('Entetes_TriNumInterne'!$B$2:$B$1154,A987)</f>
        <v/>
      </c>
    </row>
    <row r="988">
      <c r="A988" s="3" t="inlineStr">
        <is>
          <t>005667</t>
        </is>
      </c>
      <c r="B988" s="5">
        <f>COUNTIF('Entetes_TriNumInterne'!$B$2:$B$1154,A988)</f>
        <v/>
      </c>
    </row>
    <row r="989">
      <c r="A989" s="3" t="inlineStr">
        <is>
          <t>005668</t>
        </is>
      </c>
      <c r="B989" s="5">
        <f>COUNTIF('Entetes_TriNumInterne'!$B$2:$B$1154,A989)</f>
        <v/>
      </c>
    </row>
    <row r="990">
      <c r="A990" s="3" t="inlineStr">
        <is>
          <t>005669</t>
        </is>
      </c>
      <c r="B990" s="5">
        <f>COUNTIF('Entetes_TriNumInterne'!$B$2:$B$1154,A990)</f>
        <v/>
      </c>
    </row>
    <row r="991">
      <c r="A991" s="3" t="inlineStr">
        <is>
          <t>005670</t>
        </is>
      </c>
      <c r="B991" s="5">
        <f>COUNTIF('Entetes_TriNumInterne'!$B$2:$B$1154,A991)</f>
        <v/>
      </c>
    </row>
    <row r="992">
      <c r="A992" s="3" t="inlineStr">
        <is>
          <t>005671</t>
        </is>
      </c>
      <c r="B992" s="5">
        <f>COUNTIF('Entetes_TriNumInterne'!$B$2:$B$1154,A992)</f>
        <v/>
      </c>
    </row>
    <row r="993">
      <c r="A993" s="3" t="inlineStr">
        <is>
          <t>005672</t>
        </is>
      </c>
      <c r="B993" s="5">
        <f>COUNTIF('Entetes_TriNumInterne'!$B$2:$B$1154,A993)</f>
        <v/>
      </c>
    </row>
    <row r="994">
      <c r="A994" s="3" t="inlineStr">
        <is>
          <t>005673</t>
        </is>
      </c>
      <c r="B994" s="5">
        <f>COUNTIF('Entetes_TriNumInterne'!$B$2:$B$1154,A994)</f>
        <v/>
      </c>
    </row>
    <row r="995">
      <c r="A995" s="3" t="inlineStr">
        <is>
          <t>005674</t>
        </is>
      </c>
      <c r="B995" s="5">
        <f>COUNTIF('Entetes_TriNumInterne'!$B$2:$B$1154,A995)</f>
        <v/>
      </c>
    </row>
    <row r="996">
      <c r="A996" s="3" t="inlineStr">
        <is>
          <t>005675</t>
        </is>
      </c>
      <c r="B996" s="5">
        <f>COUNTIF('Entetes_TriNumInterne'!$B$2:$B$1154,A996)</f>
        <v/>
      </c>
    </row>
    <row r="997">
      <c r="A997" s="3" t="inlineStr">
        <is>
          <t>005676</t>
        </is>
      </c>
      <c r="B997" s="5">
        <f>COUNTIF('Entetes_TriNumInterne'!$B$2:$B$1154,A997)</f>
        <v/>
      </c>
    </row>
    <row r="998">
      <c r="A998" s="3" t="inlineStr">
        <is>
          <t>005677</t>
        </is>
      </c>
      <c r="B998" s="5">
        <f>COUNTIF('Entetes_TriNumInterne'!$B$2:$B$1154,A998)</f>
        <v/>
      </c>
    </row>
    <row r="999">
      <c r="A999" s="3" t="inlineStr">
        <is>
          <t>005678</t>
        </is>
      </c>
      <c r="B999" s="5">
        <f>COUNTIF('Entetes_TriNumInterne'!$B$2:$B$1154,A999)</f>
        <v/>
      </c>
    </row>
    <row r="1000">
      <c r="A1000" s="3" t="inlineStr">
        <is>
          <t>005679</t>
        </is>
      </c>
      <c r="B1000" s="5">
        <f>COUNTIF('Entetes_TriNumInterne'!$B$2:$B$1154,A1000)</f>
        <v/>
      </c>
    </row>
    <row r="1001">
      <c r="A1001" s="3" t="inlineStr">
        <is>
          <t>005680</t>
        </is>
      </c>
      <c r="B1001" s="5">
        <f>COUNTIF('Entetes_TriNumInterne'!$B$2:$B$1154,A1001)</f>
        <v/>
      </c>
    </row>
    <row r="1002">
      <c r="A1002" s="3" t="inlineStr">
        <is>
          <t>005681</t>
        </is>
      </c>
      <c r="B1002" s="5">
        <f>COUNTIF('Entetes_TriNumInterne'!$B$2:$B$1154,A1002)</f>
        <v/>
      </c>
    </row>
    <row r="1003">
      <c r="A1003" s="3" t="inlineStr">
        <is>
          <t>005689</t>
        </is>
      </c>
      <c r="B1003" s="5">
        <f>COUNTIF('Entetes_TriNumInterne'!$B$2:$B$1154,A1003)</f>
        <v/>
      </c>
    </row>
    <row r="1004">
      <c r="A1004" s="3" t="inlineStr">
        <is>
          <t>005690</t>
        </is>
      </c>
      <c r="B1004" s="5">
        <f>COUNTIF('Entetes_TriNumInterne'!$B$2:$B$1154,A1004)</f>
        <v/>
      </c>
    </row>
    <row r="1005">
      <c r="A1005" s="3" t="inlineStr">
        <is>
          <t>005691</t>
        </is>
      </c>
      <c r="B1005" s="5">
        <f>COUNTIF('Entetes_TriNumInterne'!$B$2:$B$1154,A1005)</f>
        <v/>
      </c>
    </row>
    <row r="1006">
      <c r="A1006" s="3" t="inlineStr">
        <is>
          <t>005692</t>
        </is>
      </c>
      <c r="B1006" s="5">
        <f>COUNTIF('Entetes_TriNumInterne'!$B$2:$B$1154,A1006)</f>
        <v/>
      </c>
    </row>
    <row r="1007">
      <c r="A1007" s="3" t="inlineStr">
        <is>
          <t>005693</t>
        </is>
      </c>
      <c r="B1007" s="5">
        <f>COUNTIF('Entetes_TriNumInterne'!$B$2:$B$1154,A1007)</f>
        <v/>
      </c>
    </row>
    <row r="1008">
      <c r="A1008" s="3" t="inlineStr">
        <is>
          <t>005694</t>
        </is>
      </c>
      <c r="B1008" s="5">
        <f>COUNTIF('Entetes_TriNumInterne'!$B$2:$B$1154,A1008)</f>
        <v/>
      </c>
    </row>
    <row r="1009">
      <c r="A1009" s="3" t="inlineStr">
        <is>
          <t>005695</t>
        </is>
      </c>
      <c r="B1009" s="5">
        <f>COUNTIF('Entetes_TriNumInterne'!$B$2:$B$1154,A1009)</f>
        <v/>
      </c>
    </row>
    <row r="1010">
      <c r="A1010" s="3" t="inlineStr">
        <is>
          <t>005696</t>
        </is>
      </c>
      <c r="B1010" s="5">
        <f>COUNTIF('Entetes_TriNumInterne'!$B$2:$B$1154,A1010)</f>
        <v/>
      </c>
    </row>
    <row r="1011">
      <c r="A1011" s="3" t="inlineStr">
        <is>
          <t>005697</t>
        </is>
      </c>
      <c r="B1011" s="5">
        <f>COUNTIF('Entetes_TriNumInterne'!$B$2:$B$1154,A1011)</f>
        <v/>
      </c>
    </row>
    <row r="1012">
      <c r="A1012" s="3" t="inlineStr">
        <is>
          <t>005698</t>
        </is>
      </c>
      <c r="B1012" s="5">
        <f>COUNTIF('Entetes_TriNumInterne'!$B$2:$B$1154,A1012)</f>
        <v/>
      </c>
    </row>
    <row r="1013">
      <c r="A1013" s="3" t="inlineStr">
        <is>
          <t>005699</t>
        </is>
      </c>
      <c r="B1013" s="5">
        <f>COUNTIF('Entetes_TriNumInterne'!$B$2:$B$1154,A1013)</f>
        <v/>
      </c>
    </row>
    <row r="1014">
      <c r="A1014" s="3" t="inlineStr">
        <is>
          <t>005700</t>
        </is>
      </c>
      <c r="B1014" s="5">
        <f>COUNTIF('Entetes_TriNumInterne'!$B$2:$B$1154,A1014)</f>
        <v/>
      </c>
    </row>
    <row r="1015">
      <c r="A1015" s="3" t="inlineStr">
        <is>
          <t>005701</t>
        </is>
      </c>
      <c r="B1015" s="5">
        <f>COUNTIF('Entetes_TriNumInterne'!$B$2:$B$1154,A1015)</f>
        <v/>
      </c>
    </row>
    <row r="1016">
      <c r="A1016" s="3" t="inlineStr">
        <is>
          <t>005702</t>
        </is>
      </c>
      <c r="B1016" s="5">
        <f>COUNTIF('Entetes_TriNumInterne'!$B$2:$B$1154,A1016)</f>
        <v/>
      </c>
    </row>
    <row r="1017">
      <c r="A1017" s="3" t="inlineStr">
        <is>
          <t>005703</t>
        </is>
      </c>
      <c r="B1017" s="5">
        <f>COUNTIF('Entetes_TriNumInterne'!$B$2:$B$1154,A1017)</f>
        <v/>
      </c>
    </row>
    <row r="1018">
      <c r="A1018" s="3" t="inlineStr">
        <is>
          <t>005704</t>
        </is>
      </c>
      <c r="B1018" s="5">
        <f>COUNTIF('Entetes_TriNumInterne'!$B$2:$B$1154,A1018)</f>
        <v/>
      </c>
    </row>
    <row r="1019">
      <c r="A1019" s="3" t="inlineStr">
        <is>
          <t>005705</t>
        </is>
      </c>
      <c r="B1019" s="5">
        <f>COUNTIF('Entetes_TriNumInterne'!$B$2:$B$1154,A1019)</f>
        <v/>
      </c>
    </row>
    <row r="1020">
      <c r="A1020" s="3" t="inlineStr">
        <is>
          <t>005706</t>
        </is>
      </c>
      <c r="B1020" s="5">
        <f>COUNTIF('Entetes_TriNumInterne'!$B$2:$B$1154,A1020)</f>
        <v/>
      </c>
    </row>
    <row r="1021">
      <c r="A1021" s="3" t="inlineStr">
        <is>
          <t>005707</t>
        </is>
      </c>
      <c r="B1021" s="5">
        <f>COUNTIF('Entetes_TriNumInterne'!$B$2:$B$1154,A1021)</f>
        <v/>
      </c>
    </row>
    <row r="1022">
      <c r="A1022" s="3" t="inlineStr">
        <is>
          <t>005708</t>
        </is>
      </c>
      <c r="B1022" s="5">
        <f>COUNTIF('Entetes_TriNumInterne'!$B$2:$B$1154,A1022)</f>
        <v/>
      </c>
    </row>
    <row r="1023">
      <c r="A1023" s="3" t="inlineStr">
        <is>
          <t>005709</t>
        </is>
      </c>
      <c r="B1023" s="5">
        <f>COUNTIF('Entetes_TriNumInterne'!$B$2:$B$1154,A1023)</f>
        <v/>
      </c>
    </row>
    <row r="1024">
      <c r="A1024" s="3" t="inlineStr">
        <is>
          <t>005710</t>
        </is>
      </c>
      <c r="B1024" s="5">
        <f>COUNTIF('Entetes_TriNumInterne'!$B$2:$B$1154,A1024)</f>
        <v/>
      </c>
    </row>
    <row r="1025">
      <c r="A1025" s="3" t="inlineStr">
        <is>
          <t>005711</t>
        </is>
      </c>
      <c r="B1025" s="5">
        <f>COUNTIF('Entetes_TriNumInterne'!$B$2:$B$1154,A1025)</f>
        <v/>
      </c>
    </row>
    <row r="1026">
      <c r="A1026" s="3" t="inlineStr">
        <is>
          <t>005712</t>
        </is>
      </c>
      <c r="B1026" s="5">
        <f>COUNTIF('Entetes_TriNumInterne'!$B$2:$B$1154,A1026)</f>
        <v/>
      </c>
    </row>
    <row r="1027">
      <c r="A1027" s="3" t="inlineStr">
        <is>
          <t>005713</t>
        </is>
      </c>
      <c r="B1027" s="5">
        <f>COUNTIF('Entetes_TriNumInterne'!$B$2:$B$1154,A1027)</f>
        <v/>
      </c>
    </row>
    <row r="1028">
      <c r="A1028" s="3" t="inlineStr">
        <is>
          <t>005714</t>
        </is>
      </c>
      <c r="B1028" s="5">
        <f>COUNTIF('Entetes_TriNumInterne'!$B$2:$B$1154,A1028)</f>
        <v/>
      </c>
    </row>
    <row r="1029">
      <c r="A1029" s="3" t="inlineStr">
        <is>
          <t>005715</t>
        </is>
      </c>
      <c r="B1029" s="5">
        <f>COUNTIF('Entetes_TriNumInterne'!$B$2:$B$1154,A1029)</f>
        <v/>
      </c>
    </row>
    <row r="1030">
      <c r="A1030" s="3" t="inlineStr">
        <is>
          <t>005716</t>
        </is>
      </c>
      <c r="B1030" s="5">
        <f>COUNTIF('Entetes_TriNumInterne'!$B$2:$B$1154,A1030)</f>
        <v/>
      </c>
    </row>
    <row r="1031">
      <c r="A1031" s="3" t="inlineStr">
        <is>
          <t>005717</t>
        </is>
      </c>
      <c r="B1031" s="5">
        <f>COUNTIF('Entetes_TriNumInterne'!$B$2:$B$1154,A1031)</f>
        <v/>
      </c>
    </row>
    <row r="1032">
      <c r="A1032" s="3" t="inlineStr">
        <is>
          <t>005725</t>
        </is>
      </c>
      <c r="B1032" s="5">
        <f>COUNTIF('Entetes_TriNumInterne'!$B$2:$B$1154,A1032)</f>
        <v/>
      </c>
    </row>
    <row r="1033">
      <c r="A1033" s="3" t="inlineStr">
        <is>
          <t>005726</t>
        </is>
      </c>
      <c r="B1033" s="5">
        <f>COUNTIF('Entetes_TriNumInterne'!$B$2:$B$1154,A1033)</f>
        <v/>
      </c>
    </row>
    <row r="1034">
      <c r="A1034" s="3" t="inlineStr">
        <is>
          <t>005727</t>
        </is>
      </c>
      <c r="B1034" s="5">
        <f>COUNTIF('Entetes_TriNumInterne'!$B$2:$B$1154,A1034)</f>
        <v/>
      </c>
    </row>
    <row r="1035">
      <c r="A1035" s="3" t="inlineStr">
        <is>
          <t>005728</t>
        </is>
      </c>
      <c r="B1035" s="5">
        <f>COUNTIF('Entetes_TriNumInterne'!$B$2:$B$1154,A1035)</f>
        <v/>
      </c>
    </row>
    <row r="1036">
      <c r="A1036" s="3" t="inlineStr">
        <is>
          <t>005729</t>
        </is>
      </c>
      <c r="B1036" s="5">
        <f>COUNTIF('Entetes_TriNumInterne'!$B$2:$B$1154,A1036)</f>
        <v/>
      </c>
    </row>
    <row r="1037">
      <c r="A1037" s="3" t="inlineStr">
        <is>
          <t>005730</t>
        </is>
      </c>
      <c r="B1037" s="5">
        <f>COUNTIF('Entetes_TriNumInterne'!$B$2:$B$1154,A1037)</f>
        <v/>
      </c>
    </row>
    <row r="1038">
      <c r="A1038" s="3" t="inlineStr">
        <is>
          <t>005731</t>
        </is>
      </c>
      <c r="B1038" s="5">
        <f>COUNTIF('Entetes_TriNumInterne'!$B$2:$B$1154,A1038)</f>
        <v/>
      </c>
    </row>
    <row r="1039">
      <c r="A1039" s="3" t="inlineStr">
        <is>
          <t>005732</t>
        </is>
      </c>
      <c r="B1039" s="5">
        <f>COUNTIF('Entetes_TriNumInterne'!$B$2:$B$1154,A1039)</f>
        <v/>
      </c>
    </row>
    <row r="1040">
      <c r="A1040" s="3" t="inlineStr">
        <is>
          <t>005733</t>
        </is>
      </c>
      <c r="B1040" s="5">
        <f>COUNTIF('Entetes_TriNumInterne'!$B$2:$B$1154,A1040)</f>
        <v/>
      </c>
    </row>
    <row r="1041">
      <c r="A1041" s="3" t="inlineStr">
        <is>
          <t>005734</t>
        </is>
      </c>
      <c r="B1041" s="5">
        <f>COUNTIF('Entetes_TriNumInterne'!$B$2:$B$1154,A1041)</f>
        <v/>
      </c>
    </row>
    <row r="1042">
      <c r="A1042" s="3" t="inlineStr">
        <is>
          <t>005735</t>
        </is>
      </c>
      <c r="B1042" s="5">
        <f>COUNTIF('Entetes_TriNumInterne'!$B$2:$B$1154,A1042)</f>
        <v/>
      </c>
    </row>
    <row r="1043">
      <c r="A1043" s="3" t="inlineStr">
        <is>
          <t>005736</t>
        </is>
      </c>
      <c r="B1043" s="5">
        <f>COUNTIF('Entetes_TriNumInterne'!$B$2:$B$1154,A1043)</f>
        <v/>
      </c>
    </row>
    <row r="1044">
      <c r="A1044" s="3" t="inlineStr">
        <is>
          <t>005737</t>
        </is>
      </c>
      <c r="B1044" s="5">
        <f>COUNTIF('Entetes_TriNumInterne'!$B$2:$B$1154,A1044)</f>
        <v/>
      </c>
    </row>
    <row r="1045">
      <c r="A1045" s="3" t="inlineStr">
        <is>
          <t>005738</t>
        </is>
      </c>
      <c r="B1045" s="5">
        <f>COUNTIF('Entetes_TriNumInterne'!$B$2:$B$1154,A1045)</f>
        <v/>
      </c>
    </row>
    <row r="1046">
      <c r="A1046" s="3" t="inlineStr">
        <is>
          <t>005739</t>
        </is>
      </c>
      <c r="B1046" s="5">
        <f>COUNTIF('Entetes_TriNumInterne'!$B$2:$B$1154,A1046)</f>
        <v/>
      </c>
    </row>
    <row r="1047">
      <c r="A1047" s="3" t="inlineStr">
        <is>
          <t>005740</t>
        </is>
      </c>
      <c r="B1047" s="5">
        <f>COUNTIF('Entetes_TriNumInterne'!$B$2:$B$1154,A1047)</f>
        <v/>
      </c>
    </row>
    <row r="1048">
      <c r="A1048" s="3" t="inlineStr">
        <is>
          <t>005741</t>
        </is>
      </c>
      <c r="B1048" s="5">
        <f>COUNTIF('Entetes_TriNumInterne'!$B$2:$B$1154,A1048)</f>
        <v/>
      </c>
    </row>
    <row r="1049">
      <c r="A1049" s="3" t="inlineStr">
        <is>
          <t>005742</t>
        </is>
      </c>
      <c r="B1049" s="5">
        <f>COUNTIF('Entetes_TriNumInterne'!$B$2:$B$1154,A1049)</f>
        <v/>
      </c>
    </row>
    <row r="1050">
      <c r="A1050" s="3" t="inlineStr">
        <is>
          <t>005743</t>
        </is>
      </c>
      <c r="B1050" s="5">
        <f>COUNTIF('Entetes_TriNumInterne'!$B$2:$B$1154,A1050)</f>
        <v/>
      </c>
    </row>
    <row r="1051">
      <c r="A1051" s="3" t="inlineStr">
        <is>
          <t>005744</t>
        </is>
      </c>
      <c r="B1051" s="5">
        <f>COUNTIF('Entetes_TriNumInterne'!$B$2:$B$1154,A1051)</f>
        <v/>
      </c>
    </row>
    <row r="1052">
      <c r="A1052" s="3" t="inlineStr">
        <is>
          <t>005745</t>
        </is>
      </c>
      <c r="B1052" s="5">
        <f>COUNTIF('Entetes_TriNumInterne'!$B$2:$B$1154,A1052)</f>
        <v/>
      </c>
    </row>
    <row r="1053">
      <c r="A1053" s="3" t="inlineStr">
        <is>
          <t>005746</t>
        </is>
      </c>
      <c r="B1053" s="5">
        <f>COUNTIF('Entetes_TriNumInterne'!$B$2:$B$1154,A1053)</f>
        <v/>
      </c>
    </row>
    <row r="1054">
      <c r="A1054" s="3" t="inlineStr">
        <is>
          <t>005747</t>
        </is>
      </c>
      <c r="B1054" s="5">
        <f>COUNTIF('Entetes_TriNumInterne'!$B$2:$B$1154,A1054)</f>
        <v/>
      </c>
    </row>
    <row r="1055">
      <c r="A1055" s="3" t="inlineStr">
        <is>
          <t>005755</t>
        </is>
      </c>
      <c r="B1055" s="5">
        <f>COUNTIF('Entetes_TriNumInterne'!$B$2:$B$1154,A1055)</f>
        <v/>
      </c>
    </row>
    <row r="1056">
      <c r="A1056" s="3" t="inlineStr">
        <is>
          <t>005756</t>
        </is>
      </c>
      <c r="B1056" s="5">
        <f>COUNTIF('Entetes_TriNumInterne'!$B$2:$B$1154,A1056)</f>
        <v/>
      </c>
    </row>
    <row r="1057">
      <c r="A1057" s="3" t="inlineStr">
        <is>
          <t>005757</t>
        </is>
      </c>
      <c r="B1057" s="5">
        <f>COUNTIF('Entetes_TriNumInterne'!$B$2:$B$1154,A1057)</f>
        <v/>
      </c>
    </row>
    <row r="1058">
      <c r="A1058" s="3" t="inlineStr">
        <is>
          <t>005758</t>
        </is>
      </c>
      <c r="B1058" s="5">
        <f>COUNTIF('Entetes_TriNumInterne'!$B$2:$B$1154,A1058)</f>
        <v/>
      </c>
    </row>
    <row r="1059">
      <c r="A1059" s="3" t="inlineStr">
        <is>
          <t>005759</t>
        </is>
      </c>
      <c r="B1059" s="5">
        <f>COUNTIF('Entetes_TriNumInterne'!$B$2:$B$1154,A1059)</f>
        <v/>
      </c>
    </row>
    <row r="1060">
      <c r="A1060" s="3" t="inlineStr">
        <is>
          <t>005760</t>
        </is>
      </c>
      <c r="B1060" s="5">
        <f>COUNTIF('Entetes_TriNumInterne'!$B$2:$B$1154,A1060)</f>
        <v/>
      </c>
    </row>
    <row r="1061">
      <c r="A1061" s="3" t="inlineStr">
        <is>
          <t>005761</t>
        </is>
      </c>
      <c r="B1061" s="5">
        <f>COUNTIF('Entetes_TriNumInterne'!$B$2:$B$1154,A1061)</f>
        <v/>
      </c>
    </row>
    <row r="1062">
      <c r="A1062" s="3" t="inlineStr">
        <is>
          <t>005762</t>
        </is>
      </c>
      <c r="B1062" s="5">
        <f>COUNTIF('Entetes_TriNumInterne'!$B$2:$B$1154,A1062)</f>
        <v/>
      </c>
    </row>
    <row r="1063">
      <c r="A1063" s="3" t="inlineStr">
        <is>
          <t>005763</t>
        </is>
      </c>
      <c r="B1063" s="5">
        <f>COUNTIF('Entetes_TriNumInterne'!$B$2:$B$1154,A1063)</f>
        <v/>
      </c>
    </row>
    <row r="1064">
      <c r="A1064" s="3" t="inlineStr">
        <is>
          <t>005764</t>
        </is>
      </c>
      <c r="B1064" s="5">
        <f>COUNTIF('Entetes_TriNumInterne'!$B$2:$B$1154,A1064)</f>
        <v/>
      </c>
    </row>
    <row r="1065">
      <c r="A1065" s="3" t="inlineStr">
        <is>
          <t>005765</t>
        </is>
      </c>
      <c r="B1065" s="5">
        <f>COUNTIF('Entetes_TriNumInterne'!$B$2:$B$1154,A1065)</f>
        <v/>
      </c>
    </row>
    <row r="1066">
      <c r="A1066" s="3" t="inlineStr">
        <is>
          <t>005766</t>
        </is>
      </c>
      <c r="B1066" s="5">
        <f>COUNTIF('Entetes_TriNumInterne'!$B$2:$B$1154,A1066)</f>
        <v/>
      </c>
    </row>
    <row r="1067">
      <c r="A1067" s="3" t="inlineStr">
        <is>
          <t>005767</t>
        </is>
      </c>
      <c r="B1067" s="5">
        <f>COUNTIF('Entetes_TriNumInterne'!$B$2:$B$1154,A1067)</f>
        <v/>
      </c>
    </row>
    <row r="1068">
      <c r="A1068" s="3" t="inlineStr">
        <is>
          <t>005768</t>
        </is>
      </c>
      <c r="B1068" s="5">
        <f>COUNTIF('Entetes_TriNumInterne'!$B$2:$B$1154,A1068)</f>
        <v/>
      </c>
    </row>
    <row r="1069">
      <c r="A1069" s="3" t="inlineStr">
        <is>
          <t>005769</t>
        </is>
      </c>
      <c r="B1069" s="5">
        <f>COUNTIF('Entetes_TriNumInterne'!$B$2:$B$1154,A1069)</f>
        <v/>
      </c>
    </row>
    <row r="1070">
      <c r="A1070" s="3" t="inlineStr">
        <is>
          <t>005770</t>
        </is>
      </c>
      <c r="B1070" s="5">
        <f>COUNTIF('Entetes_TriNumInterne'!$B$2:$B$1154,A1070)</f>
        <v/>
      </c>
    </row>
    <row r="1071">
      <c r="A1071" s="3" t="inlineStr">
        <is>
          <t>005771</t>
        </is>
      </c>
      <c r="B1071" s="5">
        <f>COUNTIF('Entetes_TriNumInterne'!$B$2:$B$1154,A1071)</f>
        <v/>
      </c>
    </row>
    <row r="1072">
      <c r="A1072" s="3" t="inlineStr">
        <is>
          <t>005772</t>
        </is>
      </c>
      <c r="B1072" s="5">
        <f>COUNTIF('Entetes_TriNumInterne'!$B$2:$B$1154,A1072)</f>
        <v/>
      </c>
    </row>
    <row r="1073">
      <c r="A1073" s="3" t="inlineStr">
        <is>
          <t>005773</t>
        </is>
      </c>
      <c r="B1073" s="5">
        <f>COUNTIF('Entetes_TriNumInterne'!$B$2:$B$1154,A1073)</f>
        <v/>
      </c>
    </row>
    <row r="1074">
      <c r="A1074" s="3" t="inlineStr">
        <is>
          <t>005774</t>
        </is>
      </c>
      <c r="B1074" s="5">
        <f>COUNTIF('Entetes_TriNumInterne'!$B$2:$B$1154,A1074)</f>
        <v/>
      </c>
    </row>
    <row r="1075">
      <c r="A1075" s="3" t="inlineStr">
        <is>
          <t>005775</t>
        </is>
      </c>
      <c r="B1075" s="5">
        <f>COUNTIF('Entetes_TriNumInterne'!$B$2:$B$1154,A1075)</f>
        <v/>
      </c>
    </row>
    <row r="1076">
      <c r="A1076" s="3" t="inlineStr">
        <is>
          <t>005776</t>
        </is>
      </c>
      <c r="B1076" s="5">
        <f>COUNTIF('Entetes_TriNumInterne'!$B$2:$B$1154,A1076)</f>
        <v/>
      </c>
    </row>
    <row r="1077">
      <c r="A1077" s="3" t="inlineStr">
        <is>
          <t>005777</t>
        </is>
      </c>
      <c r="B1077" s="5">
        <f>COUNTIF('Entetes_TriNumInterne'!$B$2:$B$1154,A1077)</f>
        <v/>
      </c>
    </row>
    <row r="1078">
      <c r="A1078" s="3" t="inlineStr">
        <is>
          <t>005778</t>
        </is>
      </c>
      <c r="B1078" s="5">
        <f>COUNTIF('Entetes_TriNumInterne'!$B$2:$B$1154,A1078)</f>
        <v/>
      </c>
    </row>
    <row r="1079">
      <c r="A1079" s="3" t="inlineStr">
        <is>
          <t>005779</t>
        </is>
      </c>
      <c r="B1079" s="5">
        <f>COUNTIF('Entetes_TriNumInterne'!$B$2:$B$1154,A1079)</f>
        <v/>
      </c>
    </row>
    <row r="1080">
      <c r="A1080" s="3" t="inlineStr">
        <is>
          <t>005780</t>
        </is>
      </c>
      <c r="B1080" s="5">
        <f>COUNTIF('Entetes_TriNumInterne'!$B$2:$B$1154,A1080)</f>
        <v/>
      </c>
    </row>
    <row r="1081">
      <c r="A1081" s="3" t="inlineStr">
        <is>
          <t>005781</t>
        </is>
      </c>
      <c r="B1081" s="5">
        <f>COUNTIF('Entetes_TriNumInterne'!$B$2:$B$1154,A1081)</f>
        <v/>
      </c>
    </row>
    <row r="1082">
      <c r="A1082" s="3" t="inlineStr">
        <is>
          <t>005782</t>
        </is>
      </c>
      <c r="B1082" s="5">
        <f>COUNTIF('Entetes_TriNumInterne'!$B$2:$B$1154,A1082)</f>
        <v/>
      </c>
    </row>
    <row r="1083">
      <c r="A1083" s="3" t="inlineStr">
        <is>
          <t>005783</t>
        </is>
      </c>
      <c r="B1083" s="5">
        <f>COUNTIF('Entetes_TriNumInterne'!$B$2:$B$1154,A1083)</f>
        <v/>
      </c>
    </row>
    <row r="1084">
      <c r="A1084" s="3" t="inlineStr">
        <is>
          <t>005784</t>
        </is>
      </c>
      <c r="B1084" s="5">
        <f>COUNTIF('Entetes_TriNumInterne'!$B$2:$B$1154,A1084)</f>
        <v/>
      </c>
    </row>
    <row r="1085">
      <c r="A1085" s="3" t="inlineStr">
        <is>
          <t>005793</t>
        </is>
      </c>
      <c r="B1085" s="5">
        <f>COUNTIF('Entetes_TriNumInterne'!$B$2:$B$1154,A1085)</f>
        <v/>
      </c>
    </row>
    <row r="1086">
      <c r="A1086" s="3" t="inlineStr">
        <is>
          <t>005794</t>
        </is>
      </c>
      <c r="B1086" s="5">
        <f>COUNTIF('Entetes_TriNumInterne'!$B$2:$B$1154,A1086)</f>
        <v/>
      </c>
    </row>
    <row r="1087">
      <c r="A1087" s="3" t="inlineStr">
        <is>
          <t>005795</t>
        </is>
      </c>
      <c r="B1087" s="5">
        <f>COUNTIF('Entetes_TriNumInterne'!$B$2:$B$1154,A1087)</f>
        <v/>
      </c>
    </row>
    <row r="1088">
      <c r="A1088" s="3" t="inlineStr">
        <is>
          <t>005796</t>
        </is>
      </c>
      <c r="B1088" s="5">
        <f>COUNTIF('Entetes_TriNumInterne'!$B$2:$B$1154,A1088)</f>
        <v/>
      </c>
    </row>
    <row r="1089">
      <c r="A1089" s="3" t="inlineStr">
        <is>
          <t>005797</t>
        </is>
      </c>
      <c r="B1089" s="5">
        <f>COUNTIF('Entetes_TriNumInterne'!$B$2:$B$1154,A1089)</f>
        <v/>
      </c>
    </row>
    <row r="1090">
      <c r="A1090" s="3" t="inlineStr">
        <is>
          <t>005798</t>
        </is>
      </c>
      <c r="B1090" s="5">
        <f>COUNTIF('Entetes_TriNumInterne'!$B$2:$B$1154,A1090)</f>
        <v/>
      </c>
    </row>
    <row r="1091">
      <c r="A1091" s="3" t="inlineStr">
        <is>
          <t>005799</t>
        </is>
      </c>
      <c r="B1091" s="5">
        <f>COUNTIF('Entetes_TriNumInterne'!$B$2:$B$1154,A1091)</f>
        <v/>
      </c>
    </row>
    <row r="1092">
      <c r="A1092" s="3" t="inlineStr">
        <is>
          <t>005800</t>
        </is>
      </c>
      <c r="B1092" s="5">
        <f>COUNTIF('Entetes_TriNumInterne'!$B$2:$B$1154,A1092)</f>
        <v/>
      </c>
    </row>
    <row r="1093">
      <c r="A1093" s="3" t="inlineStr">
        <is>
          <t>005801</t>
        </is>
      </c>
      <c r="B1093" s="5">
        <f>COUNTIF('Entetes_TriNumInterne'!$B$2:$B$1154,A1093)</f>
        <v/>
      </c>
    </row>
    <row r="1094">
      <c r="A1094" s="3" t="inlineStr">
        <is>
          <t>005802</t>
        </is>
      </c>
      <c r="B1094" s="5">
        <f>COUNTIF('Entetes_TriNumInterne'!$B$2:$B$1154,A1094)</f>
        <v/>
      </c>
    </row>
    <row r="1095">
      <c r="A1095" s="3" t="inlineStr">
        <is>
          <t>005803</t>
        </is>
      </c>
      <c r="B1095" s="5">
        <f>COUNTIF('Entetes_TriNumInterne'!$B$2:$B$1154,A1095)</f>
        <v/>
      </c>
    </row>
    <row r="1096">
      <c r="A1096" s="3" t="inlineStr">
        <is>
          <t>005804</t>
        </is>
      </c>
      <c r="B1096" s="5">
        <f>COUNTIF('Entetes_TriNumInterne'!$B$2:$B$1154,A1096)</f>
        <v/>
      </c>
    </row>
    <row r="1097">
      <c r="A1097" s="3" t="inlineStr">
        <is>
          <t>005805</t>
        </is>
      </c>
      <c r="B1097" s="5">
        <f>COUNTIF('Entetes_TriNumInterne'!$B$2:$B$1154,A1097)</f>
        <v/>
      </c>
    </row>
    <row r="1098">
      <c r="A1098" s="3" t="inlineStr">
        <is>
          <t>005806</t>
        </is>
      </c>
      <c r="B1098" s="5">
        <f>COUNTIF('Entetes_TriNumInterne'!$B$2:$B$1154,A1098)</f>
        <v/>
      </c>
    </row>
    <row r="1099">
      <c r="A1099" s="3" t="inlineStr">
        <is>
          <t>005807</t>
        </is>
      </c>
      <c r="B1099" s="5">
        <f>COUNTIF('Entetes_TriNumInterne'!$B$2:$B$1154,A1099)</f>
        <v/>
      </c>
    </row>
    <row r="1100">
      <c r="A1100" s="3" t="inlineStr">
        <is>
          <t>005808</t>
        </is>
      </c>
      <c r="B1100" s="5">
        <f>COUNTIF('Entetes_TriNumInterne'!$B$2:$B$1154,A1100)</f>
        <v/>
      </c>
    </row>
    <row r="1101">
      <c r="A1101" s="3" t="inlineStr">
        <is>
          <t>005809</t>
        </is>
      </c>
      <c r="B1101" s="5">
        <f>COUNTIF('Entetes_TriNumInterne'!$B$2:$B$1154,A1101)</f>
        <v/>
      </c>
    </row>
    <row r="1102">
      <c r="A1102" s="3" t="inlineStr">
        <is>
          <t>005810</t>
        </is>
      </c>
      <c r="B1102" s="5">
        <f>COUNTIF('Entetes_TriNumInterne'!$B$2:$B$1154,A1102)</f>
        <v/>
      </c>
    </row>
    <row r="1103">
      <c r="A1103" s="3" t="inlineStr">
        <is>
          <t>005811</t>
        </is>
      </c>
      <c r="B1103" s="5">
        <f>COUNTIF('Entetes_TriNumInterne'!$B$2:$B$1154,A1103)</f>
        <v/>
      </c>
    </row>
    <row r="1104">
      <c r="A1104" s="3" t="inlineStr">
        <is>
          <t>005812</t>
        </is>
      </c>
      <c r="B1104" s="5">
        <f>COUNTIF('Entetes_TriNumInterne'!$B$2:$B$1154,A1104)</f>
        <v/>
      </c>
    </row>
    <row r="1105">
      <c r="A1105" s="3" t="inlineStr">
        <is>
          <t>005813</t>
        </is>
      </c>
      <c r="B1105" s="5">
        <f>COUNTIF('Entetes_TriNumInterne'!$B$2:$B$1154,A1105)</f>
        <v/>
      </c>
    </row>
    <row r="1106">
      <c r="A1106" s="3" t="inlineStr">
        <is>
          <t>005814</t>
        </is>
      </c>
      <c r="B1106" s="5">
        <f>COUNTIF('Entetes_TriNumInterne'!$B$2:$B$1154,A1106)</f>
        <v/>
      </c>
    </row>
    <row r="1107">
      <c r="A1107" s="3" t="inlineStr">
        <is>
          <t>005815</t>
        </is>
      </c>
      <c r="B1107" s="5">
        <f>COUNTIF('Entetes_TriNumInterne'!$B$2:$B$1154,A1107)</f>
        <v/>
      </c>
    </row>
    <row r="1108">
      <c r="A1108" s="3" t="inlineStr">
        <is>
          <t>005816</t>
        </is>
      </c>
      <c r="B1108" s="5">
        <f>COUNTIF('Entetes_TriNumInterne'!$B$2:$B$1154,A1108)</f>
        <v/>
      </c>
    </row>
    <row r="1109">
      <c r="A1109" s="3" t="inlineStr">
        <is>
          <t>005817</t>
        </is>
      </c>
      <c r="B1109" s="5">
        <f>COUNTIF('Entetes_TriNumInterne'!$B$2:$B$1154,A1109)</f>
        <v/>
      </c>
    </row>
    <row r="1110">
      <c r="A1110" s="3" t="inlineStr">
        <is>
          <t>005818</t>
        </is>
      </c>
      <c r="B1110" s="5">
        <f>COUNTIF('Entetes_TriNumInterne'!$B$2:$B$1154,A1110)</f>
        <v/>
      </c>
    </row>
    <row r="1111">
      <c r="A1111" s="3" t="inlineStr">
        <is>
          <t>005820</t>
        </is>
      </c>
      <c r="B1111" s="5">
        <f>COUNTIF('Entetes_TriNumInterne'!$B$2:$B$1154,A1111)</f>
        <v/>
      </c>
    </row>
    <row r="1112">
      <c r="A1112" s="3" t="inlineStr">
        <is>
          <t>005821</t>
        </is>
      </c>
      <c r="B1112" s="5">
        <f>COUNTIF('Entetes_TriNumInterne'!$B$2:$B$1154,A1112)</f>
        <v/>
      </c>
    </row>
    <row r="1113">
      <c r="A1113" s="3" t="inlineStr">
        <is>
          <t>005822</t>
        </is>
      </c>
      <c r="B1113" s="5">
        <f>COUNTIF('Entetes_TriNumInterne'!$B$2:$B$1154,A1113)</f>
        <v/>
      </c>
    </row>
    <row r="1114">
      <c r="A1114" s="3" t="inlineStr">
        <is>
          <t>005823</t>
        </is>
      </c>
      <c r="B1114" s="5">
        <f>COUNTIF('Entetes_TriNumInterne'!$B$2:$B$1154,A1114)</f>
        <v/>
      </c>
    </row>
    <row r="1115">
      <c r="A1115" s="3" t="inlineStr">
        <is>
          <t>005824</t>
        </is>
      </c>
      <c r="B1115" s="5">
        <f>COUNTIF('Entetes_TriNumInterne'!$B$2:$B$1154,A1115)</f>
        <v/>
      </c>
    </row>
    <row r="1116">
      <c r="A1116" s="3" t="inlineStr">
        <is>
          <t>005825</t>
        </is>
      </c>
      <c r="B1116" s="5">
        <f>COUNTIF('Entetes_TriNumInterne'!$B$2:$B$1154,A1116)</f>
        <v/>
      </c>
    </row>
    <row r="1117">
      <c r="A1117" s="3" t="inlineStr">
        <is>
          <t>005826</t>
        </is>
      </c>
      <c r="B1117" s="5">
        <f>COUNTIF('Entetes_TriNumInterne'!$B$2:$B$1154,A1117)</f>
        <v/>
      </c>
    </row>
    <row r="1118">
      <c r="A1118" s="3" t="inlineStr">
        <is>
          <t>005827</t>
        </is>
      </c>
      <c r="B1118" s="5">
        <f>COUNTIF('Entetes_TriNumInterne'!$B$2:$B$1154,A1118)</f>
        <v/>
      </c>
    </row>
    <row r="1119">
      <c r="A1119" s="3" t="inlineStr">
        <is>
          <t>005835</t>
        </is>
      </c>
      <c r="B1119" s="5">
        <f>COUNTIF('Entetes_TriNumInterne'!$B$2:$B$1154,A1119)</f>
        <v/>
      </c>
    </row>
    <row r="1120">
      <c r="A1120" s="3" t="inlineStr">
        <is>
          <t>005836</t>
        </is>
      </c>
      <c r="B1120" s="5">
        <f>COUNTIF('Entetes_TriNumInterne'!$B$2:$B$1154,A1120)</f>
        <v/>
      </c>
    </row>
    <row r="1121">
      <c r="A1121" s="3" t="inlineStr">
        <is>
          <t>005837</t>
        </is>
      </c>
      <c r="B1121" s="5">
        <f>COUNTIF('Entetes_TriNumInterne'!$B$2:$B$1154,A1121)</f>
        <v/>
      </c>
    </row>
    <row r="1122">
      <c r="A1122" s="3" t="inlineStr">
        <is>
          <t>005838</t>
        </is>
      </c>
      <c r="B1122" s="5">
        <f>COUNTIF('Entetes_TriNumInterne'!$B$2:$B$1154,A1122)</f>
        <v/>
      </c>
    </row>
    <row r="1123">
      <c r="A1123" s="3" t="inlineStr">
        <is>
          <t>005839</t>
        </is>
      </c>
      <c r="B1123" s="5">
        <f>COUNTIF('Entetes_TriNumInterne'!$B$2:$B$1154,A1123)</f>
        <v/>
      </c>
    </row>
    <row r="1124">
      <c r="A1124" s="3" t="inlineStr">
        <is>
          <t>005840</t>
        </is>
      </c>
      <c r="B1124" s="5">
        <f>COUNTIF('Entetes_TriNumInterne'!$B$2:$B$1154,A1124)</f>
        <v/>
      </c>
    </row>
    <row r="1125">
      <c r="A1125" s="3" t="inlineStr">
        <is>
          <t>005841</t>
        </is>
      </c>
      <c r="B1125" s="5">
        <f>COUNTIF('Entetes_TriNumInterne'!$B$2:$B$1154,A1125)</f>
        <v/>
      </c>
    </row>
    <row r="1126">
      <c r="A1126" s="3" t="inlineStr">
        <is>
          <t>005842</t>
        </is>
      </c>
      <c r="B1126" s="5">
        <f>COUNTIF('Entetes_TriNumInterne'!$B$2:$B$1154,A1126)</f>
        <v/>
      </c>
    </row>
    <row r="1127">
      <c r="A1127" s="3" t="inlineStr">
        <is>
          <t>005843</t>
        </is>
      </c>
      <c r="B1127" s="5">
        <f>COUNTIF('Entetes_TriNumInterne'!$B$2:$B$1154,A1127)</f>
        <v/>
      </c>
    </row>
    <row r="1128">
      <c r="A1128" s="3" t="inlineStr">
        <is>
          <t>005844</t>
        </is>
      </c>
      <c r="B1128" s="5">
        <f>COUNTIF('Entetes_TriNumInterne'!$B$2:$B$1154,A1128)</f>
        <v/>
      </c>
    </row>
    <row r="1129">
      <c r="A1129" s="3" t="inlineStr">
        <is>
          <t>005845</t>
        </is>
      </c>
      <c r="B1129" s="5">
        <f>COUNTIF('Entetes_TriNumInterne'!$B$2:$B$1154,A1129)</f>
        <v/>
      </c>
    </row>
    <row r="1130">
      <c r="A1130" s="3" t="inlineStr">
        <is>
          <t>005846</t>
        </is>
      </c>
      <c r="B1130" s="5">
        <f>COUNTIF('Entetes_TriNumInterne'!$B$2:$B$1154,A1130)</f>
        <v/>
      </c>
    </row>
    <row r="1131">
      <c r="A1131" s="3" t="inlineStr">
        <is>
          <t>005847</t>
        </is>
      </c>
      <c r="B1131" s="5">
        <f>COUNTIF('Entetes_TriNumInterne'!$B$2:$B$1154,A1131)</f>
        <v/>
      </c>
    </row>
    <row r="1132">
      <c r="A1132" s="3" t="inlineStr">
        <is>
          <t>005848</t>
        </is>
      </c>
      <c r="B1132" s="5">
        <f>COUNTIF('Entetes_TriNumInterne'!$B$2:$B$1154,A1132)</f>
        <v/>
      </c>
    </row>
    <row r="1133">
      <c r="A1133" s="3" t="inlineStr">
        <is>
          <t>005849</t>
        </is>
      </c>
      <c r="B1133" s="5">
        <f>COUNTIF('Entetes_TriNumInterne'!$B$2:$B$1154,A1133)</f>
        <v/>
      </c>
    </row>
    <row r="1134">
      <c r="A1134" s="3" t="inlineStr">
        <is>
          <t>005850</t>
        </is>
      </c>
      <c r="B1134" s="5">
        <f>COUNTIF('Entetes_TriNumInterne'!$B$2:$B$1154,A1134)</f>
        <v/>
      </c>
    </row>
    <row r="1135">
      <c r="A1135" s="3" t="inlineStr">
        <is>
          <t>005851</t>
        </is>
      </c>
      <c r="B1135" s="5">
        <f>COUNTIF('Entetes_TriNumInterne'!$B$2:$B$1154,A1135)</f>
        <v/>
      </c>
    </row>
    <row r="1136">
      <c r="A1136" s="3" t="inlineStr">
        <is>
          <t>005852</t>
        </is>
      </c>
      <c r="B1136" s="5">
        <f>COUNTIF('Entetes_TriNumInterne'!$B$2:$B$1154,A1136)</f>
        <v/>
      </c>
    </row>
    <row r="1137">
      <c r="A1137" s="3" t="inlineStr">
        <is>
          <t>005853</t>
        </is>
      </c>
      <c r="B1137" s="5">
        <f>COUNTIF('Entetes_TriNumInterne'!$B$2:$B$1154,A1137)</f>
        <v/>
      </c>
    </row>
    <row r="1138">
      <c r="A1138" s="3" t="inlineStr">
        <is>
          <t>005854</t>
        </is>
      </c>
      <c r="B1138" s="5">
        <f>COUNTIF('Entetes_TriNumInterne'!$B$2:$B$1154,A1138)</f>
        <v/>
      </c>
    </row>
    <row r="1139">
      <c r="A1139" s="3" t="inlineStr">
        <is>
          <t>005855</t>
        </is>
      </c>
      <c r="B1139" s="5">
        <f>COUNTIF('Entetes_TriNumInterne'!$B$2:$B$1154,A1139)</f>
        <v/>
      </c>
    </row>
    <row r="1140">
      <c r="A1140" s="3" t="inlineStr">
        <is>
          <t>005856</t>
        </is>
      </c>
      <c r="B1140" s="5">
        <f>COUNTIF('Entetes_TriNumInterne'!$B$2:$B$1154,A1140)</f>
        <v/>
      </c>
    </row>
    <row r="1141">
      <c r="A1141" s="3" t="inlineStr">
        <is>
          <t>005857</t>
        </is>
      </c>
      <c r="B1141" s="5">
        <f>COUNTIF('Entetes_TriNumInterne'!$B$2:$B$1154,A1141)</f>
        <v/>
      </c>
    </row>
    <row r="1142">
      <c r="A1142" s="3" t="inlineStr">
        <is>
          <t>005858</t>
        </is>
      </c>
      <c r="B1142" s="5">
        <f>COUNTIF('Entetes_TriNumInterne'!$B$2:$B$1154,A1142)</f>
        <v/>
      </c>
    </row>
    <row r="1143">
      <c r="A1143" s="3" t="inlineStr">
        <is>
          <t>005859</t>
        </is>
      </c>
      <c r="B1143" s="5">
        <f>COUNTIF('Entetes_TriNumInterne'!$B$2:$B$1154,A1143)</f>
        <v/>
      </c>
    </row>
    <row r="1144">
      <c r="A1144" s="3" t="inlineStr">
        <is>
          <t>005860</t>
        </is>
      </c>
      <c r="B1144" s="5">
        <f>COUNTIF('Entetes_TriNumInterne'!$B$2:$B$1154,A1144)</f>
        <v/>
      </c>
    </row>
    <row r="1145">
      <c r="A1145" s="3" t="inlineStr">
        <is>
          <t>005861</t>
        </is>
      </c>
      <c r="B1145" s="5">
        <f>COUNTIF('Entetes_TriNumInterne'!$B$2:$B$1154,A1145)</f>
        <v/>
      </c>
    </row>
    <row r="1146">
      <c r="A1146" s="3" t="inlineStr">
        <is>
          <t>005870</t>
        </is>
      </c>
      <c r="B1146" s="5">
        <f>COUNTIF('Entetes_TriNumInterne'!$B$2:$B$1154,A1146)</f>
        <v/>
      </c>
    </row>
    <row r="1147">
      <c r="A1147" s="3" t="inlineStr">
        <is>
          <t>005871</t>
        </is>
      </c>
      <c r="B1147" s="5">
        <f>COUNTIF('Entetes_TriNumInterne'!$B$2:$B$1154,A1147)</f>
        <v/>
      </c>
    </row>
    <row r="1148">
      <c r="A1148" s="3" t="inlineStr">
        <is>
          <t>005872</t>
        </is>
      </c>
      <c r="B1148" s="5">
        <f>COUNTIF('Entetes_TriNumInterne'!$B$2:$B$1154,A1148)</f>
        <v/>
      </c>
    </row>
    <row r="1149">
      <c r="A1149" s="3" t="inlineStr">
        <is>
          <t>005873</t>
        </is>
      </c>
      <c r="B1149" s="5">
        <f>COUNTIF('Entetes_TriNumInterne'!$B$2:$B$1154,A1149)</f>
        <v/>
      </c>
    </row>
    <row r="1150">
      <c r="A1150" s="3" t="inlineStr">
        <is>
          <t>005874</t>
        </is>
      </c>
      <c r="B1150" s="5">
        <f>COUNTIF('Entetes_TriNumInterne'!$B$2:$B$1154,A1150)</f>
        <v/>
      </c>
    </row>
    <row r="1151">
      <c r="A1151" s="3" t="inlineStr">
        <is>
          <t>005875</t>
        </is>
      </c>
      <c r="B1151" s="5">
        <f>COUNTIF('Entetes_TriNumInterne'!$B$2:$B$1154,A1151)</f>
        <v/>
      </c>
    </row>
    <row r="1152">
      <c r="A1152" s="3" t="inlineStr">
        <is>
          <t>005876</t>
        </is>
      </c>
      <c r="B1152" s="5">
        <f>COUNTIF('Entetes_TriNumInterne'!$B$2:$B$1154,A1152)</f>
        <v/>
      </c>
    </row>
    <row r="1153">
      <c r="A1153" s="3" t="inlineStr">
        <is>
          <t>005877</t>
        </is>
      </c>
      <c r="B1153" s="5">
        <f>COUNTIF('Entetes_TriNumInterne'!$B$2:$B$1154,A1153)</f>
        <v/>
      </c>
    </row>
    <row r="1154">
      <c r="A1154" s="3" t="inlineStr">
        <is>
          <t>005878</t>
        </is>
      </c>
      <c r="B1154" s="5">
        <f>COUNTIF('Entetes_TriNumInterne'!$B$2:$B$1154,A1154)</f>
        <v/>
      </c>
    </row>
  </sheetData>
  <autoFilter ref="A1:B1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E_NUM_INTERNE</t>
        </is>
      </c>
      <c r="B1" s="1" t="inlineStr">
        <is>
          <t>COMPTER_E_NUM_INTERNE</t>
        </is>
      </c>
    </row>
    <row r="2">
      <c r="A2" s="3" t="inlineStr">
        <is>
          <t>AUCUN</t>
        </is>
      </c>
      <c r="B2" s="5" t="n">
        <v>0</v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E_NUM_TICKET</t>
        </is>
      </c>
      <c r="B1" s="1" t="inlineStr">
        <is>
          <t>COMPTER_E_NUM_TICKET</t>
        </is>
      </c>
    </row>
    <row r="2">
      <c r="A2" s="3" t="inlineStr">
        <is>
          <t>003562</t>
        </is>
      </c>
      <c r="B2" s="5">
        <f>COUNTIF('Entetes_TriNumInterne'!$C$2:$C$1154,A2)</f>
        <v/>
      </c>
    </row>
    <row r="3">
      <c r="A3" s="3" t="inlineStr">
        <is>
          <t>003563</t>
        </is>
      </c>
      <c r="B3" s="5">
        <f>COUNTIF('Entetes_TriNumInterne'!$C$2:$C$1154,A3)</f>
        <v/>
      </c>
    </row>
    <row r="4">
      <c r="A4" s="3" t="inlineStr">
        <is>
          <t>003564</t>
        </is>
      </c>
      <c r="B4" s="5">
        <f>COUNTIF('Entetes_TriNumInterne'!$C$2:$C$1154,A4)</f>
        <v/>
      </c>
    </row>
    <row r="5">
      <c r="A5" s="3" t="inlineStr">
        <is>
          <t>003565</t>
        </is>
      </c>
      <c r="B5" s="5">
        <f>COUNTIF('Entetes_TriNumInterne'!$C$2:$C$1154,A5)</f>
        <v/>
      </c>
    </row>
    <row r="6">
      <c r="A6" s="3" t="inlineStr">
        <is>
          <t>003566</t>
        </is>
      </c>
      <c r="B6" s="5">
        <f>COUNTIF('Entetes_TriNumInterne'!$C$2:$C$1154,A6)</f>
        <v/>
      </c>
    </row>
    <row r="7">
      <c r="A7" s="3" t="inlineStr">
        <is>
          <t>003567</t>
        </is>
      </c>
      <c r="B7" s="5">
        <f>COUNTIF('Entetes_TriNumInterne'!$C$2:$C$1154,A7)</f>
        <v/>
      </c>
    </row>
    <row r="8">
      <c r="A8" s="3" t="inlineStr">
        <is>
          <t>003568</t>
        </is>
      </c>
      <c r="B8" s="5">
        <f>COUNTIF('Entetes_TriNumInterne'!$C$2:$C$1154,A8)</f>
        <v/>
      </c>
    </row>
    <row r="9">
      <c r="A9" s="3" t="inlineStr">
        <is>
          <t>003569</t>
        </is>
      </c>
      <c r="B9" s="5">
        <f>COUNTIF('Entetes_TriNumInterne'!$C$2:$C$1154,A9)</f>
        <v/>
      </c>
    </row>
    <row r="10">
      <c r="A10" s="3" t="inlineStr">
        <is>
          <t>003570</t>
        </is>
      </c>
      <c r="B10" s="5">
        <f>COUNTIF('Entetes_TriNumInterne'!$C$2:$C$1154,A10)</f>
        <v/>
      </c>
    </row>
    <row r="11">
      <c r="A11" s="3" t="inlineStr">
        <is>
          <t>003571</t>
        </is>
      </c>
      <c r="B11" s="5">
        <f>COUNTIF('Entetes_TriNumInterne'!$C$2:$C$1154,A11)</f>
        <v/>
      </c>
    </row>
    <row r="12">
      <c r="A12" s="3" t="inlineStr">
        <is>
          <t>003572</t>
        </is>
      </c>
      <c r="B12" s="5">
        <f>COUNTIF('Entetes_TriNumInterne'!$C$2:$C$1154,A12)</f>
        <v/>
      </c>
    </row>
    <row r="13">
      <c r="A13" s="3" t="inlineStr">
        <is>
          <t>003573</t>
        </is>
      </c>
      <c r="B13" s="5">
        <f>COUNTIF('Entetes_TriNumInterne'!$C$2:$C$1154,A13)</f>
        <v/>
      </c>
    </row>
    <row r="14">
      <c r="A14" s="3" t="inlineStr">
        <is>
          <t>003574</t>
        </is>
      </c>
      <c r="B14" s="5">
        <f>COUNTIF('Entetes_TriNumInterne'!$C$2:$C$1154,A14)</f>
        <v/>
      </c>
    </row>
    <row r="15">
      <c r="A15" s="3" t="inlineStr">
        <is>
          <t>003575</t>
        </is>
      </c>
      <c r="B15" s="5">
        <f>COUNTIF('Entetes_TriNumInterne'!$C$2:$C$1154,A15)</f>
        <v/>
      </c>
    </row>
    <row r="16">
      <c r="A16" s="3" t="inlineStr">
        <is>
          <t>003576</t>
        </is>
      </c>
      <c r="B16" s="5">
        <f>COUNTIF('Entetes_TriNumInterne'!$C$2:$C$1154,A16)</f>
        <v/>
      </c>
    </row>
    <row r="17">
      <c r="A17" s="3" t="inlineStr">
        <is>
          <t>003577</t>
        </is>
      </c>
      <c r="B17" s="5">
        <f>COUNTIF('Entetes_TriNumInterne'!$C$2:$C$1154,A17)</f>
        <v/>
      </c>
    </row>
    <row r="18">
      <c r="A18" s="3" t="inlineStr">
        <is>
          <t>003578</t>
        </is>
      </c>
      <c r="B18" s="5">
        <f>COUNTIF('Entetes_TriNumInterne'!$C$2:$C$1154,A18)</f>
        <v/>
      </c>
    </row>
    <row r="19">
      <c r="A19" s="3" t="inlineStr">
        <is>
          <t>003579</t>
        </is>
      </c>
      <c r="B19" s="5">
        <f>COUNTIF('Entetes_TriNumInterne'!$C$2:$C$1154,A19)</f>
        <v/>
      </c>
    </row>
    <row r="20">
      <c r="A20" s="3" t="inlineStr">
        <is>
          <t>003580</t>
        </is>
      </c>
      <c r="B20" s="5">
        <f>COUNTIF('Entetes_TriNumInterne'!$C$2:$C$1154,A20)</f>
        <v/>
      </c>
    </row>
    <row r="21">
      <c r="A21" s="3" t="inlineStr">
        <is>
          <t>003581</t>
        </is>
      </c>
      <c r="B21" s="5">
        <f>COUNTIF('Entetes_TriNumInterne'!$C$2:$C$1154,A21)</f>
        <v/>
      </c>
    </row>
    <row r="22">
      <c r="A22" s="3" t="inlineStr">
        <is>
          <t>003582</t>
        </is>
      </c>
      <c r="B22" s="5">
        <f>COUNTIF('Entetes_TriNumInterne'!$C$2:$C$1154,A22)</f>
        <v/>
      </c>
    </row>
    <row r="23">
      <c r="A23" s="3" t="inlineStr">
        <is>
          <t>003583</t>
        </is>
      </c>
      <c r="B23" s="5">
        <f>COUNTIF('Entetes_TriNumInterne'!$C$2:$C$1154,A23)</f>
        <v/>
      </c>
    </row>
    <row r="24">
      <c r="A24" s="3" t="inlineStr">
        <is>
          <t>003584</t>
        </is>
      </c>
      <c r="B24" s="5">
        <f>COUNTIF('Entetes_TriNumInterne'!$C$2:$C$1154,A24)</f>
        <v/>
      </c>
    </row>
    <row r="25">
      <c r="A25" s="3" t="inlineStr">
        <is>
          <t>003585</t>
        </is>
      </c>
      <c r="B25" s="5">
        <f>COUNTIF('Entetes_TriNumInterne'!$C$2:$C$1154,A25)</f>
        <v/>
      </c>
    </row>
    <row r="26">
      <c r="A26" s="3" t="inlineStr">
        <is>
          <t>003586</t>
        </is>
      </c>
      <c r="B26" s="5">
        <f>COUNTIF('Entetes_TriNumInterne'!$C$2:$C$1154,A26)</f>
        <v/>
      </c>
    </row>
    <row r="27">
      <c r="A27" s="3" t="inlineStr">
        <is>
          <t>003587</t>
        </is>
      </c>
      <c r="B27" s="5">
        <f>COUNTIF('Entetes_TriNumInterne'!$C$2:$C$1154,A27)</f>
        <v/>
      </c>
    </row>
    <row r="28">
      <c r="A28" s="3" t="inlineStr">
        <is>
          <t>003588</t>
        </is>
      </c>
      <c r="B28" s="5">
        <f>COUNTIF('Entetes_TriNumInterne'!$C$2:$C$1154,A28)</f>
        <v/>
      </c>
    </row>
    <row r="29">
      <c r="A29" s="3" t="inlineStr">
        <is>
          <t>003589</t>
        </is>
      </c>
      <c r="B29" s="5">
        <f>COUNTIF('Entetes_TriNumInterne'!$C$2:$C$1154,A29)</f>
        <v/>
      </c>
    </row>
    <row r="30">
      <c r="A30" s="3" t="inlineStr">
        <is>
          <t>003590</t>
        </is>
      </c>
      <c r="B30" s="5">
        <f>COUNTIF('Entetes_TriNumInterne'!$C$2:$C$1154,A30)</f>
        <v/>
      </c>
    </row>
    <row r="31">
      <c r="A31" s="3" t="inlineStr">
        <is>
          <t>003591</t>
        </is>
      </c>
      <c r="B31" s="5">
        <f>COUNTIF('Entetes_TriNumInterne'!$C$2:$C$1154,A31)</f>
        <v/>
      </c>
    </row>
    <row r="32">
      <c r="A32" s="3" t="inlineStr">
        <is>
          <t>003592</t>
        </is>
      </c>
      <c r="B32" s="5">
        <f>COUNTIF('Entetes_TriNumInterne'!$C$2:$C$1154,A32)</f>
        <v/>
      </c>
    </row>
    <row r="33">
      <c r="A33" s="3" t="inlineStr">
        <is>
          <t>003593</t>
        </is>
      </c>
      <c r="B33" s="5">
        <f>COUNTIF('Entetes_TriNumInterne'!$C$2:$C$1154,A33)</f>
        <v/>
      </c>
    </row>
    <row r="34">
      <c r="A34" s="3" t="inlineStr">
        <is>
          <t>003594</t>
        </is>
      </c>
      <c r="B34" s="5">
        <f>COUNTIF('Entetes_TriNumInterne'!$C$2:$C$1154,A34)</f>
        <v/>
      </c>
    </row>
    <row r="35">
      <c r="A35" s="3" t="inlineStr">
        <is>
          <t>003595</t>
        </is>
      </c>
      <c r="B35" s="5">
        <f>COUNTIF('Entetes_TriNumInterne'!$C$2:$C$1154,A35)</f>
        <v/>
      </c>
    </row>
    <row r="36">
      <c r="A36" s="3" t="inlineStr">
        <is>
          <t>003596</t>
        </is>
      </c>
      <c r="B36" s="5">
        <f>COUNTIF('Entetes_TriNumInterne'!$C$2:$C$1154,A36)</f>
        <v/>
      </c>
    </row>
    <row r="37">
      <c r="A37" s="3" t="inlineStr">
        <is>
          <t>003597</t>
        </is>
      </c>
      <c r="B37" s="5">
        <f>COUNTIF('Entetes_TriNumInterne'!$C$2:$C$1154,A37)</f>
        <v/>
      </c>
    </row>
    <row r="38">
      <c r="A38" s="3" t="inlineStr">
        <is>
          <t>003598</t>
        </is>
      </c>
      <c r="B38" s="5">
        <f>COUNTIF('Entetes_TriNumInterne'!$C$2:$C$1154,A38)</f>
        <v/>
      </c>
    </row>
    <row r="39">
      <c r="A39" s="3" t="inlineStr">
        <is>
          <t>003599</t>
        </is>
      </c>
      <c r="B39" s="5">
        <f>COUNTIF('Entetes_TriNumInterne'!$C$2:$C$1154,A39)</f>
        <v/>
      </c>
    </row>
    <row r="40">
      <c r="A40" s="3" t="inlineStr">
        <is>
          <t>003600</t>
        </is>
      </c>
      <c r="B40" s="5">
        <f>COUNTIF('Entetes_TriNumInterne'!$C$2:$C$1154,A40)</f>
        <v/>
      </c>
    </row>
    <row r="41">
      <c r="A41" s="3" t="inlineStr">
        <is>
          <t>003601</t>
        </is>
      </c>
      <c r="B41" s="5">
        <f>COUNTIF('Entetes_TriNumInterne'!$C$2:$C$1154,A41)</f>
        <v/>
      </c>
    </row>
    <row r="42">
      <c r="A42" s="3" t="inlineStr">
        <is>
          <t>003602</t>
        </is>
      </c>
      <c r="B42" s="5">
        <f>COUNTIF('Entetes_TriNumInterne'!$C$2:$C$1154,A42)</f>
        <v/>
      </c>
    </row>
    <row r="43">
      <c r="A43" s="3" t="inlineStr">
        <is>
          <t>003603</t>
        </is>
      </c>
      <c r="B43" s="5">
        <f>COUNTIF('Entetes_TriNumInterne'!$C$2:$C$1154,A43)</f>
        <v/>
      </c>
    </row>
    <row r="44">
      <c r="A44" s="3" t="inlineStr">
        <is>
          <t>003604</t>
        </is>
      </c>
      <c r="B44" s="5">
        <f>COUNTIF('Entetes_TriNumInterne'!$C$2:$C$1154,A44)</f>
        <v/>
      </c>
    </row>
    <row r="45">
      <c r="A45" s="3" t="inlineStr">
        <is>
          <t>003605</t>
        </is>
      </c>
      <c r="B45" s="5">
        <f>COUNTIF('Entetes_TriNumInterne'!$C$2:$C$1154,A45)</f>
        <v/>
      </c>
    </row>
    <row r="46">
      <c r="A46" s="3" t="inlineStr">
        <is>
          <t>003606</t>
        </is>
      </c>
      <c r="B46" s="5">
        <f>COUNTIF('Entetes_TriNumInterne'!$C$2:$C$1154,A46)</f>
        <v/>
      </c>
    </row>
    <row r="47">
      <c r="A47" s="3" t="inlineStr">
        <is>
          <t>003607</t>
        </is>
      </c>
      <c r="B47" s="5">
        <f>COUNTIF('Entetes_TriNumInterne'!$C$2:$C$1154,A47)</f>
        <v/>
      </c>
    </row>
    <row r="48">
      <c r="A48" s="3" t="inlineStr">
        <is>
          <t>003608</t>
        </is>
      </c>
      <c r="B48" s="5">
        <f>COUNTIF('Entetes_TriNumInterne'!$C$2:$C$1154,A48)</f>
        <v/>
      </c>
    </row>
    <row r="49">
      <c r="A49" s="3" t="inlineStr">
        <is>
          <t>003609</t>
        </is>
      </c>
      <c r="B49" s="5">
        <f>COUNTIF('Entetes_TriNumInterne'!$C$2:$C$1154,A49)</f>
        <v/>
      </c>
    </row>
    <row r="50">
      <c r="A50" s="3" t="inlineStr">
        <is>
          <t>003610</t>
        </is>
      </c>
      <c r="B50" s="5">
        <f>COUNTIF('Entetes_TriNumInterne'!$C$2:$C$1154,A50)</f>
        <v/>
      </c>
    </row>
    <row r="51">
      <c r="A51" s="3" t="inlineStr">
        <is>
          <t>003611</t>
        </is>
      </c>
      <c r="B51" s="5">
        <f>COUNTIF('Entetes_TriNumInterne'!$C$2:$C$1154,A51)</f>
        <v/>
      </c>
    </row>
    <row r="52">
      <c r="A52" s="3" t="inlineStr">
        <is>
          <t>003612</t>
        </is>
      </c>
      <c r="B52" s="5">
        <f>COUNTIF('Entetes_TriNumInterne'!$C$2:$C$1154,A52)</f>
        <v/>
      </c>
    </row>
    <row r="53">
      <c r="A53" s="3" t="inlineStr">
        <is>
          <t>003613</t>
        </is>
      </c>
      <c r="B53" s="5">
        <f>COUNTIF('Entetes_TriNumInterne'!$C$2:$C$1154,A53)</f>
        <v/>
      </c>
    </row>
    <row r="54">
      <c r="A54" s="3" t="inlineStr">
        <is>
          <t>003614</t>
        </is>
      </c>
      <c r="B54" s="5">
        <f>COUNTIF('Entetes_TriNumInterne'!$C$2:$C$1154,A54)</f>
        <v/>
      </c>
    </row>
    <row r="55">
      <c r="A55" s="3" t="inlineStr">
        <is>
          <t>003615</t>
        </is>
      </c>
      <c r="B55" s="5">
        <f>COUNTIF('Entetes_TriNumInterne'!$C$2:$C$1154,A55)</f>
        <v/>
      </c>
    </row>
    <row r="56">
      <c r="A56" s="3" t="inlineStr">
        <is>
          <t>003616</t>
        </is>
      </c>
      <c r="B56" s="5">
        <f>COUNTIF('Entetes_TriNumInterne'!$C$2:$C$1154,A56)</f>
        <v/>
      </c>
    </row>
    <row r="57">
      <c r="A57" s="3" t="inlineStr">
        <is>
          <t>003617</t>
        </is>
      </c>
      <c r="B57" s="5">
        <f>COUNTIF('Entetes_TriNumInterne'!$C$2:$C$1154,A57)</f>
        <v/>
      </c>
    </row>
    <row r="58">
      <c r="A58" s="3" t="inlineStr">
        <is>
          <t>003618</t>
        </is>
      </c>
      <c r="B58" s="5">
        <f>COUNTIF('Entetes_TriNumInterne'!$C$2:$C$1154,A58)</f>
        <v/>
      </c>
    </row>
    <row r="59">
      <c r="A59" s="3" t="inlineStr">
        <is>
          <t>003619</t>
        </is>
      </c>
      <c r="B59" s="5">
        <f>COUNTIF('Entetes_TriNumInterne'!$C$2:$C$1154,A59)</f>
        <v/>
      </c>
    </row>
    <row r="60">
      <c r="A60" s="3" t="inlineStr">
        <is>
          <t>003620</t>
        </is>
      </c>
      <c r="B60" s="5">
        <f>COUNTIF('Entetes_TriNumInterne'!$C$2:$C$1154,A60)</f>
        <v/>
      </c>
    </row>
    <row r="61">
      <c r="A61" s="3" t="inlineStr">
        <is>
          <t>003621</t>
        </is>
      </c>
      <c r="B61" s="5">
        <f>COUNTIF('Entetes_TriNumInterne'!$C$2:$C$1154,A61)</f>
        <v/>
      </c>
    </row>
    <row r="62">
      <c r="A62" s="3" t="inlineStr">
        <is>
          <t>003622</t>
        </is>
      </c>
      <c r="B62" s="5">
        <f>COUNTIF('Entetes_TriNumInterne'!$C$2:$C$1154,A62)</f>
        <v/>
      </c>
    </row>
    <row r="63">
      <c r="A63" s="3" t="inlineStr">
        <is>
          <t>003623</t>
        </is>
      </c>
      <c r="B63" s="5">
        <f>COUNTIF('Entetes_TriNumInterne'!$C$2:$C$1154,A63)</f>
        <v/>
      </c>
    </row>
    <row r="64">
      <c r="A64" s="3" t="inlineStr">
        <is>
          <t>003624</t>
        </is>
      </c>
      <c r="B64" s="5">
        <f>COUNTIF('Entetes_TriNumInterne'!$C$2:$C$1154,A64)</f>
        <v/>
      </c>
    </row>
    <row r="65">
      <c r="A65" s="3" t="inlineStr">
        <is>
          <t>003625</t>
        </is>
      </c>
      <c r="B65" s="5">
        <f>COUNTIF('Entetes_TriNumInterne'!$C$2:$C$1154,A65)</f>
        <v/>
      </c>
    </row>
    <row r="66">
      <c r="A66" s="3" t="inlineStr">
        <is>
          <t>003626</t>
        </is>
      </c>
      <c r="B66" s="5">
        <f>COUNTIF('Entetes_TriNumInterne'!$C$2:$C$1154,A66)</f>
        <v/>
      </c>
    </row>
    <row r="67">
      <c r="A67" s="3" t="inlineStr">
        <is>
          <t>003627</t>
        </is>
      </c>
      <c r="B67" s="5">
        <f>COUNTIF('Entetes_TriNumInterne'!$C$2:$C$1154,A67)</f>
        <v/>
      </c>
    </row>
    <row r="68">
      <c r="A68" s="3" t="inlineStr">
        <is>
          <t>003628</t>
        </is>
      </c>
      <c r="B68" s="5">
        <f>COUNTIF('Entetes_TriNumInterne'!$C$2:$C$1154,A68)</f>
        <v/>
      </c>
    </row>
    <row r="69">
      <c r="A69" s="3" t="inlineStr">
        <is>
          <t>003629</t>
        </is>
      </c>
      <c r="B69" s="5">
        <f>COUNTIF('Entetes_TriNumInterne'!$C$2:$C$1154,A69)</f>
        <v/>
      </c>
    </row>
    <row r="70">
      <c r="A70" s="3" t="inlineStr">
        <is>
          <t>003630</t>
        </is>
      </c>
      <c r="B70" s="5">
        <f>COUNTIF('Entetes_TriNumInterne'!$C$2:$C$1154,A70)</f>
        <v/>
      </c>
    </row>
    <row r="71">
      <c r="A71" s="3" t="inlineStr">
        <is>
          <t>003631</t>
        </is>
      </c>
      <c r="B71" s="5">
        <f>COUNTIF('Entetes_TriNumInterne'!$C$2:$C$1154,A71)</f>
        <v/>
      </c>
    </row>
    <row r="72">
      <c r="A72" s="3" t="inlineStr">
        <is>
          <t>003632</t>
        </is>
      </c>
      <c r="B72" s="5">
        <f>COUNTIF('Entetes_TriNumInterne'!$C$2:$C$1154,A72)</f>
        <v/>
      </c>
    </row>
    <row r="73">
      <c r="A73" s="3" t="inlineStr">
        <is>
          <t>003633</t>
        </is>
      </c>
      <c r="B73" s="5">
        <f>COUNTIF('Entetes_TriNumInterne'!$C$2:$C$1154,A73)</f>
        <v/>
      </c>
    </row>
    <row r="74">
      <c r="A74" s="3" t="inlineStr">
        <is>
          <t>003634</t>
        </is>
      </c>
      <c r="B74" s="5">
        <f>COUNTIF('Entetes_TriNumInterne'!$C$2:$C$1154,A74)</f>
        <v/>
      </c>
    </row>
    <row r="75">
      <c r="A75" s="3" t="inlineStr">
        <is>
          <t>003635</t>
        </is>
      </c>
      <c r="B75" s="5">
        <f>COUNTIF('Entetes_TriNumInterne'!$C$2:$C$1154,A75)</f>
        <v/>
      </c>
    </row>
    <row r="76">
      <c r="A76" s="3" t="inlineStr">
        <is>
          <t>003636</t>
        </is>
      </c>
      <c r="B76" s="5">
        <f>COUNTIF('Entetes_TriNumInterne'!$C$2:$C$1154,A76)</f>
        <v/>
      </c>
    </row>
    <row r="77">
      <c r="A77" s="3" t="inlineStr">
        <is>
          <t>003637</t>
        </is>
      </c>
      <c r="B77" s="5">
        <f>COUNTIF('Entetes_TriNumInterne'!$C$2:$C$1154,A77)</f>
        <v/>
      </c>
    </row>
    <row r="78">
      <c r="A78" s="3" t="inlineStr">
        <is>
          <t>003638</t>
        </is>
      </c>
      <c r="B78" s="5">
        <f>COUNTIF('Entetes_TriNumInterne'!$C$2:$C$1154,A78)</f>
        <v/>
      </c>
    </row>
    <row r="79">
      <c r="A79" s="3" t="inlineStr">
        <is>
          <t>003639</t>
        </is>
      </c>
      <c r="B79" s="5">
        <f>COUNTIF('Entetes_TriNumInterne'!$C$2:$C$1154,A79)</f>
        <v/>
      </c>
    </row>
    <row r="80">
      <c r="A80" s="3" t="inlineStr">
        <is>
          <t>003640</t>
        </is>
      </c>
      <c r="B80" s="5">
        <f>COUNTIF('Entetes_TriNumInterne'!$C$2:$C$1154,A80)</f>
        <v/>
      </c>
    </row>
    <row r="81">
      <c r="A81" s="3" t="inlineStr">
        <is>
          <t>003641</t>
        </is>
      </c>
      <c r="B81" s="5">
        <f>COUNTIF('Entetes_TriNumInterne'!$C$2:$C$1154,A81)</f>
        <v/>
      </c>
    </row>
    <row r="82">
      <c r="A82" s="3" t="inlineStr">
        <is>
          <t>003642</t>
        </is>
      </c>
      <c r="B82" s="5">
        <f>COUNTIF('Entetes_TriNumInterne'!$C$2:$C$1154,A82)</f>
        <v/>
      </c>
    </row>
    <row r="83">
      <c r="A83" s="3" t="inlineStr">
        <is>
          <t>003643</t>
        </is>
      </c>
      <c r="B83" s="5">
        <f>COUNTIF('Entetes_TriNumInterne'!$C$2:$C$1154,A83)</f>
        <v/>
      </c>
    </row>
    <row r="84">
      <c r="A84" s="3" t="inlineStr">
        <is>
          <t>003644</t>
        </is>
      </c>
      <c r="B84" s="5">
        <f>COUNTIF('Entetes_TriNumInterne'!$C$2:$C$1154,A84)</f>
        <v/>
      </c>
    </row>
    <row r="85">
      <c r="A85" s="3" t="inlineStr">
        <is>
          <t>003645</t>
        </is>
      </c>
      <c r="B85" s="5">
        <f>COUNTIF('Entetes_TriNumInterne'!$C$2:$C$1154,A85)</f>
        <v/>
      </c>
    </row>
    <row r="86">
      <c r="A86" s="3" t="inlineStr">
        <is>
          <t>003646</t>
        </is>
      </c>
      <c r="B86" s="5">
        <f>COUNTIF('Entetes_TriNumInterne'!$C$2:$C$1154,A86)</f>
        <v/>
      </c>
    </row>
    <row r="87">
      <c r="A87" s="3" t="inlineStr">
        <is>
          <t>003647</t>
        </is>
      </c>
      <c r="B87" s="5">
        <f>COUNTIF('Entetes_TriNumInterne'!$C$2:$C$1154,A87)</f>
        <v/>
      </c>
    </row>
    <row r="88">
      <c r="A88" s="3" t="inlineStr">
        <is>
          <t>003648</t>
        </is>
      </c>
      <c r="B88" s="5">
        <f>COUNTIF('Entetes_TriNumInterne'!$C$2:$C$1154,A88)</f>
        <v/>
      </c>
    </row>
    <row r="89">
      <c r="A89" s="3" t="inlineStr">
        <is>
          <t>003649</t>
        </is>
      </c>
      <c r="B89" s="5">
        <f>COUNTIF('Entetes_TriNumInterne'!$C$2:$C$1154,A89)</f>
        <v/>
      </c>
    </row>
    <row r="90">
      <c r="A90" s="3" t="inlineStr">
        <is>
          <t>003650</t>
        </is>
      </c>
      <c r="B90" s="5">
        <f>COUNTIF('Entetes_TriNumInterne'!$C$2:$C$1154,A90)</f>
        <v/>
      </c>
    </row>
    <row r="91">
      <c r="A91" s="3" t="inlineStr">
        <is>
          <t>003651</t>
        </is>
      </c>
      <c r="B91" s="5">
        <f>COUNTIF('Entetes_TriNumInterne'!$C$2:$C$1154,A91)</f>
        <v/>
      </c>
    </row>
    <row r="92">
      <c r="A92" s="3" t="inlineStr">
        <is>
          <t>003652</t>
        </is>
      </c>
      <c r="B92" s="5">
        <f>COUNTIF('Entetes_TriNumInterne'!$C$2:$C$1154,A92)</f>
        <v/>
      </c>
    </row>
    <row r="93">
      <c r="A93" s="3" t="inlineStr">
        <is>
          <t>003653</t>
        </is>
      </c>
      <c r="B93" s="5">
        <f>COUNTIF('Entetes_TriNumInterne'!$C$2:$C$1154,A93)</f>
        <v/>
      </c>
    </row>
    <row r="94">
      <c r="A94" s="3" t="inlineStr">
        <is>
          <t>003654</t>
        </is>
      </c>
      <c r="B94" s="5">
        <f>COUNTIF('Entetes_TriNumInterne'!$C$2:$C$1154,A94)</f>
        <v/>
      </c>
    </row>
    <row r="95">
      <c r="A95" s="3" t="inlineStr">
        <is>
          <t>003655</t>
        </is>
      </c>
      <c r="B95" s="5">
        <f>COUNTIF('Entetes_TriNumInterne'!$C$2:$C$1154,A95)</f>
        <v/>
      </c>
    </row>
    <row r="96">
      <c r="A96" s="3" t="inlineStr">
        <is>
          <t>003656</t>
        </is>
      </c>
      <c r="B96" s="5">
        <f>COUNTIF('Entetes_TriNumInterne'!$C$2:$C$1154,A96)</f>
        <v/>
      </c>
    </row>
    <row r="97">
      <c r="A97" s="3" t="inlineStr">
        <is>
          <t>003657</t>
        </is>
      </c>
      <c r="B97" s="5">
        <f>COUNTIF('Entetes_TriNumInterne'!$C$2:$C$1154,A97)</f>
        <v/>
      </c>
    </row>
    <row r="98">
      <c r="A98" s="3" t="inlineStr">
        <is>
          <t>003658</t>
        </is>
      </c>
      <c r="B98" s="5">
        <f>COUNTIF('Entetes_TriNumInterne'!$C$2:$C$1154,A98)</f>
        <v/>
      </c>
    </row>
    <row r="99">
      <c r="A99" s="3" t="inlineStr">
        <is>
          <t>003659</t>
        </is>
      </c>
      <c r="B99" s="5">
        <f>COUNTIF('Entetes_TriNumInterne'!$C$2:$C$1154,A99)</f>
        <v/>
      </c>
    </row>
    <row r="100">
      <c r="A100" s="3" t="inlineStr">
        <is>
          <t>003660</t>
        </is>
      </c>
      <c r="B100" s="5">
        <f>COUNTIF('Entetes_TriNumInterne'!$C$2:$C$1154,A100)</f>
        <v/>
      </c>
    </row>
    <row r="101">
      <c r="A101" s="3" t="inlineStr">
        <is>
          <t>003661</t>
        </is>
      </c>
      <c r="B101" s="5">
        <f>COUNTIF('Entetes_TriNumInterne'!$C$2:$C$1154,A101)</f>
        <v/>
      </c>
    </row>
    <row r="102">
      <c r="A102" s="3" t="inlineStr">
        <is>
          <t>003662</t>
        </is>
      </c>
      <c r="B102" s="5">
        <f>COUNTIF('Entetes_TriNumInterne'!$C$2:$C$1154,A102)</f>
        <v/>
      </c>
    </row>
    <row r="103">
      <c r="A103" s="3" t="inlineStr">
        <is>
          <t>003663</t>
        </is>
      </c>
      <c r="B103" s="5">
        <f>COUNTIF('Entetes_TriNumInterne'!$C$2:$C$1154,A103)</f>
        <v/>
      </c>
    </row>
    <row r="104">
      <c r="A104" s="3" t="inlineStr">
        <is>
          <t>003664</t>
        </is>
      </c>
      <c r="B104" s="5">
        <f>COUNTIF('Entetes_TriNumInterne'!$C$2:$C$1154,A104)</f>
        <v/>
      </c>
    </row>
    <row r="105">
      <c r="A105" s="3" t="inlineStr">
        <is>
          <t>003665</t>
        </is>
      </c>
      <c r="B105" s="5">
        <f>COUNTIF('Entetes_TriNumInterne'!$C$2:$C$1154,A105)</f>
        <v/>
      </c>
    </row>
    <row r="106">
      <c r="A106" s="3" t="inlineStr">
        <is>
          <t>003666</t>
        </is>
      </c>
      <c r="B106" s="5">
        <f>COUNTIF('Entetes_TriNumInterne'!$C$2:$C$1154,A106)</f>
        <v/>
      </c>
    </row>
    <row r="107">
      <c r="A107" s="3" t="inlineStr">
        <is>
          <t>003667</t>
        </is>
      </c>
      <c r="B107" s="5">
        <f>COUNTIF('Entetes_TriNumInterne'!$C$2:$C$1154,A107)</f>
        <v/>
      </c>
    </row>
    <row r="108">
      <c r="A108" s="3" t="inlineStr">
        <is>
          <t>003668</t>
        </is>
      </c>
      <c r="B108" s="5">
        <f>COUNTIF('Entetes_TriNumInterne'!$C$2:$C$1154,A108)</f>
        <v/>
      </c>
    </row>
    <row r="109">
      <c r="A109" s="3" t="inlineStr">
        <is>
          <t>003669</t>
        </is>
      </c>
      <c r="B109" s="5">
        <f>COUNTIF('Entetes_TriNumInterne'!$C$2:$C$1154,A109)</f>
        <v/>
      </c>
    </row>
    <row r="110">
      <c r="A110" s="3" t="inlineStr">
        <is>
          <t>003670</t>
        </is>
      </c>
      <c r="B110" s="5">
        <f>COUNTIF('Entetes_TriNumInterne'!$C$2:$C$1154,A110)</f>
        <v/>
      </c>
    </row>
    <row r="111">
      <c r="A111" s="3" t="inlineStr">
        <is>
          <t>003671</t>
        </is>
      </c>
      <c r="B111" s="5">
        <f>COUNTIF('Entetes_TriNumInterne'!$C$2:$C$1154,A111)</f>
        <v/>
      </c>
    </row>
    <row r="112">
      <c r="A112" s="3" t="inlineStr">
        <is>
          <t>003672</t>
        </is>
      </c>
      <c r="B112" s="5">
        <f>COUNTIF('Entetes_TriNumInterne'!$C$2:$C$1154,A112)</f>
        <v/>
      </c>
    </row>
    <row r="113">
      <c r="A113" s="3" t="inlineStr">
        <is>
          <t>003673</t>
        </is>
      </c>
      <c r="B113" s="5">
        <f>COUNTIF('Entetes_TriNumInterne'!$C$2:$C$1154,A113)</f>
        <v/>
      </c>
    </row>
    <row r="114">
      <c r="A114" s="3" t="inlineStr">
        <is>
          <t>003674</t>
        </is>
      </c>
      <c r="B114" s="5">
        <f>COUNTIF('Entetes_TriNumInterne'!$C$2:$C$1154,A114)</f>
        <v/>
      </c>
    </row>
    <row r="115">
      <c r="A115" s="3" t="inlineStr">
        <is>
          <t>003675</t>
        </is>
      </c>
      <c r="B115" s="5">
        <f>COUNTIF('Entetes_TriNumInterne'!$C$2:$C$1154,A115)</f>
        <v/>
      </c>
    </row>
    <row r="116">
      <c r="A116" s="3" t="inlineStr">
        <is>
          <t>003676</t>
        </is>
      </c>
      <c r="B116" s="5">
        <f>COUNTIF('Entetes_TriNumInterne'!$C$2:$C$1154,A116)</f>
        <v/>
      </c>
    </row>
    <row r="117">
      <c r="A117" s="3" t="inlineStr">
        <is>
          <t>003677</t>
        </is>
      </c>
      <c r="B117" s="5">
        <f>COUNTIF('Entetes_TriNumInterne'!$C$2:$C$1154,A117)</f>
        <v/>
      </c>
    </row>
    <row r="118">
      <c r="A118" s="3" t="inlineStr">
        <is>
          <t>003678</t>
        </is>
      </c>
      <c r="B118" s="5">
        <f>COUNTIF('Entetes_TriNumInterne'!$C$2:$C$1154,A118)</f>
        <v/>
      </c>
    </row>
    <row r="119">
      <c r="A119" s="3" t="inlineStr">
        <is>
          <t>003679</t>
        </is>
      </c>
      <c r="B119" s="5">
        <f>COUNTIF('Entetes_TriNumInterne'!$C$2:$C$1154,A119)</f>
        <v/>
      </c>
    </row>
    <row r="120">
      <c r="A120" s="3" t="inlineStr">
        <is>
          <t>003680</t>
        </is>
      </c>
      <c r="B120" s="5">
        <f>COUNTIF('Entetes_TriNumInterne'!$C$2:$C$1154,A120)</f>
        <v/>
      </c>
    </row>
    <row r="121">
      <c r="A121" s="3" t="inlineStr">
        <is>
          <t>003681</t>
        </is>
      </c>
      <c r="B121" s="5">
        <f>COUNTIF('Entetes_TriNumInterne'!$C$2:$C$1154,A121)</f>
        <v/>
      </c>
    </row>
    <row r="122">
      <c r="A122" s="3" t="inlineStr">
        <is>
          <t>003682</t>
        </is>
      </c>
      <c r="B122" s="5">
        <f>COUNTIF('Entetes_TriNumInterne'!$C$2:$C$1154,A122)</f>
        <v/>
      </c>
    </row>
    <row r="123">
      <c r="A123" s="3" t="inlineStr">
        <is>
          <t>003683</t>
        </is>
      </c>
      <c r="B123" s="5">
        <f>COUNTIF('Entetes_TriNumInterne'!$C$2:$C$1154,A123)</f>
        <v/>
      </c>
    </row>
    <row r="124">
      <c r="A124" s="3" t="inlineStr">
        <is>
          <t>003684</t>
        </is>
      </c>
      <c r="B124" s="5">
        <f>COUNTIF('Entetes_TriNumInterne'!$C$2:$C$1154,A124)</f>
        <v/>
      </c>
    </row>
    <row r="125">
      <c r="A125" s="3" t="inlineStr">
        <is>
          <t>003685</t>
        </is>
      </c>
      <c r="B125" s="5">
        <f>COUNTIF('Entetes_TriNumInterne'!$C$2:$C$1154,A125)</f>
        <v/>
      </c>
    </row>
    <row r="126">
      <c r="A126" s="3" t="inlineStr">
        <is>
          <t>003686</t>
        </is>
      </c>
      <c r="B126" s="5">
        <f>COUNTIF('Entetes_TriNumInterne'!$C$2:$C$1154,A126)</f>
        <v/>
      </c>
    </row>
    <row r="127">
      <c r="A127" s="3" t="inlineStr">
        <is>
          <t>003687</t>
        </is>
      </c>
      <c r="B127" s="5">
        <f>COUNTIF('Entetes_TriNumInterne'!$C$2:$C$1154,A127)</f>
        <v/>
      </c>
    </row>
    <row r="128">
      <c r="A128" s="3" t="inlineStr">
        <is>
          <t>003688</t>
        </is>
      </c>
      <c r="B128" s="5">
        <f>COUNTIF('Entetes_TriNumInterne'!$C$2:$C$1154,A128)</f>
        <v/>
      </c>
    </row>
    <row r="129">
      <c r="A129" s="3" t="inlineStr">
        <is>
          <t>003689</t>
        </is>
      </c>
      <c r="B129" s="5">
        <f>COUNTIF('Entetes_TriNumInterne'!$C$2:$C$1154,A129)</f>
        <v/>
      </c>
    </row>
    <row r="130">
      <c r="A130" s="3" t="inlineStr">
        <is>
          <t>003690</t>
        </is>
      </c>
      <c r="B130" s="5">
        <f>COUNTIF('Entetes_TriNumInterne'!$C$2:$C$1154,A130)</f>
        <v/>
      </c>
    </row>
    <row r="131">
      <c r="A131" s="3" t="inlineStr">
        <is>
          <t>003691</t>
        </is>
      </c>
      <c r="B131" s="5">
        <f>COUNTIF('Entetes_TriNumInterne'!$C$2:$C$1154,A131)</f>
        <v/>
      </c>
    </row>
    <row r="132">
      <c r="A132" s="3" t="inlineStr">
        <is>
          <t>003692</t>
        </is>
      </c>
      <c r="B132" s="5">
        <f>COUNTIF('Entetes_TriNumInterne'!$C$2:$C$1154,A132)</f>
        <v/>
      </c>
    </row>
    <row r="133">
      <c r="A133" s="3" t="inlineStr">
        <is>
          <t>003693</t>
        </is>
      </c>
      <c r="B133" s="5">
        <f>COUNTIF('Entetes_TriNumInterne'!$C$2:$C$1154,A133)</f>
        <v/>
      </c>
    </row>
    <row r="134">
      <c r="A134" s="3" t="inlineStr">
        <is>
          <t>003694</t>
        </is>
      </c>
      <c r="B134" s="5">
        <f>COUNTIF('Entetes_TriNumInterne'!$C$2:$C$1154,A134)</f>
        <v/>
      </c>
    </row>
    <row r="135">
      <c r="A135" s="3" t="inlineStr">
        <is>
          <t>003695</t>
        </is>
      </c>
      <c r="B135" s="5">
        <f>COUNTIF('Entetes_TriNumInterne'!$C$2:$C$1154,A135)</f>
        <v/>
      </c>
    </row>
    <row r="136">
      <c r="A136" s="3" t="inlineStr">
        <is>
          <t>003696</t>
        </is>
      </c>
      <c r="B136" s="5">
        <f>COUNTIF('Entetes_TriNumInterne'!$C$2:$C$1154,A136)</f>
        <v/>
      </c>
    </row>
    <row r="137">
      <c r="A137" s="3" t="inlineStr">
        <is>
          <t>003697</t>
        </is>
      </c>
      <c r="B137" s="5">
        <f>COUNTIF('Entetes_TriNumInterne'!$C$2:$C$1154,A137)</f>
        <v/>
      </c>
    </row>
    <row r="138">
      <c r="A138" s="3" t="inlineStr">
        <is>
          <t>003698</t>
        </is>
      </c>
      <c r="B138" s="5">
        <f>COUNTIF('Entetes_TriNumInterne'!$C$2:$C$1154,A138)</f>
        <v/>
      </c>
    </row>
    <row r="139">
      <c r="A139" s="3" t="inlineStr">
        <is>
          <t>003699</t>
        </is>
      </c>
      <c r="B139" s="5">
        <f>COUNTIF('Entetes_TriNumInterne'!$C$2:$C$1154,A139)</f>
        <v/>
      </c>
    </row>
    <row r="140">
      <c r="A140" s="3" t="inlineStr">
        <is>
          <t>003700</t>
        </is>
      </c>
      <c r="B140" s="5">
        <f>COUNTIF('Entetes_TriNumInterne'!$C$2:$C$1154,A140)</f>
        <v/>
      </c>
    </row>
    <row r="141">
      <c r="A141" s="3" t="inlineStr">
        <is>
          <t>003701</t>
        </is>
      </c>
      <c r="B141" s="5">
        <f>COUNTIF('Entetes_TriNumInterne'!$C$2:$C$1154,A141)</f>
        <v/>
      </c>
    </row>
    <row r="142">
      <c r="A142" s="3" t="inlineStr">
        <is>
          <t>003702</t>
        </is>
      </c>
      <c r="B142" s="5">
        <f>COUNTIF('Entetes_TriNumInterne'!$C$2:$C$1154,A142)</f>
        <v/>
      </c>
    </row>
    <row r="143">
      <c r="A143" s="3" t="inlineStr">
        <is>
          <t>003703</t>
        </is>
      </c>
      <c r="B143" s="5">
        <f>COUNTIF('Entetes_TriNumInterne'!$C$2:$C$1154,A143)</f>
        <v/>
      </c>
    </row>
    <row r="144">
      <c r="A144" s="3" t="inlineStr">
        <is>
          <t>003704</t>
        </is>
      </c>
      <c r="B144" s="5">
        <f>COUNTIF('Entetes_TriNumInterne'!$C$2:$C$1154,A144)</f>
        <v/>
      </c>
    </row>
    <row r="145">
      <c r="A145" s="3" t="inlineStr">
        <is>
          <t>003705</t>
        </is>
      </c>
      <c r="B145" s="5">
        <f>COUNTIF('Entetes_TriNumInterne'!$C$2:$C$1154,A145)</f>
        <v/>
      </c>
    </row>
    <row r="146">
      <c r="A146" s="3" t="inlineStr">
        <is>
          <t>003706</t>
        </is>
      </c>
      <c r="B146" s="5">
        <f>COUNTIF('Entetes_TriNumInterne'!$C$2:$C$1154,A146)</f>
        <v/>
      </c>
    </row>
    <row r="147">
      <c r="A147" s="3" t="inlineStr">
        <is>
          <t>003707</t>
        </is>
      </c>
      <c r="B147" s="5">
        <f>COUNTIF('Entetes_TriNumInterne'!$C$2:$C$1154,A147)</f>
        <v/>
      </c>
    </row>
    <row r="148">
      <c r="A148" s="3" t="inlineStr">
        <is>
          <t>003708</t>
        </is>
      </c>
      <c r="B148" s="5">
        <f>COUNTIF('Entetes_TriNumInterne'!$C$2:$C$1154,A148)</f>
        <v/>
      </c>
    </row>
    <row r="149">
      <c r="A149" s="3" t="inlineStr">
        <is>
          <t>003709</t>
        </is>
      </c>
      <c r="B149" s="5">
        <f>COUNTIF('Entetes_TriNumInterne'!$C$2:$C$1154,A149)</f>
        <v/>
      </c>
    </row>
    <row r="150">
      <c r="A150" s="3" t="inlineStr">
        <is>
          <t>003710</t>
        </is>
      </c>
      <c r="B150" s="5">
        <f>COUNTIF('Entetes_TriNumInterne'!$C$2:$C$1154,A150)</f>
        <v/>
      </c>
    </row>
    <row r="151">
      <c r="A151" s="3" t="inlineStr">
        <is>
          <t>003711</t>
        </is>
      </c>
      <c r="B151" s="5">
        <f>COUNTIF('Entetes_TriNumInterne'!$C$2:$C$1154,A151)</f>
        <v/>
      </c>
    </row>
    <row r="152">
      <c r="A152" s="3" t="inlineStr">
        <is>
          <t>003712</t>
        </is>
      </c>
      <c r="B152" s="5">
        <f>COUNTIF('Entetes_TriNumInterne'!$C$2:$C$1154,A152)</f>
        <v/>
      </c>
    </row>
    <row r="153">
      <c r="A153" s="3" t="inlineStr">
        <is>
          <t>003713</t>
        </is>
      </c>
      <c r="B153" s="5">
        <f>COUNTIF('Entetes_TriNumInterne'!$C$2:$C$1154,A153)</f>
        <v/>
      </c>
    </row>
    <row r="154">
      <c r="A154" s="3" t="inlineStr">
        <is>
          <t>003714</t>
        </is>
      </c>
      <c r="B154" s="5">
        <f>COUNTIF('Entetes_TriNumInterne'!$C$2:$C$1154,A154)</f>
        <v/>
      </c>
    </row>
    <row r="155">
      <c r="A155" s="3" t="inlineStr">
        <is>
          <t>003715</t>
        </is>
      </c>
      <c r="B155" s="5">
        <f>COUNTIF('Entetes_TriNumInterne'!$C$2:$C$1154,A155)</f>
        <v/>
      </c>
    </row>
    <row r="156">
      <c r="A156" s="3" t="inlineStr">
        <is>
          <t>003716</t>
        </is>
      </c>
      <c r="B156" s="5">
        <f>COUNTIF('Entetes_TriNumInterne'!$C$2:$C$1154,A156)</f>
        <v/>
      </c>
    </row>
    <row r="157">
      <c r="A157" s="3" t="inlineStr">
        <is>
          <t>003717</t>
        </is>
      </c>
      <c r="B157" s="5">
        <f>COUNTIF('Entetes_TriNumInterne'!$C$2:$C$1154,A157)</f>
        <v/>
      </c>
    </row>
    <row r="158">
      <c r="A158" s="3" t="inlineStr">
        <is>
          <t>003718</t>
        </is>
      </c>
      <c r="B158" s="5">
        <f>COUNTIF('Entetes_TriNumInterne'!$C$2:$C$1154,A158)</f>
        <v/>
      </c>
    </row>
    <row r="159">
      <c r="A159" s="3" t="inlineStr">
        <is>
          <t>003719</t>
        </is>
      </c>
      <c r="B159" s="5">
        <f>COUNTIF('Entetes_TriNumInterne'!$C$2:$C$1154,A159)</f>
        <v/>
      </c>
    </row>
    <row r="160">
      <c r="A160" s="3" t="inlineStr">
        <is>
          <t>003720</t>
        </is>
      </c>
      <c r="B160" s="5">
        <f>COUNTIF('Entetes_TriNumInterne'!$C$2:$C$1154,A160)</f>
        <v/>
      </c>
    </row>
    <row r="161">
      <c r="A161" s="3" t="inlineStr">
        <is>
          <t>003721</t>
        </is>
      </c>
      <c r="B161" s="5">
        <f>COUNTIF('Entetes_TriNumInterne'!$C$2:$C$1154,A161)</f>
        <v/>
      </c>
    </row>
    <row r="162">
      <c r="A162" s="3" t="inlineStr">
        <is>
          <t>003722</t>
        </is>
      </c>
      <c r="B162" s="5">
        <f>COUNTIF('Entetes_TriNumInterne'!$C$2:$C$1154,A162)</f>
        <v/>
      </c>
    </row>
    <row r="163">
      <c r="A163" s="3" t="inlineStr">
        <is>
          <t>003723</t>
        </is>
      </c>
      <c r="B163" s="5">
        <f>COUNTIF('Entetes_TriNumInterne'!$C$2:$C$1154,A163)</f>
        <v/>
      </c>
    </row>
    <row r="164">
      <c r="A164" s="3" t="inlineStr">
        <is>
          <t>003724</t>
        </is>
      </c>
      <c r="B164" s="5">
        <f>COUNTIF('Entetes_TriNumInterne'!$C$2:$C$1154,A164)</f>
        <v/>
      </c>
    </row>
    <row r="165">
      <c r="A165" s="3" t="inlineStr">
        <is>
          <t>003725</t>
        </is>
      </c>
      <c r="B165" s="5">
        <f>COUNTIF('Entetes_TriNumInterne'!$C$2:$C$1154,A165)</f>
        <v/>
      </c>
    </row>
    <row r="166">
      <c r="A166" s="3" t="inlineStr">
        <is>
          <t>003726</t>
        </is>
      </c>
      <c r="B166" s="5">
        <f>COUNTIF('Entetes_TriNumInterne'!$C$2:$C$1154,A166)</f>
        <v/>
      </c>
    </row>
    <row r="167">
      <c r="A167" s="3" t="inlineStr">
        <is>
          <t>003727</t>
        </is>
      </c>
      <c r="B167" s="5">
        <f>COUNTIF('Entetes_TriNumInterne'!$C$2:$C$1154,A167)</f>
        <v/>
      </c>
    </row>
    <row r="168">
      <c r="A168" s="3" t="inlineStr">
        <is>
          <t>003728</t>
        </is>
      </c>
      <c r="B168" s="5">
        <f>COUNTIF('Entetes_TriNumInterne'!$C$2:$C$1154,A168)</f>
        <v/>
      </c>
    </row>
    <row r="169">
      <c r="A169" s="3" t="inlineStr">
        <is>
          <t>003729</t>
        </is>
      </c>
      <c r="B169" s="5">
        <f>COUNTIF('Entetes_TriNumInterne'!$C$2:$C$1154,A169)</f>
        <v/>
      </c>
    </row>
    <row r="170">
      <c r="A170" s="3" t="inlineStr">
        <is>
          <t>003730</t>
        </is>
      </c>
      <c r="B170" s="5">
        <f>COUNTIF('Entetes_TriNumInterne'!$C$2:$C$1154,A170)</f>
        <v/>
      </c>
    </row>
    <row r="171">
      <c r="A171" s="3" t="inlineStr">
        <is>
          <t>003731</t>
        </is>
      </c>
      <c r="B171" s="5">
        <f>COUNTIF('Entetes_TriNumInterne'!$C$2:$C$1154,A171)</f>
        <v/>
      </c>
    </row>
    <row r="172">
      <c r="A172" s="3" t="inlineStr">
        <is>
          <t>003732</t>
        </is>
      </c>
      <c r="B172" s="5">
        <f>COUNTIF('Entetes_TriNumInterne'!$C$2:$C$1154,A172)</f>
        <v/>
      </c>
    </row>
    <row r="173">
      <c r="A173" s="3" t="inlineStr">
        <is>
          <t>003733</t>
        </is>
      </c>
      <c r="B173" s="5">
        <f>COUNTIF('Entetes_TriNumInterne'!$C$2:$C$1154,A173)</f>
        <v/>
      </c>
    </row>
    <row r="174">
      <c r="A174" s="3" t="inlineStr">
        <is>
          <t>003734</t>
        </is>
      </c>
      <c r="B174" s="5">
        <f>COUNTIF('Entetes_TriNumInterne'!$C$2:$C$1154,A174)</f>
        <v/>
      </c>
    </row>
    <row r="175">
      <c r="A175" s="3" t="inlineStr">
        <is>
          <t>003735</t>
        </is>
      </c>
      <c r="B175" s="5">
        <f>COUNTIF('Entetes_TriNumInterne'!$C$2:$C$1154,A175)</f>
        <v/>
      </c>
    </row>
    <row r="176">
      <c r="A176" s="3" t="inlineStr">
        <is>
          <t>003736</t>
        </is>
      </c>
      <c r="B176" s="5">
        <f>COUNTIF('Entetes_TriNumInterne'!$C$2:$C$1154,A176)</f>
        <v/>
      </c>
    </row>
    <row r="177">
      <c r="A177" s="3" t="inlineStr">
        <is>
          <t>003737</t>
        </is>
      </c>
      <c r="B177" s="5">
        <f>COUNTIF('Entetes_TriNumInterne'!$C$2:$C$1154,A177)</f>
        <v/>
      </c>
    </row>
    <row r="178">
      <c r="A178" s="3" t="inlineStr">
        <is>
          <t>003738</t>
        </is>
      </c>
      <c r="B178" s="5">
        <f>COUNTIF('Entetes_TriNumInterne'!$C$2:$C$1154,A178)</f>
        <v/>
      </c>
    </row>
    <row r="179">
      <c r="A179" s="3" t="inlineStr">
        <is>
          <t>003739</t>
        </is>
      </c>
      <c r="B179" s="5">
        <f>COUNTIF('Entetes_TriNumInterne'!$C$2:$C$1154,A179)</f>
        <v/>
      </c>
    </row>
    <row r="180">
      <c r="A180" s="3" t="inlineStr">
        <is>
          <t>003740</t>
        </is>
      </c>
      <c r="B180" s="5">
        <f>COUNTIF('Entetes_TriNumInterne'!$C$2:$C$1154,A180)</f>
        <v/>
      </c>
    </row>
    <row r="181">
      <c r="A181" s="3" t="inlineStr">
        <is>
          <t>003741</t>
        </is>
      </c>
      <c r="B181" s="5">
        <f>COUNTIF('Entetes_TriNumInterne'!$C$2:$C$1154,A181)</f>
        <v/>
      </c>
    </row>
    <row r="182">
      <c r="A182" s="3" t="inlineStr">
        <is>
          <t>003742</t>
        </is>
      </c>
      <c r="B182" s="5">
        <f>COUNTIF('Entetes_TriNumInterne'!$C$2:$C$1154,A182)</f>
        <v/>
      </c>
    </row>
    <row r="183">
      <c r="A183" s="3" t="inlineStr">
        <is>
          <t>003743</t>
        </is>
      </c>
      <c r="B183" s="5">
        <f>COUNTIF('Entetes_TriNumInterne'!$C$2:$C$1154,A183)</f>
        <v/>
      </c>
    </row>
    <row r="184">
      <c r="A184" s="3" t="inlineStr">
        <is>
          <t>003744</t>
        </is>
      </c>
      <c r="B184" s="5">
        <f>COUNTIF('Entetes_TriNumInterne'!$C$2:$C$1154,A184)</f>
        <v/>
      </c>
    </row>
    <row r="185">
      <c r="A185" s="3" t="inlineStr">
        <is>
          <t>003745</t>
        </is>
      </c>
      <c r="B185" s="5">
        <f>COUNTIF('Entetes_TriNumInterne'!$C$2:$C$1154,A185)</f>
        <v/>
      </c>
    </row>
    <row r="186">
      <c r="A186" s="3" t="inlineStr">
        <is>
          <t>003746</t>
        </is>
      </c>
      <c r="B186" s="5">
        <f>COUNTIF('Entetes_TriNumInterne'!$C$2:$C$1154,A186)</f>
        <v/>
      </c>
    </row>
    <row r="187">
      <c r="A187" s="3" t="inlineStr">
        <is>
          <t>003747</t>
        </is>
      </c>
      <c r="B187" s="5">
        <f>COUNTIF('Entetes_TriNumInterne'!$C$2:$C$1154,A187)</f>
        <v/>
      </c>
    </row>
    <row r="188">
      <c r="A188" s="3" t="inlineStr">
        <is>
          <t>003748</t>
        </is>
      </c>
      <c r="B188" s="5">
        <f>COUNTIF('Entetes_TriNumInterne'!$C$2:$C$1154,A188)</f>
        <v/>
      </c>
    </row>
    <row r="189">
      <c r="A189" s="3" t="inlineStr">
        <is>
          <t>003749</t>
        </is>
      </c>
      <c r="B189" s="5">
        <f>COUNTIF('Entetes_TriNumInterne'!$C$2:$C$1154,A189)</f>
        <v/>
      </c>
    </row>
    <row r="190">
      <c r="A190" s="3" t="inlineStr">
        <is>
          <t>003750</t>
        </is>
      </c>
      <c r="B190" s="5">
        <f>COUNTIF('Entetes_TriNumInterne'!$C$2:$C$1154,A190)</f>
        <v/>
      </c>
    </row>
    <row r="191">
      <c r="A191" s="3" t="inlineStr">
        <is>
          <t>003751</t>
        </is>
      </c>
      <c r="B191" s="5">
        <f>COUNTIF('Entetes_TriNumInterne'!$C$2:$C$1154,A191)</f>
        <v/>
      </c>
    </row>
    <row r="192">
      <c r="A192" s="3" t="inlineStr">
        <is>
          <t>003752</t>
        </is>
      </c>
      <c r="B192" s="5">
        <f>COUNTIF('Entetes_TriNumInterne'!$C$2:$C$1154,A192)</f>
        <v/>
      </c>
    </row>
    <row r="193">
      <c r="A193" s="3" t="inlineStr">
        <is>
          <t>003753</t>
        </is>
      </c>
      <c r="B193" s="5">
        <f>COUNTIF('Entetes_TriNumInterne'!$C$2:$C$1154,A193)</f>
        <v/>
      </c>
    </row>
    <row r="194">
      <c r="A194" s="3" t="inlineStr">
        <is>
          <t>003754</t>
        </is>
      </c>
      <c r="B194" s="5">
        <f>COUNTIF('Entetes_TriNumInterne'!$C$2:$C$1154,A194)</f>
        <v/>
      </c>
    </row>
    <row r="195">
      <c r="A195" s="3" t="inlineStr">
        <is>
          <t>003755</t>
        </is>
      </c>
      <c r="B195" s="5">
        <f>COUNTIF('Entetes_TriNumInterne'!$C$2:$C$1154,A195)</f>
        <v/>
      </c>
    </row>
    <row r="196">
      <c r="A196" s="3" t="inlineStr">
        <is>
          <t>003756</t>
        </is>
      </c>
      <c r="B196" s="5">
        <f>COUNTIF('Entetes_TriNumInterne'!$C$2:$C$1154,A196)</f>
        <v/>
      </c>
    </row>
    <row r="197">
      <c r="A197" s="3" t="inlineStr">
        <is>
          <t>003757</t>
        </is>
      </c>
      <c r="B197" s="5">
        <f>COUNTIF('Entetes_TriNumInterne'!$C$2:$C$1154,A197)</f>
        <v/>
      </c>
    </row>
    <row r="198">
      <c r="A198" s="3" t="inlineStr">
        <is>
          <t>003758</t>
        </is>
      </c>
      <c r="B198" s="5">
        <f>COUNTIF('Entetes_TriNumInterne'!$C$2:$C$1154,A198)</f>
        <v/>
      </c>
    </row>
    <row r="199">
      <c r="A199" s="3" t="inlineStr">
        <is>
          <t>003759</t>
        </is>
      </c>
      <c r="B199" s="5">
        <f>COUNTIF('Entetes_TriNumInterne'!$C$2:$C$1154,A199)</f>
        <v/>
      </c>
    </row>
    <row r="200">
      <c r="A200" s="3" t="inlineStr">
        <is>
          <t>003760</t>
        </is>
      </c>
      <c r="B200" s="5">
        <f>COUNTIF('Entetes_TriNumInterne'!$C$2:$C$1154,A200)</f>
        <v/>
      </c>
    </row>
    <row r="201">
      <c r="A201" s="3" t="inlineStr">
        <is>
          <t>003761</t>
        </is>
      </c>
      <c r="B201" s="5">
        <f>COUNTIF('Entetes_TriNumInterne'!$C$2:$C$1154,A201)</f>
        <v/>
      </c>
    </row>
    <row r="202">
      <c r="A202" s="3" t="inlineStr">
        <is>
          <t>003762</t>
        </is>
      </c>
      <c r="B202" s="5">
        <f>COUNTIF('Entetes_TriNumInterne'!$C$2:$C$1154,A202)</f>
        <v/>
      </c>
    </row>
    <row r="203">
      <c r="A203" s="3" t="inlineStr">
        <is>
          <t>003763</t>
        </is>
      </c>
      <c r="B203" s="5">
        <f>COUNTIF('Entetes_TriNumInterne'!$C$2:$C$1154,A203)</f>
        <v/>
      </c>
    </row>
    <row r="204">
      <c r="A204" s="3" t="inlineStr">
        <is>
          <t>003764</t>
        </is>
      </c>
      <c r="B204" s="5">
        <f>COUNTIF('Entetes_TriNumInterne'!$C$2:$C$1154,A204)</f>
        <v/>
      </c>
    </row>
    <row r="205">
      <c r="A205" s="3" t="inlineStr">
        <is>
          <t>003765</t>
        </is>
      </c>
      <c r="B205" s="5">
        <f>COUNTIF('Entetes_TriNumInterne'!$C$2:$C$1154,A205)</f>
        <v/>
      </c>
    </row>
    <row r="206">
      <c r="A206" s="3" t="inlineStr">
        <is>
          <t>003766</t>
        </is>
      </c>
      <c r="B206" s="5">
        <f>COUNTIF('Entetes_TriNumInterne'!$C$2:$C$1154,A206)</f>
        <v/>
      </c>
    </row>
    <row r="207">
      <c r="A207" s="3" t="inlineStr">
        <is>
          <t>003767</t>
        </is>
      </c>
      <c r="B207" s="5">
        <f>COUNTIF('Entetes_TriNumInterne'!$C$2:$C$1154,A207)</f>
        <v/>
      </c>
    </row>
    <row r="208">
      <c r="A208" s="3" t="inlineStr">
        <is>
          <t>003768</t>
        </is>
      </c>
      <c r="B208" s="5">
        <f>COUNTIF('Entetes_TriNumInterne'!$C$2:$C$1154,A208)</f>
        <v/>
      </c>
    </row>
    <row r="209">
      <c r="A209" s="3" t="inlineStr">
        <is>
          <t>003769</t>
        </is>
      </c>
      <c r="B209" s="5">
        <f>COUNTIF('Entetes_TriNumInterne'!$C$2:$C$1154,A209)</f>
        <v/>
      </c>
    </row>
    <row r="210">
      <c r="A210" s="3" t="inlineStr">
        <is>
          <t>003770</t>
        </is>
      </c>
      <c r="B210" s="5">
        <f>COUNTIF('Entetes_TriNumInterne'!$C$2:$C$1154,A210)</f>
        <v/>
      </c>
    </row>
    <row r="211">
      <c r="A211" s="3" t="inlineStr">
        <is>
          <t>003771</t>
        </is>
      </c>
      <c r="B211" s="5">
        <f>COUNTIF('Entetes_TriNumInterne'!$C$2:$C$1154,A211)</f>
        <v/>
      </c>
    </row>
    <row r="212">
      <c r="A212" s="3" t="inlineStr">
        <is>
          <t>003772</t>
        </is>
      </c>
      <c r="B212" s="5">
        <f>COUNTIF('Entetes_TriNumInterne'!$C$2:$C$1154,A212)</f>
        <v/>
      </c>
    </row>
    <row r="213">
      <c r="A213" s="3" t="inlineStr">
        <is>
          <t>003773</t>
        </is>
      </c>
      <c r="B213" s="5">
        <f>COUNTIF('Entetes_TriNumInterne'!$C$2:$C$1154,A213)</f>
        <v/>
      </c>
    </row>
    <row r="214">
      <c r="A214" s="3" t="inlineStr">
        <is>
          <t>003774</t>
        </is>
      </c>
      <c r="B214" s="5">
        <f>COUNTIF('Entetes_TriNumInterne'!$C$2:$C$1154,A214)</f>
        <v/>
      </c>
    </row>
    <row r="215">
      <c r="A215" s="3" t="inlineStr">
        <is>
          <t>003775</t>
        </is>
      </c>
      <c r="B215" s="5">
        <f>COUNTIF('Entetes_TriNumInterne'!$C$2:$C$1154,A215)</f>
        <v/>
      </c>
    </row>
    <row r="216">
      <c r="A216" s="3" t="inlineStr">
        <is>
          <t>003776</t>
        </is>
      </c>
      <c r="B216" s="5">
        <f>COUNTIF('Entetes_TriNumInterne'!$C$2:$C$1154,A216)</f>
        <v/>
      </c>
    </row>
    <row r="217">
      <c r="A217" s="3" t="inlineStr">
        <is>
          <t>003777</t>
        </is>
      </c>
      <c r="B217" s="5">
        <f>COUNTIF('Entetes_TriNumInterne'!$C$2:$C$1154,A217)</f>
        <v/>
      </c>
    </row>
    <row r="218">
      <c r="A218" s="3" t="inlineStr">
        <is>
          <t>003778</t>
        </is>
      </c>
      <c r="B218" s="5">
        <f>COUNTIF('Entetes_TriNumInterne'!$C$2:$C$1154,A218)</f>
        <v/>
      </c>
    </row>
    <row r="219">
      <c r="A219" s="3" t="inlineStr">
        <is>
          <t>003779</t>
        </is>
      </c>
      <c r="B219" s="5">
        <f>COUNTIF('Entetes_TriNumInterne'!$C$2:$C$1154,A219)</f>
        <v/>
      </c>
    </row>
    <row r="220">
      <c r="A220" s="3" t="inlineStr">
        <is>
          <t>003780</t>
        </is>
      </c>
      <c r="B220" s="5">
        <f>COUNTIF('Entetes_TriNumInterne'!$C$2:$C$1154,A220)</f>
        <v/>
      </c>
    </row>
    <row r="221">
      <c r="A221" s="3" t="inlineStr">
        <is>
          <t>003781</t>
        </is>
      </c>
      <c r="B221" s="5">
        <f>COUNTIF('Entetes_TriNumInterne'!$C$2:$C$1154,A221)</f>
        <v/>
      </c>
    </row>
    <row r="222">
      <c r="A222" s="3" t="inlineStr">
        <is>
          <t>003782</t>
        </is>
      </c>
      <c r="B222" s="5">
        <f>COUNTIF('Entetes_TriNumInterne'!$C$2:$C$1154,A222)</f>
        <v/>
      </c>
    </row>
    <row r="223">
      <c r="A223" s="3" t="inlineStr">
        <is>
          <t>003783</t>
        </is>
      </c>
      <c r="B223" s="5">
        <f>COUNTIF('Entetes_TriNumInterne'!$C$2:$C$1154,A223)</f>
        <v/>
      </c>
    </row>
    <row r="224">
      <c r="A224" s="3" t="inlineStr">
        <is>
          <t>003784</t>
        </is>
      </c>
      <c r="B224" s="5">
        <f>COUNTIF('Entetes_TriNumInterne'!$C$2:$C$1154,A224)</f>
        <v/>
      </c>
    </row>
    <row r="225">
      <c r="A225" s="3" t="inlineStr">
        <is>
          <t>003785</t>
        </is>
      </c>
      <c r="B225" s="5">
        <f>COUNTIF('Entetes_TriNumInterne'!$C$2:$C$1154,A225)</f>
        <v/>
      </c>
    </row>
    <row r="226">
      <c r="A226" s="3" t="inlineStr">
        <is>
          <t>003786</t>
        </is>
      </c>
      <c r="B226" s="5">
        <f>COUNTIF('Entetes_TriNumInterne'!$C$2:$C$1154,A226)</f>
        <v/>
      </c>
    </row>
    <row r="227">
      <c r="A227" s="3" t="inlineStr">
        <is>
          <t>003787</t>
        </is>
      </c>
      <c r="B227" s="5">
        <f>COUNTIF('Entetes_TriNumInterne'!$C$2:$C$1154,A227)</f>
        <v/>
      </c>
    </row>
    <row r="228">
      <c r="A228" s="3" t="inlineStr">
        <is>
          <t>003788</t>
        </is>
      </c>
      <c r="B228" s="5">
        <f>COUNTIF('Entetes_TriNumInterne'!$C$2:$C$1154,A228)</f>
        <v/>
      </c>
    </row>
    <row r="229">
      <c r="A229" s="3" t="inlineStr">
        <is>
          <t>003789</t>
        </is>
      </c>
      <c r="B229" s="5">
        <f>COUNTIF('Entetes_TriNumInterne'!$C$2:$C$1154,A229)</f>
        <v/>
      </c>
    </row>
    <row r="230">
      <c r="A230" s="3" t="inlineStr">
        <is>
          <t>003790</t>
        </is>
      </c>
      <c r="B230" s="5">
        <f>COUNTIF('Entetes_TriNumInterne'!$C$2:$C$1154,A230)</f>
        <v/>
      </c>
    </row>
    <row r="231">
      <c r="A231" s="3" t="inlineStr">
        <is>
          <t>003791</t>
        </is>
      </c>
      <c r="B231" s="5">
        <f>COUNTIF('Entetes_TriNumInterne'!$C$2:$C$1154,A231)</f>
        <v/>
      </c>
    </row>
    <row r="232">
      <c r="A232" s="3" t="inlineStr">
        <is>
          <t>003792</t>
        </is>
      </c>
      <c r="B232" s="5">
        <f>COUNTIF('Entetes_TriNumInterne'!$C$2:$C$1154,A232)</f>
        <v/>
      </c>
    </row>
    <row r="233">
      <c r="A233" s="3" t="inlineStr">
        <is>
          <t>003793</t>
        </is>
      </c>
      <c r="B233" s="5">
        <f>COUNTIF('Entetes_TriNumInterne'!$C$2:$C$1154,A233)</f>
        <v/>
      </c>
    </row>
    <row r="234">
      <c r="A234" s="3" t="inlineStr">
        <is>
          <t>003794</t>
        </is>
      </c>
      <c r="B234" s="5">
        <f>COUNTIF('Entetes_TriNumInterne'!$C$2:$C$1154,A234)</f>
        <v/>
      </c>
    </row>
    <row r="235">
      <c r="A235" s="3" t="inlineStr">
        <is>
          <t>003795</t>
        </is>
      </c>
      <c r="B235" s="5">
        <f>COUNTIF('Entetes_TriNumInterne'!$C$2:$C$1154,A235)</f>
        <v/>
      </c>
    </row>
    <row r="236">
      <c r="A236" s="3" t="inlineStr">
        <is>
          <t>003796</t>
        </is>
      </c>
      <c r="B236" s="5">
        <f>COUNTIF('Entetes_TriNumInterne'!$C$2:$C$1154,A236)</f>
        <v/>
      </c>
    </row>
    <row r="237">
      <c r="A237" s="3" t="inlineStr">
        <is>
          <t>003797</t>
        </is>
      </c>
      <c r="B237" s="5">
        <f>COUNTIF('Entetes_TriNumInterne'!$C$2:$C$1154,A237)</f>
        <v/>
      </c>
    </row>
    <row r="238">
      <c r="A238" s="3" t="inlineStr">
        <is>
          <t>003798</t>
        </is>
      </c>
      <c r="B238" s="5">
        <f>COUNTIF('Entetes_TriNumInterne'!$C$2:$C$1154,A238)</f>
        <v/>
      </c>
    </row>
    <row r="239">
      <c r="A239" s="3" t="inlineStr">
        <is>
          <t>003799</t>
        </is>
      </c>
      <c r="B239" s="5">
        <f>COUNTIF('Entetes_TriNumInterne'!$C$2:$C$1154,A239)</f>
        <v/>
      </c>
    </row>
    <row r="240">
      <c r="A240" s="3" t="inlineStr">
        <is>
          <t>003800</t>
        </is>
      </c>
      <c r="B240" s="5">
        <f>COUNTIF('Entetes_TriNumInterne'!$C$2:$C$1154,A240)</f>
        <v/>
      </c>
    </row>
    <row r="241">
      <c r="A241" s="3" t="inlineStr">
        <is>
          <t>003801</t>
        </is>
      </c>
      <c r="B241" s="5">
        <f>COUNTIF('Entetes_TriNumInterne'!$C$2:$C$1154,A241)</f>
        <v/>
      </c>
    </row>
    <row r="242">
      <c r="A242" s="3" t="inlineStr">
        <is>
          <t>003802</t>
        </is>
      </c>
      <c r="B242" s="5">
        <f>COUNTIF('Entetes_TriNumInterne'!$C$2:$C$1154,A242)</f>
        <v/>
      </c>
    </row>
    <row r="243">
      <c r="A243" s="3" t="inlineStr">
        <is>
          <t>003803</t>
        </is>
      </c>
      <c r="B243" s="5">
        <f>COUNTIF('Entetes_TriNumInterne'!$C$2:$C$1154,A243)</f>
        <v/>
      </c>
    </row>
    <row r="244">
      <c r="A244" s="3" t="inlineStr">
        <is>
          <t>003804</t>
        </is>
      </c>
      <c r="B244" s="5">
        <f>COUNTIF('Entetes_TriNumInterne'!$C$2:$C$1154,A244)</f>
        <v/>
      </c>
    </row>
    <row r="245">
      <c r="A245" s="3" t="inlineStr">
        <is>
          <t>003805</t>
        </is>
      </c>
      <c r="B245" s="5">
        <f>COUNTIF('Entetes_TriNumInterne'!$C$2:$C$1154,A245)</f>
        <v/>
      </c>
    </row>
    <row r="246">
      <c r="A246" s="3" t="inlineStr">
        <is>
          <t>003806</t>
        </is>
      </c>
      <c r="B246" s="5">
        <f>COUNTIF('Entetes_TriNumInterne'!$C$2:$C$1154,A246)</f>
        <v/>
      </c>
    </row>
    <row r="247">
      <c r="A247" s="3" t="inlineStr">
        <is>
          <t>003807</t>
        </is>
      </c>
      <c r="B247" s="5">
        <f>COUNTIF('Entetes_TriNumInterne'!$C$2:$C$1154,A247)</f>
        <v/>
      </c>
    </row>
    <row r="248">
      <c r="A248" s="3" t="inlineStr">
        <is>
          <t>003808</t>
        </is>
      </c>
      <c r="B248" s="5">
        <f>COUNTIF('Entetes_TriNumInterne'!$C$2:$C$1154,A248)</f>
        <v/>
      </c>
    </row>
    <row r="249">
      <c r="A249" s="3" t="inlineStr">
        <is>
          <t>003809</t>
        </is>
      </c>
      <c r="B249" s="5">
        <f>COUNTIF('Entetes_TriNumInterne'!$C$2:$C$1154,A249)</f>
        <v/>
      </c>
    </row>
    <row r="250">
      <c r="A250" s="3" t="inlineStr">
        <is>
          <t>003810</t>
        </is>
      </c>
      <c r="B250" s="5">
        <f>COUNTIF('Entetes_TriNumInterne'!$C$2:$C$1154,A250)</f>
        <v/>
      </c>
    </row>
    <row r="251">
      <c r="A251" s="3" t="inlineStr">
        <is>
          <t>003811</t>
        </is>
      </c>
      <c r="B251" s="5">
        <f>COUNTIF('Entetes_TriNumInterne'!$C$2:$C$1154,A251)</f>
        <v/>
      </c>
    </row>
    <row r="252">
      <c r="A252" s="3" t="inlineStr">
        <is>
          <t>003812</t>
        </is>
      </c>
      <c r="B252" s="5">
        <f>COUNTIF('Entetes_TriNumInterne'!$C$2:$C$1154,A252)</f>
        <v/>
      </c>
    </row>
    <row r="253">
      <c r="A253" s="3" t="inlineStr">
        <is>
          <t>003813</t>
        </is>
      </c>
      <c r="B253" s="5">
        <f>COUNTIF('Entetes_TriNumInterne'!$C$2:$C$1154,A253)</f>
        <v/>
      </c>
    </row>
    <row r="254">
      <c r="A254" s="3" t="inlineStr">
        <is>
          <t>003814</t>
        </is>
      </c>
      <c r="B254" s="5">
        <f>COUNTIF('Entetes_TriNumInterne'!$C$2:$C$1154,A254)</f>
        <v/>
      </c>
    </row>
    <row r="255">
      <c r="A255" s="3" t="inlineStr">
        <is>
          <t>003815</t>
        </is>
      </c>
      <c r="B255" s="5">
        <f>COUNTIF('Entetes_TriNumInterne'!$C$2:$C$1154,A255)</f>
        <v/>
      </c>
    </row>
    <row r="256">
      <c r="A256" s="3" t="inlineStr">
        <is>
          <t>003816</t>
        </is>
      </c>
      <c r="B256" s="5">
        <f>COUNTIF('Entetes_TriNumInterne'!$C$2:$C$1154,A256)</f>
        <v/>
      </c>
    </row>
    <row r="257">
      <c r="A257" s="3" t="inlineStr">
        <is>
          <t>003817</t>
        </is>
      </c>
      <c r="B257" s="5">
        <f>COUNTIF('Entetes_TriNumInterne'!$C$2:$C$1154,A257)</f>
        <v/>
      </c>
    </row>
    <row r="258">
      <c r="A258" s="3" t="inlineStr">
        <is>
          <t>003818</t>
        </is>
      </c>
      <c r="B258" s="5">
        <f>COUNTIF('Entetes_TriNumInterne'!$C$2:$C$1154,A258)</f>
        <v/>
      </c>
    </row>
    <row r="259">
      <c r="A259" s="3" t="inlineStr">
        <is>
          <t>003819</t>
        </is>
      </c>
      <c r="B259" s="5">
        <f>COUNTIF('Entetes_TriNumInterne'!$C$2:$C$1154,A259)</f>
        <v/>
      </c>
    </row>
    <row r="260">
      <c r="A260" s="3" t="inlineStr">
        <is>
          <t>003820</t>
        </is>
      </c>
      <c r="B260" s="5">
        <f>COUNTIF('Entetes_TriNumInterne'!$C$2:$C$1154,A260)</f>
        <v/>
      </c>
    </row>
    <row r="261">
      <c r="A261" s="3" t="inlineStr">
        <is>
          <t>003821</t>
        </is>
      </c>
      <c r="B261" s="5">
        <f>COUNTIF('Entetes_TriNumInterne'!$C$2:$C$1154,A261)</f>
        <v/>
      </c>
    </row>
    <row r="262">
      <c r="A262" s="3" t="inlineStr">
        <is>
          <t>003822</t>
        </is>
      </c>
      <c r="B262" s="5">
        <f>COUNTIF('Entetes_TriNumInterne'!$C$2:$C$1154,A262)</f>
        <v/>
      </c>
    </row>
    <row r="263">
      <c r="A263" s="3" t="inlineStr">
        <is>
          <t>003823</t>
        </is>
      </c>
      <c r="B263" s="5">
        <f>COUNTIF('Entetes_TriNumInterne'!$C$2:$C$1154,A263)</f>
        <v/>
      </c>
    </row>
    <row r="264">
      <c r="A264" s="3" t="inlineStr">
        <is>
          <t>003824</t>
        </is>
      </c>
      <c r="B264" s="5">
        <f>COUNTIF('Entetes_TriNumInterne'!$C$2:$C$1154,A264)</f>
        <v/>
      </c>
    </row>
    <row r="265">
      <c r="A265" s="3" t="inlineStr">
        <is>
          <t>003825</t>
        </is>
      </c>
      <c r="B265" s="5">
        <f>COUNTIF('Entetes_TriNumInterne'!$C$2:$C$1154,A265)</f>
        <v/>
      </c>
    </row>
    <row r="266">
      <c r="A266" s="3" t="inlineStr">
        <is>
          <t>003826</t>
        </is>
      </c>
      <c r="B266" s="5">
        <f>COUNTIF('Entetes_TriNumInterne'!$C$2:$C$1154,A266)</f>
        <v/>
      </c>
    </row>
    <row r="267">
      <c r="A267" s="3" t="inlineStr">
        <is>
          <t>003827</t>
        </is>
      </c>
      <c r="B267" s="5">
        <f>COUNTIF('Entetes_TriNumInterne'!$C$2:$C$1154,A267)</f>
        <v/>
      </c>
    </row>
    <row r="268">
      <c r="A268" s="3" t="inlineStr">
        <is>
          <t>003828</t>
        </is>
      </c>
      <c r="B268" s="5">
        <f>COUNTIF('Entetes_TriNumInterne'!$C$2:$C$1154,A268)</f>
        <v/>
      </c>
    </row>
    <row r="269">
      <c r="A269" s="3" t="inlineStr">
        <is>
          <t>003829</t>
        </is>
      </c>
      <c r="B269" s="5">
        <f>COUNTIF('Entetes_TriNumInterne'!$C$2:$C$1154,A269)</f>
        <v/>
      </c>
    </row>
    <row r="270">
      <c r="A270" s="3" t="inlineStr">
        <is>
          <t>003830</t>
        </is>
      </c>
      <c r="B270" s="5">
        <f>COUNTIF('Entetes_TriNumInterne'!$C$2:$C$1154,A270)</f>
        <v/>
      </c>
    </row>
    <row r="271">
      <c r="A271" s="3" t="inlineStr">
        <is>
          <t>003831</t>
        </is>
      </c>
      <c r="B271" s="5">
        <f>COUNTIF('Entetes_TriNumInterne'!$C$2:$C$1154,A271)</f>
        <v/>
      </c>
    </row>
    <row r="272">
      <c r="A272" s="3" t="inlineStr">
        <is>
          <t>003832</t>
        </is>
      </c>
      <c r="B272" s="5">
        <f>COUNTIF('Entetes_TriNumInterne'!$C$2:$C$1154,A272)</f>
        <v/>
      </c>
    </row>
    <row r="273">
      <c r="A273" s="3" t="inlineStr">
        <is>
          <t>003833</t>
        </is>
      </c>
      <c r="B273" s="5">
        <f>COUNTIF('Entetes_TriNumInterne'!$C$2:$C$1154,A273)</f>
        <v/>
      </c>
    </row>
    <row r="274">
      <c r="A274" s="3" t="inlineStr">
        <is>
          <t>003834</t>
        </is>
      </c>
      <c r="B274" s="5">
        <f>COUNTIF('Entetes_TriNumInterne'!$C$2:$C$1154,A274)</f>
        <v/>
      </c>
    </row>
    <row r="275">
      <c r="A275" s="3" t="inlineStr">
        <is>
          <t>003835</t>
        </is>
      </c>
      <c r="B275" s="5">
        <f>COUNTIF('Entetes_TriNumInterne'!$C$2:$C$1154,A275)</f>
        <v/>
      </c>
    </row>
    <row r="276">
      <c r="A276" s="3" t="inlineStr">
        <is>
          <t>003836</t>
        </is>
      </c>
      <c r="B276" s="5">
        <f>COUNTIF('Entetes_TriNumInterne'!$C$2:$C$1154,A276)</f>
        <v/>
      </c>
    </row>
    <row r="277">
      <c r="A277" s="3" t="inlineStr">
        <is>
          <t>003837</t>
        </is>
      </c>
      <c r="B277" s="5">
        <f>COUNTIF('Entetes_TriNumInterne'!$C$2:$C$1154,A277)</f>
        <v/>
      </c>
    </row>
    <row r="278">
      <c r="A278" s="3" t="inlineStr">
        <is>
          <t>003838</t>
        </is>
      </c>
      <c r="B278" s="5">
        <f>COUNTIF('Entetes_TriNumInterne'!$C$2:$C$1154,A278)</f>
        <v/>
      </c>
    </row>
    <row r="279">
      <c r="A279" s="3" t="inlineStr">
        <is>
          <t>003839</t>
        </is>
      </c>
      <c r="B279" s="5">
        <f>COUNTIF('Entetes_TriNumInterne'!$C$2:$C$1154,A279)</f>
        <v/>
      </c>
    </row>
    <row r="280">
      <c r="A280" s="3" t="inlineStr">
        <is>
          <t>003840</t>
        </is>
      </c>
      <c r="B280" s="5">
        <f>COUNTIF('Entetes_TriNumInterne'!$C$2:$C$1154,A280)</f>
        <v/>
      </c>
    </row>
    <row r="281">
      <c r="A281" s="3" t="inlineStr">
        <is>
          <t>003841</t>
        </is>
      </c>
      <c r="B281" s="5">
        <f>COUNTIF('Entetes_TriNumInterne'!$C$2:$C$1154,A281)</f>
        <v/>
      </c>
    </row>
    <row r="282">
      <c r="A282" s="3" t="inlineStr">
        <is>
          <t>003842</t>
        </is>
      </c>
      <c r="B282" s="5">
        <f>COUNTIF('Entetes_TriNumInterne'!$C$2:$C$1154,A282)</f>
        <v/>
      </c>
    </row>
    <row r="283">
      <c r="A283" s="3" t="inlineStr">
        <is>
          <t>003843</t>
        </is>
      </c>
      <c r="B283" s="5">
        <f>COUNTIF('Entetes_TriNumInterne'!$C$2:$C$1154,A283)</f>
        <v/>
      </c>
    </row>
    <row r="284">
      <c r="A284" s="3" t="inlineStr">
        <is>
          <t>003844</t>
        </is>
      </c>
      <c r="B284" s="5">
        <f>COUNTIF('Entetes_TriNumInterne'!$C$2:$C$1154,A284)</f>
        <v/>
      </c>
    </row>
    <row r="285">
      <c r="A285" s="3" t="inlineStr">
        <is>
          <t>003845</t>
        </is>
      </c>
      <c r="B285" s="5">
        <f>COUNTIF('Entetes_TriNumInterne'!$C$2:$C$1154,A285)</f>
        <v/>
      </c>
    </row>
    <row r="286">
      <c r="A286" s="3" t="inlineStr">
        <is>
          <t>003846</t>
        </is>
      </c>
      <c r="B286" s="5">
        <f>COUNTIF('Entetes_TriNumInterne'!$C$2:$C$1154,A286)</f>
        <v/>
      </c>
    </row>
    <row r="287">
      <c r="A287" s="3" t="inlineStr">
        <is>
          <t>003847</t>
        </is>
      </c>
      <c r="B287" s="5">
        <f>COUNTIF('Entetes_TriNumInterne'!$C$2:$C$1154,A287)</f>
        <v/>
      </c>
    </row>
    <row r="288">
      <c r="A288" s="3" t="inlineStr">
        <is>
          <t>003848</t>
        </is>
      </c>
      <c r="B288" s="5">
        <f>COUNTIF('Entetes_TriNumInterne'!$C$2:$C$1154,A288)</f>
        <v/>
      </c>
    </row>
    <row r="289">
      <c r="A289" s="3" t="inlineStr">
        <is>
          <t>003849</t>
        </is>
      </c>
      <c r="B289" s="5">
        <f>COUNTIF('Entetes_TriNumInterne'!$C$2:$C$1154,A289)</f>
        <v/>
      </c>
    </row>
    <row r="290">
      <c r="A290" s="3" t="inlineStr">
        <is>
          <t>003850</t>
        </is>
      </c>
      <c r="B290" s="5">
        <f>COUNTIF('Entetes_TriNumInterne'!$C$2:$C$1154,A290)</f>
        <v/>
      </c>
    </row>
    <row r="291">
      <c r="A291" s="3" t="inlineStr">
        <is>
          <t>003851</t>
        </is>
      </c>
      <c r="B291" s="5">
        <f>COUNTIF('Entetes_TriNumInterne'!$C$2:$C$1154,A291)</f>
        <v/>
      </c>
    </row>
    <row r="292">
      <c r="A292" s="3" t="inlineStr">
        <is>
          <t>003852</t>
        </is>
      </c>
      <c r="B292" s="5">
        <f>COUNTIF('Entetes_TriNumInterne'!$C$2:$C$1154,A292)</f>
        <v/>
      </c>
    </row>
    <row r="293">
      <c r="A293" s="3" t="inlineStr">
        <is>
          <t>003853</t>
        </is>
      </c>
      <c r="B293" s="5">
        <f>COUNTIF('Entetes_TriNumInterne'!$C$2:$C$1154,A293)</f>
        <v/>
      </c>
    </row>
    <row r="294">
      <c r="A294" s="3" t="inlineStr">
        <is>
          <t>003854</t>
        </is>
      </c>
      <c r="B294" s="5">
        <f>COUNTIF('Entetes_TriNumInterne'!$C$2:$C$1154,A294)</f>
        <v/>
      </c>
    </row>
    <row r="295">
      <c r="A295" s="3" t="inlineStr">
        <is>
          <t>003855</t>
        </is>
      </c>
      <c r="B295" s="5">
        <f>COUNTIF('Entetes_TriNumInterne'!$C$2:$C$1154,A295)</f>
        <v/>
      </c>
    </row>
    <row r="296">
      <c r="A296" s="3" t="inlineStr">
        <is>
          <t>003856</t>
        </is>
      </c>
      <c r="B296" s="5">
        <f>COUNTIF('Entetes_TriNumInterne'!$C$2:$C$1154,A296)</f>
        <v/>
      </c>
    </row>
    <row r="297">
      <c r="A297" s="3" t="inlineStr">
        <is>
          <t>003857</t>
        </is>
      </c>
      <c r="B297" s="5">
        <f>COUNTIF('Entetes_TriNumInterne'!$C$2:$C$1154,A297)</f>
        <v/>
      </c>
    </row>
    <row r="298">
      <c r="A298" s="3" t="inlineStr">
        <is>
          <t>003858</t>
        </is>
      </c>
      <c r="B298" s="5">
        <f>COUNTIF('Entetes_TriNumInterne'!$C$2:$C$1154,A298)</f>
        <v/>
      </c>
    </row>
    <row r="299">
      <c r="A299" s="3" t="inlineStr">
        <is>
          <t>003859</t>
        </is>
      </c>
      <c r="B299" s="5">
        <f>COUNTIF('Entetes_TriNumInterne'!$C$2:$C$1154,A299)</f>
        <v/>
      </c>
    </row>
    <row r="300">
      <c r="A300" s="3" t="inlineStr">
        <is>
          <t>003860</t>
        </is>
      </c>
      <c r="B300" s="5">
        <f>COUNTIF('Entetes_TriNumInterne'!$C$2:$C$1154,A300)</f>
        <v/>
      </c>
    </row>
    <row r="301">
      <c r="A301" s="3" t="inlineStr">
        <is>
          <t>003861</t>
        </is>
      </c>
      <c r="B301" s="5">
        <f>COUNTIF('Entetes_TriNumInterne'!$C$2:$C$1154,A301)</f>
        <v/>
      </c>
    </row>
    <row r="302">
      <c r="A302" s="3" t="inlineStr">
        <is>
          <t>003862</t>
        </is>
      </c>
      <c r="B302" s="5">
        <f>COUNTIF('Entetes_TriNumInterne'!$C$2:$C$1154,A302)</f>
        <v/>
      </c>
    </row>
    <row r="303">
      <c r="A303" s="3" t="inlineStr">
        <is>
          <t>003863</t>
        </is>
      </c>
      <c r="B303" s="5">
        <f>COUNTIF('Entetes_TriNumInterne'!$C$2:$C$1154,A303)</f>
        <v/>
      </c>
    </row>
    <row r="304">
      <c r="A304" s="3" t="inlineStr">
        <is>
          <t>003864</t>
        </is>
      </c>
      <c r="B304" s="5">
        <f>COUNTIF('Entetes_TriNumInterne'!$C$2:$C$1154,A304)</f>
        <v/>
      </c>
    </row>
    <row r="305">
      <c r="A305" s="3" t="inlineStr">
        <is>
          <t>003865</t>
        </is>
      </c>
      <c r="B305" s="5">
        <f>COUNTIF('Entetes_TriNumInterne'!$C$2:$C$1154,A305)</f>
        <v/>
      </c>
    </row>
    <row r="306">
      <c r="A306" s="3" t="inlineStr">
        <is>
          <t>003866</t>
        </is>
      </c>
      <c r="B306" s="5">
        <f>COUNTIF('Entetes_TriNumInterne'!$C$2:$C$1154,A306)</f>
        <v/>
      </c>
    </row>
    <row r="307">
      <c r="A307" s="3" t="inlineStr">
        <is>
          <t>003867</t>
        </is>
      </c>
      <c r="B307" s="5">
        <f>COUNTIF('Entetes_TriNumInterne'!$C$2:$C$1154,A307)</f>
        <v/>
      </c>
    </row>
    <row r="308">
      <c r="A308" s="3" t="inlineStr">
        <is>
          <t>003868</t>
        </is>
      </c>
      <c r="B308" s="5">
        <f>COUNTIF('Entetes_TriNumInterne'!$C$2:$C$1154,A308)</f>
        <v/>
      </c>
    </row>
    <row r="309">
      <c r="A309" s="3" t="inlineStr">
        <is>
          <t>003869</t>
        </is>
      </c>
      <c r="B309" s="5">
        <f>COUNTIF('Entetes_TriNumInterne'!$C$2:$C$1154,A309)</f>
        <v/>
      </c>
    </row>
    <row r="310">
      <c r="A310" s="3" t="inlineStr">
        <is>
          <t>003870</t>
        </is>
      </c>
      <c r="B310" s="5">
        <f>COUNTIF('Entetes_TriNumInterne'!$C$2:$C$1154,A310)</f>
        <v/>
      </c>
    </row>
    <row r="311">
      <c r="A311" s="3" t="inlineStr">
        <is>
          <t>003871</t>
        </is>
      </c>
      <c r="B311" s="5">
        <f>COUNTIF('Entetes_TriNumInterne'!$C$2:$C$1154,A311)</f>
        <v/>
      </c>
    </row>
    <row r="312">
      <c r="A312" s="3" t="inlineStr">
        <is>
          <t>003872</t>
        </is>
      </c>
      <c r="B312" s="5">
        <f>COUNTIF('Entetes_TriNumInterne'!$C$2:$C$1154,A312)</f>
        <v/>
      </c>
    </row>
    <row r="313">
      <c r="A313" s="3" t="inlineStr">
        <is>
          <t>003873</t>
        </is>
      </c>
      <c r="B313" s="5">
        <f>COUNTIF('Entetes_TriNumInterne'!$C$2:$C$1154,A313)</f>
        <v/>
      </c>
    </row>
    <row r="314">
      <c r="A314" s="3" t="inlineStr">
        <is>
          <t>003874</t>
        </is>
      </c>
      <c r="B314" s="5">
        <f>COUNTIF('Entetes_TriNumInterne'!$C$2:$C$1154,A314)</f>
        <v/>
      </c>
    </row>
    <row r="315">
      <c r="A315" s="3" t="inlineStr">
        <is>
          <t>003875</t>
        </is>
      </c>
      <c r="B315" s="5">
        <f>COUNTIF('Entetes_TriNumInterne'!$C$2:$C$1154,A315)</f>
        <v/>
      </c>
    </row>
    <row r="316">
      <c r="A316" s="3" t="inlineStr">
        <is>
          <t>003876</t>
        </is>
      </c>
      <c r="B316" s="5">
        <f>COUNTIF('Entetes_TriNumInterne'!$C$2:$C$1154,A316)</f>
        <v/>
      </c>
    </row>
    <row r="317">
      <c r="A317" s="3" t="inlineStr">
        <is>
          <t>003877</t>
        </is>
      </c>
      <c r="B317" s="5">
        <f>COUNTIF('Entetes_TriNumInterne'!$C$2:$C$1154,A317)</f>
        <v/>
      </c>
    </row>
    <row r="318">
      <c r="A318" s="3" t="inlineStr">
        <is>
          <t>003878</t>
        </is>
      </c>
      <c r="B318" s="5">
        <f>COUNTIF('Entetes_TriNumInterne'!$C$2:$C$1154,A318)</f>
        <v/>
      </c>
    </row>
    <row r="319">
      <c r="A319" s="3" t="inlineStr">
        <is>
          <t>003879</t>
        </is>
      </c>
      <c r="B319" s="5">
        <f>COUNTIF('Entetes_TriNumInterne'!$C$2:$C$1154,A319)</f>
        <v/>
      </c>
    </row>
    <row r="320">
      <c r="A320" s="3" t="inlineStr">
        <is>
          <t>003880</t>
        </is>
      </c>
      <c r="B320" s="5">
        <f>COUNTIF('Entetes_TriNumInterne'!$C$2:$C$1154,A320)</f>
        <v/>
      </c>
    </row>
    <row r="321">
      <c r="A321" s="3" t="inlineStr">
        <is>
          <t>003881</t>
        </is>
      </c>
      <c r="B321" s="5">
        <f>COUNTIF('Entetes_TriNumInterne'!$C$2:$C$1154,A321)</f>
        <v/>
      </c>
    </row>
    <row r="322">
      <c r="A322" s="3" t="inlineStr">
        <is>
          <t>003882</t>
        </is>
      </c>
      <c r="B322" s="5">
        <f>COUNTIF('Entetes_TriNumInterne'!$C$2:$C$1154,A322)</f>
        <v/>
      </c>
    </row>
    <row r="323">
      <c r="A323" s="3" t="inlineStr">
        <is>
          <t>003883</t>
        </is>
      </c>
      <c r="B323" s="5">
        <f>COUNTIF('Entetes_TriNumInterne'!$C$2:$C$1154,A323)</f>
        <v/>
      </c>
    </row>
    <row r="324">
      <c r="A324" s="3" t="inlineStr">
        <is>
          <t>003884</t>
        </is>
      </c>
      <c r="B324" s="5">
        <f>COUNTIF('Entetes_TriNumInterne'!$C$2:$C$1154,A324)</f>
        <v/>
      </c>
    </row>
    <row r="325">
      <c r="A325" s="3" t="inlineStr">
        <is>
          <t>003885</t>
        </is>
      </c>
      <c r="B325" s="5">
        <f>COUNTIF('Entetes_TriNumInterne'!$C$2:$C$1154,A325)</f>
        <v/>
      </c>
    </row>
    <row r="326">
      <c r="A326" s="3" t="inlineStr">
        <is>
          <t>003886</t>
        </is>
      </c>
      <c r="B326" s="5">
        <f>COUNTIF('Entetes_TriNumInterne'!$C$2:$C$1154,A326)</f>
        <v/>
      </c>
    </row>
    <row r="327">
      <c r="A327" s="3" t="inlineStr">
        <is>
          <t>003887</t>
        </is>
      </c>
      <c r="B327" s="5">
        <f>COUNTIF('Entetes_TriNumInterne'!$C$2:$C$1154,A327)</f>
        <v/>
      </c>
    </row>
    <row r="328">
      <c r="A328" s="3" t="inlineStr">
        <is>
          <t>003888</t>
        </is>
      </c>
      <c r="B328" s="5">
        <f>COUNTIF('Entetes_TriNumInterne'!$C$2:$C$1154,A328)</f>
        <v/>
      </c>
    </row>
    <row r="329">
      <c r="A329" s="3" t="inlineStr">
        <is>
          <t>003889</t>
        </is>
      </c>
      <c r="B329" s="5">
        <f>COUNTIF('Entetes_TriNumInterne'!$C$2:$C$1154,A329)</f>
        <v/>
      </c>
    </row>
    <row r="330">
      <c r="A330" s="3" t="inlineStr">
        <is>
          <t>003890</t>
        </is>
      </c>
      <c r="B330" s="5">
        <f>COUNTIF('Entetes_TriNumInterne'!$C$2:$C$1154,A330)</f>
        <v/>
      </c>
    </row>
    <row r="331">
      <c r="A331" s="3" t="inlineStr">
        <is>
          <t>003891</t>
        </is>
      </c>
      <c r="B331" s="5">
        <f>COUNTIF('Entetes_TriNumInterne'!$C$2:$C$1154,A331)</f>
        <v/>
      </c>
    </row>
    <row r="332">
      <c r="A332" s="3" t="inlineStr">
        <is>
          <t>003892</t>
        </is>
      </c>
      <c r="B332" s="5">
        <f>COUNTIF('Entetes_TriNumInterne'!$C$2:$C$1154,A332)</f>
        <v/>
      </c>
    </row>
    <row r="333">
      <c r="A333" s="3" t="inlineStr">
        <is>
          <t>003893</t>
        </is>
      </c>
      <c r="B333" s="5">
        <f>COUNTIF('Entetes_TriNumInterne'!$C$2:$C$1154,A333)</f>
        <v/>
      </c>
    </row>
    <row r="334">
      <c r="A334" s="3" t="inlineStr">
        <is>
          <t>003894</t>
        </is>
      </c>
      <c r="B334" s="5">
        <f>COUNTIF('Entetes_TriNumInterne'!$C$2:$C$1154,A334)</f>
        <v/>
      </c>
    </row>
    <row r="335">
      <c r="A335" s="3" t="inlineStr">
        <is>
          <t>003895</t>
        </is>
      </c>
      <c r="B335" s="5">
        <f>COUNTIF('Entetes_TriNumInterne'!$C$2:$C$1154,A335)</f>
        <v/>
      </c>
    </row>
    <row r="336">
      <c r="A336" s="3" t="inlineStr">
        <is>
          <t>003896</t>
        </is>
      </c>
      <c r="B336" s="5">
        <f>COUNTIF('Entetes_TriNumInterne'!$C$2:$C$1154,A336)</f>
        <v/>
      </c>
    </row>
    <row r="337">
      <c r="A337" s="3" t="inlineStr">
        <is>
          <t>003897</t>
        </is>
      </c>
      <c r="B337" s="5">
        <f>COUNTIF('Entetes_TriNumInterne'!$C$2:$C$1154,A337)</f>
        <v/>
      </c>
    </row>
    <row r="338">
      <c r="A338" s="3" t="inlineStr">
        <is>
          <t>003898</t>
        </is>
      </c>
      <c r="B338" s="5">
        <f>COUNTIF('Entetes_TriNumInterne'!$C$2:$C$1154,A338)</f>
        <v/>
      </c>
    </row>
    <row r="339">
      <c r="A339" s="3" t="inlineStr">
        <is>
          <t>003899</t>
        </is>
      </c>
      <c r="B339" s="5">
        <f>COUNTIF('Entetes_TriNumInterne'!$C$2:$C$1154,A339)</f>
        <v/>
      </c>
    </row>
    <row r="340">
      <c r="A340" s="3" t="inlineStr">
        <is>
          <t>003900</t>
        </is>
      </c>
      <c r="B340" s="5">
        <f>COUNTIF('Entetes_TriNumInterne'!$C$2:$C$1154,A340)</f>
        <v/>
      </c>
    </row>
    <row r="341">
      <c r="A341" s="3" t="inlineStr">
        <is>
          <t>003901</t>
        </is>
      </c>
      <c r="B341" s="5">
        <f>COUNTIF('Entetes_TriNumInterne'!$C$2:$C$1154,A341)</f>
        <v/>
      </c>
    </row>
    <row r="342">
      <c r="A342" s="3" t="inlineStr">
        <is>
          <t>003902</t>
        </is>
      </c>
      <c r="B342" s="5">
        <f>COUNTIF('Entetes_TriNumInterne'!$C$2:$C$1154,A342)</f>
        <v/>
      </c>
    </row>
    <row r="343">
      <c r="A343" s="3" t="inlineStr">
        <is>
          <t>003903</t>
        </is>
      </c>
      <c r="B343" s="5">
        <f>COUNTIF('Entetes_TriNumInterne'!$C$2:$C$1154,A343)</f>
        <v/>
      </c>
    </row>
    <row r="344">
      <c r="A344" s="3" t="inlineStr">
        <is>
          <t>003904</t>
        </is>
      </c>
      <c r="B344" s="5">
        <f>COUNTIF('Entetes_TriNumInterne'!$C$2:$C$1154,A344)</f>
        <v/>
      </c>
    </row>
    <row r="345">
      <c r="A345" s="3" t="inlineStr">
        <is>
          <t>003905</t>
        </is>
      </c>
      <c r="B345" s="5">
        <f>COUNTIF('Entetes_TriNumInterne'!$C$2:$C$1154,A345)</f>
        <v/>
      </c>
    </row>
    <row r="346">
      <c r="A346" s="3" t="inlineStr">
        <is>
          <t>003906</t>
        </is>
      </c>
      <c r="B346" s="5">
        <f>COUNTIF('Entetes_TriNumInterne'!$C$2:$C$1154,A346)</f>
        <v/>
      </c>
    </row>
    <row r="347">
      <c r="A347" s="3" t="inlineStr">
        <is>
          <t>003907</t>
        </is>
      </c>
      <c r="B347" s="5">
        <f>COUNTIF('Entetes_TriNumInterne'!$C$2:$C$1154,A347)</f>
        <v/>
      </c>
    </row>
    <row r="348">
      <c r="A348" s="3" t="inlineStr">
        <is>
          <t>003908</t>
        </is>
      </c>
      <c r="B348" s="5">
        <f>COUNTIF('Entetes_TriNumInterne'!$C$2:$C$1154,A348)</f>
        <v/>
      </c>
    </row>
    <row r="349">
      <c r="A349" s="3" t="inlineStr">
        <is>
          <t>003909</t>
        </is>
      </c>
      <c r="B349" s="5">
        <f>COUNTIF('Entetes_TriNumInterne'!$C$2:$C$1154,A349)</f>
        <v/>
      </c>
    </row>
    <row r="350">
      <c r="A350" s="3" t="inlineStr">
        <is>
          <t>003910</t>
        </is>
      </c>
      <c r="B350" s="5">
        <f>COUNTIF('Entetes_TriNumInterne'!$C$2:$C$1154,A350)</f>
        <v/>
      </c>
    </row>
    <row r="351">
      <c r="A351" s="3" t="inlineStr">
        <is>
          <t>003911</t>
        </is>
      </c>
      <c r="B351" s="5">
        <f>COUNTIF('Entetes_TriNumInterne'!$C$2:$C$1154,A351)</f>
        <v/>
      </c>
    </row>
    <row r="352">
      <c r="A352" s="3" t="inlineStr">
        <is>
          <t>003912</t>
        </is>
      </c>
      <c r="B352" s="5">
        <f>COUNTIF('Entetes_TriNumInterne'!$C$2:$C$1154,A352)</f>
        <v/>
      </c>
    </row>
    <row r="353">
      <c r="A353" s="3" t="inlineStr">
        <is>
          <t>003913</t>
        </is>
      </c>
      <c r="B353" s="5">
        <f>COUNTIF('Entetes_TriNumInterne'!$C$2:$C$1154,A353)</f>
        <v/>
      </c>
    </row>
    <row r="354">
      <c r="A354" s="3" t="inlineStr">
        <is>
          <t>003914</t>
        </is>
      </c>
      <c r="B354" s="5">
        <f>COUNTIF('Entetes_TriNumInterne'!$C$2:$C$1154,A354)</f>
        <v/>
      </c>
    </row>
    <row r="355">
      <c r="A355" s="3" t="inlineStr">
        <is>
          <t>003915</t>
        </is>
      </c>
      <c r="B355" s="5">
        <f>COUNTIF('Entetes_TriNumInterne'!$C$2:$C$1154,A355)</f>
        <v/>
      </c>
    </row>
    <row r="356">
      <c r="A356" s="3" t="inlineStr">
        <is>
          <t>003916</t>
        </is>
      </c>
      <c r="B356" s="5">
        <f>COUNTIF('Entetes_TriNumInterne'!$C$2:$C$1154,A356)</f>
        <v/>
      </c>
    </row>
    <row r="357">
      <c r="A357" s="3" t="inlineStr">
        <is>
          <t>003917</t>
        </is>
      </c>
      <c r="B357" s="5">
        <f>COUNTIF('Entetes_TriNumInterne'!$C$2:$C$1154,A357)</f>
        <v/>
      </c>
    </row>
    <row r="358">
      <c r="A358" s="3" t="inlineStr">
        <is>
          <t>003918</t>
        </is>
      </c>
      <c r="B358" s="5">
        <f>COUNTIF('Entetes_TriNumInterne'!$C$2:$C$1154,A358)</f>
        <v/>
      </c>
    </row>
    <row r="359">
      <c r="A359" s="3" t="inlineStr">
        <is>
          <t>003919</t>
        </is>
      </c>
      <c r="B359" s="5">
        <f>COUNTIF('Entetes_TriNumInterne'!$C$2:$C$1154,A359)</f>
        <v/>
      </c>
    </row>
    <row r="360">
      <c r="A360" s="3" t="inlineStr">
        <is>
          <t>003920</t>
        </is>
      </c>
      <c r="B360" s="5">
        <f>COUNTIF('Entetes_TriNumInterne'!$C$2:$C$1154,A360)</f>
        <v/>
      </c>
    </row>
    <row r="361">
      <c r="A361" s="3" t="inlineStr">
        <is>
          <t>003921</t>
        </is>
      </c>
      <c r="B361" s="5">
        <f>COUNTIF('Entetes_TriNumInterne'!$C$2:$C$1154,A361)</f>
        <v/>
      </c>
    </row>
    <row r="362">
      <c r="A362" s="3" t="inlineStr">
        <is>
          <t>003922</t>
        </is>
      </c>
      <c r="B362" s="5">
        <f>COUNTIF('Entetes_TriNumInterne'!$C$2:$C$1154,A362)</f>
        <v/>
      </c>
    </row>
    <row r="363">
      <c r="A363" s="3" t="inlineStr">
        <is>
          <t>003923</t>
        </is>
      </c>
      <c r="B363" s="5">
        <f>COUNTIF('Entetes_TriNumInterne'!$C$2:$C$1154,A363)</f>
        <v/>
      </c>
    </row>
    <row r="364">
      <c r="A364" s="3" t="inlineStr">
        <is>
          <t>003924</t>
        </is>
      </c>
      <c r="B364" s="5">
        <f>COUNTIF('Entetes_TriNumInterne'!$C$2:$C$1154,A364)</f>
        <v/>
      </c>
    </row>
    <row r="365">
      <c r="A365" s="3" t="inlineStr">
        <is>
          <t>003925</t>
        </is>
      </c>
      <c r="B365" s="5">
        <f>COUNTIF('Entetes_TriNumInterne'!$C$2:$C$1154,A365)</f>
        <v/>
      </c>
    </row>
    <row r="366">
      <c r="A366" s="3" t="inlineStr">
        <is>
          <t>003926</t>
        </is>
      </c>
      <c r="B366" s="5">
        <f>COUNTIF('Entetes_TriNumInterne'!$C$2:$C$1154,A366)</f>
        <v/>
      </c>
    </row>
    <row r="367">
      <c r="A367" s="3" t="inlineStr">
        <is>
          <t>003927</t>
        </is>
      </c>
      <c r="B367" s="5">
        <f>COUNTIF('Entetes_TriNumInterne'!$C$2:$C$1154,A367)</f>
        <v/>
      </c>
    </row>
    <row r="368">
      <c r="A368" s="3" t="inlineStr">
        <is>
          <t>003928</t>
        </is>
      </c>
      <c r="B368" s="5">
        <f>COUNTIF('Entetes_TriNumInterne'!$C$2:$C$1154,A368)</f>
        <v/>
      </c>
    </row>
    <row r="369">
      <c r="A369" s="3" t="inlineStr">
        <is>
          <t>003929</t>
        </is>
      </c>
      <c r="B369" s="5">
        <f>COUNTIF('Entetes_TriNumInterne'!$C$2:$C$1154,A369)</f>
        <v/>
      </c>
    </row>
    <row r="370">
      <c r="A370" s="3" t="inlineStr">
        <is>
          <t>003930</t>
        </is>
      </c>
      <c r="B370" s="5">
        <f>COUNTIF('Entetes_TriNumInterne'!$C$2:$C$1154,A370)</f>
        <v/>
      </c>
    </row>
    <row r="371">
      <c r="A371" s="3" t="inlineStr">
        <is>
          <t>003931</t>
        </is>
      </c>
      <c r="B371" s="5">
        <f>COUNTIF('Entetes_TriNumInterne'!$C$2:$C$1154,A371)</f>
        <v/>
      </c>
    </row>
    <row r="372">
      <c r="A372" s="3" t="inlineStr">
        <is>
          <t>003932</t>
        </is>
      </c>
      <c r="B372" s="5">
        <f>COUNTIF('Entetes_TriNumInterne'!$C$2:$C$1154,A372)</f>
        <v/>
      </c>
    </row>
    <row r="373">
      <c r="A373" s="3" t="inlineStr">
        <is>
          <t>003933</t>
        </is>
      </c>
      <c r="B373" s="5">
        <f>COUNTIF('Entetes_TriNumInterne'!$C$2:$C$1154,A373)</f>
        <v/>
      </c>
    </row>
    <row r="374">
      <c r="A374" s="3" t="inlineStr">
        <is>
          <t>003934</t>
        </is>
      </c>
      <c r="B374" s="5">
        <f>COUNTIF('Entetes_TriNumInterne'!$C$2:$C$1154,A374)</f>
        <v/>
      </c>
    </row>
    <row r="375">
      <c r="A375" s="3" t="inlineStr">
        <is>
          <t>003935</t>
        </is>
      </c>
      <c r="B375" s="5">
        <f>COUNTIF('Entetes_TriNumInterne'!$C$2:$C$1154,A375)</f>
        <v/>
      </c>
    </row>
    <row r="376">
      <c r="A376" s="3" t="inlineStr">
        <is>
          <t>003936</t>
        </is>
      </c>
      <c r="B376" s="5">
        <f>COUNTIF('Entetes_TriNumInterne'!$C$2:$C$1154,A376)</f>
        <v/>
      </c>
    </row>
    <row r="377">
      <c r="A377" s="3" t="inlineStr">
        <is>
          <t>003937</t>
        </is>
      </c>
      <c r="B377" s="5">
        <f>COUNTIF('Entetes_TriNumInterne'!$C$2:$C$1154,A377)</f>
        <v/>
      </c>
    </row>
    <row r="378">
      <c r="A378" s="3" t="inlineStr">
        <is>
          <t>003938</t>
        </is>
      </c>
      <c r="B378" s="5">
        <f>COUNTIF('Entetes_TriNumInterne'!$C$2:$C$1154,A378)</f>
        <v/>
      </c>
    </row>
    <row r="379">
      <c r="A379" s="3" t="inlineStr">
        <is>
          <t>003939</t>
        </is>
      </c>
      <c r="B379" s="5">
        <f>COUNTIF('Entetes_TriNumInterne'!$C$2:$C$1154,A379)</f>
        <v/>
      </c>
    </row>
    <row r="380">
      <c r="A380" s="3" t="inlineStr">
        <is>
          <t>003940</t>
        </is>
      </c>
      <c r="B380" s="5">
        <f>COUNTIF('Entetes_TriNumInterne'!$C$2:$C$1154,A380)</f>
        <v/>
      </c>
    </row>
    <row r="381">
      <c r="A381" s="3" t="inlineStr">
        <is>
          <t>003941</t>
        </is>
      </c>
      <c r="B381" s="5">
        <f>COUNTIF('Entetes_TriNumInterne'!$C$2:$C$1154,A381)</f>
        <v/>
      </c>
    </row>
    <row r="382">
      <c r="A382" s="3" t="inlineStr">
        <is>
          <t>003942</t>
        </is>
      </c>
      <c r="B382" s="5">
        <f>COUNTIF('Entetes_TriNumInterne'!$C$2:$C$1154,A382)</f>
        <v/>
      </c>
    </row>
    <row r="383">
      <c r="A383" s="3" t="inlineStr">
        <is>
          <t>003943</t>
        </is>
      </c>
      <c r="B383" s="5">
        <f>COUNTIF('Entetes_TriNumInterne'!$C$2:$C$1154,A383)</f>
        <v/>
      </c>
    </row>
    <row r="384">
      <c r="A384" s="3" t="inlineStr">
        <is>
          <t>003944</t>
        </is>
      </c>
      <c r="B384" s="5">
        <f>COUNTIF('Entetes_TriNumInterne'!$C$2:$C$1154,A384)</f>
        <v/>
      </c>
    </row>
    <row r="385">
      <c r="A385" s="3" t="inlineStr">
        <is>
          <t>003945</t>
        </is>
      </c>
      <c r="B385" s="5">
        <f>COUNTIF('Entetes_TriNumInterne'!$C$2:$C$1154,A385)</f>
        <v/>
      </c>
    </row>
    <row r="386">
      <c r="A386" s="3" t="inlineStr">
        <is>
          <t>003946</t>
        </is>
      </c>
      <c r="B386" s="5">
        <f>COUNTIF('Entetes_TriNumInterne'!$C$2:$C$1154,A386)</f>
        <v/>
      </c>
    </row>
    <row r="387">
      <c r="A387" s="3" t="inlineStr">
        <is>
          <t>003947</t>
        </is>
      </c>
      <c r="B387" s="5">
        <f>COUNTIF('Entetes_TriNumInterne'!$C$2:$C$1154,A387)</f>
        <v/>
      </c>
    </row>
    <row r="388">
      <c r="A388" s="3" t="inlineStr">
        <is>
          <t>003948</t>
        </is>
      </c>
      <c r="B388" s="5">
        <f>COUNTIF('Entetes_TriNumInterne'!$C$2:$C$1154,A388)</f>
        <v/>
      </c>
    </row>
    <row r="389">
      <c r="A389" s="3" t="inlineStr">
        <is>
          <t>003949</t>
        </is>
      </c>
      <c r="B389" s="5">
        <f>COUNTIF('Entetes_TriNumInterne'!$C$2:$C$1154,A389)</f>
        <v/>
      </c>
    </row>
    <row r="390">
      <c r="A390" s="3" t="inlineStr">
        <is>
          <t>003950</t>
        </is>
      </c>
      <c r="B390" s="5">
        <f>COUNTIF('Entetes_TriNumInterne'!$C$2:$C$1154,A390)</f>
        <v/>
      </c>
    </row>
    <row r="391">
      <c r="A391" s="3" t="inlineStr">
        <is>
          <t>003951</t>
        </is>
      </c>
      <c r="B391" s="5">
        <f>COUNTIF('Entetes_TriNumInterne'!$C$2:$C$1154,A391)</f>
        <v/>
      </c>
    </row>
    <row r="392">
      <c r="A392" s="3" t="inlineStr">
        <is>
          <t>003952</t>
        </is>
      </c>
      <c r="B392" s="5">
        <f>COUNTIF('Entetes_TriNumInterne'!$C$2:$C$1154,A392)</f>
        <v/>
      </c>
    </row>
    <row r="393">
      <c r="A393" s="3" t="inlineStr">
        <is>
          <t>003953</t>
        </is>
      </c>
      <c r="B393" s="5">
        <f>COUNTIF('Entetes_TriNumInterne'!$C$2:$C$1154,A393)</f>
        <v/>
      </c>
    </row>
    <row r="394">
      <c r="A394" s="3" t="inlineStr">
        <is>
          <t>003954</t>
        </is>
      </c>
      <c r="B394" s="5">
        <f>COUNTIF('Entetes_TriNumInterne'!$C$2:$C$1154,A394)</f>
        <v/>
      </c>
    </row>
    <row r="395">
      <c r="A395" s="3" t="inlineStr">
        <is>
          <t>003955</t>
        </is>
      </c>
      <c r="B395" s="5">
        <f>COUNTIF('Entetes_TriNumInterne'!$C$2:$C$1154,A395)</f>
        <v/>
      </c>
    </row>
    <row r="396">
      <c r="A396" s="3" t="inlineStr">
        <is>
          <t>003956</t>
        </is>
      </c>
      <c r="B396" s="5">
        <f>COUNTIF('Entetes_TriNumInterne'!$C$2:$C$1154,A396)</f>
        <v/>
      </c>
    </row>
    <row r="397">
      <c r="A397" s="3" t="inlineStr">
        <is>
          <t>003957</t>
        </is>
      </c>
      <c r="B397" s="5">
        <f>COUNTIF('Entetes_TriNumInterne'!$C$2:$C$1154,A397)</f>
        <v/>
      </c>
    </row>
    <row r="398">
      <c r="A398" s="3" t="inlineStr">
        <is>
          <t>003958</t>
        </is>
      </c>
      <c r="B398" s="5">
        <f>COUNTIF('Entetes_TriNumInterne'!$C$2:$C$1154,A398)</f>
        <v/>
      </c>
    </row>
    <row r="399">
      <c r="A399" s="3" t="inlineStr">
        <is>
          <t>003959</t>
        </is>
      </c>
      <c r="B399" s="5">
        <f>COUNTIF('Entetes_TriNumInterne'!$C$2:$C$1154,A399)</f>
        <v/>
      </c>
    </row>
    <row r="400">
      <c r="A400" s="3" t="inlineStr">
        <is>
          <t>003960</t>
        </is>
      </c>
      <c r="B400" s="5">
        <f>COUNTIF('Entetes_TriNumInterne'!$C$2:$C$1154,A400)</f>
        <v/>
      </c>
    </row>
    <row r="401">
      <c r="A401" s="3" t="inlineStr">
        <is>
          <t>003961</t>
        </is>
      </c>
      <c r="B401" s="5">
        <f>COUNTIF('Entetes_TriNumInterne'!$C$2:$C$1154,A401)</f>
        <v/>
      </c>
    </row>
    <row r="402">
      <c r="A402" s="3" t="inlineStr">
        <is>
          <t>003962</t>
        </is>
      </c>
      <c r="B402" s="5">
        <f>COUNTIF('Entetes_TriNumInterne'!$C$2:$C$1154,A402)</f>
        <v/>
      </c>
    </row>
    <row r="403">
      <c r="A403" s="3" t="inlineStr">
        <is>
          <t>003963</t>
        </is>
      </c>
      <c r="B403" s="5">
        <f>COUNTIF('Entetes_TriNumInterne'!$C$2:$C$1154,A403)</f>
        <v/>
      </c>
    </row>
    <row r="404">
      <c r="A404" s="3" t="inlineStr">
        <is>
          <t>003964</t>
        </is>
      </c>
      <c r="B404" s="5">
        <f>COUNTIF('Entetes_TriNumInterne'!$C$2:$C$1154,A404)</f>
        <v/>
      </c>
    </row>
    <row r="405">
      <c r="A405" s="3" t="inlineStr">
        <is>
          <t>003965</t>
        </is>
      </c>
      <c r="B405" s="5">
        <f>COUNTIF('Entetes_TriNumInterne'!$C$2:$C$1154,A405)</f>
        <v/>
      </c>
    </row>
    <row r="406">
      <c r="A406" s="3" t="inlineStr">
        <is>
          <t>003966</t>
        </is>
      </c>
      <c r="B406" s="5">
        <f>COUNTIF('Entetes_TriNumInterne'!$C$2:$C$1154,A406)</f>
        <v/>
      </c>
    </row>
    <row r="407">
      <c r="A407" s="3" t="inlineStr">
        <is>
          <t>003967</t>
        </is>
      </c>
      <c r="B407" s="5">
        <f>COUNTIF('Entetes_TriNumInterne'!$C$2:$C$1154,A407)</f>
        <v/>
      </c>
    </row>
    <row r="408">
      <c r="A408" s="3" t="inlineStr">
        <is>
          <t>003968</t>
        </is>
      </c>
      <c r="B408" s="5">
        <f>COUNTIF('Entetes_TriNumInterne'!$C$2:$C$1154,A408)</f>
        <v/>
      </c>
    </row>
    <row r="409">
      <c r="A409" s="3" t="inlineStr">
        <is>
          <t>003969</t>
        </is>
      </c>
      <c r="B409" s="5">
        <f>COUNTIF('Entetes_TriNumInterne'!$C$2:$C$1154,A409)</f>
        <v/>
      </c>
    </row>
    <row r="410">
      <c r="A410" s="3" t="inlineStr">
        <is>
          <t>003970</t>
        </is>
      </c>
      <c r="B410" s="5">
        <f>COUNTIF('Entetes_TriNumInterne'!$C$2:$C$1154,A410)</f>
        <v/>
      </c>
    </row>
    <row r="411">
      <c r="A411" s="3" t="inlineStr">
        <is>
          <t>003971</t>
        </is>
      </c>
      <c r="B411" s="5">
        <f>COUNTIF('Entetes_TriNumInterne'!$C$2:$C$1154,A411)</f>
        <v/>
      </c>
    </row>
    <row r="412">
      <c r="A412" s="3" t="inlineStr">
        <is>
          <t>003972</t>
        </is>
      </c>
      <c r="B412" s="5">
        <f>COUNTIF('Entetes_TriNumInterne'!$C$2:$C$1154,A412)</f>
        <v/>
      </c>
    </row>
    <row r="413">
      <c r="A413" s="3" t="inlineStr">
        <is>
          <t>003973</t>
        </is>
      </c>
      <c r="B413" s="5">
        <f>COUNTIF('Entetes_TriNumInterne'!$C$2:$C$1154,A413)</f>
        <v/>
      </c>
    </row>
    <row r="414">
      <c r="A414" s="3" t="inlineStr">
        <is>
          <t>003974</t>
        </is>
      </c>
      <c r="B414" s="5">
        <f>COUNTIF('Entetes_TriNumInterne'!$C$2:$C$1154,A414)</f>
        <v/>
      </c>
    </row>
    <row r="415">
      <c r="A415" s="3" t="inlineStr">
        <is>
          <t>003975</t>
        </is>
      </c>
      <c r="B415" s="5">
        <f>COUNTIF('Entetes_TriNumInterne'!$C$2:$C$1154,A415)</f>
        <v/>
      </c>
    </row>
    <row r="416">
      <c r="A416" s="3" t="inlineStr">
        <is>
          <t>003976</t>
        </is>
      </c>
      <c r="B416" s="5">
        <f>COUNTIF('Entetes_TriNumInterne'!$C$2:$C$1154,A416)</f>
        <v/>
      </c>
    </row>
    <row r="417">
      <c r="A417" s="3" t="inlineStr">
        <is>
          <t>003977</t>
        </is>
      </c>
      <c r="B417" s="5">
        <f>COUNTIF('Entetes_TriNumInterne'!$C$2:$C$1154,A417)</f>
        <v/>
      </c>
    </row>
    <row r="418">
      <c r="A418" s="3" t="inlineStr">
        <is>
          <t>003978</t>
        </is>
      </c>
      <c r="B418" s="5">
        <f>COUNTIF('Entetes_TriNumInterne'!$C$2:$C$1154,A418)</f>
        <v/>
      </c>
    </row>
    <row r="419">
      <c r="A419" s="3" t="inlineStr">
        <is>
          <t>003979</t>
        </is>
      </c>
      <c r="B419" s="5">
        <f>COUNTIF('Entetes_TriNumInterne'!$C$2:$C$1154,A419)</f>
        <v/>
      </c>
    </row>
    <row r="420">
      <c r="A420" s="3" t="inlineStr">
        <is>
          <t>003980</t>
        </is>
      </c>
      <c r="B420" s="5">
        <f>COUNTIF('Entetes_TriNumInterne'!$C$2:$C$1154,A420)</f>
        <v/>
      </c>
    </row>
    <row r="421">
      <c r="A421" s="3" t="inlineStr">
        <is>
          <t>003981</t>
        </is>
      </c>
      <c r="B421" s="5">
        <f>COUNTIF('Entetes_TriNumInterne'!$C$2:$C$1154,A421)</f>
        <v/>
      </c>
    </row>
    <row r="422">
      <c r="A422" s="3" t="inlineStr">
        <is>
          <t>003982</t>
        </is>
      </c>
      <c r="B422" s="5">
        <f>COUNTIF('Entetes_TriNumInterne'!$C$2:$C$1154,A422)</f>
        <v/>
      </c>
    </row>
    <row r="423">
      <c r="A423" s="3" t="inlineStr">
        <is>
          <t>003983</t>
        </is>
      </c>
      <c r="B423" s="5">
        <f>COUNTIF('Entetes_TriNumInterne'!$C$2:$C$1154,A423)</f>
        <v/>
      </c>
    </row>
    <row r="424">
      <c r="A424" s="3" t="inlineStr">
        <is>
          <t>003984</t>
        </is>
      </c>
      <c r="B424" s="5">
        <f>COUNTIF('Entetes_TriNumInterne'!$C$2:$C$1154,A424)</f>
        <v/>
      </c>
    </row>
    <row r="425">
      <c r="A425" s="3" t="inlineStr">
        <is>
          <t>003985</t>
        </is>
      </c>
      <c r="B425" s="5">
        <f>COUNTIF('Entetes_TriNumInterne'!$C$2:$C$1154,A425)</f>
        <v/>
      </c>
    </row>
    <row r="426">
      <c r="A426" s="3" t="inlineStr">
        <is>
          <t>003986</t>
        </is>
      </c>
      <c r="B426" s="5">
        <f>COUNTIF('Entetes_TriNumInterne'!$C$2:$C$1154,A426)</f>
        <v/>
      </c>
    </row>
    <row r="427">
      <c r="A427" s="3" t="inlineStr">
        <is>
          <t>003987</t>
        </is>
      </c>
      <c r="B427" s="5">
        <f>COUNTIF('Entetes_TriNumInterne'!$C$2:$C$1154,A427)</f>
        <v/>
      </c>
    </row>
    <row r="428">
      <c r="A428" s="3" t="inlineStr">
        <is>
          <t>003988</t>
        </is>
      </c>
      <c r="B428" s="5">
        <f>COUNTIF('Entetes_TriNumInterne'!$C$2:$C$1154,A428)</f>
        <v/>
      </c>
    </row>
    <row r="429">
      <c r="A429" s="3" t="inlineStr">
        <is>
          <t>003989</t>
        </is>
      </c>
      <c r="B429" s="5">
        <f>COUNTIF('Entetes_TriNumInterne'!$C$2:$C$1154,A429)</f>
        <v/>
      </c>
    </row>
    <row r="430">
      <c r="A430" s="3" t="inlineStr">
        <is>
          <t>003990</t>
        </is>
      </c>
      <c r="B430" s="5">
        <f>COUNTIF('Entetes_TriNumInterne'!$C$2:$C$1154,A430)</f>
        <v/>
      </c>
    </row>
    <row r="431">
      <c r="A431" s="3" t="inlineStr">
        <is>
          <t>003991</t>
        </is>
      </c>
      <c r="B431" s="5">
        <f>COUNTIF('Entetes_TriNumInterne'!$C$2:$C$1154,A431)</f>
        <v/>
      </c>
    </row>
    <row r="432">
      <c r="A432" s="3" t="inlineStr">
        <is>
          <t>003992</t>
        </is>
      </c>
      <c r="B432" s="5">
        <f>COUNTIF('Entetes_TriNumInterne'!$C$2:$C$1154,A432)</f>
        <v/>
      </c>
    </row>
    <row r="433">
      <c r="A433" s="3" t="inlineStr">
        <is>
          <t>003993</t>
        </is>
      </c>
      <c r="B433" s="5">
        <f>COUNTIF('Entetes_TriNumInterne'!$C$2:$C$1154,A433)</f>
        <v/>
      </c>
    </row>
    <row r="434">
      <c r="A434" s="3" t="inlineStr">
        <is>
          <t>003994</t>
        </is>
      </c>
      <c r="B434" s="5">
        <f>COUNTIF('Entetes_TriNumInterne'!$C$2:$C$1154,A434)</f>
        <v/>
      </c>
    </row>
    <row r="435">
      <c r="A435" s="3" t="inlineStr">
        <is>
          <t>003995</t>
        </is>
      </c>
      <c r="B435" s="5">
        <f>COUNTIF('Entetes_TriNumInterne'!$C$2:$C$1154,A435)</f>
        <v/>
      </c>
    </row>
    <row r="436">
      <c r="A436" s="3" t="inlineStr">
        <is>
          <t>003996</t>
        </is>
      </c>
      <c r="B436" s="5">
        <f>COUNTIF('Entetes_TriNumInterne'!$C$2:$C$1154,A436)</f>
        <v/>
      </c>
    </row>
    <row r="437">
      <c r="A437" s="3" t="inlineStr">
        <is>
          <t>003997</t>
        </is>
      </c>
      <c r="B437" s="5">
        <f>COUNTIF('Entetes_TriNumInterne'!$C$2:$C$1154,A437)</f>
        <v/>
      </c>
    </row>
    <row r="438">
      <c r="A438" s="3" t="inlineStr">
        <is>
          <t>003998</t>
        </is>
      </c>
      <c r="B438" s="5">
        <f>COUNTIF('Entetes_TriNumInterne'!$C$2:$C$1154,A438)</f>
        <v/>
      </c>
    </row>
    <row r="439">
      <c r="A439" s="3" t="inlineStr">
        <is>
          <t>003999</t>
        </is>
      </c>
      <c r="B439" s="5">
        <f>COUNTIF('Entetes_TriNumInterne'!$C$2:$C$1154,A439)</f>
        <v/>
      </c>
    </row>
    <row r="440">
      <c r="A440" s="3" t="inlineStr">
        <is>
          <t>004000</t>
        </is>
      </c>
      <c r="B440" s="5">
        <f>COUNTIF('Entetes_TriNumInterne'!$C$2:$C$1154,A440)</f>
        <v/>
      </c>
    </row>
    <row r="441">
      <c r="A441" s="3" t="inlineStr">
        <is>
          <t>004001</t>
        </is>
      </c>
      <c r="B441" s="5">
        <f>COUNTIF('Entetes_TriNumInterne'!$C$2:$C$1154,A441)</f>
        <v/>
      </c>
    </row>
    <row r="442">
      <c r="A442" s="3" t="inlineStr">
        <is>
          <t>004002</t>
        </is>
      </c>
      <c r="B442" s="5">
        <f>COUNTIF('Entetes_TriNumInterne'!$C$2:$C$1154,A442)</f>
        <v/>
      </c>
    </row>
    <row r="443">
      <c r="A443" s="3" t="inlineStr">
        <is>
          <t>004003</t>
        </is>
      </c>
      <c r="B443" s="5">
        <f>COUNTIF('Entetes_TriNumInterne'!$C$2:$C$1154,A443)</f>
        <v/>
      </c>
    </row>
    <row r="444">
      <c r="A444" s="3" t="inlineStr">
        <is>
          <t>004004</t>
        </is>
      </c>
      <c r="B444" s="5">
        <f>COUNTIF('Entetes_TriNumInterne'!$C$2:$C$1154,A444)</f>
        <v/>
      </c>
    </row>
    <row r="445">
      <c r="A445" s="3" t="inlineStr">
        <is>
          <t>004005</t>
        </is>
      </c>
      <c r="B445" s="5">
        <f>COUNTIF('Entetes_TriNumInterne'!$C$2:$C$1154,A445)</f>
        <v/>
      </c>
    </row>
    <row r="446">
      <c r="A446" s="3" t="inlineStr">
        <is>
          <t>004006</t>
        </is>
      </c>
      <c r="B446" s="5">
        <f>COUNTIF('Entetes_TriNumInterne'!$C$2:$C$1154,A446)</f>
        <v/>
      </c>
    </row>
    <row r="447">
      <c r="A447" s="3" t="inlineStr">
        <is>
          <t>004007</t>
        </is>
      </c>
      <c r="B447" s="5">
        <f>COUNTIF('Entetes_TriNumInterne'!$C$2:$C$1154,A447)</f>
        <v/>
      </c>
    </row>
    <row r="448">
      <c r="A448" s="3" t="inlineStr">
        <is>
          <t>004008</t>
        </is>
      </c>
      <c r="B448" s="5">
        <f>COUNTIF('Entetes_TriNumInterne'!$C$2:$C$1154,A448)</f>
        <v/>
      </c>
    </row>
    <row r="449">
      <c r="A449" s="3" t="inlineStr">
        <is>
          <t>004009</t>
        </is>
      </c>
      <c r="B449" s="5">
        <f>COUNTIF('Entetes_TriNumInterne'!$C$2:$C$1154,A449)</f>
        <v/>
      </c>
    </row>
    <row r="450">
      <c r="A450" s="3" t="inlineStr">
        <is>
          <t>004010</t>
        </is>
      </c>
      <c r="B450" s="5">
        <f>COUNTIF('Entetes_TriNumInterne'!$C$2:$C$1154,A450)</f>
        <v/>
      </c>
    </row>
    <row r="451">
      <c r="A451" s="3" t="inlineStr">
        <is>
          <t>004011</t>
        </is>
      </c>
      <c r="B451" s="5">
        <f>COUNTIF('Entetes_TriNumInterne'!$C$2:$C$1154,A451)</f>
        <v/>
      </c>
    </row>
    <row r="452">
      <c r="A452" s="3" t="inlineStr">
        <is>
          <t>004012</t>
        </is>
      </c>
      <c r="B452" s="5">
        <f>COUNTIF('Entetes_TriNumInterne'!$C$2:$C$1154,A452)</f>
        <v/>
      </c>
    </row>
    <row r="453">
      <c r="A453" s="3" t="inlineStr">
        <is>
          <t>004013</t>
        </is>
      </c>
      <c r="B453" s="5">
        <f>COUNTIF('Entetes_TriNumInterne'!$C$2:$C$1154,A453)</f>
        <v/>
      </c>
    </row>
    <row r="454">
      <c r="A454" s="3" t="inlineStr">
        <is>
          <t>004014</t>
        </is>
      </c>
      <c r="B454" s="5">
        <f>COUNTIF('Entetes_TriNumInterne'!$C$2:$C$1154,A454)</f>
        <v/>
      </c>
    </row>
    <row r="455">
      <c r="A455" s="3" t="inlineStr">
        <is>
          <t>004015</t>
        </is>
      </c>
      <c r="B455" s="5">
        <f>COUNTIF('Entetes_TriNumInterne'!$C$2:$C$1154,A455)</f>
        <v/>
      </c>
    </row>
    <row r="456">
      <c r="A456" s="3" t="inlineStr">
        <is>
          <t>004016</t>
        </is>
      </c>
      <c r="B456" s="5">
        <f>COUNTIF('Entetes_TriNumInterne'!$C$2:$C$1154,A456)</f>
        <v/>
      </c>
    </row>
    <row r="457">
      <c r="A457" s="3" t="inlineStr">
        <is>
          <t>004017</t>
        </is>
      </c>
      <c r="B457" s="5">
        <f>COUNTIF('Entetes_TriNumInterne'!$C$2:$C$1154,A457)</f>
        <v/>
      </c>
    </row>
    <row r="458">
      <c r="A458" s="3" t="inlineStr">
        <is>
          <t>004018</t>
        </is>
      </c>
      <c r="B458" s="5">
        <f>COUNTIF('Entetes_TriNumInterne'!$C$2:$C$1154,A458)</f>
        <v/>
      </c>
    </row>
    <row r="459">
      <c r="A459" s="3" t="inlineStr">
        <is>
          <t>004019</t>
        </is>
      </c>
      <c r="B459" s="5">
        <f>COUNTIF('Entetes_TriNumInterne'!$C$2:$C$1154,A459)</f>
        <v/>
      </c>
    </row>
    <row r="460">
      <c r="A460" s="3" t="inlineStr">
        <is>
          <t>004020</t>
        </is>
      </c>
      <c r="B460" s="5">
        <f>COUNTIF('Entetes_TriNumInterne'!$C$2:$C$1154,A460)</f>
        <v/>
      </c>
    </row>
    <row r="461">
      <c r="A461" s="3" t="inlineStr">
        <is>
          <t>004021</t>
        </is>
      </c>
      <c r="B461" s="5">
        <f>COUNTIF('Entetes_TriNumInterne'!$C$2:$C$1154,A461)</f>
        <v/>
      </c>
    </row>
    <row r="462">
      <c r="A462" s="3" t="inlineStr">
        <is>
          <t>004022</t>
        </is>
      </c>
      <c r="B462" s="5">
        <f>COUNTIF('Entetes_TriNumInterne'!$C$2:$C$1154,A462)</f>
        <v/>
      </c>
    </row>
    <row r="463">
      <c r="A463" s="3" t="inlineStr">
        <is>
          <t>004023</t>
        </is>
      </c>
      <c r="B463" s="5">
        <f>COUNTIF('Entetes_TriNumInterne'!$C$2:$C$1154,A463)</f>
        <v/>
      </c>
    </row>
    <row r="464">
      <c r="A464" s="3" t="inlineStr">
        <is>
          <t>004024</t>
        </is>
      </c>
      <c r="B464" s="5">
        <f>COUNTIF('Entetes_TriNumInterne'!$C$2:$C$1154,A464)</f>
        <v/>
      </c>
    </row>
    <row r="465">
      <c r="A465" s="3" t="inlineStr">
        <is>
          <t>004025</t>
        </is>
      </c>
      <c r="B465" s="5">
        <f>COUNTIF('Entetes_TriNumInterne'!$C$2:$C$1154,A465)</f>
        <v/>
      </c>
    </row>
    <row r="466">
      <c r="A466" s="3" t="inlineStr">
        <is>
          <t>004026</t>
        </is>
      </c>
      <c r="B466" s="5">
        <f>COUNTIF('Entetes_TriNumInterne'!$C$2:$C$1154,A466)</f>
        <v/>
      </c>
    </row>
    <row r="467">
      <c r="A467" s="3" t="inlineStr">
        <is>
          <t>004027</t>
        </is>
      </c>
      <c r="B467" s="5">
        <f>COUNTIF('Entetes_TriNumInterne'!$C$2:$C$1154,A467)</f>
        <v/>
      </c>
    </row>
    <row r="468">
      <c r="A468" s="3" t="inlineStr">
        <is>
          <t>004028</t>
        </is>
      </c>
      <c r="B468" s="5">
        <f>COUNTIF('Entetes_TriNumInterne'!$C$2:$C$1154,A468)</f>
        <v/>
      </c>
    </row>
    <row r="469">
      <c r="A469" s="3" t="inlineStr">
        <is>
          <t>004029</t>
        </is>
      </c>
      <c r="B469" s="5">
        <f>COUNTIF('Entetes_TriNumInterne'!$C$2:$C$1154,A469)</f>
        <v/>
      </c>
    </row>
    <row r="470">
      <c r="A470" s="3" t="inlineStr">
        <is>
          <t>004030</t>
        </is>
      </c>
      <c r="B470" s="5">
        <f>COUNTIF('Entetes_TriNumInterne'!$C$2:$C$1154,A470)</f>
        <v/>
      </c>
    </row>
    <row r="471">
      <c r="A471" s="3" t="inlineStr">
        <is>
          <t>004031</t>
        </is>
      </c>
      <c r="B471" s="5">
        <f>COUNTIF('Entetes_TriNumInterne'!$C$2:$C$1154,A471)</f>
        <v/>
      </c>
    </row>
    <row r="472">
      <c r="A472" s="3" t="inlineStr">
        <is>
          <t>004032</t>
        </is>
      </c>
      <c r="B472" s="5">
        <f>COUNTIF('Entetes_TriNumInterne'!$C$2:$C$1154,A472)</f>
        <v/>
      </c>
    </row>
    <row r="473">
      <c r="A473" s="3" t="inlineStr">
        <is>
          <t>004033</t>
        </is>
      </c>
      <c r="B473" s="5">
        <f>COUNTIF('Entetes_TriNumInterne'!$C$2:$C$1154,A473)</f>
        <v/>
      </c>
    </row>
    <row r="474">
      <c r="A474" s="3" t="inlineStr">
        <is>
          <t>004034</t>
        </is>
      </c>
      <c r="B474" s="5">
        <f>COUNTIF('Entetes_TriNumInterne'!$C$2:$C$1154,A474)</f>
        <v/>
      </c>
    </row>
    <row r="475">
      <c r="A475" s="3" t="inlineStr">
        <is>
          <t>004035</t>
        </is>
      </c>
      <c r="B475" s="5">
        <f>COUNTIF('Entetes_TriNumInterne'!$C$2:$C$1154,A475)</f>
        <v/>
      </c>
    </row>
    <row r="476">
      <c r="A476" s="3" t="inlineStr">
        <is>
          <t>004036</t>
        </is>
      </c>
      <c r="B476" s="5">
        <f>COUNTIF('Entetes_TriNumInterne'!$C$2:$C$1154,A476)</f>
        <v/>
      </c>
    </row>
    <row r="477">
      <c r="A477" s="3" t="inlineStr">
        <is>
          <t>004037</t>
        </is>
      </c>
      <c r="B477" s="5">
        <f>COUNTIF('Entetes_TriNumInterne'!$C$2:$C$1154,A477)</f>
        <v/>
      </c>
    </row>
    <row r="478">
      <c r="A478" s="3" t="inlineStr">
        <is>
          <t>004038</t>
        </is>
      </c>
      <c r="B478" s="5">
        <f>COUNTIF('Entetes_TriNumInterne'!$C$2:$C$1154,A478)</f>
        <v/>
      </c>
    </row>
    <row r="479">
      <c r="A479" s="3" t="inlineStr">
        <is>
          <t>004039</t>
        </is>
      </c>
      <c r="B479" s="5">
        <f>COUNTIF('Entetes_TriNumInterne'!$C$2:$C$1154,A479)</f>
        <v/>
      </c>
    </row>
    <row r="480">
      <c r="A480" s="3" t="inlineStr">
        <is>
          <t>004040</t>
        </is>
      </c>
      <c r="B480" s="5">
        <f>COUNTIF('Entetes_TriNumInterne'!$C$2:$C$1154,A480)</f>
        <v/>
      </c>
    </row>
    <row r="481">
      <c r="A481" s="3" t="inlineStr">
        <is>
          <t>004041</t>
        </is>
      </c>
      <c r="B481" s="5">
        <f>COUNTIF('Entetes_TriNumInterne'!$C$2:$C$1154,A481)</f>
        <v/>
      </c>
    </row>
    <row r="482">
      <c r="A482" s="3" t="inlineStr">
        <is>
          <t>004042</t>
        </is>
      </c>
      <c r="B482" s="5">
        <f>COUNTIF('Entetes_TriNumInterne'!$C$2:$C$1154,A482)</f>
        <v/>
      </c>
    </row>
    <row r="483">
      <c r="A483" s="3" t="inlineStr">
        <is>
          <t>004043</t>
        </is>
      </c>
      <c r="B483" s="5">
        <f>COUNTIF('Entetes_TriNumInterne'!$C$2:$C$1154,A483)</f>
        <v/>
      </c>
    </row>
    <row r="484">
      <c r="A484" s="3" t="inlineStr">
        <is>
          <t>004044</t>
        </is>
      </c>
      <c r="B484" s="5">
        <f>COUNTIF('Entetes_TriNumInterne'!$C$2:$C$1154,A484)</f>
        <v/>
      </c>
    </row>
    <row r="485">
      <c r="A485" s="3" t="inlineStr">
        <is>
          <t>004045</t>
        </is>
      </c>
      <c r="B485" s="5">
        <f>COUNTIF('Entetes_TriNumInterne'!$C$2:$C$1154,A485)</f>
        <v/>
      </c>
    </row>
    <row r="486">
      <c r="A486" s="3" t="inlineStr">
        <is>
          <t>004046</t>
        </is>
      </c>
      <c r="B486" s="5">
        <f>COUNTIF('Entetes_TriNumInterne'!$C$2:$C$1154,A486)</f>
        <v/>
      </c>
    </row>
    <row r="487">
      <c r="A487" s="3" t="inlineStr">
        <is>
          <t>004047</t>
        </is>
      </c>
      <c r="B487" s="5">
        <f>COUNTIF('Entetes_TriNumInterne'!$C$2:$C$1154,A487)</f>
        <v/>
      </c>
    </row>
    <row r="488">
      <c r="A488" s="3" t="inlineStr">
        <is>
          <t>004048</t>
        </is>
      </c>
      <c r="B488" s="5">
        <f>COUNTIF('Entetes_TriNumInterne'!$C$2:$C$1154,A488)</f>
        <v/>
      </c>
    </row>
    <row r="489">
      <c r="A489" s="3" t="inlineStr">
        <is>
          <t>004049</t>
        </is>
      </c>
      <c r="B489" s="5">
        <f>COUNTIF('Entetes_TriNumInterne'!$C$2:$C$1154,A489)</f>
        <v/>
      </c>
    </row>
    <row r="490">
      <c r="A490" s="3" t="inlineStr">
        <is>
          <t>004050</t>
        </is>
      </c>
      <c r="B490" s="5">
        <f>COUNTIF('Entetes_TriNumInterne'!$C$2:$C$1154,A490)</f>
        <v/>
      </c>
    </row>
    <row r="491">
      <c r="A491" s="3" t="inlineStr">
        <is>
          <t>004051</t>
        </is>
      </c>
      <c r="B491" s="5">
        <f>COUNTIF('Entetes_TriNumInterne'!$C$2:$C$1154,A491)</f>
        <v/>
      </c>
    </row>
    <row r="492">
      <c r="A492" s="3" t="inlineStr">
        <is>
          <t>004052</t>
        </is>
      </c>
      <c r="B492" s="5">
        <f>COUNTIF('Entetes_TriNumInterne'!$C$2:$C$1154,A492)</f>
        <v/>
      </c>
    </row>
    <row r="493">
      <c r="A493" s="3" t="inlineStr">
        <is>
          <t>004053</t>
        </is>
      </c>
      <c r="B493" s="5">
        <f>COUNTIF('Entetes_TriNumInterne'!$C$2:$C$1154,A493)</f>
        <v/>
      </c>
    </row>
    <row r="494">
      <c r="A494" s="3" t="inlineStr">
        <is>
          <t>004054</t>
        </is>
      </c>
      <c r="B494" s="5">
        <f>COUNTIF('Entetes_TriNumInterne'!$C$2:$C$1154,A494)</f>
        <v/>
      </c>
    </row>
    <row r="495">
      <c r="A495" s="3" t="inlineStr">
        <is>
          <t>004055</t>
        </is>
      </c>
      <c r="B495" s="5">
        <f>COUNTIF('Entetes_TriNumInterne'!$C$2:$C$1154,A495)</f>
        <v/>
      </c>
    </row>
    <row r="496">
      <c r="A496" s="3" t="inlineStr">
        <is>
          <t>004056</t>
        </is>
      </c>
      <c r="B496" s="5">
        <f>COUNTIF('Entetes_TriNumInterne'!$C$2:$C$1154,A496)</f>
        <v/>
      </c>
    </row>
    <row r="497">
      <c r="A497" s="3" t="inlineStr">
        <is>
          <t>004057</t>
        </is>
      </c>
      <c r="B497" s="5">
        <f>COUNTIF('Entetes_TriNumInterne'!$C$2:$C$1154,A497)</f>
        <v/>
      </c>
    </row>
    <row r="498">
      <c r="A498" s="3" t="inlineStr">
        <is>
          <t>004058</t>
        </is>
      </c>
      <c r="B498" s="5">
        <f>COUNTIF('Entetes_TriNumInterne'!$C$2:$C$1154,A498)</f>
        <v/>
      </c>
    </row>
    <row r="499">
      <c r="A499" s="3" t="inlineStr">
        <is>
          <t>004059</t>
        </is>
      </c>
      <c r="B499" s="5">
        <f>COUNTIF('Entetes_TriNumInterne'!$C$2:$C$1154,A499)</f>
        <v/>
      </c>
    </row>
    <row r="500">
      <c r="A500" s="3" t="inlineStr">
        <is>
          <t>004060</t>
        </is>
      </c>
      <c r="B500" s="5">
        <f>COUNTIF('Entetes_TriNumInterne'!$C$2:$C$1154,A500)</f>
        <v/>
      </c>
    </row>
    <row r="501">
      <c r="A501" s="3" t="inlineStr">
        <is>
          <t>004061</t>
        </is>
      </c>
      <c r="B501" s="5">
        <f>COUNTIF('Entetes_TriNumInterne'!$C$2:$C$1154,A501)</f>
        <v/>
      </c>
    </row>
    <row r="502">
      <c r="A502" s="3" t="inlineStr">
        <is>
          <t>004062</t>
        </is>
      </c>
      <c r="B502" s="5">
        <f>COUNTIF('Entetes_TriNumInterne'!$C$2:$C$1154,A502)</f>
        <v/>
      </c>
    </row>
    <row r="503">
      <c r="A503" s="3" t="inlineStr">
        <is>
          <t>004063</t>
        </is>
      </c>
      <c r="B503" s="5">
        <f>COUNTIF('Entetes_TriNumInterne'!$C$2:$C$1154,A503)</f>
        <v/>
      </c>
    </row>
    <row r="504">
      <c r="A504" s="3" t="inlineStr">
        <is>
          <t>004064</t>
        </is>
      </c>
      <c r="B504" s="5">
        <f>COUNTIF('Entetes_TriNumInterne'!$C$2:$C$1154,A504)</f>
        <v/>
      </c>
    </row>
    <row r="505">
      <c r="A505" s="3" t="inlineStr">
        <is>
          <t>004065</t>
        </is>
      </c>
      <c r="B505" s="5">
        <f>COUNTIF('Entetes_TriNumInterne'!$C$2:$C$1154,A505)</f>
        <v/>
      </c>
    </row>
    <row r="506">
      <c r="A506" s="3" t="inlineStr">
        <is>
          <t>004066</t>
        </is>
      </c>
      <c r="B506" s="5">
        <f>COUNTIF('Entetes_TriNumInterne'!$C$2:$C$1154,A506)</f>
        <v/>
      </c>
    </row>
    <row r="507">
      <c r="A507" s="3" t="inlineStr">
        <is>
          <t>004067</t>
        </is>
      </c>
      <c r="B507" s="5">
        <f>COUNTIF('Entetes_TriNumInterne'!$C$2:$C$1154,A507)</f>
        <v/>
      </c>
    </row>
    <row r="508">
      <c r="A508" s="3" t="inlineStr">
        <is>
          <t>004068</t>
        </is>
      </c>
      <c r="B508" s="5">
        <f>COUNTIF('Entetes_TriNumInterne'!$C$2:$C$1154,A508)</f>
        <v/>
      </c>
    </row>
    <row r="509">
      <c r="A509" s="3" t="inlineStr">
        <is>
          <t>004069</t>
        </is>
      </c>
      <c r="B509" s="5">
        <f>COUNTIF('Entetes_TriNumInterne'!$C$2:$C$1154,A509)</f>
        <v/>
      </c>
    </row>
    <row r="510">
      <c r="A510" s="3" t="inlineStr">
        <is>
          <t>004070</t>
        </is>
      </c>
      <c r="B510" s="5">
        <f>COUNTIF('Entetes_TriNumInterne'!$C$2:$C$1154,A510)</f>
        <v/>
      </c>
    </row>
    <row r="511">
      <c r="A511" s="3" t="inlineStr">
        <is>
          <t>004071</t>
        </is>
      </c>
      <c r="B511" s="5">
        <f>COUNTIF('Entetes_TriNumInterne'!$C$2:$C$1154,A511)</f>
        <v/>
      </c>
    </row>
    <row r="512">
      <c r="A512" s="3" t="inlineStr">
        <is>
          <t>004072</t>
        </is>
      </c>
      <c r="B512" s="5">
        <f>COUNTIF('Entetes_TriNumInterne'!$C$2:$C$1154,A512)</f>
        <v/>
      </c>
    </row>
    <row r="513">
      <c r="A513" s="3" t="inlineStr">
        <is>
          <t>004073</t>
        </is>
      </c>
      <c r="B513" s="5">
        <f>COUNTIF('Entetes_TriNumInterne'!$C$2:$C$1154,A513)</f>
        <v/>
      </c>
    </row>
    <row r="514">
      <c r="A514" s="3" t="inlineStr">
        <is>
          <t>004074</t>
        </is>
      </c>
      <c r="B514" s="5">
        <f>COUNTIF('Entetes_TriNumInterne'!$C$2:$C$1154,A514)</f>
        <v/>
      </c>
    </row>
    <row r="515">
      <c r="A515" s="3" t="inlineStr">
        <is>
          <t>004075</t>
        </is>
      </c>
      <c r="B515" s="5">
        <f>COUNTIF('Entetes_TriNumInterne'!$C$2:$C$1154,A515)</f>
        <v/>
      </c>
    </row>
    <row r="516">
      <c r="A516" s="3" t="inlineStr">
        <is>
          <t>004076</t>
        </is>
      </c>
      <c r="B516" s="5">
        <f>COUNTIF('Entetes_TriNumInterne'!$C$2:$C$1154,A516)</f>
        <v/>
      </c>
    </row>
    <row r="517">
      <c r="A517" s="3" t="inlineStr">
        <is>
          <t>004077</t>
        </is>
      </c>
      <c r="B517" s="5">
        <f>COUNTIF('Entetes_TriNumInterne'!$C$2:$C$1154,A517)</f>
        <v/>
      </c>
    </row>
    <row r="518">
      <c r="A518" s="3" t="inlineStr">
        <is>
          <t>004078</t>
        </is>
      </c>
      <c r="B518" s="5">
        <f>COUNTIF('Entetes_TriNumInterne'!$C$2:$C$1154,A518)</f>
        <v/>
      </c>
    </row>
    <row r="519">
      <c r="A519" s="3" t="inlineStr">
        <is>
          <t>004079</t>
        </is>
      </c>
      <c r="B519" s="5">
        <f>COUNTIF('Entetes_TriNumInterne'!$C$2:$C$1154,A519)</f>
        <v/>
      </c>
    </row>
    <row r="520">
      <c r="A520" s="3" t="inlineStr">
        <is>
          <t>004080</t>
        </is>
      </c>
      <c r="B520" s="5">
        <f>COUNTIF('Entetes_TriNumInterne'!$C$2:$C$1154,A520)</f>
        <v/>
      </c>
    </row>
    <row r="521">
      <c r="A521" s="3" t="inlineStr">
        <is>
          <t>004081</t>
        </is>
      </c>
      <c r="B521" s="5">
        <f>COUNTIF('Entetes_TriNumInterne'!$C$2:$C$1154,A521)</f>
        <v/>
      </c>
    </row>
    <row r="522">
      <c r="A522" s="3" t="inlineStr">
        <is>
          <t>004082</t>
        </is>
      </c>
      <c r="B522" s="5">
        <f>COUNTIF('Entetes_TriNumInterne'!$C$2:$C$1154,A522)</f>
        <v/>
      </c>
    </row>
    <row r="523">
      <c r="A523" s="3" t="inlineStr">
        <is>
          <t>004083</t>
        </is>
      </c>
      <c r="B523" s="5">
        <f>COUNTIF('Entetes_TriNumInterne'!$C$2:$C$1154,A523)</f>
        <v/>
      </c>
    </row>
    <row r="524">
      <c r="A524" s="3" t="inlineStr">
        <is>
          <t>004084</t>
        </is>
      </c>
      <c r="B524" s="5">
        <f>COUNTIF('Entetes_TriNumInterne'!$C$2:$C$1154,A524)</f>
        <v/>
      </c>
    </row>
    <row r="525">
      <c r="A525" s="3" t="inlineStr">
        <is>
          <t>004085</t>
        </is>
      </c>
      <c r="B525" s="5">
        <f>COUNTIF('Entetes_TriNumInterne'!$C$2:$C$1154,A525)</f>
        <v/>
      </c>
    </row>
    <row r="526">
      <c r="A526" s="3" t="inlineStr">
        <is>
          <t>004086</t>
        </is>
      </c>
      <c r="B526" s="5">
        <f>COUNTIF('Entetes_TriNumInterne'!$C$2:$C$1154,A526)</f>
        <v/>
      </c>
    </row>
    <row r="527">
      <c r="A527" s="3" t="inlineStr">
        <is>
          <t>004087</t>
        </is>
      </c>
      <c r="B527" s="5">
        <f>COUNTIF('Entetes_TriNumInterne'!$C$2:$C$1154,A527)</f>
        <v/>
      </c>
    </row>
    <row r="528">
      <c r="A528" s="3" t="inlineStr">
        <is>
          <t>004088</t>
        </is>
      </c>
      <c r="B528" s="5">
        <f>COUNTIF('Entetes_TriNumInterne'!$C$2:$C$1154,A528)</f>
        <v/>
      </c>
    </row>
    <row r="529">
      <c r="A529" s="3" t="inlineStr">
        <is>
          <t>004089</t>
        </is>
      </c>
      <c r="B529" s="5">
        <f>COUNTIF('Entetes_TriNumInterne'!$C$2:$C$1154,A529)</f>
        <v/>
      </c>
    </row>
    <row r="530">
      <c r="A530" s="3" t="inlineStr">
        <is>
          <t>004090</t>
        </is>
      </c>
      <c r="B530" s="5">
        <f>COUNTIF('Entetes_TriNumInterne'!$C$2:$C$1154,A530)</f>
        <v/>
      </c>
    </row>
    <row r="531">
      <c r="A531" s="3" t="inlineStr">
        <is>
          <t>004091</t>
        </is>
      </c>
      <c r="B531" s="5">
        <f>COUNTIF('Entetes_TriNumInterne'!$C$2:$C$1154,A531)</f>
        <v/>
      </c>
    </row>
    <row r="532">
      <c r="A532" s="3" t="inlineStr">
        <is>
          <t>004092</t>
        </is>
      </c>
      <c r="B532" s="5">
        <f>COUNTIF('Entetes_TriNumInterne'!$C$2:$C$1154,A532)</f>
        <v/>
      </c>
    </row>
    <row r="533">
      <c r="A533" s="3" t="inlineStr">
        <is>
          <t>004093</t>
        </is>
      </c>
      <c r="B533" s="5">
        <f>COUNTIF('Entetes_TriNumInterne'!$C$2:$C$1154,A533)</f>
        <v/>
      </c>
    </row>
    <row r="534">
      <c r="A534" s="3" t="inlineStr">
        <is>
          <t>004094</t>
        </is>
      </c>
      <c r="B534" s="5">
        <f>COUNTIF('Entetes_TriNumInterne'!$C$2:$C$1154,A534)</f>
        <v/>
      </c>
    </row>
    <row r="535">
      <c r="A535" s="3" t="inlineStr">
        <is>
          <t>004095</t>
        </is>
      </c>
      <c r="B535" s="5">
        <f>COUNTIF('Entetes_TriNumInterne'!$C$2:$C$1154,A535)</f>
        <v/>
      </c>
    </row>
    <row r="536">
      <c r="A536" s="3" t="inlineStr">
        <is>
          <t>004096</t>
        </is>
      </c>
      <c r="B536" s="5">
        <f>COUNTIF('Entetes_TriNumInterne'!$C$2:$C$1154,A536)</f>
        <v/>
      </c>
    </row>
    <row r="537">
      <c r="A537" s="3" t="inlineStr">
        <is>
          <t>004097</t>
        </is>
      </c>
      <c r="B537" s="5">
        <f>COUNTIF('Entetes_TriNumInterne'!$C$2:$C$1154,A537)</f>
        <v/>
      </c>
    </row>
    <row r="538">
      <c r="A538" s="3" t="inlineStr">
        <is>
          <t>004098</t>
        </is>
      </c>
      <c r="B538" s="5">
        <f>COUNTIF('Entetes_TriNumInterne'!$C$2:$C$1154,A538)</f>
        <v/>
      </c>
    </row>
    <row r="539">
      <c r="A539" s="3" t="inlineStr">
        <is>
          <t>004099</t>
        </is>
      </c>
      <c r="B539" s="5">
        <f>COUNTIF('Entetes_TriNumInterne'!$C$2:$C$1154,A539)</f>
        <v/>
      </c>
    </row>
    <row r="540">
      <c r="A540" s="3" t="inlineStr">
        <is>
          <t>004100</t>
        </is>
      </c>
      <c r="B540" s="5">
        <f>COUNTIF('Entetes_TriNumInterne'!$C$2:$C$1154,A540)</f>
        <v/>
      </c>
    </row>
    <row r="541">
      <c r="A541" s="3" t="inlineStr">
        <is>
          <t>004101</t>
        </is>
      </c>
      <c r="B541" s="5">
        <f>COUNTIF('Entetes_TriNumInterne'!$C$2:$C$1154,A541)</f>
        <v/>
      </c>
    </row>
    <row r="542">
      <c r="A542" s="3" t="inlineStr">
        <is>
          <t>004102</t>
        </is>
      </c>
      <c r="B542" s="5">
        <f>COUNTIF('Entetes_TriNumInterne'!$C$2:$C$1154,A542)</f>
        <v/>
      </c>
    </row>
    <row r="543">
      <c r="A543" s="3" t="inlineStr">
        <is>
          <t>004103</t>
        </is>
      </c>
      <c r="B543" s="5">
        <f>COUNTIF('Entetes_TriNumInterne'!$C$2:$C$1154,A543)</f>
        <v/>
      </c>
    </row>
    <row r="544">
      <c r="A544" s="3" t="inlineStr">
        <is>
          <t>004104</t>
        </is>
      </c>
      <c r="B544" s="5">
        <f>COUNTIF('Entetes_TriNumInterne'!$C$2:$C$1154,A544)</f>
        <v/>
      </c>
    </row>
    <row r="545">
      <c r="A545" s="3" t="inlineStr">
        <is>
          <t>004105</t>
        </is>
      </c>
      <c r="B545" s="5">
        <f>COUNTIF('Entetes_TriNumInterne'!$C$2:$C$1154,A545)</f>
        <v/>
      </c>
    </row>
    <row r="546">
      <c r="A546" s="3" t="inlineStr">
        <is>
          <t>004106</t>
        </is>
      </c>
      <c r="B546" s="5">
        <f>COUNTIF('Entetes_TriNumInterne'!$C$2:$C$1154,A546)</f>
        <v/>
      </c>
    </row>
    <row r="547">
      <c r="A547" s="3" t="inlineStr">
        <is>
          <t>004107</t>
        </is>
      </c>
      <c r="B547" s="5">
        <f>COUNTIF('Entetes_TriNumInterne'!$C$2:$C$1154,A547)</f>
        <v/>
      </c>
    </row>
    <row r="548">
      <c r="A548" s="3" t="inlineStr">
        <is>
          <t>004108</t>
        </is>
      </c>
      <c r="B548" s="5">
        <f>COUNTIF('Entetes_TriNumInterne'!$C$2:$C$1154,A548)</f>
        <v/>
      </c>
    </row>
    <row r="549">
      <c r="A549" s="3" t="inlineStr">
        <is>
          <t>004109</t>
        </is>
      </c>
      <c r="B549" s="5">
        <f>COUNTIF('Entetes_TriNumInterne'!$C$2:$C$1154,A549)</f>
        <v/>
      </c>
    </row>
    <row r="550">
      <c r="A550" s="3" t="inlineStr">
        <is>
          <t>004110</t>
        </is>
      </c>
      <c r="B550" s="5">
        <f>COUNTIF('Entetes_TriNumInterne'!$C$2:$C$1154,A550)</f>
        <v/>
      </c>
    </row>
    <row r="551">
      <c r="A551" s="3" t="inlineStr">
        <is>
          <t>004111</t>
        </is>
      </c>
      <c r="B551" s="5">
        <f>COUNTIF('Entetes_TriNumInterne'!$C$2:$C$1154,A551)</f>
        <v/>
      </c>
    </row>
    <row r="552">
      <c r="A552" s="3" t="inlineStr">
        <is>
          <t>004112</t>
        </is>
      </c>
      <c r="B552" s="5">
        <f>COUNTIF('Entetes_TriNumInterne'!$C$2:$C$1154,A552)</f>
        <v/>
      </c>
    </row>
    <row r="553">
      <c r="A553" s="3" t="inlineStr">
        <is>
          <t>004113</t>
        </is>
      </c>
      <c r="B553" s="5">
        <f>COUNTIF('Entetes_TriNumInterne'!$C$2:$C$1154,A553)</f>
        <v/>
      </c>
    </row>
    <row r="554">
      <c r="A554" s="3" t="inlineStr">
        <is>
          <t>004114</t>
        </is>
      </c>
      <c r="B554" s="5">
        <f>COUNTIF('Entetes_TriNumInterne'!$C$2:$C$1154,A554)</f>
        <v/>
      </c>
    </row>
    <row r="555">
      <c r="A555" s="3" t="inlineStr">
        <is>
          <t>004115</t>
        </is>
      </c>
      <c r="B555" s="5">
        <f>COUNTIF('Entetes_TriNumInterne'!$C$2:$C$1154,A555)</f>
        <v/>
      </c>
    </row>
    <row r="556">
      <c r="A556" s="3" t="inlineStr">
        <is>
          <t>004116</t>
        </is>
      </c>
      <c r="B556" s="5">
        <f>COUNTIF('Entetes_TriNumInterne'!$C$2:$C$1154,A556)</f>
        <v/>
      </c>
    </row>
    <row r="557">
      <c r="A557" s="3" t="inlineStr">
        <is>
          <t>004117</t>
        </is>
      </c>
      <c r="B557" s="5">
        <f>COUNTIF('Entetes_TriNumInterne'!$C$2:$C$1154,A557)</f>
        <v/>
      </c>
    </row>
    <row r="558">
      <c r="A558" s="3" t="inlineStr">
        <is>
          <t>004118</t>
        </is>
      </c>
      <c r="B558" s="5">
        <f>COUNTIF('Entetes_TriNumInterne'!$C$2:$C$1154,A558)</f>
        <v/>
      </c>
    </row>
    <row r="559">
      <c r="A559" s="3" t="inlineStr">
        <is>
          <t>004119</t>
        </is>
      </c>
      <c r="B559" s="5">
        <f>COUNTIF('Entetes_TriNumInterne'!$C$2:$C$1154,A559)</f>
        <v/>
      </c>
    </row>
    <row r="560">
      <c r="A560" s="3" t="inlineStr">
        <is>
          <t>004120</t>
        </is>
      </c>
      <c r="B560" s="5">
        <f>COUNTIF('Entetes_TriNumInterne'!$C$2:$C$1154,A560)</f>
        <v/>
      </c>
    </row>
    <row r="561">
      <c r="A561" s="3" t="inlineStr">
        <is>
          <t>004121</t>
        </is>
      </c>
      <c r="B561" s="5">
        <f>COUNTIF('Entetes_TriNumInterne'!$C$2:$C$1154,A561)</f>
        <v/>
      </c>
    </row>
    <row r="562">
      <c r="A562" s="3" t="inlineStr">
        <is>
          <t>004122</t>
        </is>
      </c>
      <c r="B562" s="5">
        <f>COUNTIF('Entetes_TriNumInterne'!$C$2:$C$1154,A562)</f>
        <v/>
      </c>
    </row>
    <row r="563">
      <c r="A563" s="3" t="inlineStr">
        <is>
          <t>004123</t>
        </is>
      </c>
      <c r="B563" s="5">
        <f>COUNTIF('Entetes_TriNumInterne'!$C$2:$C$1154,A563)</f>
        <v/>
      </c>
    </row>
    <row r="564">
      <c r="A564" s="3" t="inlineStr">
        <is>
          <t>004124</t>
        </is>
      </c>
      <c r="B564" s="5">
        <f>COUNTIF('Entetes_TriNumInterne'!$C$2:$C$1154,A564)</f>
        <v/>
      </c>
    </row>
    <row r="565">
      <c r="A565" s="3" t="inlineStr">
        <is>
          <t>004125</t>
        </is>
      </c>
      <c r="B565" s="5">
        <f>COUNTIF('Entetes_TriNumInterne'!$C$2:$C$1154,A565)</f>
        <v/>
      </c>
    </row>
    <row r="566">
      <c r="A566" s="3" t="inlineStr">
        <is>
          <t>004126</t>
        </is>
      </c>
      <c r="B566" s="5">
        <f>COUNTIF('Entetes_TriNumInterne'!$C$2:$C$1154,A566)</f>
        <v/>
      </c>
    </row>
    <row r="567">
      <c r="A567" s="3" t="inlineStr">
        <is>
          <t>004127</t>
        </is>
      </c>
      <c r="B567" s="5">
        <f>COUNTIF('Entetes_TriNumInterne'!$C$2:$C$1154,A567)</f>
        <v/>
      </c>
    </row>
    <row r="568">
      <c r="A568" s="3" t="inlineStr">
        <is>
          <t>004128</t>
        </is>
      </c>
      <c r="B568" s="5">
        <f>COUNTIF('Entetes_TriNumInterne'!$C$2:$C$1154,A568)</f>
        <v/>
      </c>
    </row>
    <row r="569">
      <c r="A569" s="3" t="inlineStr">
        <is>
          <t>004129</t>
        </is>
      </c>
      <c r="B569" s="5">
        <f>COUNTIF('Entetes_TriNumInterne'!$C$2:$C$1154,A569)</f>
        <v/>
      </c>
    </row>
    <row r="570">
      <c r="A570" s="3" t="inlineStr">
        <is>
          <t>004130</t>
        </is>
      </c>
      <c r="B570" s="5">
        <f>COUNTIF('Entetes_TriNumInterne'!$C$2:$C$1154,A570)</f>
        <v/>
      </c>
    </row>
    <row r="571">
      <c r="A571" s="3" t="inlineStr">
        <is>
          <t>004131</t>
        </is>
      </c>
      <c r="B571" s="5">
        <f>COUNTIF('Entetes_TriNumInterne'!$C$2:$C$1154,A571)</f>
        <v/>
      </c>
    </row>
    <row r="572">
      <c r="A572" s="3" t="inlineStr">
        <is>
          <t>004132</t>
        </is>
      </c>
      <c r="B572" s="5">
        <f>COUNTIF('Entetes_TriNumInterne'!$C$2:$C$1154,A572)</f>
        <v/>
      </c>
    </row>
    <row r="573">
      <c r="A573" s="3" t="inlineStr">
        <is>
          <t>004133</t>
        </is>
      </c>
      <c r="B573" s="5">
        <f>COUNTIF('Entetes_TriNumInterne'!$C$2:$C$1154,A573)</f>
        <v/>
      </c>
    </row>
    <row r="574">
      <c r="A574" s="3" t="inlineStr">
        <is>
          <t>004134</t>
        </is>
      </c>
      <c r="B574" s="5">
        <f>COUNTIF('Entetes_TriNumInterne'!$C$2:$C$1154,A574)</f>
        <v/>
      </c>
    </row>
    <row r="575">
      <c r="A575" s="3" t="inlineStr">
        <is>
          <t>004135</t>
        </is>
      </c>
      <c r="B575" s="5">
        <f>COUNTIF('Entetes_TriNumInterne'!$C$2:$C$1154,A575)</f>
        <v/>
      </c>
    </row>
    <row r="576">
      <c r="A576" s="3" t="inlineStr">
        <is>
          <t>004136</t>
        </is>
      </c>
      <c r="B576" s="5">
        <f>COUNTIF('Entetes_TriNumInterne'!$C$2:$C$1154,A576)</f>
        <v/>
      </c>
    </row>
    <row r="577">
      <c r="A577" s="3" t="inlineStr">
        <is>
          <t>004137</t>
        </is>
      </c>
      <c r="B577" s="5">
        <f>COUNTIF('Entetes_TriNumInterne'!$C$2:$C$1154,A577)</f>
        <v/>
      </c>
    </row>
    <row r="578">
      <c r="A578" s="3" t="inlineStr">
        <is>
          <t>004138</t>
        </is>
      </c>
      <c r="B578" s="5">
        <f>COUNTIF('Entetes_TriNumInterne'!$C$2:$C$1154,A578)</f>
        <v/>
      </c>
    </row>
    <row r="579">
      <c r="A579" s="3" t="inlineStr">
        <is>
          <t>004139</t>
        </is>
      </c>
      <c r="B579" s="5">
        <f>COUNTIF('Entetes_TriNumInterne'!$C$2:$C$1154,A579)</f>
        <v/>
      </c>
    </row>
    <row r="580">
      <c r="A580" s="3" t="inlineStr">
        <is>
          <t>004140</t>
        </is>
      </c>
      <c r="B580" s="5">
        <f>COUNTIF('Entetes_TriNumInterne'!$C$2:$C$1154,A580)</f>
        <v/>
      </c>
    </row>
    <row r="581">
      <c r="A581" s="3" t="inlineStr">
        <is>
          <t>004141</t>
        </is>
      </c>
      <c r="B581" s="5">
        <f>COUNTIF('Entetes_TriNumInterne'!$C$2:$C$1154,A581)</f>
        <v/>
      </c>
    </row>
    <row r="582">
      <c r="A582" s="3" t="inlineStr">
        <is>
          <t>004142</t>
        </is>
      </c>
      <c r="B582" s="5">
        <f>COUNTIF('Entetes_TriNumInterne'!$C$2:$C$1154,A582)</f>
        <v/>
      </c>
    </row>
    <row r="583">
      <c r="A583" s="3" t="inlineStr">
        <is>
          <t>004143</t>
        </is>
      </c>
      <c r="B583" s="5">
        <f>COUNTIF('Entetes_TriNumInterne'!$C$2:$C$1154,A583)</f>
        <v/>
      </c>
    </row>
    <row r="584">
      <c r="A584" s="3" t="inlineStr">
        <is>
          <t>004144</t>
        </is>
      </c>
      <c r="B584" s="5">
        <f>COUNTIF('Entetes_TriNumInterne'!$C$2:$C$1154,A584)</f>
        <v/>
      </c>
    </row>
    <row r="585">
      <c r="A585" s="3" t="inlineStr">
        <is>
          <t>004145</t>
        </is>
      </c>
      <c r="B585" s="5">
        <f>COUNTIF('Entetes_TriNumInterne'!$C$2:$C$1154,A585)</f>
        <v/>
      </c>
    </row>
    <row r="586">
      <c r="A586" s="3" t="inlineStr">
        <is>
          <t>004146</t>
        </is>
      </c>
      <c r="B586" s="5">
        <f>COUNTIF('Entetes_TriNumInterne'!$C$2:$C$1154,A586)</f>
        <v/>
      </c>
    </row>
    <row r="587">
      <c r="A587" s="3" t="inlineStr">
        <is>
          <t>004147</t>
        </is>
      </c>
      <c r="B587" s="5">
        <f>COUNTIF('Entetes_TriNumInterne'!$C$2:$C$1154,A587)</f>
        <v/>
      </c>
    </row>
    <row r="588">
      <c r="A588" s="3" t="inlineStr">
        <is>
          <t>004148</t>
        </is>
      </c>
      <c r="B588" s="5">
        <f>COUNTIF('Entetes_TriNumInterne'!$C$2:$C$1154,A588)</f>
        <v/>
      </c>
    </row>
    <row r="589">
      <c r="A589" s="3" t="inlineStr">
        <is>
          <t>004149</t>
        </is>
      </c>
      <c r="B589" s="5">
        <f>COUNTIF('Entetes_TriNumInterne'!$C$2:$C$1154,A589)</f>
        <v/>
      </c>
    </row>
    <row r="590">
      <c r="A590" s="3" t="inlineStr">
        <is>
          <t>004150</t>
        </is>
      </c>
      <c r="B590" s="5">
        <f>COUNTIF('Entetes_TriNumInterne'!$C$2:$C$1154,A590)</f>
        <v/>
      </c>
    </row>
    <row r="591">
      <c r="A591" s="3" t="inlineStr">
        <is>
          <t>004151</t>
        </is>
      </c>
      <c r="B591" s="5">
        <f>COUNTIF('Entetes_TriNumInterne'!$C$2:$C$1154,A591)</f>
        <v/>
      </c>
    </row>
    <row r="592">
      <c r="A592" s="3" t="inlineStr">
        <is>
          <t>004152</t>
        </is>
      </c>
      <c r="B592" s="5">
        <f>COUNTIF('Entetes_TriNumInterne'!$C$2:$C$1154,A592)</f>
        <v/>
      </c>
    </row>
    <row r="593">
      <c r="A593" s="3" t="inlineStr">
        <is>
          <t>004153</t>
        </is>
      </c>
      <c r="B593" s="5">
        <f>COUNTIF('Entetes_TriNumInterne'!$C$2:$C$1154,A593)</f>
        <v/>
      </c>
    </row>
    <row r="594">
      <c r="A594" s="3" t="inlineStr">
        <is>
          <t>004154</t>
        </is>
      </c>
      <c r="B594" s="5">
        <f>COUNTIF('Entetes_TriNumInterne'!$C$2:$C$1154,A594)</f>
        <v/>
      </c>
    </row>
    <row r="595">
      <c r="A595" s="3" t="inlineStr">
        <is>
          <t>004155</t>
        </is>
      </c>
      <c r="B595" s="5">
        <f>COUNTIF('Entetes_TriNumInterne'!$C$2:$C$1154,A595)</f>
        <v/>
      </c>
    </row>
    <row r="596">
      <c r="A596" s="3" t="inlineStr">
        <is>
          <t>004156</t>
        </is>
      </c>
      <c r="B596" s="5">
        <f>COUNTIF('Entetes_TriNumInterne'!$C$2:$C$1154,A596)</f>
        <v/>
      </c>
    </row>
    <row r="597">
      <c r="A597" s="3" t="inlineStr">
        <is>
          <t>004157</t>
        </is>
      </c>
      <c r="B597" s="5">
        <f>COUNTIF('Entetes_TriNumInterne'!$C$2:$C$1154,A597)</f>
        <v/>
      </c>
    </row>
    <row r="598">
      <c r="A598" s="3" t="inlineStr">
        <is>
          <t>004158</t>
        </is>
      </c>
      <c r="B598" s="5">
        <f>COUNTIF('Entetes_TriNumInterne'!$C$2:$C$1154,A598)</f>
        <v/>
      </c>
    </row>
    <row r="599">
      <c r="A599" s="3" t="inlineStr">
        <is>
          <t>004159</t>
        </is>
      </c>
      <c r="B599" s="5">
        <f>COUNTIF('Entetes_TriNumInterne'!$C$2:$C$1154,A599)</f>
        <v/>
      </c>
    </row>
    <row r="600">
      <c r="A600" s="3" t="inlineStr">
        <is>
          <t>004160</t>
        </is>
      </c>
      <c r="B600" s="5">
        <f>COUNTIF('Entetes_TriNumInterne'!$C$2:$C$1154,A600)</f>
        <v/>
      </c>
    </row>
    <row r="601">
      <c r="A601" s="3" t="inlineStr">
        <is>
          <t>004161</t>
        </is>
      </c>
      <c r="B601" s="5">
        <f>COUNTIF('Entetes_TriNumInterne'!$C$2:$C$1154,A601)</f>
        <v/>
      </c>
    </row>
    <row r="602">
      <c r="A602" s="3" t="inlineStr">
        <is>
          <t>004162</t>
        </is>
      </c>
      <c r="B602" s="5">
        <f>COUNTIF('Entetes_TriNumInterne'!$C$2:$C$1154,A602)</f>
        <v/>
      </c>
    </row>
    <row r="603">
      <c r="A603" s="3" t="inlineStr">
        <is>
          <t>004163</t>
        </is>
      </c>
      <c r="B603" s="5">
        <f>COUNTIF('Entetes_TriNumInterne'!$C$2:$C$1154,A603)</f>
        <v/>
      </c>
    </row>
    <row r="604">
      <c r="A604" s="3" t="inlineStr">
        <is>
          <t>004164</t>
        </is>
      </c>
      <c r="B604" s="5">
        <f>COUNTIF('Entetes_TriNumInterne'!$C$2:$C$1154,A604)</f>
        <v/>
      </c>
    </row>
    <row r="605">
      <c r="A605" s="3" t="inlineStr">
        <is>
          <t>004165</t>
        </is>
      </c>
      <c r="B605" s="5">
        <f>COUNTIF('Entetes_TriNumInterne'!$C$2:$C$1154,A605)</f>
        <v/>
      </c>
    </row>
    <row r="606">
      <c r="A606" s="3" t="inlineStr">
        <is>
          <t>004166</t>
        </is>
      </c>
      <c r="B606" s="5">
        <f>COUNTIF('Entetes_TriNumInterne'!$C$2:$C$1154,A606)</f>
        <v/>
      </c>
    </row>
    <row r="607">
      <c r="A607" s="3" t="inlineStr">
        <is>
          <t>004167</t>
        </is>
      </c>
      <c r="B607" s="5">
        <f>COUNTIF('Entetes_TriNumInterne'!$C$2:$C$1154,A607)</f>
        <v/>
      </c>
    </row>
    <row r="608">
      <c r="A608" s="3" t="inlineStr">
        <is>
          <t>004168</t>
        </is>
      </c>
      <c r="B608" s="5">
        <f>COUNTIF('Entetes_TriNumInterne'!$C$2:$C$1154,A608)</f>
        <v/>
      </c>
    </row>
    <row r="609">
      <c r="A609" s="3" t="inlineStr">
        <is>
          <t>004169</t>
        </is>
      </c>
      <c r="B609" s="5">
        <f>COUNTIF('Entetes_TriNumInterne'!$C$2:$C$1154,A609)</f>
        <v/>
      </c>
    </row>
    <row r="610">
      <c r="A610" s="3" t="inlineStr">
        <is>
          <t>004170</t>
        </is>
      </c>
      <c r="B610" s="5">
        <f>COUNTIF('Entetes_TriNumInterne'!$C$2:$C$1154,A610)</f>
        <v/>
      </c>
    </row>
    <row r="611">
      <c r="A611" s="3" t="inlineStr">
        <is>
          <t>004171</t>
        </is>
      </c>
      <c r="B611" s="5">
        <f>COUNTIF('Entetes_TriNumInterne'!$C$2:$C$1154,A611)</f>
        <v/>
      </c>
    </row>
    <row r="612">
      <c r="A612" s="3" t="inlineStr">
        <is>
          <t>004172</t>
        </is>
      </c>
      <c r="B612" s="5">
        <f>COUNTIF('Entetes_TriNumInterne'!$C$2:$C$1154,A612)</f>
        <v/>
      </c>
    </row>
    <row r="613">
      <c r="A613" s="3" t="inlineStr">
        <is>
          <t>004173</t>
        </is>
      </c>
      <c r="B613" s="5">
        <f>COUNTIF('Entetes_TriNumInterne'!$C$2:$C$1154,A613)</f>
        <v/>
      </c>
    </row>
    <row r="614">
      <c r="A614" s="3" t="inlineStr">
        <is>
          <t>004174</t>
        </is>
      </c>
      <c r="B614" s="5">
        <f>COUNTIF('Entetes_TriNumInterne'!$C$2:$C$1154,A614)</f>
        <v/>
      </c>
    </row>
    <row r="615">
      <c r="A615" s="3" t="inlineStr">
        <is>
          <t>004175</t>
        </is>
      </c>
      <c r="B615" s="5">
        <f>COUNTIF('Entetes_TriNumInterne'!$C$2:$C$1154,A615)</f>
        <v/>
      </c>
    </row>
    <row r="616">
      <c r="A616" s="3" t="inlineStr">
        <is>
          <t>004176</t>
        </is>
      </c>
      <c r="B616" s="5">
        <f>COUNTIF('Entetes_TriNumInterne'!$C$2:$C$1154,A616)</f>
        <v/>
      </c>
    </row>
    <row r="617">
      <c r="A617" s="3" t="inlineStr">
        <is>
          <t>004177</t>
        </is>
      </c>
      <c r="B617" s="5">
        <f>COUNTIF('Entetes_TriNumInterne'!$C$2:$C$1154,A617)</f>
        <v/>
      </c>
    </row>
    <row r="618">
      <c r="A618" s="3" t="inlineStr">
        <is>
          <t>004178</t>
        </is>
      </c>
      <c r="B618" s="5">
        <f>COUNTIF('Entetes_TriNumInterne'!$C$2:$C$1154,A618)</f>
        <v/>
      </c>
    </row>
    <row r="619">
      <c r="A619" s="3" t="inlineStr">
        <is>
          <t>004179</t>
        </is>
      </c>
      <c r="B619" s="5">
        <f>COUNTIF('Entetes_TriNumInterne'!$C$2:$C$1154,A619)</f>
        <v/>
      </c>
    </row>
    <row r="620">
      <c r="A620" s="3" t="inlineStr">
        <is>
          <t>004180</t>
        </is>
      </c>
      <c r="B620" s="5">
        <f>COUNTIF('Entetes_TriNumInterne'!$C$2:$C$1154,A620)</f>
        <v/>
      </c>
    </row>
    <row r="621">
      <c r="A621" s="3" t="inlineStr">
        <is>
          <t>004181</t>
        </is>
      </c>
      <c r="B621" s="5">
        <f>COUNTIF('Entetes_TriNumInterne'!$C$2:$C$1154,A621)</f>
        <v/>
      </c>
    </row>
    <row r="622">
      <c r="A622" s="3" t="inlineStr">
        <is>
          <t>004182</t>
        </is>
      </c>
      <c r="B622" s="5">
        <f>COUNTIF('Entetes_TriNumInterne'!$C$2:$C$1154,A622)</f>
        <v/>
      </c>
    </row>
    <row r="623">
      <c r="A623" s="3" t="inlineStr">
        <is>
          <t>004183</t>
        </is>
      </c>
      <c r="B623" s="5">
        <f>COUNTIF('Entetes_TriNumInterne'!$C$2:$C$1154,A623)</f>
        <v/>
      </c>
    </row>
    <row r="624">
      <c r="A624" s="3" t="inlineStr">
        <is>
          <t>004184</t>
        </is>
      </c>
      <c r="B624" s="5">
        <f>COUNTIF('Entetes_TriNumInterne'!$C$2:$C$1154,A624)</f>
        <v/>
      </c>
    </row>
    <row r="625">
      <c r="A625" s="3" t="inlineStr">
        <is>
          <t>004185</t>
        </is>
      </c>
      <c r="B625" s="5">
        <f>COUNTIF('Entetes_TriNumInterne'!$C$2:$C$1154,A625)</f>
        <v/>
      </c>
    </row>
    <row r="626">
      <c r="A626" s="3" t="inlineStr">
        <is>
          <t>004186</t>
        </is>
      </c>
      <c r="B626" s="5">
        <f>COUNTIF('Entetes_TriNumInterne'!$C$2:$C$1154,A626)</f>
        <v/>
      </c>
    </row>
    <row r="627">
      <c r="A627" s="3" t="inlineStr">
        <is>
          <t>004187</t>
        </is>
      </c>
      <c r="B627" s="5">
        <f>COUNTIF('Entetes_TriNumInterne'!$C$2:$C$1154,A627)</f>
        <v/>
      </c>
    </row>
    <row r="628">
      <c r="A628" s="3" t="inlineStr">
        <is>
          <t>004188</t>
        </is>
      </c>
      <c r="B628" s="5">
        <f>COUNTIF('Entetes_TriNumInterne'!$C$2:$C$1154,A628)</f>
        <v/>
      </c>
    </row>
    <row r="629">
      <c r="A629" s="3" t="inlineStr">
        <is>
          <t>004189</t>
        </is>
      </c>
      <c r="B629" s="5">
        <f>COUNTIF('Entetes_TriNumInterne'!$C$2:$C$1154,A629)</f>
        <v/>
      </c>
    </row>
    <row r="630">
      <c r="A630" s="3" t="inlineStr">
        <is>
          <t>004190</t>
        </is>
      </c>
      <c r="B630" s="5">
        <f>COUNTIF('Entetes_TriNumInterne'!$C$2:$C$1154,A630)</f>
        <v/>
      </c>
    </row>
    <row r="631">
      <c r="A631" s="3" t="inlineStr">
        <is>
          <t>004191</t>
        </is>
      </c>
      <c r="B631" s="5">
        <f>COUNTIF('Entetes_TriNumInterne'!$C$2:$C$1154,A631)</f>
        <v/>
      </c>
    </row>
    <row r="632">
      <c r="A632" s="3" t="inlineStr">
        <is>
          <t>004192</t>
        </is>
      </c>
      <c r="B632" s="5">
        <f>COUNTIF('Entetes_TriNumInterne'!$C$2:$C$1154,A632)</f>
        <v/>
      </c>
    </row>
    <row r="633">
      <c r="A633" s="3" t="inlineStr">
        <is>
          <t>004193</t>
        </is>
      </c>
      <c r="B633" s="5">
        <f>COUNTIF('Entetes_TriNumInterne'!$C$2:$C$1154,A633)</f>
        <v/>
      </c>
    </row>
    <row r="634">
      <c r="A634" s="3" t="inlineStr">
        <is>
          <t>004194</t>
        </is>
      </c>
      <c r="B634" s="5">
        <f>COUNTIF('Entetes_TriNumInterne'!$C$2:$C$1154,A634)</f>
        <v/>
      </c>
    </row>
    <row r="635">
      <c r="A635" s="3" t="inlineStr">
        <is>
          <t>004195</t>
        </is>
      </c>
      <c r="B635" s="5">
        <f>COUNTIF('Entetes_TriNumInterne'!$C$2:$C$1154,A635)</f>
        <v/>
      </c>
    </row>
    <row r="636">
      <c r="A636" s="3" t="inlineStr">
        <is>
          <t>004196</t>
        </is>
      </c>
      <c r="B636" s="5">
        <f>COUNTIF('Entetes_TriNumInterne'!$C$2:$C$1154,A636)</f>
        <v/>
      </c>
    </row>
    <row r="637">
      <c r="A637" s="3" t="inlineStr">
        <is>
          <t>004197</t>
        </is>
      </c>
      <c r="B637" s="5">
        <f>COUNTIF('Entetes_TriNumInterne'!$C$2:$C$1154,A637)</f>
        <v/>
      </c>
    </row>
    <row r="638">
      <c r="A638" s="3" t="inlineStr">
        <is>
          <t>004198</t>
        </is>
      </c>
      <c r="B638" s="5">
        <f>COUNTIF('Entetes_TriNumInterne'!$C$2:$C$1154,A638)</f>
        <v/>
      </c>
    </row>
    <row r="639">
      <c r="A639" s="3" t="inlineStr">
        <is>
          <t>004199</t>
        </is>
      </c>
      <c r="B639" s="5">
        <f>COUNTIF('Entetes_TriNumInterne'!$C$2:$C$1154,A639)</f>
        <v/>
      </c>
    </row>
    <row r="640">
      <c r="A640" s="3" t="inlineStr">
        <is>
          <t>004200</t>
        </is>
      </c>
      <c r="B640" s="5">
        <f>COUNTIF('Entetes_TriNumInterne'!$C$2:$C$1154,A640)</f>
        <v/>
      </c>
    </row>
    <row r="641">
      <c r="A641" s="3" t="inlineStr">
        <is>
          <t>004201</t>
        </is>
      </c>
      <c r="B641" s="5">
        <f>COUNTIF('Entetes_TriNumInterne'!$C$2:$C$1154,A641)</f>
        <v/>
      </c>
    </row>
    <row r="642">
      <c r="A642" s="3" t="inlineStr">
        <is>
          <t>004202</t>
        </is>
      </c>
      <c r="B642" s="5">
        <f>COUNTIF('Entetes_TriNumInterne'!$C$2:$C$1154,A642)</f>
        <v/>
      </c>
    </row>
    <row r="643">
      <c r="A643" s="3" t="inlineStr">
        <is>
          <t>004203</t>
        </is>
      </c>
      <c r="B643" s="5">
        <f>COUNTIF('Entetes_TriNumInterne'!$C$2:$C$1154,A643)</f>
        <v/>
      </c>
    </row>
    <row r="644">
      <c r="A644" s="3" t="inlineStr">
        <is>
          <t>004204</t>
        </is>
      </c>
      <c r="B644" s="5">
        <f>COUNTIF('Entetes_TriNumInterne'!$C$2:$C$1154,A644)</f>
        <v/>
      </c>
    </row>
    <row r="645">
      <c r="A645" s="3" t="inlineStr">
        <is>
          <t>004205</t>
        </is>
      </c>
      <c r="B645" s="5">
        <f>COUNTIF('Entetes_TriNumInterne'!$C$2:$C$1154,A645)</f>
        <v/>
      </c>
    </row>
    <row r="646">
      <c r="A646" s="3" t="inlineStr">
        <is>
          <t>004206</t>
        </is>
      </c>
      <c r="B646" s="5">
        <f>COUNTIF('Entetes_TriNumInterne'!$C$2:$C$1154,A646)</f>
        <v/>
      </c>
    </row>
    <row r="647">
      <c r="A647" s="3" t="inlineStr">
        <is>
          <t>004207</t>
        </is>
      </c>
      <c r="B647" s="5">
        <f>COUNTIF('Entetes_TriNumInterne'!$C$2:$C$1154,A647)</f>
        <v/>
      </c>
    </row>
    <row r="648">
      <c r="A648" s="3" t="inlineStr">
        <is>
          <t>004208</t>
        </is>
      </c>
      <c r="B648" s="5">
        <f>COUNTIF('Entetes_TriNumInterne'!$C$2:$C$1154,A648)</f>
        <v/>
      </c>
    </row>
    <row r="649">
      <c r="A649" s="3" t="inlineStr">
        <is>
          <t>004209</t>
        </is>
      </c>
      <c r="B649" s="5">
        <f>COUNTIF('Entetes_TriNumInterne'!$C$2:$C$1154,A649)</f>
        <v/>
      </c>
    </row>
    <row r="650">
      <c r="A650" s="3" t="inlineStr">
        <is>
          <t>004210</t>
        </is>
      </c>
      <c r="B650" s="5">
        <f>COUNTIF('Entetes_TriNumInterne'!$C$2:$C$1154,A650)</f>
        <v/>
      </c>
    </row>
    <row r="651">
      <c r="A651" s="3" t="inlineStr">
        <is>
          <t>004211</t>
        </is>
      </c>
      <c r="B651" s="5">
        <f>COUNTIF('Entetes_TriNumInterne'!$C$2:$C$1154,A651)</f>
        <v/>
      </c>
    </row>
    <row r="652">
      <c r="A652" s="3" t="inlineStr">
        <is>
          <t>004212</t>
        </is>
      </c>
      <c r="B652" s="5">
        <f>COUNTIF('Entetes_TriNumInterne'!$C$2:$C$1154,A652)</f>
        <v/>
      </c>
    </row>
    <row r="653">
      <c r="A653" s="3" t="inlineStr">
        <is>
          <t>004213</t>
        </is>
      </c>
      <c r="B653" s="5">
        <f>COUNTIF('Entetes_TriNumInterne'!$C$2:$C$1154,A653)</f>
        <v/>
      </c>
    </row>
    <row r="654">
      <c r="A654" s="3" t="inlineStr">
        <is>
          <t>004214</t>
        </is>
      </c>
      <c r="B654" s="5">
        <f>COUNTIF('Entetes_TriNumInterne'!$C$2:$C$1154,A654)</f>
        <v/>
      </c>
    </row>
    <row r="655">
      <c r="A655" s="3" t="inlineStr">
        <is>
          <t>004215</t>
        </is>
      </c>
      <c r="B655" s="5">
        <f>COUNTIF('Entetes_TriNumInterne'!$C$2:$C$1154,A655)</f>
        <v/>
      </c>
    </row>
    <row r="656">
      <c r="A656" s="3" t="inlineStr">
        <is>
          <t>004216</t>
        </is>
      </c>
      <c r="B656" s="5">
        <f>COUNTIF('Entetes_TriNumInterne'!$C$2:$C$1154,A656)</f>
        <v/>
      </c>
    </row>
    <row r="657">
      <c r="A657" s="3" t="inlineStr">
        <is>
          <t>004217</t>
        </is>
      </c>
      <c r="B657" s="5">
        <f>COUNTIF('Entetes_TriNumInterne'!$C$2:$C$1154,A657)</f>
        <v/>
      </c>
    </row>
    <row r="658">
      <c r="A658" s="3" t="inlineStr">
        <is>
          <t>004218</t>
        </is>
      </c>
      <c r="B658" s="5">
        <f>COUNTIF('Entetes_TriNumInterne'!$C$2:$C$1154,A658)</f>
        <v/>
      </c>
    </row>
    <row r="659">
      <c r="A659" s="3" t="inlineStr">
        <is>
          <t>004219</t>
        </is>
      </c>
      <c r="B659" s="5">
        <f>COUNTIF('Entetes_TriNumInterne'!$C$2:$C$1154,A659)</f>
        <v/>
      </c>
    </row>
    <row r="660">
      <c r="A660" s="3" t="inlineStr">
        <is>
          <t>004220</t>
        </is>
      </c>
      <c r="B660" s="5">
        <f>COUNTIF('Entetes_TriNumInterne'!$C$2:$C$1154,A660)</f>
        <v/>
      </c>
    </row>
    <row r="661">
      <c r="A661" s="3" t="inlineStr">
        <is>
          <t>004221</t>
        </is>
      </c>
      <c r="B661" s="5">
        <f>COUNTIF('Entetes_TriNumInterne'!$C$2:$C$1154,A661)</f>
        <v/>
      </c>
    </row>
    <row r="662">
      <c r="A662" s="3" t="inlineStr">
        <is>
          <t>004222</t>
        </is>
      </c>
      <c r="B662" s="5">
        <f>COUNTIF('Entetes_TriNumInterne'!$C$2:$C$1154,A662)</f>
        <v/>
      </c>
    </row>
    <row r="663">
      <c r="A663" s="3" t="inlineStr">
        <is>
          <t>004223</t>
        </is>
      </c>
      <c r="B663" s="5">
        <f>COUNTIF('Entetes_TriNumInterne'!$C$2:$C$1154,A663)</f>
        <v/>
      </c>
    </row>
    <row r="664">
      <c r="A664" s="3" t="inlineStr">
        <is>
          <t>004224</t>
        </is>
      </c>
      <c r="B664" s="5">
        <f>COUNTIF('Entetes_TriNumInterne'!$C$2:$C$1154,A664)</f>
        <v/>
      </c>
    </row>
    <row r="665">
      <c r="A665" s="3" t="inlineStr">
        <is>
          <t>004225</t>
        </is>
      </c>
      <c r="B665" s="5">
        <f>COUNTIF('Entetes_TriNumInterne'!$C$2:$C$1154,A665)</f>
        <v/>
      </c>
    </row>
    <row r="666">
      <c r="A666" s="3" t="inlineStr">
        <is>
          <t>004226</t>
        </is>
      </c>
      <c r="B666" s="5">
        <f>COUNTIF('Entetes_TriNumInterne'!$C$2:$C$1154,A666)</f>
        <v/>
      </c>
    </row>
    <row r="667">
      <c r="A667" s="3" t="inlineStr">
        <is>
          <t>004227</t>
        </is>
      </c>
      <c r="B667" s="5">
        <f>COUNTIF('Entetes_TriNumInterne'!$C$2:$C$1154,A667)</f>
        <v/>
      </c>
    </row>
    <row r="668">
      <c r="A668" s="3" t="inlineStr">
        <is>
          <t>004228</t>
        </is>
      </c>
      <c r="B668" s="5">
        <f>COUNTIF('Entetes_TriNumInterne'!$C$2:$C$1154,A668)</f>
        <v/>
      </c>
    </row>
    <row r="669">
      <c r="A669" s="3" t="inlineStr">
        <is>
          <t>004229</t>
        </is>
      </c>
      <c r="B669" s="5">
        <f>COUNTIF('Entetes_TriNumInterne'!$C$2:$C$1154,A669)</f>
        <v/>
      </c>
    </row>
    <row r="670">
      <c r="A670" s="3" t="inlineStr">
        <is>
          <t>004230</t>
        </is>
      </c>
      <c r="B670" s="5">
        <f>COUNTIF('Entetes_TriNumInterne'!$C$2:$C$1154,A670)</f>
        <v/>
      </c>
    </row>
    <row r="671">
      <c r="A671" s="3" t="inlineStr">
        <is>
          <t>004231</t>
        </is>
      </c>
      <c r="B671" s="5">
        <f>COUNTIF('Entetes_TriNumInterne'!$C$2:$C$1154,A671)</f>
        <v/>
      </c>
    </row>
    <row r="672">
      <c r="A672" s="3" t="inlineStr">
        <is>
          <t>004232</t>
        </is>
      </c>
      <c r="B672" s="5">
        <f>COUNTIF('Entetes_TriNumInterne'!$C$2:$C$1154,A672)</f>
        <v/>
      </c>
    </row>
    <row r="673">
      <c r="A673" s="3" t="inlineStr">
        <is>
          <t>004233</t>
        </is>
      </c>
      <c r="B673" s="5">
        <f>COUNTIF('Entetes_TriNumInterne'!$C$2:$C$1154,A673)</f>
        <v/>
      </c>
    </row>
    <row r="674">
      <c r="A674" s="3" t="inlineStr">
        <is>
          <t>004234</t>
        </is>
      </c>
      <c r="B674" s="5">
        <f>COUNTIF('Entetes_TriNumInterne'!$C$2:$C$1154,A674)</f>
        <v/>
      </c>
    </row>
    <row r="675">
      <c r="A675" s="3" t="inlineStr">
        <is>
          <t>004235</t>
        </is>
      </c>
      <c r="B675" s="5">
        <f>COUNTIF('Entetes_TriNumInterne'!$C$2:$C$1154,A675)</f>
        <v/>
      </c>
    </row>
    <row r="676">
      <c r="A676" s="3" t="inlineStr">
        <is>
          <t>004236</t>
        </is>
      </c>
      <c r="B676" s="5">
        <f>COUNTIF('Entetes_TriNumInterne'!$C$2:$C$1154,A676)</f>
        <v/>
      </c>
    </row>
    <row r="677">
      <c r="A677" s="3" t="inlineStr">
        <is>
          <t>004237</t>
        </is>
      </c>
      <c r="B677" s="5">
        <f>COUNTIF('Entetes_TriNumInterne'!$C$2:$C$1154,A677)</f>
        <v/>
      </c>
    </row>
    <row r="678">
      <c r="A678" s="3" t="inlineStr">
        <is>
          <t>004238</t>
        </is>
      </c>
      <c r="B678" s="5">
        <f>COUNTIF('Entetes_TriNumInterne'!$C$2:$C$1154,A678)</f>
        <v/>
      </c>
    </row>
    <row r="679">
      <c r="A679" s="3" t="inlineStr">
        <is>
          <t>004239</t>
        </is>
      </c>
      <c r="B679" s="5">
        <f>COUNTIF('Entetes_TriNumInterne'!$C$2:$C$1154,A679)</f>
        <v/>
      </c>
    </row>
    <row r="680">
      <c r="A680" s="3" t="inlineStr">
        <is>
          <t>004240</t>
        </is>
      </c>
      <c r="B680" s="5">
        <f>COUNTIF('Entetes_TriNumInterne'!$C$2:$C$1154,A680)</f>
        <v/>
      </c>
    </row>
    <row r="681">
      <c r="A681" s="3" t="inlineStr">
        <is>
          <t>004241</t>
        </is>
      </c>
      <c r="B681" s="5">
        <f>COUNTIF('Entetes_TriNumInterne'!$C$2:$C$1154,A681)</f>
        <v/>
      </c>
    </row>
    <row r="682">
      <c r="A682" s="3" t="inlineStr">
        <is>
          <t>004242</t>
        </is>
      </c>
      <c r="B682" s="5">
        <f>COUNTIF('Entetes_TriNumInterne'!$C$2:$C$1154,A682)</f>
        <v/>
      </c>
    </row>
    <row r="683">
      <c r="A683" s="3" t="inlineStr">
        <is>
          <t>004243</t>
        </is>
      </c>
      <c r="B683" s="5">
        <f>COUNTIF('Entetes_TriNumInterne'!$C$2:$C$1154,A683)</f>
        <v/>
      </c>
    </row>
    <row r="684">
      <c r="A684" s="3" t="inlineStr">
        <is>
          <t>004244</t>
        </is>
      </c>
      <c r="B684" s="5">
        <f>COUNTIF('Entetes_TriNumInterne'!$C$2:$C$1154,A684)</f>
        <v/>
      </c>
    </row>
    <row r="685">
      <c r="A685" s="3" t="inlineStr">
        <is>
          <t>004245</t>
        </is>
      </c>
      <c r="B685" s="5">
        <f>COUNTIF('Entetes_TriNumInterne'!$C$2:$C$1154,A685)</f>
        <v/>
      </c>
    </row>
    <row r="686">
      <c r="A686" s="3" t="inlineStr">
        <is>
          <t>004246</t>
        </is>
      </c>
      <c r="B686" s="5">
        <f>COUNTIF('Entetes_TriNumInterne'!$C$2:$C$1154,A686)</f>
        <v/>
      </c>
    </row>
    <row r="687">
      <c r="A687" s="3" t="inlineStr">
        <is>
          <t>004247</t>
        </is>
      </c>
      <c r="B687" s="5">
        <f>COUNTIF('Entetes_TriNumInterne'!$C$2:$C$1154,A687)</f>
        <v/>
      </c>
    </row>
    <row r="688">
      <c r="A688" s="3" t="inlineStr">
        <is>
          <t>004248</t>
        </is>
      </c>
      <c r="B688" s="5">
        <f>COUNTIF('Entetes_TriNumInterne'!$C$2:$C$1154,A688)</f>
        <v/>
      </c>
    </row>
    <row r="689">
      <c r="A689" s="3" t="inlineStr">
        <is>
          <t>004249</t>
        </is>
      </c>
      <c r="B689" s="5">
        <f>COUNTIF('Entetes_TriNumInterne'!$C$2:$C$1154,A689)</f>
        <v/>
      </c>
    </row>
    <row r="690">
      <c r="A690" s="3" t="inlineStr">
        <is>
          <t>004250</t>
        </is>
      </c>
      <c r="B690" s="5">
        <f>COUNTIF('Entetes_TriNumInterne'!$C$2:$C$1154,A690)</f>
        <v/>
      </c>
    </row>
    <row r="691">
      <c r="A691" s="3" t="inlineStr">
        <is>
          <t>004251</t>
        </is>
      </c>
      <c r="B691" s="5">
        <f>COUNTIF('Entetes_TriNumInterne'!$C$2:$C$1154,A691)</f>
        <v/>
      </c>
    </row>
    <row r="692">
      <c r="A692" s="3" t="inlineStr">
        <is>
          <t>004252</t>
        </is>
      </c>
      <c r="B692" s="5">
        <f>COUNTIF('Entetes_TriNumInterne'!$C$2:$C$1154,A692)</f>
        <v/>
      </c>
    </row>
    <row r="693">
      <c r="A693" s="3" t="inlineStr">
        <is>
          <t>004253</t>
        </is>
      </c>
      <c r="B693" s="5">
        <f>COUNTIF('Entetes_TriNumInterne'!$C$2:$C$1154,A693)</f>
        <v/>
      </c>
    </row>
    <row r="694">
      <c r="A694" s="3" t="inlineStr">
        <is>
          <t>004254</t>
        </is>
      </c>
      <c r="B694" s="5">
        <f>COUNTIF('Entetes_TriNumInterne'!$C$2:$C$1154,A694)</f>
        <v/>
      </c>
    </row>
    <row r="695">
      <c r="A695" s="3" t="inlineStr">
        <is>
          <t>004255</t>
        </is>
      </c>
      <c r="B695" s="5">
        <f>COUNTIF('Entetes_TriNumInterne'!$C$2:$C$1154,A695)</f>
        <v/>
      </c>
    </row>
    <row r="696">
      <c r="A696" s="3" t="inlineStr">
        <is>
          <t>004256</t>
        </is>
      </c>
      <c r="B696" s="5">
        <f>COUNTIF('Entetes_TriNumInterne'!$C$2:$C$1154,A696)</f>
        <v/>
      </c>
    </row>
    <row r="697">
      <c r="A697" s="3" t="inlineStr">
        <is>
          <t>004257</t>
        </is>
      </c>
      <c r="B697" s="5">
        <f>COUNTIF('Entetes_TriNumInterne'!$C$2:$C$1154,A697)</f>
        <v/>
      </c>
    </row>
    <row r="698">
      <c r="A698" s="3" t="inlineStr">
        <is>
          <t>004258</t>
        </is>
      </c>
      <c r="B698" s="5">
        <f>COUNTIF('Entetes_TriNumInterne'!$C$2:$C$1154,A698)</f>
        <v/>
      </c>
    </row>
    <row r="699">
      <c r="A699" s="3" t="inlineStr">
        <is>
          <t>004259</t>
        </is>
      </c>
      <c r="B699" s="5">
        <f>COUNTIF('Entetes_TriNumInterne'!$C$2:$C$1154,A699)</f>
        <v/>
      </c>
    </row>
    <row r="700">
      <c r="A700" s="3" t="inlineStr">
        <is>
          <t>004260</t>
        </is>
      </c>
      <c r="B700" s="5">
        <f>COUNTIF('Entetes_TriNumInterne'!$C$2:$C$1154,A700)</f>
        <v/>
      </c>
    </row>
    <row r="701">
      <c r="A701" s="3" t="inlineStr">
        <is>
          <t>004261</t>
        </is>
      </c>
      <c r="B701" s="5">
        <f>COUNTIF('Entetes_TriNumInterne'!$C$2:$C$1154,A701)</f>
        <v/>
      </c>
    </row>
    <row r="702">
      <c r="A702" s="3" t="inlineStr">
        <is>
          <t>004262</t>
        </is>
      </c>
      <c r="B702" s="5">
        <f>COUNTIF('Entetes_TriNumInterne'!$C$2:$C$1154,A702)</f>
        <v/>
      </c>
    </row>
    <row r="703">
      <c r="A703" s="3" t="inlineStr">
        <is>
          <t>004263</t>
        </is>
      </c>
      <c r="B703" s="5">
        <f>COUNTIF('Entetes_TriNumInterne'!$C$2:$C$1154,A703)</f>
        <v/>
      </c>
    </row>
    <row r="704">
      <c r="A704" s="3" t="inlineStr">
        <is>
          <t>004264</t>
        </is>
      </c>
      <c r="B704" s="5">
        <f>COUNTIF('Entetes_TriNumInterne'!$C$2:$C$1154,A704)</f>
        <v/>
      </c>
    </row>
    <row r="705">
      <c r="A705" s="3" t="inlineStr">
        <is>
          <t>004265</t>
        </is>
      </c>
      <c r="B705" s="5">
        <f>COUNTIF('Entetes_TriNumInterne'!$C$2:$C$1154,A705)</f>
        <v/>
      </c>
    </row>
    <row r="706">
      <c r="A706" s="3" t="inlineStr">
        <is>
          <t>004266</t>
        </is>
      </c>
      <c r="B706" s="5">
        <f>COUNTIF('Entetes_TriNumInterne'!$C$2:$C$1154,A706)</f>
        <v/>
      </c>
    </row>
    <row r="707">
      <c r="A707" s="3" t="inlineStr">
        <is>
          <t>004267</t>
        </is>
      </c>
      <c r="B707" s="5">
        <f>COUNTIF('Entetes_TriNumInterne'!$C$2:$C$1154,A707)</f>
        <v/>
      </c>
    </row>
    <row r="708">
      <c r="A708" s="3" t="inlineStr">
        <is>
          <t>004268</t>
        </is>
      </c>
      <c r="B708" s="5">
        <f>COUNTIF('Entetes_TriNumInterne'!$C$2:$C$1154,A708)</f>
        <v/>
      </c>
    </row>
    <row r="709">
      <c r="A709" s="3" t="inlineStr">
        <is>
          <t>004269</t>
        </is>
      </c>
      <c r="B709" s="5">
        <f>COUNTIF('Entetes_TriNumInterne'!$C$2:$C$1154,A709)</f>
        <v/>
      </c>
    </row>
    <row r="710">
      <c r="A710" s="3" t="inlineStr">
        <is>
          <t>004270</t>
        </is>
      </c>
      <c r="B710" s="5">
        <f>COUNTIF('Entetes_TriNumInterne'!$C$2:$C$1154,A710)</f>
        <v/>
      </c>
    </row>
    <row r="711">
      <c r="A711" s="3" t="inlineStr">
        <is>
          <t>004271</t>
        </is>
      </c>
      <c r="B711" s="5">
        <f>COUNTIF('Entetes_TriNumInterne'!$C$2:$C$1154,A711)</f>
        <v/>
      </c>
    </row>
    <row r="712">
      <c r="A712" s="3" t="inlineStr">
        <is>
          <t>004272</t>
        </is>
      </c>
      <c r="B712" s="5">
        <f>COUNTIF('Entetes_TriNumInterne'!$C$2:$C$1154,A712)</f>
        <v/>
      </c>
    </row>
    <row r="713">
      <c r="A713" s="3" t="inlineStr">
        <is>
          <t>004273</t>
        </is>
      </c>
      <c r="B713" s="5">
        <f>COUNTIF('Entetes_TriNumInterne'!$C$2:$C$1154,A713)</f>
        <v/>
      </c>
    </row>
    <row r="714">
      <c r="A714" s="3" t="inlineStr">
        <is>
          <t>004274</t>
        </is>
      </c>
      <c r="B714" s="5">
        <f>COUNTIF('Entetes_TriNumInterne'!$C$2:$C$1154,A714)</f>
        <v/>
      </c>
    </row>
    <row r="715">
      <c r="A715" s="3" t="inlineStr">
        <is>
          <t>004275</t>
        </is>
      </c>
      <c r="B715" s="5">
        <f>COUNTIF('Entetes_TriNumInterne'!$C$2:$C$1154,A715)</f>
        <v/>
      </c>
    </row>
    <row r="716">
      <c r="A716" s="3" t="inlineStr">
        <is>
          <t>004276</t>
        </is>
      </c>
      <c r="B716" s="5">
        <f>COUNTIF('Entetes_TriNumInterne'!$C$2:$C$1154,A716)</f>
        <v/>
      </c>
    </row>
    <row r="717">
      <c r="A717" s="3" t="inlineStr">
        <is>
          <t>004277</t>
        </is>
      </c>
      <c r="B717" s="5">
        <f>COUNTIF('Entetes_TriNumInterne'!$C$2:$C$1154,A717)</f>
        <v/>
      </c>
    </row>
    <row r="718">
      <c r="A718" s="3" t="inlineStr">
        <is>
          <t>004278</t>
        </is>
      </c>
      <c r="B718" s="5">
        <f>COUNTIF('Entetes_TriNumInterne'!$C$2:$C$1154,A718)</f>
        <v/>
      </c>
    </row>
    <row r="719">
      <c r="A719" s="3" t="inlineStr">
        <is>
          <t>004279</t>
        </is>
      </c>
      <c r="B719" s="5">
        <f>COUNTIF('Entetes_TriNumInterne'!$C$2:$C$1154,A719)</f>
        <v/>
      </c>
    </row>
    <row r="720">
      <c r="A720" s="3" t="inlineStr">
        <is>
          <t>004280</t>
        </is>
      </c>
      <c r="B720" s="5">
        <f>COUNTIF('Entetes_TriNumInterne'!$C$2:$C$1154,A720)</f>
        <v/>
      </c>
    </row>
    <row r="721">
      <c r="A721" s="3" t="inlineStr">
        <is>
          <t>004281</t>
        </is>
      </c>
      <c r="B721" s="5">
        <f>COUNTIF('Entetes_TriNumInterne'!$C$2:$C$1154,A721)</f>
        <v/>
      </c>
    </row>
    <row r="722">
      <c r="A722" s="3" t="inlineStr">
        <is>
          <t>004282</t>
        </is>
      </c>
      <c r="B722" s="5">
        <f>COUNTIF('Entetes_TriNumInterne'!$C$2:$C$1154,A722)</f>
        <v/>
      </c>
    </row>
    <row r="723">
      <c r="A723" s="3" t="inlineStr">
        <is>
          <t>004283</t>
        </is>
      </c>
      <c r="B723" s="5">
        <f>COUNTIF('Entetes_TriNumInterne'!$C$2:$C$1154,A723)</f>
        <v/>
      </c>
    </row>
    <row r="724">
      <c r="A724" s="3" t="inlineStr">
        <is>
          <t>004284</t>
        </is>
      </c>
      <c r="B724" s="5">
        <f>COUNTIF('Entetes_TriNumInterne'!$C$2:$C$1154,A724)</f>
        <v/>
      </c>
    </row>
    <row r="725">
      <c r="A725" s="3" t="inlineStr">
        <is>
          <t>004285</t>
        </is>
      </c>
      <c r="B725" s="5">
        <f>COUNTIF('Entetes_TriNumInterne'!$C$2:$C$1154,A725)</f>
        <v/>
      </c>
    </row>
    <row r="726">
      <c r="A726" s="3" t="inlineStr">
        <is>
          <t>004286</t>
        </is>
      </c>
      <c r="B726" s="5">
        <f>COUNTIF('Entetes_TriNumInterne'!$C$2:$C$1154,A726)</f>
        <v/>
      </c>
    </row>
    <row r="727">
      <c r="A727" s="3" t="inlineStr">
        <is>
          <t>004287</t>
        </is>
      </c>
      <c r="B727" s="5">
        <f>COUNTIF('Entetes_TriNumInterne'!$C$2:$C$1154,A727)</f>
        <v/>
      </c>
    </row>
    <row r="728">
      <c r="A728" s="3" t="inlineStr">
        <is>
          <t>004288</t>
        </is>
      </c>
      <c r="B728" s="5">
        <f>COUNTIF('Entetes_TriNumInterne'!$C$2:$C$1154,A728)</f>
        <v/>
      </c>
    </row>
    <row r="729">
      <c r="A729" s="3" t="inlineStr">
        <is>
          <t>004289</t>
        </is>
      </c>
      <c r="B729" s="5">
        <f>COUNTIF('Entetes_TriNumInterne'!$C$2:$C$1154,A729)</f>
        <v/>
      </c>
    </row>
    <row r="730">
      <c r="A730" s="3" t="inlineStr">
        <is>
          <t>004290</t>
        </is>
      </c>
      <c r="B730" s="5">
        <f>COUNTIF('Entetes_TriNumInterne'!$C$2:$C$1154,A730)</f>
        <v/>
      </c>
    </row>
    <row r="731">
      <c r="A731" s="3" t="inlineStr">
        <is>
          <t>004291</t>
        </is>
      </c>
      <c r="B731" s="5">
        <f>COUNTIF('Entetes_TriNumInterne'!$C$2:$C$1154,A731)</f>
        <v/>
      </c>
    </row>
    <row r="732">
      <c r="A732" s="3" t="inlineStr">
        <is>
          <t>004292</t>
        </is>
      </c>
      <c r="B732" s="5">
        <f>COUNTIF('Entetes_TriNumInterne'!$C$2:$C$1154,A732)</f>
        <v/>
      </c>
    </row>
    <row r="733">
      <c r="A733" s="3" t="inlineStr">
        <is>
          <t>004293</t>
        </is>
      </c>
      <c r="B733" s="5">
        <f>COUNTIF('Entetes_TriNumInterne'!$C$2:$C$1154,A733)</f>
        <v/>
      </c>
    </row>
    <row r="734">
      <c r="A734" s="3" t="inlineStr">
        <is>
          <t>004294</t>
        </is>
      </c>
      <c r="B734" s="5">
        <f>COUNTIF('Entetes_TriNumInterne'!$C$2:$C$1154,A734)</f>
        <v/>
      </c>
    </row>
    <row r="735">
      <c r="A735" s="3" t="inlineStr">
        <is>
          <t>004295</t>
        </is>
      </c>
      <c r="B735" s="5">
        <f>COUNTIF('Entetes_TriNumInterne'!$C$2:$C$1154,A735)</f>
        <v/>
      </c>
    </row>
    <row r="736">
      <c r="A736" s="3" t="inlineStr">
        <is>
          <t>004296</t>
        </is>
      </c>
      <c r="B736" s="5">
        <f>COUNTIF('Entetes_TriNumInterne'!$C$2:$C$1154,A736)</f>
        <v/>
      </c>
    </row>
    <row r="737">
      <c r="A737" s="3" t="inlineStr">
        <is>
          <t>004297</t>
        </is>
      </c>
      <c r="B737" s="5">
        <f>COUNTIF('Entetes_TriNumInterne'!$C$2:$C$1154,A737)</f>
        <v/>
      </c>
    </row>
    <row r="738">
      <c r="A738" s="3" t="inlineStr">
        <is>
          <t>004298</t>
        </is>
      </c>
      <c r="B738" s="5">
        <f>COUNTIF('Entetes_TriNumInterne'!$C$2:$C$1154,A738)</f>
        <v/>
      </c>
    </row>
    <row r="739">
      <c r="A739" s="3" t="inlineStr">
        <is>
          <t>004299</t>
        </is>
      </c>
      <c r="B739" s="5">
        <f>COUNTIF('Entetes_TriNumInterne'!$C$2:$C$1154,A739)</f>
        <v/>
      </c>
    </row>
    <row r="740">
      <c r="A740" s="3" t="inlineStr">
        <is>
          <t>004300</t>
        </is>
      </c>
      <c r="B740" s="5">
        <f>COUNTIF('Entetes_TriNumInterne'!$C$2:$C$1154,A740)</f>
        <v/>
      </c>
    </row>
    <row r="741">
      <c r="A741" s="3" t="inlineStr">
        <is>
          <t>004301</t>
        </is>
      </c>
      <c r="B741" s="5">
        <f>COUNTIF('Entetes_TriNumInterne'!$C$2:$C$1154,A741)</f>
        <v/>
      </c>
    </row>
    <row r="742">
      <c r="A742" s="3" t="inlineStr">
        <is>
          <t>004302</t>
        </is>
      </c>
      <c r="B742" s="5">
        <f>COUNTIF('Entetes_TriNumInterne'!$C$2:$C$1154,A742)</f>
        <v/>
      </c>
    </row>
    <row r="743">
      <c r="A743" s="3" t="inlineStr">
        <is>
          <t>004303</t>
        </is>
      </c>
      <c r="B743" s="5">
        <f>COUNTIF('Entetes_TriNumInterne'!$C$2:$C$1154,A743)</f>
        <v/>
      </c>
    </row>
    <row r="744">
      <c r="A744" s="3" t="inlineStr">
        <is>
          <t>004304</t>
        </is>
      </c>
      <c r="B744" s="5">
        <f>COUNTIF('Entetes_TriNumInterne'!$C$2:$C$1154,A744)</f>
        <v/>
      </c>
    </row>
    <row r="745">
      <c r="A745" s="3" t="inlineStr">
        <is>
          <t>004305</t>
        </is>
      </c>
      <c r="B745" s="5">
        <f>COUNTIF('Entetes_TriNumInterne'!$C$2:$C$1154,A745)</f>
        <v/>
      </c>
    </row>
    <row r="746">
      <c r="A746" s="3" t="inlineStr">
        <is>
          <t>004306</t>
        </is>
      </c>
      <c r="B746" s="5">
        <f>COUNTIF('Entetes_TriNumInterne'!$C$2:$C$1154,A746)</f>
        <v/>
      </c>
    </row>
    <row r="747">
      <c r="A747" s="3" t="inlineStr">
        <is>
          <t>004307</t>
        </is>
      </c>
      <c r="B747" s="5">
        <f>COUNTIF('Entetes_TriNumInterne'!$C$2:$C$1154,A747)</f>
        <v/>
      </c>
    </row>
    <row r="748">
      <c r="A748" s="3" t="inlineStr">
        <is>
          <t>004308</t>
        </is>
      </c>
      <c r="B748" s="5">
        <f>COUNTIF('Entetes_TriNumInterne'!$C$2:$C$1154,A748)</f>
        <v/>
      </c>
    </row>
    <row r="749">
      <c r="A749" s="3" t="inlineStr">
        <is>
          <t>004309</t>
        </is>
      </c>
      <c r="B749" s="5">
        <f>COUNTIF('Entetes_TriNumInterne'!$C$2:$C$1154,A749)</f>
        <v/>
      </c>
    </row>
    <row r="750">
      <c r="A750" s="3" t="inlineStr">
        <is>
          <t>004310</t>
        </is>
      </c>
      <c r="B750" s="5">
        <f>COUNTIF('Entetes_TriNumInterne'!$C$2:$C$1154,A750)</f>
        <v/>
      </c>
    </row>
    <row r="751">
      <c r="A751" s="3" t="inlineStr">
        <is>
          <t>004311</t>
        </is>
      </c>
      <c r="B751" s="5">
        <f>COUNTIF('Entetes_TriNumInterne'!$C$2:$C$1154,A751)</f>
        <v/>
      </c>
    </row>
    <row r="752">
      <c r="A752" s="3" t="inlineStr">
        <is>
          <t>004312</t>
        </is>
      </c>
      <c r="B752" s="5">
        <f>COUNTIF('Entetes_TriNumInterne'!$C$2:$C$1154,A752)</f>
        <v/>
      </c>
    </row>
    <row r="753">
      <c r="A753" s="3" t="inlineStr">
        <is>
          <t>004313</t>
        </is>
      </c>
      <c r="B753" s="5">
        <f>COUNTIF('Entetes_TriNumInterne'!$C$2:$C$1154,A753)</f>
        <v/>
      </c>
    </row>
    <row r="754">
      <c r="A754" s="3" t="inlineStr">
        <is>
          <t>004314</t>
        </is>
      </c>
      <c r="B754" s="5">
        <f>COUNTIF('Entetes_TriNumInterne'!$C$2:$C$1154,A754)</f>
        <v/>
      </c>
    </row>
    <row r="755">
      <c r="A755" s="3" t="inlineStr">
        <is>
          <t>004315</t>
        </is>
      </c>
      <c r="B755" s="5">
        <f>COUNTIF('Entetes_TriNumInterne'!$C$2:$C$1154,A755)</f>
        <v/>
      </c>
    </row>
    <row r="756">
      <c r="A756" s="3" t="inlineStr">
        <is>
          <t>004316</t>
        </is>
      </c>
      <c r="B756" s="5">
        <f>COUNTIF('Entetes_TriNumInterne'!$C$2:$C$1154,A756)</f>
        <v/>
      </c>
    </row>
    <row r="757">
      <c r="A757" s="3" t="inlineStr">
        <is>
          <t>004317</t>
        </is>
      </c>
      <c r="B757" s="5">
        <f>COUNTIF('Entetes_TriNumInterne'!$C$2:$C$1154,A757)</f>
        <v/>
      </c>
    </row>
    <row r="758">
      <c r="A758" s="3" t="inlineStr">
        <is>
          <t>004318</t>
        </is>
      </c>
      <c r="B758" s="5">
        <f>COUNTIF('Entetes_TriNumInterne'!$C$2:$C$1154,A758)</f>
        <v/>
      </c>
    </row>
    <row r="759">
      <c r="A759" s="3" t="inlineStr">
        <is>
          <t>004319</t>
        </is>
      </c>
      <c r="B759" s="5">
        <f>COUNTIF('Entetes_TriNumInterne'!$C$2:$C$1154,A759)</f>
        <v/>
      </c>
    </row>
    <row r="760">
      <c r="A760" s="3" t="inlineStr">
        <is>
          <t>004320</t>
        </is>
      </c>
      <c r="B760" s="5">
        <f>COUNTIF('Entetes_TriNumInterne'!$C$2:$C$1154,A760)</f>
        <v/>
      </c>
    </row>
    <row r="761">
      <c r="A761" s="3" t="inlineStr">
        <is>
          <t>004321</t>
        </is>
      </c>
      <c r="B761" s="5">
        <f>COUNTIF('Entetes_TriNumInterne'!$C$2:$C$1154,A761)</f>
        <v/>
      </c>
    </row>
    <row r="762">
      <c r="A762" s="3" t="inlineStr">
        <is>
          <t>004322</t>
        </is>
      </c>
      <c r="B762" s="5">
        <f>COUNTIF('Entetes_TriNumInterne'!$C$2:$C$1154,A762)</f>
        <v/>
      </c>
    </row>
    <row r="763">
      <c r="A763" s="3" t="inlineStr">
        <is>
          <t>004323</t>
        </is>
      </c>
      <c r="B763" s="5">
        <f>COUNTIF('Entetes_TriNumInterne'!$C$2:$C$1154,A763)</f>
        <v/>
      </c>
    </row>
    <row r="764">
      <c r="A764" s="3" t="inlineStr">
        <is>
          <t>004324</t>
        </is>
      </c>
      <c r="B764" s="5">
        <f>COUNTIF('Entetes_TriNumInterne'!$C$2:$C$1154,A764)</f>
        <v/>
      </c>
    </row>
    <row r="765">
      <c r="A765" s="3" t="inlineStr">
        <is>
          <t>004325</t>
        </is>
      </c>
      <c r="B765" s="5">
        <f>COUNTIF('Entetes_TriNumInterne'!$C$2:$C$1154,A765)</f>
        <v/>
      </c>
    </row>
    <row r="766">
      <c r="A766" s="3" t="inlineStr">
        <is>
          <t>004326</t>
        </is>
      </c>
      <c r="B766" s="5">
        <f>COUNTIF('Entetes_TriNumInterne'!$C$2:$C$1154,A766)</f>
        <v/>
      </c>
    </row>
    <row r="767">
      <c r="A767" s="3" t="inlineStr">
        <is>
          <t>004327</t>
        </is>
      </c>
      <c r="B767" s="5">
        <f>COUNTIF('Entetes_TriNumInterne'!$C$2:$C$1154,A767)</f>
        <v/>
      </c>
    </row>
    <row r="768">
      <c r="A768" s="3" t="inlineStr">
        <is>
          <t>004328</t>
        </is>
      </c>
      <c r="B768" s="5">
        <f>COUNTIF('Entetes_TriNumInterne'!$C$2:$C$1154,A768)</f>
        <v/>
      </c>
    </row>
    <row r="769">
      <c r="A769" s="3" t="inlineStr">
        <is>
          <t>004329</t>
        </is>
      </c>
      <c r="B769" s="5">
        <f>COUNTIF('Entetes_TriNumInterne'!$C$2:$C$1154,A769)</f>
        <v/>
      </c>
    </row>
    <row r="770">
      <c r="A770" s="3" t="inlineStr">
        <is>
          <t>004330</t>
        </is>
      </c>
      <c r="B770" s="5">
        <f>COUNTIF('Entetes_TriNumInterne'!$C$2:$C$1154,A770)</f>
        <v/>
      </c>
    </row>
    <row r="771">
      <c r="A771" s="3" t="inlineStr">
        <is>
          <t>004331</t>
        </is>
      </c>
      <c r="B771" s="5">
        <f>COUNTIF('Entetes_TriNumInterne'!$C$2:$C$1154,A771)</f>
        <v/>
      </c>
    </row>
    <row r="772">
      <c r="A772" s="3" t="inlineStr">
        <is>
          <t>004332</t>
        </is>
      </c>
      <c r="B772" s="5">
        <f>COUNTIF('Entetes_TriNumInterne'!$C$2:$C$1154,A772)</f>
        <v/>
      </c>
    </row>
    <row r="773">
      <c r="A773" s="3" t="inlineStr">
        <is>
          <t>004333</t>
        </is>
      </c>
      <c r="B773" s="5">
        <f>COUNTIF('Entetes_TriNumInterne'!$C$2:$C$1154,A773)</f>
        <v/>
      </c>
    </row>
    <row r="774">
      <c r="A774" s="3" t="inlineStr">
        <is>
          <t>004334</t>
        </is>
      </c>
      <c r="B774" s="5">
        <f>COUNTIF('Entetes_TriNumInterne'!$C$2:$C$1154,A774)</f>
        <v/>
      </c>
    </row>
    <row r="775">
      <c r="A775" s="3" t="inlineStr">
        <is>
          <t>004335</t>
        </is>
      </c>
      <c r="B775" s="5">
        <f>COUNTIF('Entetes_TriNumInterne'!$C$2:$C$1154,A775)</f>
        <v/>
      </c>
    </row>
    <row r="776">
      <c r="A776" s="3" t="inlineStr">
        <is>
          <t>004336</t>
        </is>
      </c>
      <c r="B776" s="5">
        <f>COUNTIF('Entetes_TriNumInterne'!$C$2:$C$1154,A776)</f>
        <v/>
      </c>
    </row>
    <row r="777">
      <c r="A777" s="3" t="inlineStr">
        <is>
          <t>004337</t>
        </is>
      </c>
      <c r="B777" s="5">
        <f>COUNTIF('Entetes_TriNumInterne'!$C$2:$C$1154,A777)</f>
        <v/>
      </c>
    </row>
    <row r="778">
      <c r="A778" s="3" t="inlineStr">
        <is>
          <t>004338</t>
        </is>
      </c>
      <c r="B778" s="5">
        <f>COUNTIF('Entetes_TriNumInterne'!$C$2:$C$1154,A778)</f>
        <v/>
      </c>
    </row>
    <row r="779">
      <c r="A779" s="3" t="inlineStr">
        <is>
          <t>004339</t>
        </is>
      </c>
      <c r="B779" s="5">
        <f>COUNTIF('Entetes_TriNumInterne'!$C$2:$C$1154,A779)</f>
        <v/>
      </c>
    </row>
    <row r="780">
      <c r="A780" s="3" t="inlineStr">
        <is>
          <t>004340</t>
        </is>
      </c>
      <c r="B780" s="5">
        <f>COUNTIF('Entetes_TriNumInterne'!$C$2:$C$1154,A780)</f>
        <v/>
      </c>
    </row>
    <row r="781">
      <c r="A781" s="3" t="inlineStr">
        <is>
          <t>004341</t>
        </is>
      </c>
      <c r="B781" s="5">
        <f>COUNTIF('Entetes_TriNumInterne'!$C$2:$C$1154,A781)</f>
        <v/>
      </c>
    </row>
    <row r="782">
      <c r="A782" s="3" t="inlineStr">
        <is>
          <t>004342</t>
        </is>
      </c>
      <c r="B782" s="5">
        <f>COUNTIF('Entetes_TriNumInterne'!$C$2:$C$1154,A782)</f>
        <v/>
      </c>
    </row>
    <row r="783">
      <c r="A783" s="3" t="inlineStr">
        <is>
          <t>004343</t>
        </is>
      </c>
      <c r="B783" s="5">
        <f>COUNTIF('Entetes_TriNumInterne'!$C$2:$C$1154,A783)</f>
        <v/>
      </c>
    </row>
    <row r="784">
      <c r="A784" s="3" t="inlineStr">
        <is>
          <t>004344</t>
        </is>
      </c>
      <c r="B784" s="5">
        <f>COUNTIF('Entetes_TriNumInterne'!$C$2:$C$1154,A784)</f>
        <v/>
      </c>
    </row>
    <row r="785">
      <c r="A785" s="3" t="inlineStr">
        <is>
          <t>004345</t>
        </is>
      </c>
      <c r="B785" s="5">
        <f>COUNTIF('Entetes_TriNumInterne'!$C$2:$C$1154,A785)</f>
        <v/>
      </c>
    </row>
    <row r="786">
      <c r="A786" s="3" t="inlineStr">
        <is>
          <t>004346</t>
        </is>
      </c>
      <c r="B786" s="5">
        <f>COUNTIF('Entetes_TriNumInterne'!$C$2:$C$1154,A786)</f>
        <v/>
      </c>
    </row>
    <row r="787">
      <c r="A787" s="3" t="inlineStr">
        <is>
          <t>004347</t>
        </is>
      </c>
      <c r="B787" s="5">
        <f>COUNTIF('Entetes_TriNumInterne'!$C$2:$C$1154,A787)</f>
        <v/>
      </c>
    </row>
    <row r="788">
      <c r="A788" s="3" t="inlineStr">
        <is>
          <t>004348</t>
        </is>
      </c>
      <c r="B788" s="5">
        <f>COUNTIF('Entetes_TriNumInterne'!$C$2:$C$1154,A788)</f>
        <v/>
      </c>
    </row>
    <row r="789">
      <c r="A789" s="3" t="inlineStr">
        <is>
          <t>004349</t>
        </is>
      </c>
      <c r="B789" s="5">
        <f>COUNTIF('Entetes_TriNumInterne'!$C$2:$C$1154,A789)</f>
        <v/>
      </c>
    </row>
    <row r="790">
      <c r="A790" s="3" t="inlineStr">
        <is>
          <t>004350</t>
        </is>
      </c>
      <c r="B790" s="5">
        <f>COUNTIF('Entetes_TriNumInterne'!$C$2:$C$1154,A790)</f>
        <v/>
      </c>
    </row>
    <row r="791">
      <c r="A791" s="3" t="inlineStr">
        <is>
          <t>004351</t>
        </is>
      </c>
      <c r="B791" s="5">
        <f>COUNTIF('Entetes_TriNumInterne'!$C$2:$C$1154,A791)</f>
        <v/>
      </c>
    </row>
    <row r="792">
      <c r="A792" s="3" t="inlineStr">
        <is>
          <t>004352</t>
        </is>
      </c>
      <c r="B792" s="5">
        <f>COUNTIF('Entetes_TriNumInterne'!$C$2:$C$1154,A792)</f>
        <v/>
      </c>
    </row>
    <row r="793">
      <c r="A793" s="3" t="inlineStr">
        <is>
          <t>004353</t>
        </is>
      </c>
      <c r="B793" s="5">
        <f>COUNTIF('Entetes_TriNumInterne'!$C$2:$C$1154,A793)</f>
        <v/>
      </c>
    </row>
    <row r="794">
      <c r="A794" s="3" t="inlineStr">
        <is>
          <t>004354</t>
        </is>
      </c>
      <c r="B794" s="5">
        <f>COUNTIF('Entetes_TriNumInterne'!$C$2:$C$1154,A794)</f>
        <v/>
      </c>
    </row>
    <row r="795">
      <c r="A795" s="3" t="inlineStr">
        <is>
          <t>004355</t>
        </is>
      </c>
      <c r="B795" s="5">
        <f>COUNTIF('Entetes_TriNumInterne'!$C$2:$C$1154,A795)</f>
        <v/>
      </c>
    </row>
    <row r="796">
      <c r="A796" s="3" t="inlineStr">
        <is>
          <t>004356</t>
        </is>
      </c>
      <c r="B796" s="5">
        <f>COUNTIF('Entetes_TriNumInterne'!$C$2:$C$1154,A796)</f>
        <v/>
      </c>
    </row>
    <row r="797">
      <c r="A797" s="3" t="inlineStr">
        <is>
          <t>004357</t>
        </is>
      </c>
      <c r="B797" s="5">
        <f>COUNTIF('Entetes_TriNumInterne'!$C$2:$C$1154,A797)</f>
        <v/>
      </c>
    </row>
    <row r="798">
      <c r="A798" s="3" t="inlineStr">
        <is>
          <t>004358</t>
        </is>
      </c>
      <c r="B798" s="5">
        <f>COUNTIF('Entetes_TriNumInterne'!$C$2:$C$1154,A798)</f>
        <v/>
      </c>
    </row>
    <row r="799">
      <c r="A799" s="3" t="inlineStr">
        <is>
          <t>004359</t>
        </is>
      </c>
      <c r="B799" s="5">
        <f>COUNTIF('Entetes_TriNumInterne'!$C$2:$C$1154,A799)</f>
        <v/>
      </c>
    </row>
    <row r="800">
      <c r="A800" s="3" t="inlineStr">
        <is>
          <t>004360</t>
        </is>
      </c>
      <c r="B800" s="5">
        <f>COUNTIF('Entetes_TriNumInterne'!$C$2:$C$1154,A800)</f>
        <v/>
      </c>
    </row>
    <row r="801">
      <c r="A801" s="3" t="inlineStr">
        <is>
          <t>004361</t>
        </is>
      </c>
      <c r="B801" s="5">
        <f>COUNTIF('Entetes_TriNumInterne'!$C$2:$C$1154,A801)</f>
        <v/>
      </c>
    </row>
    <row r="802">
      <c r="A802" s="3" t="inlineStr">
        <is>
          <t>004362</t>
        </is>
      </c>
      <c r="B802" s="5">
        <f>COUNTIF('Entetes_TriNumInterne'!$C$2:$C$1154,A802)</f>
        <v/>
      </c>
    </row>
    <row r="803">
      <c r="A803" s="3" t="inlineStr">
        <is>
          <t>004363</t>
        </is>
      </c>
      <c r="B803" s="5">
        <f>COUNTIF('Entetes_TriNumInterne'!$C$2:$C$1154,A803)</f>
        <v/>
      </c>
    </row>
    <row r="804">
      <c r="A804" s="3" t="inlineStr">
        <is>
          <t>004364</t>
        </is>
      </c>
      <c r="B804" s="5">
        <f>COUNTIF('Entetes_TriNumInterne'!$C$2:$C$1154,A804)</f>
        <v/>
      </c>
    </row>
    <row r="805">
      <c r="A805" s="3" t="inlineStr">
        <is>
          <t>004365</t>
        </is>
      </c>
      <c r="B805" s="5">
        <f>COUNTIF('Entetes_TriNumInterne'!$C$2:$C$1154,A805)</f>
        <v/>
      </c>
    </row>
    <row r="806">
      <c r="A806" s="3" t="inlineStr">
        <is>
          <t>004366</t>
        </is>
      </c>
      <c r="B806" s="5">
        <f>COUNTIF('Entetes_TriNumInterne'!$C$2:$C$1154,A806)</f>
        <v/>
      </c>
    </row>
    <row r="807">
      <c r="A807" s="3" t="inlineStr">
        <is>
          <t>004367</t>
        </is>
      </c>
      <c r="B807" s="5">
        <f>COUNTIF('Entetes_TriNumInterne'!$C$2:$C$1154,A807)</f>
        <v/>
      </c>
    </row>
    <row r="808">
      <c r="A808" s="3" t="inlineStr">
        <is>
          <t>004368</t>
        </is>
      </c>
      <c r="B808" s="5">
        <f>COUNTIF('Entetes_TriNumInterne'!$C$2:$C$1154,A808)</f>
        <v/>
      </c>
    </row>
    <row r="809">
      <c r="A809" s="3" t="inlineStr">
        <is>
          <t>004369</t>
        </is>
      </c>
      <c r="B809" s="5">
        <f>COUNTIF('Entetes_TriNumInterne'!$C$2:$C$1154,A809)</f>
        <v/>
      </c>
    </row>
    <row r="810">
      <c r="A810" s="3" t="inlineStr">
        <is>
          <t>004370</t>
        </is>
      </c>
      <c r="B810" s="5">
        <f>COUNTIF('Entetes_TriNumInterne'!$C$2:$C$1154,A810)</f>
        <v/>
      </c>
    </row>
    <row r="811">
      <c r="A811" s="3" t="inlineStr">
        <is>
          <t>004371</t>
        </is>
      </c>
      <c r="B811" s="5">
        <f>COUNTIF('Entetes_TriNumInterne'!$C$2:$C$1154,A811)</f>
        <v/>
      </c>
    </row>
    <row r="812">
      <c r="A812" s="3" t="inlineStr">
        <is>
          <t>004372</t>
        </is>
      </c>
      <c r="B812" s="5">
        <f>COUNTIF('Entetes_TriNumInterne'!$C$2:$C$1154,A812)</f>
        <v/>
      </c>
    </row>
    <row r="813">
      <c r="A813" s="3" t="inlineStr">
        <is>
          <t>004373</t>
        </is>
      </c>
      <c r="B813" s="5">
        <f>COUNTIF('Entetes_TriNumInterne'!$C$2:$C$1154,A813)</f>
        <v/>
      </c>
    </row>
    <row r="814">
      <c r="A814" s="3" t="inlineStr">
        <is>
          <t>004374</t>
        </is>
      </c>
      <c r="B814" s="5">
        <f>COUNTIF('Entetes_TriNumInterne'!$C$2:$C$1154,A814)</f>
        <v/>
      </c>
    </row>
    <row r="815">
      <c r="A815" s="3" t="inlineStr">
        <is>
          <t>004375</t>
        </is>
      </c>
      <c r="B815" s="5">
        <f>COUNTIF('Entetes_TriNumInterne'!$C$2:$C$1154,A815)</f>
        <v/>
      </c>
    </row>
    <row r="816">
      <c r="A816" s="3" t="inlineStr">
        <is>
          <t>004376</t>
        </is>
      </c>
      <c r="B816" s="5">
        <f>COUNTIF('Entetes_TriNumInterne'!$C$2:$C$1154,A816)</f>
        <v/>
      </c>
    </row>
    <row r="817">
      <c r="A817" s="3" t="inlineStr">
        <is>
          <t>004377</t>
        </is>
      </c>
      <c r="B817" s="5">
        <f>COUNTIF('Entetes_TriNumInterne'!$C$2:$C$1154,A817)</f>
        <v/>
      </c>
    </row>
    <row r="818">
      <c r="A818" s="3" t="inlineStr">
        <is>
          <t>004378</t>
        </is>
      </c>
      <c r="B818" s="5">
        <f>COUNTIF('Entetes_TriNumInterne'!$C$2:$C$1154,A818)</f>
        <v/>
      </c>
    </row>
    <row r="819">
      <c r="A819" s="3" t="inlineStr">
        <is>
          <t>004379</t>
        </is>
      </c>
      <c r="B819" s="5">
        <f>COUNTIF('Entetes_TriNumInterne'!$C$2:$C$1154,A819)</f>
        <v/>
      </c>
    </row>
    <row r="820">
      <c r="A820" s="3" t="inlineStr">
        <is>
          <t>004380</t>
        </is>
      </c>
      <c r="B820" s="5">
        <f>COUNTIF('Entetes_TriNumInterne'!$C$2:$C$1154,A820)</f>
        <v/>
      </c>
    </row>
    <row r="821">
      <c r="A821" s="3" t="inlineStr">
        <is>
          <t>004381</t>
        </is>
      </c>
      <c r="B821" s="5">
        <f>COUNTIF('Entetes_TriNumInterne'!$C$2:$C$1154,A821)</f>
        <v/>
      </c>
    </row>
    <row r="822">
      <c r="A822" s="3" t="inlineStr">
        <is>
          <t>004382</t>
        </is>
      </c>
      <c r="B822" s="5">
        <f>COUNTIF('Entetes_TriNumInterne'!$C$2:$C$1154,A822)</f>
        <v/>
      </c>
    </row>
    <row r="823">
      <c r="A823" s="3" t="inlineStr">
        <is>
          <t>004383</t>
        </is>
      </c>
      <c r="B823" s="5">
        <f>COUNTIF('Entetes_TriNumInterne'!$C$2:$C$1154,A823)</f>
        <v/>
      </c>
    </row>
    <row r="824">
      <c r="A824" s="3" t="inlineStr">
        <is>
          <t>004384</t>
        </is>
      </c>
      <c r="B824" s="5">
        <f>COUNTIF('Entetes_TriNumInterne'!$C$2:$C$1154,A824)</f>
        <v/>
      </c>
    </row>
    <row r="825">
      <c r="A825" s="3" t="inlineStr">
        <is>
          <t>004385</t>
        </is>
      </c>
      <c r="B825" s="5">
        <f>COUNTIF('Entetes_TriNumInterne'!$C$2:$C$1154,A825)</f>
        <v/>
      </c>
    </row>
    <row r="826">
      <c r="A826" s="3" t="inlineStr">
        <is>
          <t>004386</t>
        </is>
      </c>
      <c r="B826" s="5">
        <f>COUNTIF('Entetes_TriNumInterne'!$C$2:$C$1154,A826)</f>
        <v/>
      </c>
    </row>
    <row r="827">
      <c r="A827" s="3" t="inlineStr">
        <is>
          <t>004387</t>
        </is>
      </c>
      <c r="B827" s="5">
        <f>COUNTIF('Entetes_TriNumInterne'!$C$2:$C$1154,A827)</f>
        <v/>
      </c>
    </row>
    <row r="828">
      <c r="A828" s="3" t="inlineStr">
        <is>
          <t>004388</t>
        </is>
      </c>
      <c r="B828" s="5">
        <f>COUNTIF('Entetes_TriNumInterne'!$C$2:$C$1154,A828)</f>
        <v/>
      </c>
    </row>
    <row r="829">
      <c r="A829" s="3" t="inlineStr">
        <is>
          <t>004389</t>
        </is>
      </c>
      <c r="B829" s="5">
        <f>COUNTIF('Entetes_TriNumInterne'!$C$2:$C$1154,A829)</f>
        <v/>
      </c>
    </row>
    <row r="830">
      <c r="A830" s="3" t="inlineStr">
        <is>
          <t>004390</t>
        </is>
      </c>
      <c r="B830" s="5">
        <f>COUNTIF('Entetes_TriNumInterne'!$C$2:$C$1154,A830)</f>
        <v/>
      </c>
    </row>
    <row r="831">
      <c r="A831" s="3" t="inlineStr">
        <is>
          <t>004391</t>
        </is>
      </c>
      <c r="B831" s="5">
        <f>COUNTIF('Entetes_TriNumInterne'!$C$2:$C$1154,A831)</f>
        <v/>
      </c>
    </row>
    <row r="832">
      <c r="A832" s="3" t="inlineStr">
        <is>
          <t>004392</t>
        </is>
      </c>
      <c r="B832" s="5">
        <f>COUNTIF('Entetes_TriNumInterne'!$C$2:$C$1154,A832)</f>
        <v/>
      </c>
    </row>
    <row r="833">
      <c r="A833" s="3" t="inlineStr">
        <is>
          <t>004393</t>
        </is>
      </c>
      <c r="B833" s="5">
        <f>COUNTIF('Entetes_TriNumInterne'!$C$2:$C$1154,A833)</f>
        <v/>
      </c>
    </row>
    <row r="834">
      <c r="A834" s="3" t="inlineStr">
        <is>
          <t>004394</t>
        </is>
      </c>
      <c r="B834" s="5">
        <f>COUNTIF('Entetes_TriNumInterne'!$C$2:$C$1154,A834)</f>
        <v/>
      </c>
    </row>
    <row r="835">
      <c r="A835" s="3" t="inlineStr">
        <is>
          <t>004395</t>
        </is>
      </c>
      <c r="B835" s="5">
        <f>COUNTIF('Entetes_TriNumInterne'!$C$2:$C$1154,A835)</f>
        <v/>
      </c>
    </row>
    <row r="836">
      <c r="A836" s="3" t="inlineStr">
        <is>
          <t>004396</t>
        </is>
      </c>
      <c r="B836" s="5">
        <f>COUNTIF('Entetes_TriNumInterne'!$C$2:$C$1154,A836)</f>
        <v/>
      </c>
    </row>
    <row r="837">
      <c r="A837" s="3" t="inlineStr">
        <is>
          <t>004397</t>
        </is>
      </c>
      <c r="B837" s="5">
        <f>COUNTIF('Entetes_TriNumInterne'!$C$2:$C$1154,A837)</f>
        <v/>
      </c>
    </row>
    <row r="838">
      <c r="A838" s="3" t="inlineStr">
        <is>
          <t>004398</t>
        </is>
      </c>
      <c r="B838" s="5">
        <f>COUNTIF('Entetes_TriNumInterne'!$C$2:$C$1154,A838)</f>
        <v/>
      </c>
    </row>
    <row r="839">
      <c r="A839" s="3" t="inlineStr">
        <is>
          <t>004399</t>
        </is>
      </c>
      <c r="B839" s="5">
        <f>COUNTIF('Entetes_TriNumInterne'!$C$2:$C$1154,A839)</f>
        <v/>
      </c>
    </row>
    <row r="840">
      <c r="A840" s="3" t="inlineStr">
        <is>
          <t>004400</t>
        </is>
      </c>
      <c r="B840" s="5">
        <f>COUNTIF('Entetes_TriNumInterne'!$C$2:$C$1154,A840)</f>
        <v/>
      </c>
    </row>
    <row r="841">
      <c r="A841" s="3" t="inlineStr">
        <is>
          <t>004401</t>
        </is>
      </c>
      <c r="B841" s="5">
        <f>COUNTIF('Entetes_TriNumInterne'!$C$2:$C$1154,A841)</f>
        <v/>
      </c>
    </row>
    <row r="842">
      <c r="A842" s="3" t="inlineStr">
        <is>
          <t>004402</t>
        </is>
      </c>
      <c r="B842" s="5">
        <f>COUNTIF('Entetes_TriNumInterne'!$C$2:$C$1154,A842)</f>
        <v/>
      </c>
    </row>
    <row r="843">
      <c r="A843" s="3" t="inlineStr">
        <is>
          <t>004403</t>
        </is>
      </c>
      <c r="B843" s="5">
        <f>COUNTIF('Entetes_TriNumInterne'!$C$2:$C$1154,A843)</f>
        <v/>
      </c>
    </row>
    <row r="844">
      <c r="A844" s="3" t="inlineStr">
        <is>
          <t>004404</t>
        </is>
      </c>
      <c r="B844" s="5">
        <f>COUNTIF('Entetes_TriNumInterne'!$C$2:$C$1154,A844)</f>
        <v/>
      </c>
    </row>
    <row r="845">
      <c r="A845" s="3" t="inlineStr">
        <is>
          <t>004405</t>
        </is>
      </c>
      <c r="B845" s="5">
        <f>COUNTIF('Entetes_TriNumInterne'!$C$2:$C$1154,A845)</f>
        <v/>
      </c>
    </row>
    <row r="846">
      <c r="A846" s="3" t="inlineStr">
        <is>
          <t>004406</t>
        </is>
      </c>
      <c r="B846" s="5">
        <f>COUNTIF('Entetes_TriNumInterne'!$C$2:$C$1154,A846)</f>
        <v/>
      </c>
    </row>
    <row r="847">
      <c r="A847" s="3" t="inlineStr">
        <is>
          <t>004407</t>
        </is>
      </c>
      <c r="B847" s="5">
        <f>COUNTIF('Entetes_TriNumInterne'!$C$2:$C$1154,A847)</f>
        <v/>
      </c>
    </row>
    <row r="848">
      <c r="A848" s="3" t="inlineStr">
        <is>
          <t>004408</t>
        </is>
      </c>
      <c r="B848" s="5">
        <f>COUNTIF('Entetes_TriNumInterne'!$C$2:$C$1154,A848)</f>
        <v/>
      </c>
    </row>
    <row r="849">
      <c r="A849" s="3" t="inlineStr">
        <is>
          <t>004409</t>
        </is>
      </c>
      <c r="B849" s="5">
        <f>COUNTIF('Entetes_TriNumInterne'!$C$2:$C$1154,A849)</f>
        <v/>
      </c>
    </row>
    <row r="850">
      <c r="A850" s="3" t="inlineStr">
        <is>
          <t>004410</t>
        </is>
      </c>
      <c r="B850" s="5">
        <f>COUNTIF('Entetes_TriNumInterne'!$C$2:$C$1154,A850)</f>
        <v/>
      </c>
    </row>
    <row r="851">
      <c r="A851" s="3" t="inlineStr">
        <is>
          <t>004411</t>
        </is>
      </c>
      <c r="B851" s="5">
        <f>COUNTIF('Entetes_TriNumInterne'!$C$2:$C$1154,A851)</f>
        <v/>
      </c>
    </row>
    <row r="852">
      <c r="A852" s="3" t="inlineStr">
        <is>
          <t>004412</t>
        </is>
      </c>
      <c r="B852" s="5">
        <f>COUNTIF('Entetes_TriNumInterne'!$C$2:$C$1154,A852)</f>
        <v/>
      </c>
    </row>
    <row r="853">
      <c r="A853" s="3" t="inlineStr">
        <is>
          <t>004413</t>
        </is>
      </c>
      <c r="B853" s="5">
        <f>COUNTIF('Entetes_TriNumInterne'!$C$2:$C$1154,A853)</f>
        <v/>
      </c>
    </row>
    <row r="854">
      <c r="A854" s="3" t="inlineStr">
        <is>
          <t>004414</t>
        </is>
      </c>
      <c r="B854" s="5">
        <f>COUNTIF('Entetes_TriNumInterne'!$C$2:$C$1154,A854)</f>
        <v/>
      </c>
    </row>
    <row r="855">
      <c r="A855" s="3" t="inlineStr">
        <is>
          <t>004415</t>
        </is>
      </c>
      <c r="B855" s="5">
        <f>COUNTIF('Entetes_TriNumInterne'!$C$2:$C$1154,A855)</f>
        <v/>
      </c>
    </row>
    <row r="856">
      <c r="A856" s="3" t="inlineStr">
        <is>
          <t>004416</t>
        </is>
      </c>
      <c r="B856" s="5">
        <f>COUNTIF('Entetes_TriNumInterne'!$C$2:$C$1154,A856)</f>
        <v/>
      </c>
    </row>
    <row r="857">
      <c r="A857" s="3" t="inlineStr">
        <is>
          <t>004417</t>
        </is>
      </c>
      <c r="B857" s="5">
        <f>COUNTIF('Entetes_TriNumInterne'!$C$2:$C$1154,A857)</f>
        <v/>
      </c>
    </row>
    <row r="858">
      <c r="A858" s="3" t="inlineStr">
        <is>
          <t>004418</t>
        </is>
      </c>
      <c r="B858" s="5">
        <f>COUNTIF('Entetes_TriNumInterne'!$C$2:$C$1154,A858)</f>
        <v/>
      </c>
    </row>
    <row r="859">
      <c r="A859" s="3" t="inlineStr">
        <is>
          <t>004419</t>
        </is>
      </c>
      <c r="B859" s="5">
        <f>COUNTIF('Entetes_TriNumInterne'!$C$2:$C$1154,A859)</f>
        <v/>
      </c>
    </row>
    <row r="860">
      <c r="A860" s="3" t="inlineStr">
        <is>
          <t>004420</t>
        </is>
      </c>
      <c r="B860" s="5">
        <f>COUNTIF('Entetes_TriNumInterne'!$C$2:$C$1154,A860)</f>
        <v/>
      </c>
    </row>
    <row r="861">
      <c r="A861" s="3" t="inlineStr">
        <is>
          <t>004421</t>
        </is>
      </c>
      <c r="B861" s="5">
        <f>COUNTIF('Entetes_TriNumInterne'!$C$2:$C$1154,A861)</f>
        <v/>
      </c>
    </row>
    <row r="862">
      <c r="A862" s="3" t="inlineStr">
        <is>
          <t>004422</t>
        </is>
      </c>
      <c r="B862" s="5">
        <f>COUNTIF('Entetes_TriNumInterne'!$C$2:$C$1154,A862)</f>
        <v/>
      </c>
    </row>
    <row r="863">
      <c r="A863" s="3" t="inlineStr">
        <is>
          <t>004423</t>
        </is>
      </c>
      <c r="B863" s="5">
        <f>COUNTIF('Entetes_TriNumInterne'!$C$2:$C$1154,A863)</f>
        <v/>
      </c>
    </row>
    <row r="864">
      <c r="A864" s="3" t="inlineStr">
        <is>
          <t>004424</t>
        </is>
      </c>
      <c r="B864" s="5">
        <f>COUNTIF('Entetes_TriNumInterne'!$C$2:$C$1154,A864)</f>
        <v/>
      </c>
    </row>
    <row r="865">
      <c r="A865" s="3" t="inlineStr">
        <is>
          <t>004425</t>
        </is>
      </c>
      <c r="B865" s="5">
        <f>COUNTIF('Entetes_TriNumInterne'!$C$2:$C$1154,A865)</f>
        <v/>
      </c>
    </row>
    <row r="866">
      <c r="A866" s="3" t="inlineStr">
        <is>
          <t>004426</t>
        </is>
      </c>
      <c r="B866" s="5">
        <f>COUNTIF('Entetes_TriNumInterne'!$C$2:$C$1154,A866)</f>
        <v/>
      </c>
    </row>
    <row r="867">
      <c r="A867" s="3" t="inlineStr">
        <is>
          <t>004427</t>
        </is>
      </c>
      <c r="B867" s="5">
        <f>COUNTIF('Entetes_TriNumInterne'!$C$2:$C$1154,A867)</f>
        <v/>
      </c>
    </row>
    <row r="868">
      <c r="A868" s="3" t="inlineStr">
        <is>
          <t>004428</t>
        </is>
      </c>
      <c r="B868" s="5">
        <f>COUNTIF('Entetes_TriNumInterne'!$C$2:$C$1154,A868)</f>
        <v/>
      </c>
    </row>
    <row r="869">
      <c r="A869" s="3" t="inlineStr">
        <is>
          <t>004429</t>
        </is>
      </c>
      <c r="B869" s="5">
        <f>COUNTIF('Entetes_TriNumInterne'!$C$2:$C$1154,A869)</f>
        <v/>
      </c>
    </row>
    <row r="870">
      <c r="A870" s="3" t="inlineStr">
        <is>
          <t>004430</t>
        </is>
      </c>
      <c r="B870" s="5">
        <f>COUNTIF('Entetes_TriNumInterne'!$C$2:$C$1154,A870)</f>
        <v/>
      </c>
    </row>
    <row r="871">
      <c r="A871" s="3" t="inlineStr">
        <is>
          <t>004431</t>
        </is>
      </c>
      <c r="B871" s="5">
        <f>COUNTIF('Entetes_TriNumInterne'!$C$2:$C$1154,A871)</f>
        <v/>
      </c>
    </row>
    <row r="872">
      <c r="A872" s="3" t="inlineStr">
        <is>
          <t>004432</t>
        </is>
      </c>
      <c r="B872" s="5">
        <f>COUNTIF('Entetes_TriNumInterne'!$C$2:$C$1154,A872)</f>
        <v/>
      </c>
    </row>
    <row r="873">
      <c r="A873" s="3" t="inlineStr">
        <is>
          <t>004433</t>
        </is>
      </c>
      <c r="B873" s="5">
        <f>COUNTIF('Entetes_TriNumInterne'!$C$2:$C$1154,A873)</f>
        <v/>
      </c>
    </row>
    <row r="874">
      <c r="A874" s="3" t="inlineStr">
        <is>
          <t>004434</t>
        </is>
      </c>
      <c r="B874" s="5">
        <f>COUNTIF('Entetes_TriNumInterne'!$C$2:$C$1154,A874)</f>
        <v/>
      </c>
    </row>
    <row r="875">
      <c r="A875" s="3" t="inlineStr">
        <is>
          <t>004435</t>
        </is>
      </c>
      <c r="B875" s="5">
        <f>COUNTIF('Entetes_TriNumInterne'!$C$2:$C$1154,A875)</f>
        <v/>
      </c>
    </row>
    <row r="876">
      <c r="A876" s="3" t="inlineStr">
        <is>
          <t>004436</t>
        </is>
      </c>
      <c r="B876" s="5">
        <f>COUNTIF('Entetes_TriNumInterne'!$C$2:$C$1154,A876)</f>
        <v/>
      </c>
    </row>
    <row r="877">
      <c r="A877" s="3" t="inlineStr">
        <is>
          <t>004437</t>
        </is>
      </c>
      <c r="B877" s="5">
        <f>COUNTIF('Entetes_TriNumInterne'!$C$2:$C$1154,A877)</f>
        <v/>
      </c>
    </row>
    <row r="878">
      <c r="A878" s="3" t="inlineStr">
        <is>
          <t>004438</t>
        </is>
      </c>
      <c r="B878" s="5">
        <f>COUNTIF('Entetes_TriNumInterne'!$C$2:$C$1154,A878)</f>
        <v/>
      </c>
    </row>
    <row r="879">
      <c r="A879" s="3" t="inlineStr">
        <is>
          <t>004439</t>
        </is>
      </c>
      <c r="B879" s="5">
        <f>COUNTIF('Entetes_TriNumInterne'!$C$2:$C$1154,A879)</f>
        <v/>
      </c>
    </row>
    <row r="880">
      <c r="A880" s="3" t="inlineStr">
        <is>
          <t>004440</t>
        </is>
      </c>
      <c r="B880" s="5">
        <f>COUNTIF('Entetes_TriNumInterne'!$C$2:$C$1154,A880)</f>
        <v/>
      </c>
    </row>
    <row r="881">
      <c r="A881" s="3" t="inlineStr">
        <is>
          <t>004441</t>
        </is>
      </c>
      <c r="B881" s="5">
        <f>COUNTIF('Entetes_TriNumInterne'!$C$2:$C$1154,A881)</f>
        <v/>
      </c>
    </row>
    <row r="882">
      <c r="A882" s="3" t="inlineStr">
        <is>
          <t>004442</t>
        </is>
      </c>
      <c r="B882" s="5">
        <f>COUNTIF('Entetes_TriNumInterne'!$C$2:$C$1154,A882)</f>
        <v/>
      </c>
    </row>
    <row r="883">
      <c r="A883" s="3" t="inlineStr">
        <is>
          <t>004443</t>
        </is>
      </c>
      <c r="B883" s="5">
        <f>COUNTIF('Entetes_TriNumInterne'!$C$2:$C$1154,A883)</f>
        <v/>
      </c>
    </row>
    <row r="884">
      <c r="A884" s="3" t="inlineStr">
        <is>
          <t>004444</t>
        </is>
      </c>
      <c r="B884" s="5">
        <f>COUNTIF('Entetes_TriNumInterne'!$C$2:$C$1154,A884)</f>
        <v/>
      </c>
    </row>
    <row r="885">
      <c r="A885" s="3" t="inlineStr">
        <is>
          <t>004445</t>
        </is>
      </c>
      <c r="B885" s="5">
        <f>COUNTIF('Entetes_TriNumInterne'!$C$2:$C$1154,A885)</f>
        <v/>
      </c>
    </row>
    <row r="886">
      <c r="A886" s="3" t="inlineStr">
        <is>
          <t>004446</t>
        </is>
      </c>
      <c r="B886" s="5">
        <f>COUNTIF('Entetes_TriNumInterne'!$C$2:$C$1154,A886)</f>
        <v/>
      </c>
    </row>
    <row r="887">
      <c r="A887" s="3" t="inlineStr">
        <is>
          <t>004447</t>
        </is>
      </c>
      <c r="B887" s="5">
        <f>COUNTIF('Entetes_TriNumInterne'!$C$2:$C$1154,A887)</f>
        <v/>
      </c>
    </row>
    <row r="888">
      <c r="A888" s="3" t="inlineStr">
        <is>
          <t>004448</t>
        </is>
      </c>
      <c r="B888" s="5">
        <f>COUNTIF('Entetes_TriNumInterne'!$C$2:$C$1154,A888)</f>
        <v/>
      </c>
    </row>
    <row r="889">
      <c r="A889" s="3" t="inlineStr">
        <is>
          <t>004449</t>
        </is>
      </c>
      <c r="B889" s="5">
        <f>COUNTIF('Entetes_TriNumInterne'!$C$2:$C$1154,A889)</f>
        <v/>
      </c>
    </row>
    <row r="890">
      <c r="A890" s="3" t="inlineStr">
        <is>
          <t>004450</t>
        </is>
      </c>
      <c r="B890" s="5">
        <f>COUNTIF('Entetes_TriNumInterne'!$C$2:$C$1154,A890)</f>
        <v/>
      </c>
    </row>
    <row r="891">
      <c r="A891" s="3" t="inlineStr">
        <is>
          <t>004451</t>
        </is>
      </c>
      <c r="B891" s="5">
        <f>COUNTIF('Entetes_TriNumInterne'!$C$2:$C$1154,A891)</f>
        <v/>
      </c>
    </row>
    <row r="892">
      <c r="A892" s="3" t="inlineStr">
        <is>
          <t>004452</t>
        </is>
      </c>
      <c r="B892" s="5">
        <f>COUNTIF('Entetes_TriNumInterne'!$C$2:$C$1154,A892)</f>
        <v/>
      </c>
    </row>
    <row r="893">
      <c r="A893" s="3" t="inlineStr">
        <is>
          <t>004453</t>
        </is>
      </c>
      <c r="B893" s="5">
        <f>COUNTIF('Entetes_TriNumInterne'!$C$2:$C$1154,A893)</f>
        <v/>
      </c>
    </row>
    <row r="894">
      <c r="A894" s="3" t="inlineStr">
        <is>
          <t>004454</t>
        </is>
      </c>
      <c r="B894" s="5">
        <f>COUNTIF('Entetes_TriNumInterne'!$C$2:$C$1154,A894)</f>
        <v/>
      </c>
    </row>
    <row r="895">
      <c r="A895" s="3" t="inlineStr">
        <is>
          <t>004455</t>
        </is>
      </c>
      <c r="B895" s="5">
        <f>COUNTIF('Entetes_TriNumInterne'!$C$2:$C$1154,A895)</f>
        <v/>
      </c>
    </row>
    <row r="896">
      <c r="A896" s="3" t="inlineStr">
        <is>
          <t>004456</t>
        </is>
      </c>
      <c r="B896" s="5">
        <f>COUNTIF('Entetes_TriNumInterne'!$C$2:$C$1154,A896)</f>
        <v/>
      </c>
    </row>
    <row r="897">
      <c r="A897" s="3" t="inlineStr">
        <is>
          <t>004457</t>
        </is>
      </c>
      <c r="B897" s="5">
        <f>COUNTIF('Entetes_TriNumInterne'!$C$2:$C$1154,A897)</f>
        <v/>
      </c>
    </row>
    <row r="898">
      <c r="A898" s="3" t="inlineStr">
        <is>
          <t>004458</t>
        </is>
      </c>
      <c r="B898" s="5">
        <f>COUNTIF('Entetes_TriNumInterne'!$C$2:$C$1154,A898)</f>
        <v/>
      </c>
    </row>
    <row r="899">
      <c r="A899" s="3" t="inlineStr">
        <is>
          <t>004459</t>
        </is>
      </c>
      <c r="B899" s="5">
        <f>COUNTIF('Entetes_TriNumInterne'!$C$2:$C$1154,A899)</f>
        <v/>
      </c>
    </row>
    <row r="900">
      <c r="A900" s="3" t="inlineStr">
        <is>
          <t>004460</t>
        </is>
      </c>
      <c r="B900" s="5">
        <f>COUNTIF('Entetes_TriNumInterne'!$C$2:$C$1154,A900)</f>
        <v/>
      </c>
    </row>
    <row r="901">
      <c r="A901" s="3" t="inlineStr">
        <is>
          <t>004461</t>
        </is>
      </c>
      <c r="B901" s="5">
        <f>COUNTIF('Entetes_TriNumInterne'!$C$2:$C$1154,A901)</f>
        <v/>
      </c>
    </row>
    <row r="902">
      <c r="A902" s="3" t="inlineStr">
        <is>
          <t>004462</t>
        </is>
      </c>
      <c r="B902" s="5">
        <f>COUNTIF('Entetes_TriNumInterne'!$C$2:$C$1154,A902)</f>
        <v/>
      </c>
    </row>
    <row r="903">
      <c r="A903" s="3" t="inlineStr">
        <is>
          <t>004463</t>
        </is>
      </c>
      <c r="B903" s="5">
        <f>COUNTIF('Entetes_TriNumInterne'!$C$2:$C$1154,A903)</f>
        <v/>
      </c>
    </row>
    <row r="904">
      <c r="A904" s="3" t="inlineStr">
        <is>
          <t>004464</t>
        </is>
      </c>
      <c r="B904" s="5">
        <f>COUNTIF('Entetes_TriNumInterne'!$C$2:$C$1154,A904)</f>
        <v/>
      </c>
    </row>
    <row r="905">
      <c r="A905" s="3" t="inlineStr">
        <is>
          <t>004465</t>
        </is>
      </c>
      <c r="B905" s="5">
        <f>COUNTIF('Entetes_TriNumInterne'!$C$2:$C$1154,A905)</f>
        <v/>
      </c>
    </row>
    <row r="906">
      <c r="A906" s="3" t="inlineStr">
        <is>
          <t>004466</t>
        </is>
      </c>
      <c r="B906" s="5">
        <f>COUNTIF('Entetes_TriNumInterne'!$C$2:$C$1154,A906)</f>
        <v/>
      </c>
    </row>
    <row r="907">
      <c r="A907" s="3" t="inlineStr">
        <is>
          <t>004467</t>
        </is>
      </c>
      <c r="B907" s="5">
        <f>COUNTIF('Entetes_TriNumInterne'!$C$2:$C$1154,A907)</f>
        <v/>
      </c>
    </row>
    <row r="908">
      <c r="A908" s="3" t="inlineStr">
        <is>
          <t>004468</t>
        </is>
      </c>
      <c r="B908" s="5">
        <f>COUNTIF('Entetes_TriNumInterne'!$C$2:$C$1154,A908)</f>
        <v/>
      </c>
    </row>
    <row r="909">
      <c r="A909" s="3" t="inlineStr">
        <is>
          <t>004469</t>
        </is>
      </c>
      <c r="B909" s="5">
        <f>COUNTIF('Entetes_TriNumInterne'!$C$2:$C$1154,A909)</f>
        <v/>
      </c>
    </row>
    <row r="910">
      <c r="A910" s="3" t="inlineStr">
        <is>
          <t>004470</t>
        </is>
      </c>
      <c r="B910" s="5">
        <f>COUNTIF('Entetes_TriNumInterne'!$C$2:$C$1154,A910)</f>
        <v/>
      </c>
    </row>
    <row r="911">
      <c r="A911" s="3" t="inlineStr">
        <is>
          <t>004471</t>
        </is>
      </c>
      <c r="B911" s="5">
        <f>COUNTIF('Entetes_TriNumInterne'!$C$2:$C$1154,A911)</f>
        <v/>
      </c>
    </row>
    <row r="912">
      <c r="A912" s="3" t="inlineStr">
        <is>
          <t>004472</t>
        </is>
      </c>
      <c r="B912" s="5">
        <f>COUNTIF('Entetes_TriNumInterne'!$C$2:$C$1154,A912)</f>
        <v/>
      </c>
    </row>
    <row r="913">
      <c r="A913" s="3" t="inlineStr">
        <is>
          <t>004473</t>
        </is>
      </c>
      <c r="B913" s="5">
        <f>COUNTIF('Entetes_TriNumInterne'!$C$2:$C$1154,A913)</f>
        <v/>
      </c>
    </row>
    <row r="914">
      <c r="A914" s="3" t="inlineStr">
        <is>
          <t>004474</t>
        </is>
      </c>
      <c r="B914" s="5">
        <f>COUNTIF('Entetes_TriNumInterne'!$C$2:$C$1154,A914)</f>
        <v/>
      </c>
    </row>
    <row r="915">
      <c r="A915" s="3" t="inlineStr">
        <is>
          <t>004475</t>
        </is>
      </c>
      <c r="B915" s="5">
        <f>COUNTIF('Entetes_TriNumInterne'!$C$2:$C$1154,A915)</f>
        <v/>
      </c>
    </row>
    <row r="916">
      <c r="A916" s="3" t="inlineStr">
        <is>
          <t>004476</t>
        </is>
      </c>
      <c r="B916" s="5">
        <f>COUNTIF('Entetes_TriNumInterne'!$C$2:$C$1154,A916)</f>
        <v/>
      </c>
    </row>
    <row r="917">
      <c r="A917" s="3" t="inlineStr">
        <is>
          <t>004477</t>
        </is>
      </c>
      <c r="B917" s="5">
        <f>COUNTIF('Entetes_TriNumInterne'!$C$2:$C$1154,A917)</f>
        <v/>
      </c>
    </row>
    <row r="918">
      <c r="A918" s="3" t="inlineStr">
        <is>
          <t>004478</t>
        </is>
      </c>
      <c r="B918" s="5">
        <f>COUNTIF('Entetes_TriNumInterne'!$C$2:$C$1154,A918)</f>
        <v/>
      </c>
    </row>
    <row r="919">
      <c r="A919" s="3" t="inlineStr">
        <is>
          <t>004479</t>
        </is>
      </c>
      <c r="B919" s="5">
        <f>COUNTIF('Entetes_TriNumInterne'!$C$2:$C$1154,A919)</f>
        <v/>
      </c>
    </row>
    <row r="920">
      <c r="A920" s="3" t="inlineStr">
        <is>
          <t>004480</t>
        </is>
      </c>
      <c r="B920" s="5">
        <f>COUNTIF('Entetes_TriNumInterne'!$C$2:$C$1154,A920)</f>
        <v/>
      </c>
    </row>
    <row r="921">
      <c r="A921" s="3" t="inlineStr">
        <is>
          <t>004481</t>
        </is>
      </c>
      <c r="B921" s="5">
        <f>COUNTIF('Entetes_TriNumInterne'!$C$2:$C$1154,A921)</f>
        <v/>
      </c>
    </row>
    <row r="922">
      <c r="A922" s="3" t="inlineStr">
        <is>
          <t>004482</t>
        </is>
      </c>
      <c r="B922" s="5">
        <f>COUNTIF('Entetes_TriNumInterne'!$C$2:$C$1154,A922)</f>
        <v/>
      </c>
    </row>
    <row r="923">
      <c r="A923" s="3" t="inlineStr">
        <is>
          <t>004483</t>
        </is>
      </c>
      <c r="B923" s="5">
        <f>COUNTIF('Entetes_TriNumInterne'!$C$2:$C$1154,A923)</f>
        <v/>
      </c>
    </row>
    <row r="924">
      <c r="A924" s="3" t="inlineStr">
        <is>
          <t>004484</t>
        </is>
      </c>
      <c r="B924" s="5">
        <f>COUNTIF('Entetes_TriNumInterne'!$C$2:$C$1154,A924)</f>
        <v/>
      </c>
    </row>
    <row r="925">
      <c r="A925" s="3" t="inlineStr">
        <is>
          <t>004485</t>
        </is>
      </c>
      <c r="B925" s="5">
        <f>COUNTIF('Entetes_TriNumInterne'!$C$2:$C$1154,A925)</f>
        <v/>
      </c>
    </row>
    <row r="926">
      <c r="A926" s="3" t="inlineStr">
        <is>
          <t>004486</t>
        </is>
      </c>
      <c r="B926" s="5">
        <f>COUNTIF('Entetes_TriNumInterne'!$C$2:$C$1154,A926)</f>
        <v/>
      </c>
    </row>
    <row r="927">
      <c r="A927" s="3" t="inlineStr">
        <is>
          <t>004487</t>
        </is>
      </c>
      <c r="B927" s="5">
        <f>COUNTIF('Entetes_TriNumInterne'!$C$2:$C$1154,A927)</f>
        <v/>
      </c>
    </row>
    <row r="928">
      <c r="A928" s="3" t="inlineStr">
        <is>
          <t>004488</t>
        </is>
      </c>
      <c r="B928" s="5">
        <f>COUNTIF('Entetes_TriNumInterne'!$C$2:$C$1154,A928)</f>
        <v/>
      </c>
    </row>
    <row r="929">
      <c r="A929" s="3" t="inlineStr">
        <is>
          <t>004489</t>
        </is>
      </c>
      <c r="B929" s="5">
        <f>COUNTIF('Entetes_TriNumInterne'!$C$2:$C$1154,A929)</f>
        <v/>
      </c>
    </row>
    <row r="930">
      <c r="A930" s="3" t="inlineStr">
        <is>
          <t>004490</t>
        </is>
      </c>
      <c r="B930" s="5">
        <f>COUNTIF('Entetes_TriNumInterne'!$C$2:$C$1154,A930)</f>
        <v/>
      </c>
    </row>
    <row r="931">
      <c r="A931" s="3" t="inlineStr">
        <is>
          <t>004491</t>
        </is>
      </c>
      <c r="B931" s="5">
        <f>COUNTIF('Entetes_TriNumInterne'!$C$2:$C$1154,A931)</f>
        <v/>
      </c>
    </row>
    <row r="932">
      <c r="A932" s="3" t="inlineStr">
        <is>
          <t>004492</t>
        </is>
      </c>
      <c r="B932" s="5">
        <f>COUNTIF('Entetes_TriNumInterne'!$C$2:$C$1154,A932)</f>
        <v/>
      </c>
    </row>
    <row r="933">
      <c r="A933" s="3" t="inlineStr">
        <is>
          <t>004493</t>
        </is>
      </c>
      <c r="B933" s="5">
        <f>COUNTIF('Entetes_TriNumInterne'!$C$2:$C$1154,A933)</f>
        <v/>
      </c>
    </row>
    <row r="934">
      <c r="A934" s="3" t="inlineStr">
        <is>
          <t>004494</t>
        </is>
      </c>
      <c r="B934" s="5">
        <f>COUNTIF('Entetes_TriNumInterne'!$C$2:$C$1154,A934)</f>
        <v/>
      </c>
    </row>
    <row r="935">
      <c r="A935" s="3" t="inlineStr">
        <is>
          <t>004495</t>
        </is>
      </c>
      <c r="B935" s="5">
        <f>COUNTIF('Entetes_TriNumInterne'!$C$2:$C$1154,A935)</f>
        <v/>
      </c>
    </row>
    <row r="936">
      <c r="A936" s="3" t="inlineStr">
        <is>
          <t>004496</t>
        </is>
      </c>
      <c r="B936" s="5">
        <f>COUNTIF('Entetes_TriNumInterne'!$C$2:$C$1154,A936)</f>
        <v/>
      </c>
    </row>
    <row r="937">
      <c r="A937" s="3" t="inlineStr">
        <is>
          <t>004497</t>
        </is>
      </c>
      <c r="B937" s="5">
        <f>COUNTIF('Entetes_TriNumInterne'!$C$2:$C$1154,A937)</f>
        <v/>
      </c>
    </row>
    <row r="938">
      <c r="A938" s="3" t="inlineStr">
        <is>
          <t>004498</t>
        </is>
      </c>
      <c r="B938" s="5">
        <f>COUNTIF('Entetes_TriNumInterne'!$C$2:$C$1154,A938)</f>
        <v/>
      </c>
    </row>
    <row r="939">
      <c r="A939" s="3" t="inlineStr">
        <is>
          <t>004499</t>
        </is>
      </c>
      <c r="B939" s="5">
        <f>COUNTIF('Entetes_TriNumInterne'!$C$2:$C$1154,A939)</f>
        <v/>
      </c>
    </row>
    <row r="940">
      <c r="A940" s="3" t="inlineStr">
        <is>
          <t>004500</t>
        </is>
      </c>
      <c r="B940" s="5">
        <f>COUNTIF('Entetes_TriNumInterne'!$C$2:$C$1154,A940)</f>
        <v/>
      </c>
    </row>
    <row r="941">
      <c r="A941" s="3" t="inlineStr">
        <is>
          <t>004501</t>
        </is>
      </c>
      <c r="B941" s="5">
        <f>COUNTIF('Entetes_TriNumInterne'!$C$2:$C$1154,A941)</f>
        <v/>
      </c>
    </row>
    <row r="942">
      <c r="A942" s="3" t="inlineStr">
        <is>
          <t>004502</t>
        </is>
      </c>
      <c r="B942" s="5">
        <f>COUNTIF('Entetes_TriNumInterne'!$C$2:$C$1154,A942)</f>
        <v/>
      </c>
    </row>
    <row r="943">
      <c r="A943" s="3" t="inlineStr">
        <is>
          <t>004503</t>
        </is>
      </c>
      <c r="B943" s="5">
        <f>COUNTIF('Entetes_TriNumInterne'!$C$2:$C$1154,A943)</f>
        <v/>
      </c>
    </row>
    <row r="944">
      <c r="A944" s="3" t="inlineStr">
        <is>
          <t>004504</t>
        </is>
      </c>
      <c r="B944" s="5">
        <f>COUNTIF('Entetes_TriNumInterne'!$C$2:$C$1154,A944)</f>
        <v/>
      </c>
    </row>
    <row r="945">
      <c r="A945" s="3" t="inlineStr">
        <is>
          <t>004505</t>
        </is>
      </c>
      <c r="B945" s="5">
        <f>COUNTIF('Entetes_TriNumInterne'!$C$2:$C$1154,A945)</f>
        <v/>
      </c>
    </row>
    <row r="946">
      <c r="A946" s="3" t="inlineStr">
        <is>
          <t>004506</t>
        </is>
      </c>
      <c r="B946" s="5">
        <f>COUNTIF('Entetes_TriNumInterne'!$C$2:$C$1154,A946)</f>
        <v/>
      </c>
    </row>
    <row r="947">
      <c r="A947" s="3" t="inlineStr">
        <is>
          <t>004507</t>
        </is>
      </c>
      <c r="B947" s="5">
        <f>COUNTIF('Entetes_TriNumInterne'!$C$2:$C$1154,A947)</f>
        <v/>
      </c>
    </row>
    <row r="948">
      <c r="A948" s="3" t="inlineStr">
        <is>
          <t>004508</t>
        </is>
      </c>
      <c r="B948" s="5">
        <f>COUNTIF('Entetes_TriNumInterne'!$C$2:$C$1154,A948)</f>
        <v/>
      </c>
    </row>
    <row r="949">
      <c r="A949" s="3" t="inlineStr">
        <is>
          <t>004509</t>
        </is>
      </c>
      <c r="B949" s="5">
        <f>COUNTIF('Entetes_TriNumInterne'!$C$2:$C$1154,A949)</f>
        <v/>
      </c>
    </row>
    <row r="950">
      <c r="A950" s="3" t="inlineStr">
        <is>
          <t>004510</t>
        </is>
      </c>
      <c r="B950" s="5">
        <f>COUNTIF('Entetes_TriNumInterne'!$C$2:$C$1154,A950)</f>
        <v/>
      </c>
    </row>
    <row r="951">
      <c r="A951" s="3" t="inlineStr">
        <is>
          <t>004511</t>
        </is>
      </c>
      <c r="B951" s="5">
        <f>COUNTIF('Entetes_TriNumInterne'!$C$2:$C$1154,A951)</f>
        <v/>
      </c>
    </row>
    <row r="952">
      <c r="A952" s="3" t="inlineStr">
        <is>
          <t>004512</t>
        </is>
      </c>
      <c r="B952" s="5">
        <f>COUNTIF('Entetes_TriNumInterne'!$C$2:$C$1154,A952)</f>
        <v/>
      </c>
    </row>
    <row r="953">
      <c r="A953" s="3" t="inlineStr">
        <is>
          <t>004513</t>
        </is>
      </c>
      <c r="B953" s="5">
        <f>COUNTIF('Entetes_TriNumInterne'!$C$2:$C$1154,A953)</f>
        <v/>
      </c>
    </row>
    <row r="954">
      <c r="A954" s="3" t="inlineStr">
        <is>
          <t>004514</t>
        </is>
      </c>
      <c r="B954" s="5">
        <f>COUNTIF('Entetes_TriNumInterne'!$C$2:$C$1154,A954)</f>
        <v/>
      </c>
    </row>
    <row r="955">
      <c r="A955" s="3" t="inlineStr">
        <is>
          <t>004515</t>
        </is>
      </c>
      <c r="B955" s="5">
        <f>COUNTIF('Entetes_TriNumInterne'!$C$2:$C$1154,A955)</f>
        <v/>
      </c>
    </row>
    <row r="956">
      <c r="A956" s="3" t="inlineStr">
        <is>
          <t>004516</t>
        </is>
      </c>
      <c r="B956" s="5">
        <f>COUNTIF('Entetes_TriNumInterne'!$C$2:$C$1154,A956)</f>
        <v/>
      </c>
    </row>
    <row r="957">
      <c r="A957" s="3" t="inlineStr">
        <is>
          <t>004517</t>
        </is>
      </c>
      <c r="B957" s="5">
        <f>COUNTIF('Entetes_TriNumInterne'!$C$2:$C$1154,A957)</f>
        <v/>
      </c>
    </row>
    <row r="958">
      <c r="A958" s="3" t="inlineStr">
        <is>
          <t>004518</t>
        </is>
      </c>
      <c r="B958" s="5">
        <f>COUNTIF('Entetes_TriNumInterne'!$C$2:$C$1154,A958)</f>
        <v/>
      </c>
    </row>
    <row r="959">
      <c r="A959" s="3" t="inlineStr">
        <is>
          <t>004519</t>
        </is>
      </c>
      <c r="B959" s="5">
        <f>COUNTIF('Entetes_TriNumInterne'!$C$2:$C$1154,A959)</f>
        <v/>
      </c>
    </row>
    <row r="960">
      <c r="A960" s="3" t="inlineStr">
        <is>
          <t>004520</t>
        </is>
      </c>
      <c r="B960" s="5">
        <f>COUNTIF('Entetes_TriNumInterne'!$C$2:$C$1154,A960)</f>
        <v/>
      </c>
    </row>
    <row r="961">
      <c r="A961" s="3" t="inlineStr">
        <is>
          <t>004521</t>
        </is>
      </c>
      <c r="B961" s="5">
        <f>COUNTIF('Entetes_TriNumInterne'!$C$2:$C$1154,A961)</f>
        <v/>
      </c>
    </row>
    <row r="962">
      <c r="A962" s="3" t="inlineStr">
        <is>
          <t>004522</t>
        </is>
      </c>
      <c r="B962" s="5">
        <f>COUNTIF('Entetes_TriNumInterne'!$C$2:$C$1154,A962)</f>
        <v/>
      </c>
    </row>
    <row r="963">
      <c r="A963" s="3" t="inlineStr">
        <is>
          <t>004523</t>
        </is>
      </c>
      <c r="B963" s="5">
        <f>COUNTIF('Entetes_TriNumInterne'!$C$2:$C$1154,A963)</f>
        <v/>
      </c>
    </row>
    <row r="964">
      <c r="A964" s="3" t="inlineStr">
        <is>
          <t>004524</t>
        </is>
      </c>
      <c r="B964" s="5">
        <f>COUNTIF('Entetes_TriNumInterne'!$C$2:$C$1154,A964)</f>
        <v/>
      </c>
    </row>
    <row r="965">
      <c r="A965" s="3" t="inlineStr">
        <is>
          <t>004525</t>
        </is>
      </c>
      <c r="B965" s="5">
        <f>COUNTIF('Entetes_TriNumInterne'!$C$2:$C$1154,A965)</f>
        <v/>
      </c>
    </row>
    <row r="966">
      <c r="A966" s="3" t="inlineStr">
        <is>
          <t>004526</t>
        </is>
      </c>
      <c r="B966" s="5">
        <f>COUNTIF('Entetes_TriNumInterne'!$C$2:$C$1154,A966)</f>
        <v/>
      </c>
    </row>
    <row r="967">
      <c r="A967" s="3" t="inlineStr">
        <is>
          <t>004527</t>
        </is>
      </c>
      <c r="B967" s="5">
        <f>COUNTIF('Entetes_TriNumInterne'!$C$2:$C$1154,A967)</f>
        <v/>
      </c>
    </row>
    <row r="968">
      <c r="A968" s="3" t="inlineStr">
        <is>
          <t>004528</t>
        </is>
      </c>
      <c r="B968" s="5">
        <f>COUNTIF('Entetes_TriNumInterne'!$C$2:$C$1154,A968)</f>
        <v/>
      </c>
    </row>
    <row r="969">
      <c r="A969" s="3" t="inlineStr">
        <is>
          <t>004529</t>
        </is>
      </c>
      <c r="B969" s="5">
        <f>COUNTIF('Entetes_TriNumInterne'!$C$2:$C$1154,A969)</f>
        <v/>
      </c>
    </row>
    <row r="970">
      <c r="A970" s="3" t="inlineStr">
        <is>
          <t>004530</t>
        </is>
      </c>
      <c r="B970" s="5">
        <f>COUNTIF('Entetes_TriNumInterne'!$C$2:$C$1154,A970)</f>
        <v/>
      </c>
    </row>
    <row r="971">
      <c r="A971" s="3" t="inlineStr">
        <is>
          <t>004531</t>
        </is>
      </c>
      <c r="B971" s="5">
        <f>COUNTIF('Entetes_TriNumInterne'!$C$2:$C$1154,A971)</f>
        <v/>
      </c>
    </row>
    <row r="972">
      <c r="A972" s="3" t="inlineStr">
        <is>
          <t>004532</t>
        </is>
      </c>
      <c r="B972" s="5">
        <f>COUNTIF('Entetes_TriNumInterne'!$C$2:$C$1154,A972)</f>
        <v/>
      </c>
    </row>
    <row r="973">
      <c r="A973" s="3" t="inlineStr">
        <is>
          <t>004533</t>
        </is>
      </c>
      <c r="B973" s="5">
        <f>COUNTIF('Entetes_TriNumInterne'!$C$2:$C$1154,A973)</f>
        <v/>
      </c>
    </row>
    <row r="974">
      <c r="A974" s="3" t="inlineStr">
        <is>
          <t>004534</t>
        </is>
      </c>
      <c r="B974" s="5">
        <f>COUNTIF('Entetes_TriNumInterne'!$C$2:$C$1154,A974)</f>
        <v/>
      </c>
    </row>
    <row r="975">
      <c r="A975" s="3" t="inlineStr">
        <is>
          <t>004535</t>
        </is>
      </c>
      <c r="B975" s="5">
        <f>COUNTIF('Entetes_TriNumInterne'!$C$2:$C$1154,A975)</f>
        <v/>
      </c>
    </row>
    <row r="976">
      <c r="A976" s="3" t="inlineStr">
        <is>
          <t>004536</t>
        </is>
      </c>
      <c r="B976" s="5">
        <f>COUNTIF('Entetes_TriNumInterne'!$C$2:$C$1154,A976)</f>
        <v/>
      </c>
    </row>
    <row r="977">
      <c r="A977" s="3" t="inlineStr">
        <is>
          <t>004537</t>
        </is>
      </c>
      <c r="B977" s="5">
        <f>COUNTIF('Entetes_TriNumInterne'!$C$2:$C$1154,A977)</f>
        <v/>
      </c>
    </row>
    <row r="978">
      <c r="A978" s="3" t="inlineStr">
        <is>
          <t>004538</t>
        </is>
      </c>
      <c r="B978" s="5">
        <f>COUNTIF('Entetes_TriNumInterne'!$C$2:$C$1154,A978)</f>
        <v/>
      </c>
    </row>
    <row r="979">
      <c r="A979" s="3" t="inlineStr">
        <is>
          <t>004539</t>
        </is>
      </c>
      <c r="B979" s="5">
        <f>COUNTIF('Entetes_TriNumInterne'!$C$2:$C$1154,A979)</f>
        <v/>
      </c>
    </row>
    <row r="980">
      <c r="A980" s="3" t="inlineStr">
        <is>
          <t>004540</t>
        </is>
      </c>
      <c r="B980" s="5">
        <f>COUNTIF('Entetes_TriNumInterne'!$C$2:$C$1154,A980)</f>
        <v/>
      </c>
    </row>
    <row r="981">
      <c r="A981" s="3" t="inlineStr">
        <is>
          <t>004541</t>
        </is>
      </c>
      <c r="B981" s="5">
        <f>COUNTIF('Entetes_TriNumInterne'!$C$2:$C$1154,A981)</f>
        <v/>
      </c>
    </row>
    <row r="982">
      <c r="A982" s="3" t="inlineStr">
        <is>
          <t>004542</t>
        </is>
      </c>
      <c r="B982" s="5">
        <f>COUNTIF('Entetes_TriNumInterne'!$C$2:$C$1154,A982)</f>
        <v/>
      </c>
    </row>
    <row r="983">
      <c r="A983" s="3" t="inlineStr">
        <is>
          <t>004543</t>
        </is>
      </c>
      <c r="B983" s="5">
        <f>COUNTIF('Entetes_TriNumInterne'!$C$2:$C$1154,A983)</f>
        <v/>
      </c>
    </row>
    <row r="984">
      <c r="A984" s="3" t="inlineStr">
        <is>
          <t>004544</t>
        </is>
      </c>
      <c r="B984" s="5">
        <f>COUNTIF('Entetes_TriNumInterne'!$C$2:$C$1154,A984)</f>
        <v/>
      </c>
    </row>
    <row r="985">
      <c r="A985" s="3" t="inlineStr">
        <is>
          <t>004545</t>
        </is>
      </c>
      <c r="B985" s="5">
        <f>COUNTIF('Entetes_TriNumInterne'!$C$2:$C$1154,A985)</f>
        <v/>
      </c>
    </row>
    <row r="986">
      <c r="A986" s="3" t="inlineStr">
        <is>
          <t>004546</t>
        </is>
      </c>
      <c r="B986" s="5">
        <f>COUNTIF('Entetes_TriNumInterne'!$C$2:$C$1154,A986)</f>
        <v/>
      </c>
    </row>
    <row r="987">
      <c r="A987" s="3" t="inlineStr">
        <is>
          <t>004547</t>
        </is>
      </c>
      <c r="B987" s="5">
        <f>COUNTIF('Entetes_TriNumInterne'!$C$2:$C$1154,A987)</f>
        <v/>
      </c>
    </row>
    <row r="988">
      <c r="A988" s="3" t="inlineStr">
        <is>
          <t>004548</t>
        </is>
      </c>
      <c r="B988" s="5">
        <f>COUNTIF('Entetes_TriNumInterne'!$C$2:$C$1154,A988)</f>
        <v/>
      </c>
    </row>
    <row r="989">
      <c r="A989" s="3" t="inlineStr">
        <is>
          <t>004549</t>
        </is>
      </c>
      <c r="B989" s="5">
        <f>COUNTIF('Entetes_TriNumInterne'!$C$2:$C$1154,A989)</f>
        <v/>
      </c>
    </row>
    <row r="990">
      <c r="A990" s="3" t="inlineStr">
        <is>
          <t>004550</t>
        </is>
      </c>
      <c r="B990" s="5">
        <f>COUNTIF('Entetes_TriNumInterne'!$C$2:$C$1154,A990)</f>
        <v/>
      </c>
    </row>
    <row r="991">
      <c r="A991" s="3" t="inlineStr">
        <is>
          <t>004551</t>
        </is>
      </c>
      <c r="B991" s="5">
        <f>COUNTIF('Entetes_TriNumInterne'!$C$2:$C$1154,A991)</f>
        <v/>
      </c>
    </row>
    <row r="992">
      <c r="A992" s="3" t="inlineStr">
        <is>
          <t>004552</t>
        </is>
      </c>
      <c r="B992" s="5">
        <f>COUNTIF('Entetes_TriNumInterne'!$C$2:$C$1154,A992)</f>
        <v/>
      </c>
    </row>
    <row r="993">
      <c r="A993" s="3" t="inlineStr">
        <is>
          <t>004553</t>
        </is>
      </c>
      <c r="B993" s="5">
        <f>COUNTIF('Entetes_TriNumInterne'!$C$2:$C$1154,A993)</f>
        <v/>
      </c>
    </row>
    <row r="994">
      <c r="A994" s="3" t="inlineStr">
        <is>
          <t>004554</t>
        </is>
      </c>
      <c r="B994" s="5">
        <f>COUNTIF('Entetes_TriNumInterne'!$C$2:$C$1154,A994)</f>
        <v/>
      </c>
    </row>
    <row r="995">
      <c r="A995" s="3" t="inlineStr">
        <is>
          <t>004555</t>
        </is>
      </c>
      <c r="B995" s="5">
        <f>COUNTIF('Entetes_TriNumInterne'!$C$2:$C$1154,A995)</f>
        <v/>
      </c>
    </row>
    <row r="996">
      <c r="A996" s="3" t="inlineStr">
        <is>
          <t>004556</t>
        </is>
      </c>
      <c r="B996" s="5">
        <f>COUNTIF('Entetes_TriNumInterne'!$C$2:$C$1154,A996)</f>
        <v/>
      </c>
    </row>
    <row r="997">
      <c r="A997" s="3" t="inlineStr">
        <is>
          <t>004557</t>
        </is>
      </c>
      <c r="B997" s="5">
        <f>COUNTIF('Entetes_TriNumInterne'!$C$2:$C$1154,A997)</f>
        <v/>
      </c>
    </row>
    <row r="998">
      <c r="A998" s="3" t="inlineStr">
        <is>
          <t>004558</t>
        </is>
      </c>
      <c r="B998" s="5">
        <f>COUNTIF('Entetes_TriNumInterne'!$C$2:$C$1154,A998)</f>
        <v/>
      </c>
    </row>
    <row r="999">
      <c r="A999" s="3" t="inlineStr">
        <is>
          <t>004559</t>
        </is>
      </c>
      <c r="B999" s="5">
        <f>COUNTIF('Entetes_TriNumInterne'!$C$2:$C$1154,A999)</f>
        <v/>
      </c>
    </row>
    <row r="1000">
      <c r="A1000" s="3" t="inlineStr">
        <is>
          <t>004560</t>
        </is>
      </c>
      <c r="B1000" s="5">
        <f>COUNTIF('Entetes_TriNumInterne'!$C$2:$C$1154,A1000)</f>
        <v/>
      </c>
    </row>
    <row r="1001">
      <c r="A1001" s="3" t="inlineStr">
        <is>
          <t>004561</t>
        </is>
      </c>
      <c r="B1001" s="5">
        <f>COUNTIF('Entetes_TriNumInterne'!$C$2:$C$1154,A1001)</f>
        <v/>
      </c>
    </row>
    <row r="1002">
      <c r="A1002" s="3" t="inlineStr">
        <is>
          <t>004562</t>
        </is>
      </c>
      <c r="B1002" s="5">
        <f>COUNTIF('Entetes_TriNumInterne'!$C$2:$C$1154,A1002)</f>
        <v/>
      </c>
    </row>
    <row r="1003">
      <c r="A1003" s="3" t="inlineStr">
        <is>
          <t>004563</t>
        </is>
      </c>
      <c r="B1003" s="5">
        <f>COUNTIF('Entetes_TriNumInterne'!$C$2:$C$1154,A1003)</f>
        <v/>
      </c>
    </row>
    <row r="1004">
      <c r="A1004" s="3" t="inlineStr">
        <is>
          <t>004564</t>
        </is>
      </c>
      <c r="B1004" s="5">
        <f>COUNTIF('Entetes_TriNumInterne'!$C$2:$C$1154,A1004)</f>
        <v/>
      </c>
    </row>
    <row r="1005">
      <c r="A1005" s="3" t="inlineStr">
        <is>
          <t>004565</t>
        </is>
      </c>
      <c r="B1005" s="5">
        <f>COUNTIF('Entetes_TriNumInterne'!$C$2:$C$1154,A1005)</f>
        <v/>
      </c>
    </row>
    <row r="1006">
      <c r="A1006" s="3" t="inlineStr">
        <is>
          <t>004566</t>
        </is>
      </c>
      <c r="B1006" s="5">
        <f>COUNTIF('Entetes_TriNumInterne'!$C$2:$C$1154,A1006)</f>
        <v/>
      </c>
    </row>
    <row r="1007">
      <c r="A1007" s="3" t="inlineStr">
        <is>
          <t>004567</t>
        </is>
      </c>
      <c r="B1007" s="5">
        <f>COUNTIF('Entetes_TriNumInterne'!$C$2:$C$1154,A1007)</f>
        <v/>
      </c>
    </row>
    <row r="1008">
      <c r="A1008" s="3" t="inlineStr">
        <is>
          <t>004568</t>
        </is>
      </c>
      <c r="B1008" s="5">
        <f>COUNTIF('Entetes_TriNumInterne'!$C$2:$C$1154,A1008)</f>
        <v/>
      </c>
    </row>
    <row r="1009">
      <c r="A1009" s="3" t="inlineStr">
        <is>
          <t>004569</t>
        </is>
      </c>
      <c r="B1009" s="5">
        <f>COUNTIF('Entetes_TriNumInterne'!$C$2:$C$1154,A1009)</f>
        <v/>
      </c>
    </row>
    <row r="1010">
      <c r="A1010" s="3" t="inlineStr">
        <is>
          <t>004570</t>
        </is>
      </c>
      <c r="B1010" s="5">
        <f>COUNTIF('Entetes_TriNumInterne'!$C$2:$C$1154,A1010)</f>
        <v/>
      </c>
    </row>
    <row r="1011">
      <c r="A1011" s="3" t="inlineStr">
        <is>
          <t>004571</t>
        </is>
      </c>
      <c r="B1011" s="5">
        <f>COUNTIF('Entetes_TriNumInterne'!$C$2:$C$1154,A1011)</f>
        <v/>
      </c>
    </row>
    <row r="1012">
      <c r="A1012" s="3" t="inlineStr">
        <is>
          <t>004572</t>
        </is>
      </c>
      <c r="B1012" s="5">
        <f>COUNTIF('Entetes_TriNumInterne'!$C$2:$C$1154,A1012)</f>
        <v/>
      </c>
    </row>
    <row r="1013">
      <c r="A1013" s="3" t="inlineStr">
        <is>
          <t>004573</t>
        </is>
      </c>
      <c r="B1013" s="5">
        <f>COUNTIF('Entetes_TriNumInterne'!$C$2:$C$1154,A1013)</f>
        <v/>
      </c>
    </row>
    <row r="1014">
      <c r="A1014" s="3" t="inlineStr">
        <is>
          <t>004574</t>
        </is>
      </c>
      <c r="B1014" s="5">
        <f>COUNTIF('Entetes_TriNumInterne'!$C$2:$C$1154,A1014)</f>
        <v/>
      </c>
    </row>
    <row r="1015">
      <c r="A1015" s="3" t="inlineStr">
        <is>
          <t>004575</t>
        </is>
      </c>
      <c r="B1015" s="5">
        <f>COUNTIF('Entetes_TriNumInterne'!$C$2:$C$1154,A1015)</f>
        <v/>
      </c>
    </row>
    <row r="1016">
      <c r="A1016" s="3" t="inlineStr">
        <is>
          <t>004576</t>
        </is>
      </c>
      <c r="B1016" s="5">
        <f>COUNTIF('Entetes_TriNumInterne'!$C$2:$C$1154,A1016)</f>
        <v/>
      </c>
    </row>
    <row r="1017">
      <c r="A1017" s="3" t="inlineStr">
        <is>
          <t>004577</t>
        </is>
      </c>
      <c r="B1017" s="5">
        <f>COUNTIF('Entetes_TriNumInterne'!$C$2:$C$1154,A1017)</f>
        <v/>
      </c>
    </row>
    <row r="1018">
      <c r="A1018" s="3" t="inlineStr">
        <is>
          <t>004578</t>
        </is>
      </c>
      <c r="B1018" s="5">
        <f>COUNTIF('Entetes_TriNumInterne'!$C$2:$C$1154,A1018)</f>
        <v/>
      </c>
    </row>
    <row r="1019">
      <c r="A1019" s="3" t="inlineStr">
        <is>
          <t>004579</t>
        </is>
      </c>
      <c r="B1019" s="5">
        <f>COUNTIF('Entetes_TriNumInterne'!$C$2:$C$1154,A1019)</f>
        <v/>
      </c>
    </row>
    <row r="1020">
      <c r="A1020" s="3" t="inlineStr">
        <is>
          <t>004580</t>
        </is>
      </c>
      <c r="B1020" s="5">
        <f>COUNTIF('Entetes_TriNumInterne'!$C$2:$C$1154,A1020)</f>
        <v/>
      </c>
    </row>
    <row r="1021">
      <c r="A1021" s="3" t="inlineStr">
        <is>
          <t>004581</t>
        </is>
      </c>
      <c r="B1021" s="5">
        <f>COUNTIF('Entetes_TriNumInterne'!$C$2:$C$1154,A1021)</f>
        <v/>
      </c>
    </row>
    <row r="1022">
      <c r="A1022" s="3" t="inlineStr">
        <is>
          <t>004582</t>
        </is>
      </c>
      <c r="B1022" s="5">
        <f>COUNTIF('Entetes_TriNumInterne'!$C$2:$C$1154,A1022)</f>
        <v/>
      </c>
    </row>
    <row r="1023">
      <c r="A1023" s="3" t="inlineStr">
        <is>
          <t>004583</t>
        </is>
      </c>
      <c r="B1023" s="5">
        <f>COUNTIF('Entetes_TriNumInterne'!$C$2:$C$1154,A1023)</f>
        <v/>
      </c>
    </row>
    <row r="1024">
      <c r="A1024" s="3" t="inlineStr">
        <is>
          <t>004584</t>
        </is>
      </c>
      <c r="B1024" s="5">
        <f>COUNTIF('Entetes_TriNumInterne'!$C$2:$C$1154,A1024)</f>
        <v/>
      </c>
    </row>
    <row r="1025">
      <c r="A1025" s="3" t="inlineStr">
        <is>
          <t>004585</t>
        </is>
      </c>
      <c r="B1025" s="5">
        <f>COUNTIF('Entetes_TriNumInterne'!$C$2:$C$1154,A1025)</f>
        <v/>
      </c>
    </row>
    <row r="1026">
      <c r="A1026" s="3" t="inlineStr">
        <is>
          <t>004586</t>
        </is>
      </c>
      <c r="B1026" s="5">
        <f>COUNTIF('Entetes_TriNumInterne'!$C$2:$C$1154,A1026)</f>
        <v/>
      </c>
    </row>
    <row r="1027">
      <c r="A1027" s="3" t="inlineStr">
        <is>
          <t>004587</t>
        </is>
      </c>
      <c r="B1027" s="5">
        <f>COUNTIF('Entetes_TriNumInterne'!$C$2:$C$1154,A1027)</f>
        <v/>
      </c>
    </row>
    <row r="1028">
      <c r="A1028" s="3" t="inlineStr">
        <is>
          <t>004588</t>
        </is>
      </c>
      <c r="B1028" s="5">
        <f>COUNTIF('Entetes_TriNumInterne'!$C$2:$C$1154,A1028)</f>
        <v/>
      </c>
    </row>
    <row r="1029">
      <c r="A1029" s="3" t="inlineStr">
        <is>
          <t>004589</t>
        </is>
      </c>
      <c r="B1029" s="5">
        <f>COUNTIF('Entetes_TriNumInterne'!$C$2:$C$1154,A1029)</f>
        <v/>
      </c>
    </row>
    <row r="1030">
      <c r="A1030" s="3" t="inlineStr">
        <is>
          <t>004590</t>
        </is>
      </c>
      <c r="B1030" s="5">
        <f>COUNTIF('Entetes_TriNumInterne'!$C$2:$C$1154,A1030)</f>
        <v/>
      </c>
    </row>
    <row r="1031">
      <c r="A1031" s="3" t="inlineStr">
        <is>
          <t>004591</t>
        </is>
      </c>
      <c r="B1031" s="5">
        <f>COUNTIF('Entetes_TriNumInterne'!$C$2:$C$1154,A1031)</f>
        <v/>
      </c>
    </row>
    <row r="1032">
      <c r="A1032" s="3" t="inlineStr">
        <is>
          <t>004592</t>
        </is>
      </c>
      <c r="B1032" s="5">
        <f>COUNTIF('Entetes_TriNumInterne'!$C$2:$C$1154,A1032)</f>
        <v/>
      </c>
    </row>
    <row r="1033">
      <c r="A1033" s="3" t="inlineStr">
        <is>
          <t>004593</t>
        </is>
      </c>
      <c r="B1033" s="5">
        <f>COUNTIF('Entetes_TriNumInterne'!$C$2:$C$1154,A1033)</f>
        <v/>
      </c>
    </row>
    <row r="1034">
      <c r="A1034" s="3" t="inlineStr">
        <is>
          <t>004594</t>
        </is>
      </c>
      <c r="B1034" s="5">
        <f>COUNTIF('Entetes_TriNumInterne'!$C$2:$C$1154,A1034)</f>
        <v/>
      </c>
    </row>
    <row r="1035">
      <c r="A1035" s="3" t="inlineStr">
        <is>
          <t>004595</t>
        </is>
      </c>
      <c r="B1035" s="5">
        <f>COUNTIF('Entetes_TriNumInterne'!$C$2:$C$1154,A1035)</f>
        <v/>
      </c>
    </row>
    <row r="1036">
      <c r="A1036" s="3" t="inlineStr">
        <is>
          <t>004596</t>
        </is>
      </c>
      <c r="B1036" s="5">
        <f>COUNTIF('Entetes_TriNumInterne'!$C$2:$C$1154,A1036)</f>
        <v/>
      </c>
    </row>
    <row r="1037">
      <c r="A1037" s="3" t="inlineStr">
        <is>
          <t>004597</t>
        </is>
      </c>
      <c r="B1037" s="5">
        <f>COUNTIF('Entetes_TriNumInterne'!$C$2:$C$1154,A1037)</f>
        <v/>
      </c>
    </row>
    <row r="1038">
      <c r="A1038" s="3" t="inlineStr">
        <is>
          <t>004598</t>
        </is>
      </c>
      <c r="B1038" s="5">
        <f>COUNTIF('Entetes_TriNumInterne'!$C$2:$C$1154,A1038)</f>
        <v/>
      </c>
    </row>
    <row r="1039">
      <c r="A1039" s="3" t="inlineStr">
        <is>
          <t>004599</t>
        </is>
      </c>
      <c r="B1039" s="5">
        <f>COUNTIF('Entetes_TriNumInterne'!$C$2:$C$1154,A1039)</f>
        <v/>
      </c>
    </row>
    <row r="1040">
      <c r="A1040" s="3" t="inlineStr">
        <is>
          <t>004600</t>
        </is>
      </c>
      <c r="B1040" s="5">
        <f>COUNTIF('Entetes_TriNumInterne'!$C$2:$C$1154,A1040)</f>
        <v/>
      </c>
    </row>
    <row r="1041">
      <c r="A1041" s="3" t="inlineStr">
        <is>
          <t>004601</t>
        </is>
      </c>
      <c r="B1041" s="5">
        <f>COUNTIF('Entetes_TriNumInterne'!$C$2:$C$1154,A1041)</f>
        <v/>
      </c>
    </row>
    <row r="1042">
      <c r="A1042" s="3" t="inlineStr">
        <is>
          <t>004602</t>
        </is>
      </c>
      <c r="B1042" s="5">
        <f>COUNTIF('Entetes_TriNumInterne'!$C$2:$C$1154,A1042)</f>
        <v/>
      </c>
    </row>
    <row r="1043">
      <c r="A1043" s="3" t="inlineStr">
        <is>
          <t>004603</t>
        </is>
      </c>
      <c r="B1043" s="5">
        <f>COUNTIF('Entetes_TriNumInterne'!$C$2:$C$1154,A1043)</f>
        <v/>
      </c>
    </row>
    <row r="1044">
      <c r="A1044" s="3" t="inlineStr">
        <is>
          <t>004604</t>
        </is>
      </c>
      <c r="B1044" s="5">
        <f>COUNTIF('Entetes_TriNumInterne'!$C$2:$C$1154,A1044)</f>
        <v/>
      </c>
    </row>
    <row r="1045">
      <c r="A1045" s="3" t="inlineStr">
        <is>
          <t>004605</t>
        </is>
      </c>
      <c r="B1045" s="5">
        <f>COUNTIF('Entetes_TriNumInterne'!$C$2:$C$1154,A1045)</f>
        <v/>
      </c>
    </row>
    <row r="1046">
      <c r="A1046" s="3" t="inlineStr">
        <is>
          <t>004606</t>
        </is>
      </c>
      <c r="B1046" s="5">
        <f>COUNTIF('Entetes_TriNumInterne'!$C$2:$C$1154,A1046)</f>
        <v/>
      </c>
    </row>
    <row r="1047">
      <c r="A1047" s="3" t="inlineStr">
        <is>
          <t>004607</t>
        </is>
      </c>
      <c r="B1047" s="5">
        <f>COUNTIF('Entetes_TriNumInterne'!$C$2:$C$1154,A1047)</f>
        <v/>
      </c>
    </row>
    <row r="1048">
      <c r="A1048" s="3" t="inlineStr">
        <is>
          <t>004608</t>
        </is>
      </c>
      <c r="B1048" s="5">
        <f>COUNTIF('Entetes_TriNumInterne'!$C$2:$C$1154,A1048)</f>
        <v/>
      </c>
    </row>
    <row r="1049">
      <c r="A1049" s="3" t="inlineStr">
        <is>
          <t>004609</t>
        </is>
      </c>
      <c r="B1049" s="5">
        <f>COUNTIF('Entetes_TriNumInterne'!$C$2:$C$1154,A1049)</f>
        <v/>
      </c>
    </row>
    <row r="1050">
      <c r="A1050" s="3" t="inlineStr">
        <is>
          <t>004610</t>
        </is>
      </c>
      <c r="B1050" s="5">
        <f>COUNTIF('Entetes_TriNumInterne'!$C$2:$C$1154,A1050)</f>
        <v/>
      </c>
    </row>
    <row r="1051">
      <c r="A1051" s="3" t="inlineStr">
        <is>
          <t>004611</t>
        </is>
      </c>
      <c r="B1051" s="5">
        <f>COUNTIF('Entetes_TriNumInterne'!$C$2:$C$1154,A1051)</f>
        <v/>
      </c>
    </row>
    <row r="1052">
      <c r="A1052" s="3" t="inlineStr">
        <is>
          <t>004612</t>
        </is>
      </c>
      <c r="B1052" s="5">
        <f>COUNTIF('Entetes_TriNumInterne'!$C$2:$C$1154,A1052)</f>
        <v/>
      </c>
    </row>
    <row r="1053">
      <c r="A1053" s="3" t="inlineStr">
        <is>
          <t>004613</t>
        </is>
      </c>
      <c r="B1053" s="5">
        <f>COUNTIF('Entetes_TriNumInterne'!$C$2:$C$1154,A1053)</f>
        <v/>
      </c>
    </row>
    <row r="1054">
      <c r="A1054" s="3" t="inlineStr">
        <is>
          <t>004614</t>
        </is>
      </c>
      <c r="B1054" s="5">
        <f>COUNTIF('Entetes_TriNumInterne'!$C$2:$C$1154,A1054)</f>
        <v/>
      </c>
    </row>
    <row r="1055">
      <c r="A1055" s="3" t="inlineStr">
        <is>
          <t>004615</t>
        </is>
      </c>
      <c r="B1055" s="5">
        <f>COUNTIF('Entetes_TriNumInterne'!$C$2:$C$1154,A1055)</f>
        <v/>
      </c>
    </row>
    <row r="1056">
      <c r="A1056" s="3" t="inlineStr">
        <is>
          <t>004616</t>
        </is>
      </c>
      <c r="B1056" s="5">
        <f>COUNTIF('Entetes_TriNumInterne'!$C$2:$C$1154,A1056)</f>
        <v/>
      </c>
    </row>
    <row r="1057">
      <c r="A1057" s="3" t="inlineStr">
        <is>
          <t>004617</t>
        </is>
      </c>
      <c r="B1057" s="5">
        <f>COUNTIF('Entetes_TriNumInterne'!$C$2:$C$1154,A1057)</f>
        <v/>
      </c>
    </row>
    <row r="1058">
      <c r="A1058" s="3" t="inlineStr">
        <is>
          <t>004618</t>
        </is>
      </c>
      <c r="B1058" s="5">
        <f>COUNTIF('Entetes_TriNumInterne'!$C$2:$C$1154,A1058)</f>
        <v/>
      </c>
    </row>
    <row r="1059">
      <c r="A1059" s="3" t="inlineStr">
        <is>
          <t>004619</t>
        </is>
      </c>
      <c r="B1059" s="5">
        <f>COUNTIF('Entetes_TriNumInterne'!$C$2:$C$1154,A1059)</f>
        <v/>
      </c>
    </row>
    <row r="1060">
      <c r="A1060" s="3" t="inlineStr">
        <is>
          <t>004620</t>
        </is>
      </c>
      <c r="B1060" s="5">
        <f>COUNTIF('Entetes_TriNumInterne'!$C$2:$C$1154,A1060)</f>
        <v/>
      </c>
    </row>
    <row r="1061">
      <c r="A1061" s="3" t="inlineStr">
        <is>
          <t>004621</t>
        </is>
      </c>
      <c r="B1061" s="5">
        <f>COUNTIF('Entetes_TriNumInterne'!$C$2:$C$1154,A1061)</f>
        <v/>
      </c>
    </row>
    <row r="1062">
      <c r="A1062" s="3" t="inlineStr">
        <is>
          <t>004622</t>
        </is>
      </c>
      <c r="B1062" s="5">
        <f>COUNTIF('Entetes_TriNumInterne'!$C$2:$C$1154,A1062)</f>
        <v/>
      </c>
    </row>
    <row r="1063">
      <c r="A1063" s="3" t="inlineStr">
        <is>
          <t>004623</t>
        </is>
      </c>
      <c r="B1063" s="5">
        <f>COUNTIF('Entetes_TriNumInterne'!$C$2:$C$1154,A1063)</f>
        <v/>
      </c>
    </row>
    <row r="1064">
      <c r="A1064" s="3" t="inlineStr">
        <is>
          <t>004624</t>
        </is>
      </c>
      <c r="B1064" s="5">
        <f>COUNTIF('Entetes_TriNumInterne'!$C$2:$C$1154,A1064)</f>
        <v/>
      </c>
    </row>
    <row r="1065">
      <c r="A1065" s="3" t="inlineStr">
        <is>
          <t>004625</t>
        </is>
      </c>
      <c r="B1065" s="5">
        <f>COUNTIF('Entetes_TriNumInterne'!$C$2:$C$1154,A1065)</f>
        <v/>
      </c>
    </row>
    <row r="1066">
      <c r="A1066" s="3" t="inlineStr">
        <is>
          <t>004626</t>
        </is>
      </c>
      <c r="B1066" s="5">
        <f>COUNTIF('Entetes_TriNumInterne'!$C$2:$C$1154,A1066)</f>
        <v/>
      </c>
    </row>
    <row r="1067">
      <c r="A1067" s="3" t="inlineStr">
        <is>
          <t>004627</t>
        </is>
      </c>
      <c r="B1067" s="5">
        <f>COUNTIF('Entetes_TriNumInterne'!$C$2:$C$1154,A1067)</f>
        <v/>
      </c>
    </row>
    <row r="1068">
      <c r="A1068" s="3" t="inlineStr">
        <is>
          <t>004628</t>
        </is>
      </c>
      <c r="B1068" s="5">
        <f>COUNTIF('Entetes_TriNumInterne'!$C$2:$C$1154,A1068)</f>
        <v/>
      </c>
    </row>
    <row r="1069">
      <c r="A1069" s="3" t="inlineStr">
        <is>
          <t>004629</t>
        </is>
      </c>
      <c r="B1069" s="5">
        <f>COUNTIF('Entetes_TriNumInterne'!$C$2:$C$1154,A1069)</f>
        <v/>
      </c>
    </row>
    <row r="1070">
      <c r="A1070" s="3" t="inlineStr">
        <is>
          <t>004630</t>
        </is>
      </c>
      <c r="B1070" s="5">
        <f>COUNTIF('Entetes_TriNumInterne'!$C$2:$C$1154,A1070)</f>
        <v/>
      </c>
    </row>
    <row r="1071">
      <c r="A1071" s="3" t="inlineStr">
        <is>
          <t>004631</t>
        </is>
      </c>
      <c r="B1071" s="5">
        <f>COUNTIF('Entetes_TriNumInterne'!$C$2:$C$1154,A1071)</f>
        <v/>
      </c>
    </row>
    <row r="1072">
      <c r="A1072" s="3" t="inlineStr">
        <is>
          <t>004632</t>
        </is>
      </c>
      <c r="B1072" s="5">
        <f>COUNTIF('Entetes_TriNumInterne'!$C$2:$C$1154,A1072)</f>
        <v/>
      </c>
    </row>
    <row r="1073">
      <c r="A1073" s="3" t="inlineStr">
        <is>
          <t>004633</t>
        </is>
      </c>
      <c r="B1073" s="5">
        <f>COUNTIF('Entetes_TriNumInterne'!$C$2:$C$1154,A1073)</f>
        <v/>
      </c>
    </row>
    <row r="1074">
      <c r="A1074" s="3" t="inlineStr">
        <is>
          <t>004634</t>
        </is>
      </c>
      <c r="B1074" s="5">
        <f>COUNTIF('Entetes_TriNumInterne'!$C$2:$C$1154,A1074)</f>
        <v/>
      </c>
    </row>
    <row r="1075">
      <c r="A1075" s="3" t="inlineStr">
        <is>
          <t>004635</t>
        </is>
      </c>
      <c r="B1075" s="5">
        <f>COUNTIF('Entetes_TriNumInterne'!$C$2:$C$1154,A1075)</f>
        <v/>
      </c>
    </row>
    <row r="1076">
      <c r="A1076" s="3" t="inlineStr">
        <is>
          <t>004636</t>
        </is>
      </c>
      <c r="B1076" s="5">
        <f>COUNTIF('Entetes_TriNumInterne'!$C$2:$C$1154,A1076)</f>
        <v/>
      </c>
    </row>
    <row r="1077">
      <c r="A1077" s="3" t="inlineStr">
        <is>
          <t>004637</t>
        </is>
      </c>
      <c r="B1077" s="5">
        <f>COUNTIF('Entetes_TriNumInterne'!$C$2:$C$1154,A1077)</f>
        <v/>
      </c>
    </row>
    <row r="1078">
      <c r="A1078" s="3" t="inlineStr">
        <is>
          <t>004638</t>
        </is>
      </c>
      <c r="B1078" s="5">
        <f>COUNTIF('Entetes_TriNumInterne'!$C$2:$C$1154,A1078)</f>
        <v/>
      </c>
    </row>
    <row r="1079">
      <c r="A1079" s="3" t="inlineStr">
        <is>
          <t>004639</t>
        </is>
      </c>
      <c r="B1079" s="5">
        <f>COUNTIF('Entetes_TriNumInterne'!$C$2:$C$1154,A1079)</f>
        <v/>
      </c>
    </row>
    <row r="1080">
      <c r="A1080" s="3" t="inlineStr">
        <is>
          <t>004640</t>
        </is>
      </c>
      <c r="B1080" s="5">
        <f>COUNTIF('Entetes_TriNumInterne'!$C$2:$C$1154,A1080)</f>
        <v/>
      </c>
    </row>
    <row r="1081">
      <c r="A1081" s="3" t="inlineStr">
        <is>
          <t>004641</t>
        </is>
      </c>
      <c r="B1081" s="5">
        <f>COUNTIF('Entetes_TriNumInterne'!$C$2:$C$1154,A1081)</f>
        <v/>
      </c>
    </row>
    <row r="1082">
      <c r="A1082" s="3" t="inlineStr">
        <is>
          <t>004642</t>
        </is>
      </c>
      <c r="B1082" s="5">
        <f>COUNTIF('Entetes_TriNumInterne'!$C$2:$C$1154,A1082)</f>
        <v/>
      </c>
    </row>
    <row r="1083">
      <c r="A1083" s="3" t="inlineStr">
        <is>
          <t>004643</t>
        </is>
      </c>
      <c r="B1083" s="5">
        <f>COUNTIF('Entetes_TriNumInterne'!$C$2:$C$1154,A1083)</f>
        <v/>
      </c>
    </row>
    <row r="1084">
      <c r="A1084" s="3" t="inlineStr">
        <is>
          <t>004644</t>
        </is>
      </c>
      <c r="B1084" s="5">
        <f>COUNTIF('Entetes_TriNumInterne'!$C$2:$C$1154,A1084)</f>
        <v/>
      </c>
    </row>
    <row r="1085">
      <c r="A1085" s="3" t="inlineStr">
        <is>
          <t>004645</t>
        </is>
      </c>
      <c r="B1085" s="5">
        <f>COUNTIF('Entetes_TriNumInterne'!$C$2:$C$1154,A1085)</f>
        <v/>
      </c>
    </row>
    <row r="1086">
      <c r="A1086" s="3" t="inlineStr">
        <is>
          <t>004646</t>
        </is>
      </c>
      <c r="B1086" s="5">
        <f>COUNTIF('Entetes_TriNumInterne'!$C$2:$C$1154,A1086)</f>
        <v/>
      </c>
    </row>
    <row r="1087">
      <c r="A1087" s="3" t="inlineStr">
        <is>
          <t>004647</t>
        </is>
      </c>
      <c r="B1087" s="5">
        <f>COUNTIF('Entetes_TriNumInterne'!$C$2:$C$1154,A1087)</f>
        <v/>
      </c>
    </row>
    <row r="1088">
      <c r="A1088" s="3" t="inlineStr">
        <is>
          <t>004648</t>
        </is>
      </c>
      <c r="B1088" s="5">
        <f>COUNTIF('Entetes_TriNumInterne'!$C$2:$C$1154,A1088)</f>
        <v/>
      </c>
    </row>
    <row r="1089">
      <c r="A1089" s="3" t="inlineStr">
        <is>
          <t>004649</t>
        </is>
      </c>
      <c r="B1089" s="5">
        <f>COUNTIF('Entetes_TriNumInterne'!$C$2:$C$1154,A1089)</f>
        <v/>
      </c>
    </row>
    <row r="1090">
      <c r="A1090" s="3" t="inlineStr">
        <is>
          <t>004650</t>
        </is>
      </c>
      <c r="B1090" s="5">
        <f>COUNTIF('Entetes_TriNumInterne'!$C$2:$C$1154,A1090)</f>
        <v/>
      </c>
    </row>
    <row r="1091">
      <c r="A1091" s="3" t="inlineStr">
        <is>
          <t>004651</t>
        </is>
      </c>
      <c r="B1091" s="5">
        <f>COUNTIF('Entetes_TriNumInterne'!$C$2:$C$1154,A1091)</f>
        <v/>
      </c>
    </row>
    <row r="1092">
      <c r="A1092" s="3" t="inlineStr">
        <is>
          <t>004652</t>
        </is>
      </c>
      <c r="B1092" s="5">
        <f>COUNTIF('Entetes_TriNumInterne'!$C$2:$C$1154,A1092)</f>
        <v/>
      </c>
    </row>
    <row r="1093">
      <c r="A1093" s="3" t="inlineStr">
        <is>
          <t>004653</t>
        </is>
      </c>
      <c r="B1093" s="5">
        <f>COUNTIF('Entetes_TriNumInterne'!$C$2:$C$1154,A1093)</f>
        <v/>
      </c>
    </row>
    <row r="1094">
      <c r="A1094" s="3" t="inlineStr">
        <is>
          <t>004654</t>
        </is>
      </c>
      <c r="B1094" s="5">
        <f>COUNTIF('Entetes_TriNumInterne'!$C$2:$C$1154,A1094)</f>
        <v/>
      </c>
    </row>
    <row r="1095">
      <c r="A1095" s="3" t="inlineStr">
        <is>
          <t>004655</t>
        </is>
      </c>
      <c r="B1095" s="5">
        <f>COUNTIF('Entetes_TriNumInterne'!$C$2:$C$1154,A1095)</f>
        <v/>
      </c>
    </row>
    <row r="1096">
      <c r="A1096" s="3" t="inlineStr">
        <is>
          <t>004656</t>
        </is>
      </c>
      <c r="B1096" s="5">
        <f>COUNTIF('Entetes_TriNumInterne'!$C$2:$C$1154,A1096)</f>
        <v/>
      </c>
    </row>
    <row r="1097">
      <c r="A1097" s="3" t="inlineStr">
        <is>
          <t>004657</t>
        </is>
      </c>
      <c r="B1097" s="5">
        <f>COUNTIF('Entetes_TriNumInterne'!$C$2:$C$1154,A1097)</f>
        <v/>
      </c>
    </row>
    <row r="1098">
      <c r="A1098" s="3" t="inlineStr">
        <is>
          <t>004658</t>
        </is>
      </c>
      <c r="B1098" s="5">
        <f>COUNTIF('Entetes_TriNumInterne'!$C$2:$C$1154,A1098)</f>
        <v/>
      </c>
    </row>
    <row r="1099">
      <c r="A1099" s="3" t="inlineStr">
        <is>
          <t>004659</t>
        </is>
      </c>
      <c r="B1099" s="5">
        <f>COUNTIF('Entetes_TriNumInterne'!$C$2:$C$1154,A1099)</f>
        <v/>
      </c>
    </row>
    <row r="1100">
      <c r="A1100" s="3" t="inlineStr">
        <is>
          <t>004660</t>
        </is>
      </c>
      <c r="B1100" s="5">
        <f>COUNTIF('Entetes_TriNumInterne'!$C$2:$C$1154,A1100)</f>
        <v/>
      </c>
    </row>
    <row r="1101">
      <c r="A1101" s="3" t="inlineStr">
        <is>
          <t>004661</t>
        </is>
      </c>
      <c r="B1101" s="5">
        <f>COUNTIF('Entetes_TriNumInterne'!$C$2:$C$1154,A1101)</f>
        <v/>
      </c>
    </row>
    <row r="1102">
      <c r="A1102" s="3" t="inlineStr">
        <is>
          <t>004662</t>
        </is>
      </c>
      <c r="B1102" s="5">
        <f>COUNTIF('Entetes_TriNumInterne'!$C$2:$C$1154,A1102)</f>
        <v/>
      </c>
    </row>
    <row r="1103">
      <c r="A1103" s="3" t="inlineStr">
        <is>
          <t>004663</t>
        </is>
      </c>
      <c r="B1103" s="5">
        <f>COUNTIF('Entetes_TriNumInterne'!$C$2:$C$1154,A1103)</f>
        <v/>
      </c>
    </row>
    <row r="1104">
      <c r="A1104" s="3" t="inlineStr">
        <is>
          <t>004664</t>
        </is>
      </c>
      <c r="B1104" s="5">
        <f>COUNTIF('Entetes_TriNumInterne'!$C$2:$C$1154,A1104)</f>
        <v/>
      </c>
    </row>
    <row r="1105">
      <c r="A1105" s="3" t="inlineStr">
        <is>
          <t>004665</t>
        </is>
      </c>
      <c r="B1105" s="5">
        <f>COUNTIF('Entetes_TriNumInterne'!$C$2:$C$1154,A1105)</f>
        <v/>
      </c>
    </row>
    <row r="1106">
      <c r="A1106" s="3" t="inlineStr">
        <is>
          <t>004666</t>
        </is>
      </c>
      <c r="B1106" s="5">
        <f>COUNTIF('Entetes_TriNumInterne'!$C$2:$C$1154,A1106)</f>
        <v/>
      </c>
    </row>
    <row r="1107">
      <c r="A1107" s="3" t="inlineStr">
        <is>
          <t>004667</t>
        </is>
      </c>
      <c r="B1107" s="5">
        <f>COUNTIF('Entetes_TriNumInterne'!$C$2:$C$1154,A1107)</f>
        <v/>
      </c>
    </row>
    <row r="1108">
      <c r="A1108" s="3" t="inlineStr">
        <is>
          <t>004668</t>
        </is>
      </c>
      <c r="B1108" s="5">
        <f>COUNTIF('Entetes_TriNumInterne'!$C$2:$C$1154,A1108)</f>
        <v/>
      </c>
    </row>
    <row r="1109">
      <c r="A1109" s="3" t="inlineStr">
        <is>
          <t>004669</t>
        </is>
      </c>
      <c r="B1109" s="5">
        <f>COUNTIF('Entetes_TriNumInterne'!$C$2:$C$1154,A1109)</f>
        <v/>
      </c>
    </row>
    <row r="1110">
      <c r="A1110" s="3" t="inlineStr">
        <is>
          <t>004670</t>
        </is>
      </c>
      <c r="B1110" s="5">
        <f>COUNTIF('Entetes_TriNumInterne'!$C$2:$C$1154,A1110)</f>
        <v/>
      </c>
    </row>
    <row r="1111">
      <c r="A1111" s="3" t="inlineStr">
        <is>
          <t>004671</t>
        </is>
      </c>
      <c r="B1111" s="5">
        <f>COUNTIF('Entetes_TriNumInterne'!$C$2:$C$1154,A1111)</f>
        <v/>
      </c>
    </row>
    <row r="1112">
      <c r="A1112" s="3" t="inlineStr">
        <is>
          <t>004672</t>
        </is>
      </c>
      <c r="B1112" s="5">
        <f>COUNTIF('Entetes_TriNumInterne'!$C$2:$C$1154,A1112)</f>
        <v/>
      </c>
    </row>
    <row r="1113">
      <c r="A1113" s="3" t="inlineStr">
        <is>
          <t>004673</t>
        </is>
      </c>
      <c r="B1113" s="5">
        <f>COUNTIF('Entetes_TriNumInterne'!$C$2:$C$1154,A1113)</f>
        <v/>
      </c>
    </row>
    <row r="1114">
      <c r="A1114" s="3" t="inlineStr">
        <is>
          <t>004674</t>
        </is>
      </c>
      <c r="B1114" s="5">
        <f>COUNTIF('Entetes_TriNumInterne'!$C$2:$C$1154,A1114)</f>
        <v/>
      </c>
    </row>
    <row r="1115">
      <c r="A1115" s="3" t="inlineStr">
        <is>
          <t>004675</t>
        </is>
      </c>
      <c r="B1115" s="5">
        <f>COUNTIF('Entetes_TriNumInterne'!$C$2:$C$1154,A1115)</f>
        <v/>
      </c>
    </row>
    <row r="1116">
      <c r="A1116" s="3" t="inlineStr">
        <is>
          <t>004676</t>
        </is>
      </c>
      <c r="B1116" s="5">
        <f>COUNTIF('Entetes_TriNumInterne'!$C$2:$C$1154,A1116)</f>
        <v/>
      </c>
    </row>
    <row r="1117">
      <c r="A1117" s="3" t="inlineStr">
        <is>
          <t>004677</t>
        </is>
      </c>
      <c r="B1117" s="5">
        <f>COUNTIF('Entetes_TriNumInterne'!$C$2:$C$1154,A1117)</f>
        <v/>
      </c>
    </row>
    <row r="1118">
      <c r="A1118" s="3" t="inlineStr">
        <is>
          <t>004678</t>
        </is>
      </c>
      <c r="B1118" s="5">
        <f>COUNTIF('Entetes_TriNumInterne'!$C$2:$C$1154,A1118)</f>
        <v/>
      </c>
    </row>
    <row r="1119">
      <c r="A1119" s="3" t="inlineStr">
        <is>
          <t>004679</t>
        </is>
      </c>
      <c r="B1119" s="5">
        <f>COUNTIF('Entetes_TriNumInterne'!$C$2:$C$1154,A1119)</f>
        <v/>
      </c>
    </row>
    <row r="1120">
      <c r="A1120" s="3" t="inlineStr">
        <is>
          <t>004680</t>
        </is>
      </c>
      <c r="B1120" s="5">
        <f>COUNTIF('Entetes_TriNumInterne'!$C$2:$C$1154,A1120)</f>
        <v/>
      </c>
    </row>
    <row r="1121">
      <c r="A1121" s="3" t="inlineStr">
        <is>
          <t>004681</t>
        </is>
      </c>
      <c r="B1121" s="5">
        <f>COUNTIF('Entetes_TriNumInterne'!$C$2:$C$1154,A1121)</f>
        <v/>
      </c>
    </row>
    <row r="1122">
      <c r="A1122" s="3" t="inlineStr">
        <is>
          <t>004682</t>
        </is>
      </c>
      <c r="B1122" s="5">
        <f>COUNTIF('Entetes_TriNumInterne'!$C$2:$C$1154,A1122)</f>
        <v/>
      </c>
    </row>
    <row r="1123">
      <c r="A1123" s="3" t="inlineStr">
        <is>
          <t>004683</t>
        </is>
      </c>
      <c r="B1123" s="5">
        <f>COUNTIF('Entetes_TriNumInterne'!$C$2:$C$1154,A1123)</f>
        <v/>
      </c>
    </row>
    <row r="1124">
      <c r="A1124" s="3" t="inlineStr">
        <is>
          <t>004684</t>
        </is>
      </c>
      <c r="B1124" s="5">
        <f>COUNTIF('Entetes_TriNumInterne'!$C$2:$C$1154,A1124)</f>
        <v/>
      </c>
    </row>
    <row r="1125">
      <c r="A1125" s="3" t="inlineStr">
        <is>
          <t>004685</t>
        </is>
      </c>
      <c r="B1125" s="5">
        <f>COUNTIF('Entetes_TriNumInterne'!$C$2:$C$1154,A1125)</f>
        <v/>
      </c>
    </row>
    <row r="1126">
      <c r="A1126" s="3" t="inlineStr">
        <is>
          <t>004686</t>
        </is>
      </c>
      <c r="B1126" s="5">
        <f>COUNTIF('Entetes_TriNumInterne'!$C$2:$C$1154,A1126)</f>
        <v/>
      </c>
    </row>
    <row r="1127">
      <c r="A1127" s="3" t="inlineStr">
        <is>
          <t>004687</t>
        </is>
      </c>
      <c r="B1127" s="5">
        <f>COUNTIF('Entetes_TriNumInterne'!$C$2:$C$1154,A1127)</f>
        <v/>
      </c>
    </row>
    <row r="1128">
      <c r="A1128" s="3" t="inlineStr">
        <is>
          <t>004688</t>
        </is>
      </c>
      <c r="B1128" s="5">
        <f>COUNTIF('Entetes_TriNumInterne'!$C$2:$C$1154,A1128)</f>
        <v/>
      </c>
    </row>
    <row r="1129">
      <c r="A1129" s="3" t="inlineStr">
        <is>
          <t>004689</t>
        </is>
      </c>
      <c r="B1129" s="5">
        <f>COUNTIF('Entetes_TriNumInterne'!$C$2:$C$1154,A1129)</f>
        <v/>
      </c>
    </row>
    <row r="1130">
      <c r="A1130" s="3" t="inlineStr">
        <is>
          <t>004690</t>
        </is>
      </c>
      <c r="B1130" s="5">
        <f>COUNTIF('Entetes_TriNumInterne'!$C$2:$C$1154,A1130)</f>
        <v/>
      </c>
    </row>
    <row r="1131">
      <c r="A1131" s="3" t="inlineStr">
        <is>
          <t>004691</t>
        </is>
      </c>
      <c r="B1131" s="5">
        <f>COUNTIF('Entetes_TriNumInterne'!$C$2:$C$1154,A1131)</f>
        <v/>
      </c>
    </row>
    <row r="1132">
      <c r="A1132" s="3" t="inlineStr">
        <is>
          <t>004692</t>
        </is>
      </c>
      <c r="B1132" s="5">
        <f>COUNTIF('Entetes_TriNumInterne'!$C$2:$C$1154,A1132)</f>
        <v/>
      </c>
    </row>
    <row r="1133">
      <c r="A1133" s="3" t="inlineStr">
        <is>
          <t>004693</t>
        </is>
      </c>
      <c r="B1133" s="5">
        <f>COUNTIF('Entetes_TriNumInterne'!$C$2:$C$1154,A1133)</f>
        <v/>
      </c>
    </row>
    <row r="1134">
      <c r="A1134" s="3" t="inlineStr">
        <is>
          <t>004694</t>
        </is>
      </c>
      <c r="B1134" s="5">
        <f>COUNTIF('Entetes_TriNumInterne'!$C$2:$C$1154,A1134)</f>
        <v/>
      </c>
    </row>
    <row r="1135">
      <c r="A1135" s="3" t="inlineStr">
        <is>
          <t>004695</t>
        </is>
      </c>
      <c r="B1135" s="5">
        <f>COUNTIF('Entetes_TriNumInterne'!$C$2:$C$1154,A1135)</f>
        <v/>
      </c>
    </row>
    <row r="1136">
      <c r="A1136" s="3" t="inlineStr">
        <is>
          <t>004696</t>
        </is>
      </c>
      <c r="B1136" s="5">
        <f>COUNTIF('Entetes_TriNumInterne'!$C$2:$C$1154,A1136)</f>
        <v/>
      </c>
    </row>
    <row r="1137">
      <c r="A1137" s="3" t="inlineStr">
        <is>
          <t>004697</t>
        </is>
      </c>
      <c r="B1137" s="5">
        <f>COUNTIF('Entetes_TriNumInterne'!$C$2:$C$1154,A1137)</f>
        <v/>
      </c>
    </row>
    <row r="1138">
      <c r="A1138" s="3" t="inlineStr">
        <is>
          <t>004698</t>
        </is>
      </c>
      <c r="B1138" s="5">
        <f>COUNTIF('Entetes_TriNumInterne'!$C$2:$C$1154,A1138)</f>
        <v/>
      </c>
    </row>
    <row r="1139">
      <c r="A1139" s="3" t="inlineStr">
        <is>
          <t>004699</t>
        </is>
      </c>
      <c r="B1139" s="5">
        <f>COUNTIF('Entetes_TriNumInterne'!$C$2:$C$1154,A1139)</f>
        <v/>
      </c>
    </row>
    <row r="1140">
      <c r="A1140" s="3" t="inlineStr">
        <is>
          <t>004700</t>
        </is>
      </c>
      <c r="B1140" s="5">
        <f>COUNTIF('Entetes_TriNumInterne'!$C$2:$C$1154,A1140)</f>
        <v/>
      </c>
    </row>
    <row r="1141">
      <c r="A1141" s="3" t="inlineStr">
        <is>
          <t>004701</t>
        </is>
      </c>
      <c r="B1141" s="5">
        <f>COUNTIF('Entetes_TriNumInterne'!$C$2:$C$1154,A1141)</f>
        <v/>
      </c>
    </row>
    <row r="1142">
      <c r="A1142" s="3" t="inlineStr">
        <is>
          <t>004702</t>
        </is>
      </c>
      <c r="B1142" s="5">
        <f>COUNTIF('Entetes_TriNumInterne'!$C$2:$C$1154,A1142)</f>
        <v/>
      </c>
    </row>
    <row r="1143">
      <c r="A1143" s="3" t="inlineStr">
        <is>
          <t>004703</t>
        </is>
      </c>
      <c r="B1143" s="5">
        <f>COUNTIF('Entetes_TriNumInterne'!$C$2:$C$1154,A1143)</f>
        <v/>
      </c>
    </row>
    <row r="1144">
      <c r="A1144" s="3" t="inlineStr">
        <is>
          <t>004704</t>
        </is>
      </c>
      <c r="B1144" s="5">
        <f>COUNTIF('Entetes_TriNumInterne'!$C$2:$C$1154,A1144)</f>
        <v/>
      </c>
    </row>
    <row r="1145">
      <c r="A1145" s="3" t="inlineStr">
        <is>
          <t>004705</t>
        </is>
      </c>
      <c r="B1145" s="5">
        <f>COUNTIF('Entetes_TriNumInterne'!$C$2:$C$1154,A1145)</f>
        <v/>
      </c>
    </row>
    <row r="1146">
      <c r="A1146" s="3" t="inlineStr">
        <is>
          <t>004706</t>
        </is>
      </c>
      <c r="B1146" s="5">
        <f>COUNTIF('Entetes_TriNumInterne'!$C$2:$C$1154,A1146)</f>
        <v/>
      </c>
    </row>
    <row r="1147">
      <c r="A1147" s="3" t="inlineStr">
        <is>
          <t>004707</t>
        </is>
      </c>
      <c r="B1147" s="5">
        <f>COUNTIF('Entetes_TriNumInterne'!$C$2:$C$1154,A1147)</f>
        <v/>
      </c>
    </row>
    <row r="1148">
      <c r="A1148" s="3" t="inlineStr">
        <is>
          <t>004708</t>
        </is>
      </c>
      <c r="B1148" s="5">
        <f>COUNTIF('Entetes_TriNumInterne'!$C$2:$C$1154,A1148)</f>
        <v/>
      </c>
    </row>
    <row r="1149">
      <c r="A1149" s="3" t="inlineStr">
        <is>
          <t>004709</t>
        </is>
      </c>
      <c r="B1149" s="5">
        <f>COUNTIF('Entetes_TriNumInterne'!$C$2:$C$1154,A1149)</f>
        <v/>
      </c>
    </row>
    <row r="1150">
      <c r="A1150" s="3" t="inlineStr">
        <is>
          <t>004710</t>
        </is>
      </c>
      <c r="B1150" s="5">
        <f>COUNTIF('Entetes_TriNumInterne'!$C$2:$C$1154,A1150)</f>
        <v/>
      </c>
    </row>
    <row r="1151">
      <c r="A1151" s="3" t="inlineStr">
        <is>
          <t>004711</t>
        </is>
      </c>
      <c r="B1151" s="5">
        <f>COUNTIF('Entetes_TriNumInterne'!$C$2:$C$1154,A1151)</f>
        <v/>
      </c>
    </row>
    <row r="1152">
      <c r="A1152" s="3" t="inlineStr">
        <is>
          <t>004712</t>
        </is>
      </c>
      <c r="B1152" s="5">
        <f>COUNTIF('Entetes_TriNumInterne'!$C$2:$C$1154,A1152)</f>
        <v/>
      </c>
    </row>
    <row r="1153">
      <c r="A1153" s="3" t="inlineStr">
        <is>
          <t>004713</t>
        </is>
      </c>
      <c r="B1153" s="5">
        <f>COUNTIF('Entetes_TriNumInterne'!$C$2:$C$1154,A1153)</f>
        <v/>
      </c>
    </row>
    <row r="1154">
      <c r="A1154" s="3" t="inlineStr">
        <is>
          <t>004714</t>
        </is>
      </c>
      <c r="B1154" s="5">
        <f>COUNTIF('Entetes_TriNumInterne'!$C$2:$C$1154,A1154)</f>
        <v/>
      </c>
    </row>
  </sheetData>
  <autoFilter ref="A1:B1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E_NUM_TICKET</t>
        </is>
      </c>
      <c r="B1" s="1" t="inlineStr">
        <is>
          <t>COMPTER_E_NUM_TICKET</t>
        </is>
      </c>
    </row>
    <row r="2">
      <c r="A2" s="3" t="inlineStr">
        <is>
          <t>AUCUN</t>
        </is>
      </c>
      <c r="B2" s="5" t="n">
        <v>0</v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AJ_TOTAL_HT</t>
        </is>
      </c>
      <c r="T1" s="1" t="inlineStr">
        <is>
          <t>AJ_TOTAL_TVA_20</t>
        </is>
      </c>
      <c r="U1" s="1" t="inlineStr">
        <is>
          <t>AJ_ANNEE</t>
        </is>
      </c>
      <c r="V1" s="1" t="inlineStr">
        <is>
          <t>AJ_MOIS</t>
        </is>
      </c>
    </row>
    <row r="2">
      <c r="A2" s="2" t="inlineStr">
        <is>
          <t>EJ310123.TXT</t>
        </is>
      </c>
      <c r="B2" s="3" t="inlineStr">
        <is>
          <t>004517</t>
        </is>
      </c>
      <c r="C2" s="3" t="inlineStr">
        <is>
          <t>003562</t>
        </is>
      </c>
      <c r="D2" s="4" t="n">
        <v>44928</v>
      </c>
      <c r="E2" s="2" t="inlineStr">
        <is>
          <t>11:25</t>
        </is>
      </c>
      <c r="F2" s="5" t="n">
        <v>249.17</v>
      </c>
      <c r="G2" s="5" t="n"/>
      <c r="H2" s="5" t="n"/>
      <c r="I2" s="5" t="n"/>
      <c r="J2" s="5" t="n">
        <v>49.83</v>
      </c>
      <c r="K2" s="5" t="n"/>
      <c r="L2" s="5" t="n"/>
      <c r="M2" s="5" t="n"/>
      <c r="N2" s="5" t="n"/>
      <c r="O2" s="5" t="n">
        <v>299</v>
      </c>
      <c r="P2" s="5" t="n">
        <v>299</v>
      </c>
      <c r="Q2" s="5" t="n"/>
      <c r="R2" s="5" t="n"/>
      <c r="S2" s="5">
        <f>SUM(F2:I2)+N2</f>
        <v/>
      </c>
      <c r="T2" s="5">
        <f>J2</f>
        <v/>
      </c>
      <c r="U2" s="6">
        <f>YEAR(D2)</f>
        <v/>
      </c>
      <c r="V2" s="5">
        <f>TEXT(D2,"yyyy-mm")</f>
        <v/>
      </c>
    </row>
    <row r="3">
      <c r="A3" s="2" t="inlineStr">
        <is>
          <t>EJ310123.TXT</t>
        </is>
      </c>
      <c r="B3" s="3" t="inlineStr">
        <is>
          <t>004518</t>
        </is>
      </c>
      <c r="C3" s="3" t="inlineStr">
        <is>
          <t>003563</t>
        </is>
      </c>
      <c r="D3" s="4" t="n">
        <v>44928</v>
      </c>
      <c r="E3" s="2" t="inlineStr">
        <is>
          <t>12:34</t>
        </is>
      </c>
      <c r="F3" s="5" t="n">
        <v>208.33</v>
      </c>
      <c r="G3" s="5" t="n"/>
      <c r="H3" s="5" t="n"/>
      <c r="I3" s="5" t="n"/>
      <c r="J3" s="5" t="n">
        <v>41.67</v>
      </c>
      <c r="K3" s="5" t="n"/>
      <c r="L3" s="5" t="n"/>
      <c r="M3" s="5" t="n"/>
      <c r="N3" s="5" t="n"/>
      <c r="O3" s="5" t="n">
        <v>250</v>
      </c>
      <c r="P3" s="5" t="n"/>
      <c r="Q3" s="5" t="n">
        <v>250</v>
      </c>
      <c r="R3" s="5" t="n"/>
      <c r="S3" s="5">
        <f>SUM(F3:I3)+N3</f>
        <v/>
      </c>
      <c r="T3" s="5">
        <f>J3</f>
        <v/>
      </c>
      <c r="U3" s="6">
        <f>YEAR(D3)</f>
        <v/>
      </c>
      <c r="V3" s="5">
        <f>TEXT(D3,"yyyy-mm")</f>
        <v/>
      </c>
    </row>
    <row r="4">
      <c r="A4" s="2" t="inlineStr">
        <is>
          <t>EJ310123.TXT</t>
        </is>
      </c>
      <c r="B4" s="3" t="inlineStr">
        <is>
          <t>004519</t>
        </is>
      </c>
      <c r="C4" s="3" t="inlineStr">
        <is>
          <t>003564</t>
        </is>
      </c>
      <c r="D4" s="4" t="n">
        <v>44928</v>
      </c>
      <c r="E4" s="2" t="inlineStr">
        <is>
          <t>16:36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/>
      <c r="Q4" s="5" t="n">
        <v>580</v>
      </c>
      <c r="R4" s="5" t="n"/>
      <c r="S4" s="5">
        <f>SUM(F4:I4)+N4</f>
        <v/>
      </c>
      <c r="T4" s="5">
        <f>J4</f>
        <v/>
      </c>
      <c r="U4" s="6">
        <f>YEAR(D4)</f>
        <v/>
      </c>
      <c r="V4" s="5">
        <f>TEXT(D4,"yyyy-mm")</f>
        <v/>
      </c>
    </row>
    <row r="5">
      <c r="A5" s="2" t="inlineStr">
        <is>
          <t>EJ310123.TXT</t>
        </is>
      </c>
      <c r="B5" s="3" t="inlineStr">
        <is>
          <t>004520</t>
        </is>
      </c>
      <c r="C5" s="3" t="inlineStr">
        <is>
          <t>003565</t>
        </is>
      </c>
      <c r="D5" s="4" t="n">
        <v>44929</v>
      </c>
      <c r="E5" s="2" t="inlineStr">
        <is>
          <t>15:02</t>
        </is>
      </c>
      <c r="F5" s="5" t="n">
        <v>720.83</v>
      </c>
      <c r="G5" s="5" t="n"/>
      <c r="H5" s="5" t="n"/>
      <c r="I5" s="5" t="n"/>
      <c r="J5" s="5" t="n">
        <v>144.17</v>
      </c>
      <c r="K5" s="5" t="n"/>
      <c r="L5" s="5" t="n"/>
      <c r="M5" s="5" t="n"/>
      <c r="N5" s="5" t="n"/>
      <c r="O5" s="5" t="n">
        <v>865</v>
      </c>
      <c r="P5" s="5" t="n"/>
      <c r="Q5" s="5" t="n">
        <v>865</v>
      </c>
      <c r="R5" s="5" t="n"/>
      <c r="S5" s="5">
        <f>SUM(F5:I5)+N5</f>
        <v/>
      </c>
      <c r="T5" s="5">
        <f>J5</f>
        <v/>
      </c>
      <c r="U5" s="6">
        <f>YEAR(D5)</f>
        <v/>
      </c>
      <c r="V5" s="5">
        <f>TEXT(D5,"yyyy-mm")</f>
        <v/>
      </c>
    </row>
    <row r="6">
      <c r="A6" s="2" t="inlineStr">
        <is>
          <t>EJ310123.TXT</t>
        </is>
      </c>
      <c r="B6" s="3" t="inlineStr">
        <is>
          <t>004521</t>
        </is>
      </c>
      <c r="C6" s="3" t="inlineStr">
        <is>
          <t>003566</t>
        </is>
      </c>
      <c r="D6" s="4" t="n">
        <v>44929</v>
      </c>
      <c r="E6" s="2" t="inlineStr">
        <is>
          <t>15:03</t>
        </is>
      </c>
      <c r="F6" s="5" t="n">
        <v>144.17</v>
      </c>
      <c r="G6" s="5" t="n"/>
      <c r="H6" s="5" t="n"/>
      <c r="I6" s="5" t="n"/>
      <c r="J6" s="5" t="n">
        <v>28.83</v>
      </c>
      <c r="K6" s="5" t="n"/>
      <c r="L6" s="5" t="n"/>
      <c r="M6" s="5" t="n"/>
      <c r="N6" s="5" t="n"/>
      <c r="O6" s="5" t="n">
        <v>173</v>
      </c>
      <c r="P6" s="5" t="n"/>
      <c r="Q6" s="5" t="n">
        <v>173</v>
      </c>
      <c r="R6" s="5" t="n"/>
      <c r="S6" s="5">
        <f>SUM(F6:I6)+N6</f>
        <v/>
      </c>
      <c r="T6" s="5">
        <f>J6</f>
        <v/>
      </c>
      <c r="U6" s="6">
        <f>YEAR(D6)</f>
        <v/>
      </c>
      <c r="V6" s="5">
        <f>TEXT(D6,"yyyy-mm")</f>
        <v/>
      </c>
    </row>
    <row r="7">
      <c r="A7" s="2" t="inlineStr">
        <is>
          <t>EJ310123.TXT</t>
        </is>
      </c>
      <c r="B7" s="3" t="inlineStr">
        <is>
          <t>004522</t>
        </is>
      </c>
      <c r="C7" s="3" t="inlineStr">
        <is>
          <t>003567</t>
        </is>
      </c>
      <c r="D7" s="4" t="n">
        <v>44929</v>
      </c>
      <c r="E7" s="2" t="inlineStr">
        <is>
          <t>15:19</t>
        </is>
      </c>
      <c r="F7" s="5" t="n">
        <v>823.33</v>
      </c>
      <c r="G7" s="5" t="n"/>
      <c r="H7" s="5" t="n"/>
      <c r="I7" s="5" t="n"/>
      <c r="J7" s="5" t="n">
        <v>164.67</v>
      </c>
      <c r="K7" s="5" t="n"/>
      <c r="L7" s="5" t="n"/>
      <c r="M7" s="5" t="n"/>
      <c r="N7" s="5" t="n"/>
      <c r="O7" s="5" t="n">
        <v>988</v>
      </c>
      <c r="P7" s="5" t="n"/>
      <c r="Q7" s="5" t="n">
        <v>988</v>
      </c>
      <c r="R7" s="5" t="n"/>
      <c r="S7" s="5">
        <f>SUM(F7:I7)+N7</f>
        <v/>
      </c>
      <c r="T7" s="5">
        <f>J7</f>
        <v/>
      </c>
      <c r="U7" s="6">
        <f>YEAR(D7)</f>
        <v/>
      </c>
      <c r="V7" s="5">
        <f>TEXT(D7,"yyyy-mm")</f>
        <v/>
      </c>
    </row>
    <row r="8">
      <c r="A8" s="2" t="inlineStr">
        <is>
          <t>EJ310123.TXT</t>
        </is>
      </c>
      <c r="B8" s="3" t="inlineStr">
        <is>
          <t>004523</t>
        </is>
      </c>
      <c r="C8" s="3" t="inlineStr">
        <is>
          <t>003568</t>
        </is>
      </c>
      <c r="D8" s="4" t="n">
        <v>44929</v>
      </c>
      <c r="E8" s="2" t="inlineStr">
        <is>
          <t>15:19</t>
        </is>
      </c>
      <c r="F8" s="5" t="n">
        <v>823.33</v>
      </c>
      <c r="G8" s="5" t="n"/>
      <c r="H8" s="5" t="n"/>
      <c r="I8" s="5" t="n"/>
      <c r="J8" s="5" t="n">
        <v>164.67</v>
      </c>
      <c r="K8" s="5" t="n"/>
      <c r="L8" s="5" t="n"/>
      <c r="M8" s="5" t="n"/>
      <c r="N8" s="5" t="n"/>
      <c r="O8" s="5" t="n">
        <v>988</v>
      </c>
      <c r="P8" s="5" t="n"/>
      <c r="Q8" s="5" t="n">
        <v>988</v>
      </c>
      <c r="R8" s="5" t="n"/>
      <c r="S8" s="5">
        <f>SUM(F8:I8)+N8</f>
        <v/>
      </c>
      <c r="T8" s="5">
        <f>J8</f>
        <v/>
      </c>
      <c r="U8" s="6">
        <f>YEAR(D8)</f>
        <v/>
      </c>
      <c r="V8" s="5">
        <f>TEXT(D8,"yyyy-mm")</f>
        <v/>
      </c>
    </row>
    <row r="9">
      <c r="A9" s="2" t="inlineStr">
        <is>
          <t>EJ310123.TXT</t>
        </is>
      </c>
      <c r="B9" s="3" t="inlineStr">
        <is>
          <t>004524</t>
        </is>
      </c>
      <c r="C9" s="3" t="inlineStr">
        <is>
          <t>003569</t>
        </is>
      </c>
      <c r="D9" s="4" t="n">
        <v>44929</v>
      </c>
      <c r="E9" s="2" t="inlineStr">
        <is>
          <t>15:45</t>
        </is>
      </c>
      <c r="F9" s="5" t="n">
        <v>1450</v>
      </c>
      <c r="G9" s="5" t="n"/>
      <c r="H9" s="5" t="n"/>
      <c r="I9" s="5" t="n"/>
      <c r="J9" s="5" t="n">
        <v>290</v>
      </c>
      <c r="K9" s="5" t="n"/>
      <c r="L9" s="5" t="n"/>
      <c r="M9" s="5" t="n"/>
      <c r="N9" s="5" t="n"/>
      <c r="O9" s="5" t="n">
        <v>1740</v>
      </c>
      <c r="P9" s="5" t="n">
        <v>1740</v>
      </c>
      <c r="Q9" s="5" t="n"/>
      <c r="R9" s="5" t="n"/>
      <c r="S9" s="5">
        <f>SUM(F9:I9)+N9</f>
        <v/>
      </c>
      <c r="T9" s="5">
        <f>J9</f>
        <v/>
      </c>
      <c r="U9" s="6">
        <f>YEAR(D9)</f>
        <v/>
      </c>
      <c r="V9" s="5">
        <f>TEXT(D9,"yyyy-mm")</f>
        <v/>
      </c>
    </row>
    <row r="10">
      <c r="A10" s="2" t="inlineStr">
        <is>
          <t>EJ310123.TXT</t>
        </is>
      </c>
      <c r="B10" s="3" t="inlineStr">
        <is>
          <t>004525</t>
        </is>
      </c>
      <c r="C10" s="3" t="inlineStr">
        <is>
          <t>003570</t>
        </is>
      </c>
      <c r="D10" s="4" t="n">
        <v>44929</v>
      </c>
      <c r="E10" s="2" t="inlineStr">
        <is>
          <t>16:16</t>
        </is>
      </c>
      <c r="F10" s="5" t="n">
        <v>498.33</v>
      </c>
      <c r="G10" s="5" t="n"/>
      <c r="H10" s="5" t="n"/>
      <c r="I10" s="5" t="n"/>
      <c r="J10" s="5" t="n">
        <v>99.67</v>
      </c>
      <c r="K10" s="5" t="n"/>
      <c r="L10" s="5" t="n"/>
      <c r="M10" s="5" t="n"/>
      <c r="N10" s="5" t="n"/>
      <c r="O10" s="5" t="n">
        <v>598</v>
      </c>
      <c r="P10" s="5" t="n">
        <v>598</v>
      </c>
      <c r="Q10" s="5" t="n"/>
      <c r="R10" s="5" t="n"/>
      <c r="S10" s="5">
        <f>SUM(F10:I10)+N10</f>
        <v/>
      </c>
      <c r="T10" s="5">
        <f>J10</f>
        <v/>
      </c>
      <c r="U10" s="6">
        <f>YEAR(D10)</f>
        <v/>
      </c>
      <c r="V10" s="5">
        <f>TEXT(D10,"yyyy-mm")</f>
        <v/>
      </c>
    </row>
    <row r="11">
      <c r="A11" s="2" t="inlineStr">
        <is>
          <t>EJ310123.TXT</t>
        </is>
      </c>
      <c r="B11" s="3" t="inlineStr">
        <is>
          <t>004526</t>
        </is>
      </c>
      <c r="C11" s="3" t="inlineStr">
        <is>
          <t>003571</t>
        </is>
      </c>
      <c r="D11" s="4" t="n">
        <v>44930</v>
      </c>
      <c r="E11" s="2" t="inlineStr">
        <is>
          <t>10:54</t>
        </is>
      </c>
      <c r="F11" s="5" t="n">
        <v>725</v>
      </c>
      <c r="G11" s="5" t="n"/>
      <c r="H11" s="5" t="n"/>
      <c r="I11" s="5" t="n"/>
      <c r="J11" s="5" t="n">
        <v>145</v>
      </c>
      <c r="K11" s="5" t="n"/>
      <c r="L11" s="5" t="n"/>
      <c r="M11" s="5" t="n"/>
      <c r="N11" s="5" t="n"/>
      <c r="O11" s="5" t="n">
        <v>870</v>
      </c>
      <c r="P11" s="5" t="n"/>
      <c r="Q11" s="5" t="n">
        <v>870</v>
      </c>
      <c r="R11" s="5" t="n"/>
      <c r="S11" s="5">
        <f>SUM(F11:I11)+N11</f>
        <v/>
      </c>
      <c r="T11" s="5">
        <f>J11</f>
        <v/>
      </c>
      <c r="U11" s="6">
        <f>YEAR(D11)</f>
        <v/>
      </c>
      <c r="V11" s="5">
        <f>TEXT(D11,"yyyy-mm")</f>
        <v/>
      </c>
    </row>
    <row r="12">
      <c r="A12" s="2" t="inlineStr">
        <is>
          <t>EJ310123.TXT</t>
        </is>
      </c>
      <c r="B12" s="3" t="inlineStr">
        <is>
          <t>004527</t>
        </is>
      </c>
      <c r="C12" s="3" t="inlineStr">
        <is>
          <t>003572</t>
        </is>
      </c>
      <c r="D12" s="4" t="n">
        <v>44932</v>
      </c>
      <c r="E12" s="2" t="inlineStr">
        <is>
          <t>11:36</t>
        </is>
      </c>
      <c r="F12" s="5" t="n">
        <v>37.5</v>
      </c>
      <c r="G12" s="5" t="n"/>
      <c r="H12" s="5" t="n"/>
      <c r="I12" s="5" t="n"/>
      <c r="J12" s="5" t="n">
        <v>7.5</v>
      </c>
      <c r="K12" s="5" t="n"/>
      <c r="L12" s="5" t="n"/>
      <c r="M12" s="5" t="n"/>
      <c r="N12" s="5" t="n"/>
      <c r="O12" s="5" t="n">
        <v>45</v>
      </c>
      <c r="P12" s="5" t="n"/>
      <c r="Q12" s="5" t="n">
        <v>45</v>
      </c>
      <c r="R12" s="5" t="n"/>
      <c r="S12" s="5">
        <f>SUM(F12:I12)+N12</f>
        <v/>
      </c>
      <c r="T12" s="5">
        <f>J12</f>
        <v/>
      </c>
      <c r="U12" s="6">
        <f>YEAR(D12)</f>
        <v/>
      </c>
      <c r="V12" s="5">
        <f>TEXT(D12,"yyyy-mm")</f>
        <v/>
      </c>
    </row>
    <row r="13">
      <c r="A13" s="2" t="inlineStr">
        <is>
          <t>EJ310123.TXT</t>
        </is>
      </c>
      <c r="B13" s="3" t="inlineStr">
        <is>
          <t>004528</t>
        </is>
      </c>
      <c r="C13" s="3" t="inlineStr">
        <is>
          <t>003573</t>
        </is>
      </c>
      <c r="D13" s="4" t="n">
        <v>44932</v>
      </c>
      <c r="E13" s="2" t="inlineStr">
        <is>
          <t>13:56</t>
        </is>
      </c>
      <c r="F13" s="5" t="n">
        <v>498.33</v>
      </c>
      <c r="G13" s="5" t="n"/>
      <c r="H13" s="5" t="n"/>
      <c r="I13" s="5" t="n"/>
      <c r="J13" s="5" t="n">
        <v>99.67</v>
      </c>
      <c r="K13" s="5" t="n"/>
      <c r="L13" s="5" t="n"/>
      <c r="M13" s="5" t="n"/>
      <c r="N13" s="5" t="n"/>
      <c r="O13" s="5" t="n">
        <v>598</v>
      </c>
      <c r="P13" s="5" t="n"/>
      <c r="Q13" s="5" t="n">
        <v>598</v>
      </c>
      <c r="R13" s="5" t="n"/>
      <c r="S13" s="5">
        <f>SUM(F13:I13)+N13</f>
        <v/>
      </c>
      <c r="T13" s="5">
        <f>J13</f>
        <v/>
      </c>
      <c r="U13" s="6">
        <f>YEAR(D13)</f>
        <v/>
      </c>
      <c r="V13" s="5">
        <f>TEXT(D13,"yyyy-mm")</f>
        <v/>
      </c>
    </row>
    <row r="14">
      <c r="A14" s="2" t="inlineStr">
        <is>
          <t>EJ310123.TXT</t>
        </is>
      </c>
      <c r="B14" s="3" t="inlineStr">
        <is>
          <t>004529</t>
        </is>
      </c>
      <c r="C14" s="3" t="inlineStr">
        <is>
          <t>003574</t>
        </is>
      </c>
      <c r="D14" s="4" t="n">
        <v>44932</v>
      </c>
      <c r="E14" s="2" t="inlineStr">
        <is>
          <t>17:29</t>
        </is>
      </c>
      <c r="F14" s="5" t="n">
        <v>5035</v>
      </c>
      <c r="G14" s="5" t="n"/>
      <c r="H14" s="5" t="n"/>
      <c r="I14" s="5" t="n"/>
      <c r="J14" s="5" t="n">
        <v>1007</v>
      </c>
      <c r="K14" s="5" t="n"/>
      <c r="L14" s="5" t="n"/>
      <c r="M14" s="5" t="n"/>
      <c r="N14" s="5" t="n"/>
      <c r="O14" s="5" t="n">
        <v>6042</v>
      </c>
      <c r="P14" s="5" t="n"/>
      <c r="Q14" s="5" t="n"/>
      <c r="R14" s="5" t="n">
        <v>6042</v>
      </c>
      <c r="S14" s="5">
        <f>SUM(F14:I14)+N14</f>
        <v/>
      </c>
      <c r="T14" s="5">
        <f>J14</f>
        <v/>
      </c>
      <c r="U14" s="6">
        <f>YEAR(D14)</f>
        <v/>
      </c>
      <c r="V14" s="5">
        <f>TEXT(D14,"yyyy-mm")</f>
        <v/>
      </c>
    </row>
    <row r="15">
      <c r="A15" s="2" t="inlineStr">
        <is>
          <t>EJ310123.TXT</t>
        </is>
      </c>
      <c r="B15" s="3" t="inlineStr">
        <is>
          <t>004530</t>
        </is>
      </c>
      <c r="C15" s="3" t="inlineStr">
        <is>
          <t>003575</t>
        </is>
      </c>
      <c r="D15" s="4" t="n">
        <v>44933</v>
      </c>
      <c r="E15" s="2" t="inlineStr">
        <is>
          <t>15:33</t>
        </is>
      </c>
      <c r="F15" s="5" t="n">
        <v>581.67</v>
      </c>
      <c r="G15" s="5" t="n"/>
      <c r="H15" s="5" t="n"/>
      <c r="I15" s="5" t="n"/>
      <c r="J15" s="5" t="n">
        <v>116.33</v>
      </c>
      <c r="K15" s="5" t="n"/>
      <c r="L15" s="5" t="n"/>
      <c r="M15" s="5" t="n"/>
      <c r="N15" s="5" t="n"/>
      <c r="O15" s="5" t="n">
        <v>698</v>
      </c>
      <c r="P15" s="5" t="n">
        <v>698</v>
      </c>
      <c r="Q15" s="5" t="n"/>
      <c r="R15" s="5" t="n"/>
      <c r="S15" s="5">
        <f>SUM(F15:I15)+N15</f>
        <v/>
      </c>
      <c r="T15" s="5">
        <f>J15</f>
        <v/>
      </c>
      <c r="U15" s="6">
        <f>YEAR(D15)</f>
        <v/>
      </c>
      <c r="V15" s="5">
        <f>TEXT(D15,"yyyy-mm")</f>
        <v/>
      </c>
    </row>
    <row r="16">
      <c r="A16" s="2" t="inlineStr">
        <is>
          <t>EJ310123.TXT</t>
        </is>
      </c>
      <c r="B16" s="3" t="inlineStr">
        <is>
          <t>004531</t>
        </is>
      </c>
      <c r="C16" s="3" t="inlineStr">
        <is>
          <t>003576</t>
        </is>
      </c>
      <c r="D16" s="4" t="n">
        <v>44933</v>
      </c>
      <c r="E16" s="2" t="inlineStr">
        <is>
          <t>16:22</t>
        </is>
      </c>
      <c r="F16" s="5" t="n">
        <v>540</v>
      </c>
      <c r="G16" s="5" t="n"/>
      <c r="H16" s="5" t="n"/>
      <c r="I16" s="5" t="n"/>
      <c r="J16" s="5" t="n">
        <v>108</v>
      </c>
      <c r="K16" s="5" t="n"/>
      <c r="L16" s="5" t="n"/>
      <c r="M16" s="5" t="n"/>
      <c r="N16" s="5" t="n"/>
      <c r="O16" s="5" t="n">
        <v>648</v>
      </c>
      <c r="P16" s="5" t="n">
        <v>648</v>
      </c>
      <c r="Q16" s="5" t="n"/>
      <c r="R16" s="5" t="n"/>
      <c r="S16" s="5">
        <f>SUM(F16:I16)+N16</f>
        <v/>
      </c>
      <c r="T16" s="5">
        <f>J16</f>
        <v/>
      </c>
      <c r="U16" s="6">
        <f>YEAR(D16)</f>
        <v/>
      </c>
      <c r="V16" s="5">
        <f>TEXT(D16,"yyyy-mm")</f>
        <v/>
      </c>
    </row>
    <row r="17">
      <c r="A17" s="2" t="inlineStr">
        <is>
          <t>EJ310123.TXT</t>
        </is>
      </c>
      <c r="B17" s="3" t="inlineStr">
        <is>
          <t>004532</t>
        </is>
      </c>
      <c r="C17" s="3" t="inlineStr">
        <is>
          <t>003577</t>
        </is>
      </c>
      <c r="D17" s="4" t="n">
        <v>44935</v>
      </c>
      <c r="E17" s="2" t="inlineStr">
        <is>
          <t>15:13</t>
        </is>
      </c>
      <c r="F17" s="5" t="n">
        <v>648.33</v>
      </c>
      <c r="G17" s="5" t="n"/>
      <c r="H17" s="5" t="n"/>
      <c r="I17" s="5" t="n"/>
      <c r="J17" s="5" t="n">
        <v>129.67</v>
      </c>
      <c r="K17" s="5" t="n"/>
      <c r="L17" s="5" t="n"/>
      <c r="M17" s="5" t="n"/>
      <c r="N17" s="5" t="n"/>
      <c r="O17" s="5" t="n">
        <v>778</v>
      </c>
      <c r="P17" s="5" t="n"/>
      <c r="Q17" s="5" t="n">
        <v>778</v>
      </c>
      <c r="R17" s="5" t="n"/>
      <c r="S17" s="5">
        <f>SUM(F17:I17)+N17</f>
        <v/>
      </c>
      <c r="T17" s="5">
        <f>J17</f>
        <v/>
      </c>
      <c r="U17" s="6">
        <f>YEAR(D17)</f>
        <v/>
      </c>
      <c r="V17" s="5">
        <f>TEXT(D17,"yyyy-mm")</f>
        <v/>
      </c>
    </row>
    <row r="18">
      <c r="A18" s="2" t="inlineStr">
        <is>
          <t>EJ310123.TXT</t>
        </is>
      </c>
      <c r="B18" s="3" t="inlineStr">
        <is>
          <t>004533</t>
        </is>
      </c>
      <c r="C18" s="3" t="inlineStr">
        <is>
          <t>003578</t>
        </is>
      </c>
      <c r="D18" s="4" t="n">
        <v>44935</v>
      </c>
      <c r="E18" s="2" t="inlineStr">
        <is>
          <t>15:42</t>
        </is>
      </c>
      <c r="F18" s="5" t="n">
        <v>288.33</v>
      </c>
      <c r="G18" s="5" t="n"/>
      <c r="H18" s="5" t="n"/>
      <c r="I18" s="5" t="n"/>
      <c r="J18" s="5" t="n">
        <v>57.67</v>
      </c>
      <c r="K18" s="5" t="n"/>
      <c r="L18" s="5" t="n"/>
      <c r="M18" s="5" t="n"/>
      <c r="N18" s="5" t="n"/>
      <c r="O18" s="5" t="n">
        <v>346</v>
      </c>
      <c r="P18" s="5" t="n"/>
      <c r="Q18" s="5" t="n">
        <v>346</v>
      </c>
      <c r="R18" s="5" t="n"/>
      <c r="S18" s="5">
        <f>SUM(F18:I18)+N18</f>
        <v/>
      </c>
      <c r="T18" s="5">
        <f>J18</f>
        <v/>
      </c>
      <c r="U18" s="6">
        <f>YEAR(D18)</f>
        <v/>
      </c>
      <c r="V18" s="5">
        <f>TEXT(D18,"yyyy-mm")</f>
        <v/>
      </c>
    </row>
    <row r="19">
      <c r="A19" s="2" t="inlineStr">
        <is>
          <t>EJ310123.TXT</t>
        </is>
      </c>
      <c r="B19" s="3" t="inlineStr">
        <is>
          <t>004534</t>
        </is>
      </c>
      <c r="C19" s="3" t="inlineStr">
        <is>
          <t>003579</t>
        </is>
      </c>
      <c r="D19" s="4" t="n">
        <v>44936</v>
      </c>
      <c r="E19" s="2" t="inlineStr">
        <is>
          <t>15:49</t>
        </is>
      </c>
      <c r="F19" s="5" t="n">
        <v>483.33</v>
      </c>
      <c r="G19" s="5" t="n"/>
      <c r="H19" s="5" t="n"/>
      <c r="I19" s="5" t="n"/>
      <c r="J19" s="5" t="n">
        <v>96.67</v>
      </c>
      <c r="K19" s="5" t="n"/>
      <c r="L19" s="5" t="n"/>
      <c r="M19" s="5" t="n"/>
      <c r="N19" s="5" t="n"/>
      <c r="O19" s="5" t="n">
        <v>580</v>
      </c>
      <c r="P19" s="5" t="n"/>
      <c r="Q19" s="5" t="n">
        <v>580</v>
      </c>
      <c r="R19" s="5" t="n"/>
      <c r="S19" s="5">
        <f>SUM(F19:I19)+N19</f>
        <v/>
      </c>
      <c r="T19" s="5">
        <f>J19</f>
        <v/>
      </c>
      <c r="U19" s="6">
        <f>YEAR(D19)</f>
        <v/>
      </c>
      <c r="V19" s="5">
        <f>TEXT(D19,"yyyy-mm")</f>
        <v/>
      </c>
    </row>
    <row r="20">
      <c r="A20" s="2" t="inlineStr">
        <is>
          <t>EJ310123.TXT</t>
        </is>
      </c>
      <c r="B20" s="3" t="inlineStr">
        <is>
          <t>004535</t>
        </is>
      </c>
      <c r="C20" s="3" t="inlineStr">
        <is>
          <t>003580</t>
        </is>
      </c>
      <c r="D20" s="4" t="n">
        <v>44936</v>
      </c>
      <c r="E20" s="2" t="inlineStr">
        <is>
          <t>15:49</t>
        </is>
      </c>
      <c r="F20" s="5" t="n">
        <v>483.33</v>
      </c>
      <c r="G20" s="5" t="n"/>
      <c r="H20" s="5" t="n"/>
      <c r="I20" s="5" t="n"/>
      <c r="J20" s="5" t="n">
        <v>96.67</v>
      </c>
      <c r="K20" s="5" t="n"/>
      <c r="L20" s="5" t="n"/>
      <c r="M20" s="5" t="n"/>
      <c r="N20" s="5" t="n"/>
      <c r="O20" s="5" t="n">
        <v>580</v>
      </c>
      <c r="P20" s="5" t="n"/>
      <c r="Q20" s="5" t="n">
        <v>580</v>
      </c>
      <c r="R20" s="5" t="n"/>
      <c r="S20" s="5">
        <f>SUM(F20:I20)+N20</f>
        <v/>
      </c>
      <c r="T20" s="5">
        <f>J20</f>
        <v/>
      </c>
      <c r="U20" s="6">
        <f>YEAR(D20)</f>
        <v/>
      </c>
      <c r="V20" s="5">
        <f>TEXT(D20,"yyyy-mm")</f>
        <v/>
      </c>
    </row>
    <row r="21">
      <c r="A21" s="2" t="inlineStr">
        <is>
          <t>EJ310123.TXT</t>
        </is>
      </c>
      <c r="B21" s="3" t="inlineStr">
        <is>
          <t>004536</t>
        </is>
      </c>
      <c r="C21" s="3" t="inlineStr">
        <is>
          <t>003581</t>
        </is>
      </c>
      <c r="D21" s="4" t="n">
        <v>44938</v>
      </c>
      <c r="E21" s="2" t="inlineStr">
        <is>
          <t>15:51</t>
        </is>
      </c>
      <c r="F21" s="5" t="n">
        <v>522.5</v>
      </c>
      <c r="G21" s="5" t="n"/>
      <c r="H21" s="5" t="n"/>
      <c r="I21" s="5" t="n"/>
      <c r="J21" s="5" t="n">
        <v>104.5</v>
      </c>
      <c r="K21" s="5" t="n"/>
      <c r="L21" s="5" t="n"/>
      <c r="M21" s="5" t="n"/>
      <c r="N21" s="5" t="n"/>
      <c r="O21" s="5" t="n">
        <v>627</v>
      </c>
      <c r="P21" s="5" t="n"/>
      <c r="Q21" s="5" t="n">
        <v>627</v>
      </c>
      <c r="R21" s="5" t="n"/>
      <c r="S21" s="5">
        <f>SUM(F21:I21)+N21</f>
        <v/>
      </c>
      <c r="T21" s="5">
        <f>J21</f>
        <v/>
      </c>
      <c r="U21" s="6">
        <f>YEAR(D21)</f>
        <v/>
      </c>
      <c r="V21" s="5">
        <f>TEXT(D21,"yyyy-mm")</f>
        <v/>
      </c>
    </row>
    <row r="22">
      <c r="A22" s="2" t="inlineStr">
        <is>
          <t>EJ310123.TXT</t>
        </is>
      </c>
      <c r="B22" s="3" t="inlineStr">
        <is>
          <t>004537</t>
        </is>
      </c>
      <c r="C22" s="3" t="inlineStr">
        <is>
          <t>003582</t>
        </is>
      </c>
      <c r="D22" s="4" t="n">
        <v>44938</v>
      </c>
      <c r="E22" s="2" t="inlineStr">
        <is>
          <t>18:15</t>
        </is>
      </c>
      <c r="F22" s="5" t="n">
        <v>747.5</v>
      </c>
      <c r="G22" s="5" t="n"/>
      <c r="H22" s="5" t="n"/>
      <c r="I22" s="5" t="n"/>
      <c r="J22" s="5" t="n">
        <v>149.5</v>
      </c>
      <c r="K22" s="5" t="n"/>
      <c r="L22" s="5" t="n"/>
      <c r="M22" s="5" t="n"/>
      <c r="N22" s="5" t="n"/>
      <c r="O22" s="5" t="n">
        <v>897</v>
      </c>
      <c r="P22" s="5" t="n"/>
      <c r="Q22" s="5" t="n">
        <v>897</v>
      </c>
      <c r="R22" s="5" t="n"/>
      <c r="S22" s="5">
        <f>SUM(F22:I22)+N22</f>
        <v/>
      </c>
      <c r="T22" s="5">
        <f>J22</f>
        <v/>
      </c>
      <c r="U22" s="6">
        <f>YEAR(D22)</f>
        <v/>
      </c>
      <c r="V22" s="5">
        <f>TEXT(D22,"yyyy-mm")</f>
        <v/>
      </c>
    </row>
    <row r="23">
      <c r="A23" s="2" t="inlineStr">
        <is>
          <t>EJ310123.TXT</t>
        </is>
      </c>
      <c r="B23" s="3" t="inlineStr">
        <is>
          <t>004538</t>
        </is>
      </c>
      <c r="C23" s="3" t="inlineStr">
        <is>
          <t>003583</t>
        </is>
      </c>
      <c r="D23" s="4" t="n">
        <v>44938</v>
      </c>
      <c r="E23" s="2" t="inlineStr">
        <is>
          <t>18:15</t>
        </is>
      </c>
      <c r="F23" s="5" t="n">
        <v>249.17</v>
      </c>
      <c r="G23" s="5" t="n"/>
      <c r="H23" s="5" t="n"/>
      <c r="I23" s="5" t="n"/>
      <c r="J23" s="5" t="n">
        <v>49.83</v>
      </c>
      <c r="K23" s="5" t="n"/>
      <c r="L23" s="5" t="n"/>
      <c r="M23" s="5" t="n"/>
      <c r="N23" s="5" t="n"/>
      <c r="O23" s="5" t="n">
        <v>299</v>
      </c>
      <c r="P23" s="5" t="n"/>
      <c r="Q23" s="5" t="n">
        <v>299</v>
      </c>
      <c r="R23" s="5" t="n"/>
      <c r="S23" s="5">
        <f>SUM(F23:I23)+N23</f>
        <v/>
      </c>
      <c r="T23" s="5">
        <f>J23</f>
        <v/>
      </c>
      <c r="U23" s="6">
        <f>YEAR(D23)</f>
        <v/>
      </c>
      <c r="V23" s="5">
        <f>TEXT(D23,"yyyy-mm")</f>
        <v/>
      </c>
    </row>
    <row r="24">
      <c r="A24" s="2" t="inlineStr">
        <is>
          <t>EJ310123.TXT</t>
        </is>
      </c>
      <c r="B24" s="3" t="inlineStr">
        <is>
          <t>004539</t>
        </is>
      </c>
      <c r="C24" s="3" t="inlineStr">
        <is>
          <t>003584</t>
        </is>
      </c>
      <c r="D24" s="4" t="n">
        <v>44938</v>
      </c>
      <c r="E24" s="2" t="inlineStr">
        <is>
          <t>18:52</t>
        </is>
      </c>
      <c r="F24" s="5" t="n">
        <v>725</v>
      </c>
      <c r="G24" s="5" t="n"/>
      <c r="H24" s="5" t="n"/>
      <c r="I24" s="5" t="n"/>
      <c r="J24" s="5" t="n">
        <v>145</v>
      </c>
      <c r="K24" s="5" t="n"/>
      <c r="L24" s="5" t="n"/>
      <c r="M24" s="5" t="n"/>
      <c r="N24" s="5" t="n"/>
      <c r="O24" s="5" t="n">
        <v>870</v>
      </c>
      <c r="P24" s="5" t="n"/>
      <c r="Q24" s="5" t="n">
        <v>870</v>
      </c>
      <c r="R24" s="5" t="n"/>
      <c r="S24" s="5">
        <f>SUM(F24:I24)+N24</f>
        <v/>
      </c>
      <c r="T24" s="5">
        <f>J24</f>
        <v/>
      </c>
      <c r="U24" s="6">
        <f>YEAR(D24)</f>
        <v/>
      </c>
      <c r="V24" s="5">
        <f>TEXT(D24,"yyyy-mm")</f>
        <v/>
      </c>
    </row>
    <row r="25">
      <c r="A25" s="2" t="inlineStr">
        <is>
          <t>EJ310123.TXT</t>
        </is>
      </c>
      <c r="B25" s="3" t="inlineStr">
        <is>
          <t>004540</t>
        </is>
      </c>
      <c r="C25" s="3" t="inlineStr">
        <is>
          <t>003585</t>
        </is>
      </c>
      <c r="D25" s="4" t="n">
        <v>44939</v>
      </c>
      <c r="E25" s="2" t="inlineStr">
        <is>
          <t>10:29</t>
        </is>
      </c>
      <c r="F25" s="5" t="n">
        <v>582.5</v>
      </c>
      <c r="G25" s="5" t="n"/>
      <c r="H25" s="5" t="n"/>
      <c r="I25" s="5" t="n"/>
      <c r="J25" s="5" t="n">
        <v>116.5</v>
      </c>
      <c r="K25" s="5" t="n"/>
      <c r="L25" s="5" t="n"/>
      <c r="M25" s="5" t="n"/>
      <c r="N25" s="5" t="n"/>
      <c r="O25" s="5" t="n">
        <v>699</v>
      </c>
      <c r="P25" s="5" t="n"/>
      <c r="Q25" s="5" t="n">
        <v>699</v>
      </c>
      <c r="R25" s="5" t="n"/>
      <c r="S25" s="5">
        <f>SUM(F25:I25)+N25</f>
        <v/>
      </c>
      <c r="T25" s="5">
        <f>J25</f>
        <v/>
      </c>
      <c r="U25" s="6">
        <f>YEAR(D25)</f>
        <v/>
      </c>
      <c r="V25" s="5">
        <f>TEXT(D25,"yyyy-mm")</f>
        <v/>
      </c>
    </row>
    <row r="26">
      <c r="A26" s="2" t="inlineStr">
        <is>
          <t>EJ310123.TXT</t>
        </is>
      </c>
      <c r="B26" s="3" t="inlineStr">
        <is>
          <t>004541</t>
        </is>
      </c>
      <c r="C26" s="3" t="inlineStr">
        <is>
          <t>003586</t>
        </is>
      </c>
      <c r="D26" s="4" t="n">
        <v>44939</v>
      </c>
      <c r="E26" s="2" t="inlineStr">
        <is>
          <t>10:29</t>
        </is>
      </c>
      <c r="F26" s="5" t="n">
        <v>582.5</v>
      </c>
      <c r="G26" s="5" t="n"/>
      <c r="H26" s="5" t="n"/>
      <c r="I26" s="5" t="n"/>
      <c r="J26" s="5" t="n">
        <v>116.5</v>
      </c>
      <c r="K26" s="5" t="n"/>
      <c r="L26" s="5" t="n"/>
      <c r="M26" s="5" t="n"/>
      <c r="N26" s="5" t="n"/>
      <c r="O26" s="5" t="n">
        <v>699</v>
      </c>
      <c r="P26" s="5" t="n"/>
      <c r="Q26" s="5" t="n">
        <v>699</v>
      </c>
      <c r="R26" s="5" t="n"/>
      <c r="S26" s="5">
        <f>SUM(F26:I26)+N26</f>
        <v/>
      </c>
      <c r="T26" s="5">
        <f>J26</f>
        <v/>
      </c>
      <c r="U26" s="6">
        <f>YEAR(D26)</f>
        <v/>
      </c>
      <c r="V26" s="5">
        <f>TEXT(D26,"yyyy-mm")</f>
        <v/>
      </c>
    </row>
    <row r="27">
      <c r="A27" s="2" t="inlineStr">
        <is>
          <t>EJ310123.TXT</t>
        </is>
      </c>
      <c r="B27" s="3" t="inlineStr">
        <is>
          <t>004542</t>
        </is>
      </c>
      <c r="C27" s="3" t="inlineStr">
        <is>
          <t>003587</t>
        </is>
      </c>
      <c r="D27" s="4" t="n">
        <v>44939</v>
      </c>
      <c r="E27" s="2" t="inlineStr">
        <is>
          <t>14:36</t>
        </is>
      </c>
      <c r="F27" s="5" t="n">
        <v>747.5</v>
      </c>
      <c r="G27" s="5" t="n"/>
      <c r="H27" s="5" t="n"/>
      <c r="I27" s="5" t="n"/>
      <c r="J27" s="5" t="n">
        <v>149.5</v>
      </c>
      <c r="K27" s="5" t="n"/>
      <c r="L27" s="5" t="n"/>
      <c r="M27" s="5" t="n"/>
      <c r="N27" s="5" t="n"/>
      <c r="O27" s="5" t="n">
        <v>897</v>
      </c>
      <c r="P27" s="5" t="n"/>
      <c r="Q27" s="5" t="n">
        <v>897</v>
      </c>
      <c r="R27" s="5" t="n"/>
      <c r="S27" s="5">
        <f>SUM(F27:I27)+N27</f>
        <v/>
      </c>
      <c r="T27" s="5">
        <f>J27</f>
        <v/>
      </c>
      <c r="U27" s="6">
        <f>YEAR(D27)</f>
        <v/>
      </c>
      <c r="V27" s="5">
        <f>TEXT(D27,"yyyy-mm")</f>
        <v/>
      </c>
    </row>
    <row r="28">
      <c r="A28" s="2" t="inlineStr">
        <is>
          <t>EJ310123.TXT</t>
        </is>
      </c>
      <c r="B28" s="3" t="inlineStr">
        <is>
          <t>004543</t>
        </is>
      </c>
      <c r="C28" s="3" t="inlineStr">
        <is>
          <t>003588</t>
        </is>
      </c>
      <c r="D28" s="4" t="n">
        <v>44939</v>
      </c>
      <c r="E28" s="2" t="inlineStr">
        <is>
          <t>15:42</t>
        </is>
      </c>
      <c r="F28" s="5" t="n">
        <v>181.67</v>
      </c>
      <c r="G28" s="5" t="n"/>
      <c r="H28" s="5" t="n"/>
      <c r="I28" s="5" t="n"/>
      <c r="J28" s="5" t="n">
        <v>36.33</v>
      </c>
      <c r="K28" s="5" t="n"/>
      <c r="L28" s="5" t="n"/>
      <c r="M28" s="5" t="n"/>
      <c r="N28" s="5" t="n"/>
      <c r="O28" s="5" t="n">
        <v>218</v>
      </c>
      <c r="P28" s="5" t="n"/>
      <c r="Q28" s="5" t="n">
        <v>218</v>
      </c>
      <c r="R28" s="5" t="n"/>
      <c r="S28" s="5">
        <f>SUM(F28:I28)+N28</f>
        <v/>
      </c>
      <c r="T28" s="5">
        <f>J28</f>
        <v/>
      </c>
      <c r="U28" s="6">
        <f>YEAR(D28)</f>
        <v/>
      </c>
      <c r="V28" s="5">
        <f>TEXT(D28,"yyyy-mm")</f>
        <v/>
      </c>
    </row>
    <row r="29">
      <c r="A29" s="2" t="inlineStr">
        <is>
          <t>EJ310123.TXT</t>
        </is>
      </c>
      <c r="B29" s="3" t="inlineStr">
        <is>
          <t>004544</t>
        </is>
      </c>
      <c r="C29" s="3" t="inlineStr">
        <is>
          <t>003589</t>
        </is>
      </c>
      <c r="D29" s="4" t="n">
        <v>44939</v>
      </c>
      <c r="E29" s="2" t="inlineStr">
        <is>
          <t>15:43</t>
        </is>
      </c>
      <c r="F29" s="5" t="n">
        <v>144.17</v>
      </c>
      <c r="G29" s="5" t="n"/>
      <c r="H29" s="5" t="n"/>
      <c r="I29" s="5" t="n"/>
      <c r="J29" s="5" t="n">
        <v>28.83</v>
      </c>
      <c r="K29" s="5" t="n"/>
      <c r="L29" s="5" t="n"/>
      <c r="M29" s="5" t="n"/>
      <c r="N29" s="5" t="n"/>
      <c r="O29" s="5" t="n">
        <v>173</v>
      </c>
      <c r="P29" s="5" t="n"/>
      <c r="Q29" s="5" t="n">
        <v>173</v>
      </c>
      <c r="R29" s="5" t="n"/>
      <c r="S29" s="5">
        <f>SUM(F29:I29)+N29</f>
        <v/>
      </c>
      <c r="T29" s="5">
        <f>J29</f>
        <v/>
      </c>
      <c r="U29" s="6">
        <f>YEAR(D29)</f>
        <v/>
      </c>
      <c r="V29" s="5">
        <f>TEXT(D29,"yyyy-mm")</f>
        <v/>
      </c>
    </row>
    <row r="30">
      <c r="A30" s="2" t="inlineStr">
        <is>
          <t>EJ310123.TXT</t>
        </is>
      </c>
      <c r="B30" s="3" t="inlineStr">
        <is>
          <t>004545</t>
        </is>
      </c>
      <c r="C30" s="3" t="inlineStr">
        <is>
          <t>003590</t>
        </is>
      </c>
      <c r="D30" s="4" t="n">
        <v>44939</v>
      </c>
      <c r="E30" s="2" t="inlineStr">
        <is>
          <t>16:03</t>
        </is>
      </c>
      <c r="F30" s="5" t="n">
        <v>249.17</v>
      </c>
      <c r="G30" s="5" t="n"/>
      <c r="H30" s="5" t="n"/>
      <c r="I30" s="5" t="n"/>
      <c r="J30" s="5" t="n">
        <v>49.83</v>
      </c>
      <c r="K30" s="5" t="n"/>
      <c r="L30" s="5" t="n"/>
      <c r="M30" s="5" t="n"/>
      <c r="N30" s="5" t="n"/>
      <c r="O30" s="5" t="n">
        <v>299</v>
      </c>
      <c r="P30" s="5" t="n"/>
      <c r="Q30" s="5" t="n">
        <v>299</v>
      </c>
      <c r="R30" s="5" t="n"/>
      <c r="S30" s="5">
        <f>SUM(F30:I30)+N30</f>
        <v/>
      </c>
      <c r="T30" s="5">
        <f>J30</f>
        <v/>
      </c>
      <c r="U30" s="6">
        <f>YEAR(D30)</f>
        <v/>
      </c>
      <c r="V30" s="5">
        <f>TEXT(D30,"yyyy-mm")</f>
        <v/>
      </c>
    </row>
    <row r="31">
      <c r="A31" s="2" t="inlineStr">
        <is>
          <t>EJ310123.TXT</t>
        </is>
      </c>
      <c r="B31" s="3" t="inlineStr">
        <is>
          <t>004546</t>
        </is>
      </c>
      <c r="C31" s="3" t="inlineStr">
        <is>
          <t>003591</t>
        </is>
      </c>
      <c r="D31" s="4" t="n">
        <v>44939</v>
      </c>
      <c r="E31" s="2" t="inlineStr">
        <is>
          <t>16:04</t>
        </is>
      </c>
      <c r="F31" s="5" t="n">
        <v>208.33</v>
      </c>
      <c r="G31" s="5" t="n"/>
      <c r="H31" s="5" t="n"/>
      <c r="I31" s="5" t="n"/>
      <c r="J31" s="5" t="n">
        <v>41.67</v>
      </c>
      <c r="K31" s="5" t="n"/>
      <c r="L31" s="5" t="n"/>
      <c r="M31" s="5" t="n"/>
      <c r="N31" s="5" t="n"/>
      <c r="O31" s="5" t="n">
        <v>250</v>
      </c>
      <c r="P31" s="5" t="n"/>
      <c r="Q31" s="5" t="n">
        <v>250</v>
      </c>
      <c r="R31" s="5" t="n"/>
      <c r="S31" s="5">
        <f>SUM(F31:I31)+N31</f>
        <v/>
      </c>
      <c r="T31" s="5">
        <f>J31</f>
        <v/>
      </c>
      <c r="U31" s="6">
        <f>YEAR(D31)</f>
        <v/>
      </c>
      <c r="V31" s="5">
        <f>TEXT(D31,"yyyy-mm")</f>
        <v/>
      </c>
    </row>
    <row r="32">
      <c r="A32" s="2" t="inlineStr">
        <is>
          <t>EJ310123.TXT</t>
        </is>
      </c>
      <c r="B32" s="3" t="inlineStr">
        <is>
          <t>004547</t>
        </is>
      </c>
      <c r="C32" s="3" t="inlineStr">
        <is>
          <t>003592</t>
        </is>
      </c>
      <c r="D32" s="4" t="n">
        <v>44940</v>
      </c>
      <c r="E32" s="2" t="inlineStr">
        <is>
          <t>15:12</t>
        </is>
      </c>
      <c r="F32" s="5" t="n">
        <v>747.5</v>
      </c>
      <c r="G32" s="5" t="n"/>
      <c r="H32" s="5" t="n"/>
      <c r="I32" s="5" t="n"/>
      <c r="J32" s="5" t="n">
        <v>149.5</v>
      </c>
      <c r="K32" s="5" t="n"/>
      <c r="L32" s="5" t="n"/>
      <c r="M32" s="5" t="n"/>
      <c r="N32" s="5" t="n"/>
      <c r="O32" s="5" t="n">
        <v>897</v>
      </c>
      <c r="P32" s="5" t="n"/>
      <c r="Q32" s="5" t="n">
        <v>897</v>
      </c>
      <c r="R32" s="5" t="n"/>
      <c r="S32" s="5">
        <f>SUM(F32:I32)+N32</f>
        <v/>
      </c>
      <c r="T32" s="5">
        <f>J32</f>
        <v/>
      </c>
      <c r="U32" s="6">
        <f>YEAR(D32)</f>
        <v/>
      </c>
      <c r="V32" s="5">
        <f>TEXT(D32,"yyyy-mm")</f>
        <v/>
      </c>
    </row>
    <row r="33">
      <c r="A33" s="2" t="inlineStr">
        <is>
          <t>EJ310123.TXT</t>
        </is>
      </c>
      <c r="B33" s="3" t="inlineStr">
        <is>
          <t>004548</t>
        </is>
      </c>
      <c r="C33" s="3" t="inlineStr">
        <is>
          <t>003593</t>
        </is>
      </c>
      <c r="D33" s="4" t="n">
        <v>44942</v>
      </c>
      <c r="E33" s="2" t="inlineStr">
        <is>
          <t>11:27</t>
        </is>
      </c>
      <c r="F33" s="5" t="n">
        <v>747.5</v>
      </c>
      <c r="G33" s="5" t="n"/>
      <c r="H33" s="5" t="n"/>
      <c r="I33" s="5" t="n"/>
      <c r="J33" s="5" t="n">
        <v>149.5</v>
      </c>
      <c r="K33" s="5" t="n"/>
      <c r="L33" s="5" t="n"/>
      <c r="M33" s="5" t="n"/>
      <c r="N33" s="5" t="n"/>
      <c r="O33" s="5" t="n">
        <v>897</v>
      </c>
      <c r="P33" s="5" t="n"/>
      <c r="Q33" s="5" t="n">
        <v>897</v>
      </c>
      <c r="R33" s="5" t="n"/>
      <c r="S33" s="5">
        <f>SUM(F33:I33)+N33</f>
        <v/>
      </c>
      <c r="T33" s="5">
        <f>J33</f>
        <v/>
      </c>
      <c r="U33" s="6">
        <f>YEAR(D33)</f>
        <v/>
      </c>
      <c r="V33" s="5">
        <f>TEXT(D33,"yyyy-mm")</f>
        <v/>
      </c>
    </row>
    <row r="34">
      <c r="A34" s="2" t="inlineStr">
        <is>
          <t>EJ310123.TXT</t>
        </is>
      </c>
      <c r="B34" s="3" t="inlineStr">
        <is>
          <t>004549</t>
        </is>
      </c>
      <c r="C34" s="3" t="inlineStr">
        <is>
          <t>003594</t>
        </is>
      </c>
      <c r="D34" s="4" t="n">
        <v>44942</v>
      </c>
      <c r="E34" s="2" t="inlineStr">
        <is>
          <t>11:27</t>
        </is>
      </c>
      <c r="F34" s="5" t="n">
        <v>747.5</v>
      </c>
      <c r="G34" s="5" t="n"/>
      <c r="H34" s="5" t="n"/>
      <c r="I34" s="5" t="n"/>
      <c r="J34" s="5" t="n">
        <v>149.5</v>
      </c>
      <c r="K34" s="5" t="n"/>
      <c r="L34" s="5" t="n"/>
      <c r="M34" s="5" t="n"/>
      <c r="N34" s="5" t="n"/>
      <c r="O34" s="5" t="n">
        <v>897</v>
      </c>
      <c r="P34" s="5" t="n"/>
      <c r="Q34" s="5" t="n">
        <v>897</v>
      </c>
      <c r="R34" s="5" t="n"/>
      <c r="S34" s="5">
        <f>SUM(F34:I34)+N34</f>
        <v/>
      </c>
      <c r="T34" s="5">
        <f>J34</f>
        <v/>
      </c>
      <c r="U34" s="6">
        <f>YEAR(D34)</f>
        <v/>
      </c>
      <c r="V34" s="5">
        <f>TEXT(D34,"yyyy-mm")</f>
        <v/>
      </c>
    </row>
    <row r="35">
      <c r="A35" s="2" t="inlineStr">
        <is>
          <t>EJ310123.TXT</t>
        </is>
      </c>
      <c r="B35" s="3" t="inlineStr">
        <is>
          <t>004550</t>
        </is>
      </c>
      <c r="C35" s="3" t="inlineStr">
        <is>
          <t>003595</t>
        </is>
      </c>
      <c r="D35" s="4" t="n">
        <v>44942</v>
      </c>
      <c r="E35" s="2" t="inlineStr">
        <is>
          <t>11:28</t>
        </is>
      </c>
      <c r="F35" s="5" t="n">
        <v>747.5</v>
      </c>
      <c r="G35" s="5" t="n"/>
      <c r="H35" s="5" t="n"/>
      <c r="I35" s="5" t="n"/>
      <c r="J35" s="5" t="n">
        <v>149.5</v>
      </c>
      <c r="K35" s="5" t="n"/>
      <c r="L35" s="5" t="n"/>
      <c r="M35" s="5" t="n"/>
      <c r="N35" s="5" t="n"/>
      <c r="O35" s="5" t="n">
        <v>897</v>
      </c>
      <c r="P35" s="5" t="n"/>
      <c r="Q35" s="5" t="n">
        <v>897</v>
      </c>
      <c r="R35" s="5" t="n"/>
      <c r="S35" s="5">
        <f>SUM(F35:I35)+N35</f>
        <v/>
      </c>
      <c r="T35" s="5">
        <f>J35</f>
        <v/>
      </c>
      <c r="U35" s="6">
        <f>YEAR(D35)</f>
        <v/>
      </c>
      <c r="V35" s="5">
        <f>TEXT(D35,"yyyy-mm")</f>
        <v/>
      </c>
    </row>
    <row r="36">
      <c r="A36" s="2" t="inlineStr">
        <is>
          <t>EJ310123.TXT</t>
        </is>
      </c>
      <c r="B36" s="3" t="inlineStr">
        <is>
          <t>004551</t>
        </is>
      </c>
      <c r="C36" s="3" t="inlineStr">
        <is>
          <t>003596</t>
        </is>
      </c>
      <c r="D36" s="4" t="n">
        <v>44942</v>
      </c>
      <c r="E36" s="2" t="inlineStr">
        <is>
          <t>11:28</t>
        </is>
      </c>
      <c r="F36" s="5" t="n">
        <v>747.5</v>
      </c>
      <c r="G36" s="5" t="n"/>
      <c r="H36" s="5" t="n"/>
      <c r="I36" s="5" t="n"/>
      <c r="J36" s="5" t="n">
        <v>149.5</v>
      </c>
      <c r="K36" s="5" t="n"/>
      <c r="L36" s="5" t="n"/>
      <c r="M36" s="5" t="n"/>
      <c r="N36" s="5" t="n"/>
      <c r="O36" s="5" t="n">
        <v>897</v>
      </c>
      <c r="P36" s="5" t="n"/>
      <c r="Q36" s="5" t="n">
        <v>897</v>
      </c>
      <c r="R36" s="5" t="n"/>
      <c r="S36" s="5">
        <f>SUM(F36:I36)+N36</f>
        <v/>
      </c>
      <c r="T36" s="5">
        <f>J36</f>
        <v/>
      </c>
      <c r="U36" s="6">
        <f>YEAR(D36)</f>
        <v/>
      </c>
      <c r="V36" s="5">
        <f>TEXT(D36,"yyyy-mm")</f>
        <v/>
      </c>
    </row>
    <row r="37">
      <c r="A37" s="2" t="inlineStr">
        <is>
          <t>EJ310123.TXT</t>
        </is>
      </c>
      <c r="B37" s="3" t="inlineStr">
        <is>
          <t>004552</t>
        </is>
      </c>
      <c r="C37" s="3" t="inlineStr">
        <is>
          <t>003597</t>
        </is>
      </c>
      <c r="D37" s="4" t="n">
        <v>44942</v>
      </c>
      <c r="E37" s="2" t="inlineStr">
        <is>
          <t>11:42</t>
        </is>
      </c>
      <c r="F37" s="5" t="n">
        <v>581.67</v>
      </c>
      <c r="G37" s="5" t="n"/>
      <c r="H37" s="5" t="n"/>
      <c r="I37" s="5" t="n"/>
      <c r="J37" s="5" t="n">
        <v>116.33</v>
      </c>
      <c r="K37" s="5" t="n"/>
      <c r="L37" s="5" t="n"/>
      <c r="M37" s="5" t="n"/>
      <c r="N37" s="5" t="n"/>
      <c r="O37" s="5" t="n">
        <v>698</v>
      </c>
      <c r="P37" s="5" t="n"/>
      <c r="Q37" s="5" t="n">
        <v>698</v>
      </c>
      <c r="R37" s="5" t="n"/>
      <c r="S37" s="5">
        <f>SUM(F37:I37)+N37</f>
        <v/>
      </c>
      <c r="T37" s="5">
        <f>J37</f>
        <v/>
      </c>
      <c r="U37" s="6">
        <f>YEAR(D37)</f>
        <v/>
      </c>
      <c r="V37" s="5">
        <f>TEXT(D37,"yyyy-mm")</f>
        <v/>
      </c>
    </row>
    <row r="38">
      <c r="A38" s="2" t="inlineStr">
        <is>
          <t>EJ310123.TXT</t>
        </is>
      </c>
      <c r="B38" s="3" t="inlineStr">
        <is>
          <t>004553</t>
        </is>
      </c>
      <c r="C38" s="3" t="inlineStr">
        <is>
          <t>003598</t>
        </is>
      </c>
      <c r="D38" s="4" t="n">
        <v>44942</v>
      </c>
      <c r="E38" s="2" t="inlineStr">
        <is>
          <t>11:44</t>
        </is>
      </c>
      <c r="F38" s="5" t="n">
        <v>581.67</v>
      </c>
      <c r="G38" s="5" t="n"/>
      <c r="H38" s="5" t="n"/>
      <c r="I38" s="5" t="n"/>
      <c r="J38" s="5" t="n">
        <v>116.33</v>
      </c>
      <c r="K38" s="5" t="n"/>
      <c r="L38" s="5" t="n"/>
      <c r="M38" s="5" t="n"/>
      <c r="N38" s="5" t="n"/>
      <c r="O38" s="5" t="n">
        <v>698</v>
      </c>
      <c r="P38" s="5" t="n"/>
      <c r="Q38" s="5" t="n">
        <v>698</v>
      </c>
      <c r="R38" s="5" t="n"/>
      <c r="S38" s="5">
        <f>SUM(F38:I38)+N38</f>
        <v/>
      </c>
      <c r="T38" s="5">
        <f>J38</f>
        <v/>
      </c>
      <c r="U38" s="6">
        <f>YEAR(D38)</f>
        <v/>
      </c>
      <c r="V38" s="5">
        <f>TEXT(D38,"yyyy-mm")</f>
        <v/>
      </c>
    </row>
    <row r="39">
      <c r="A39" s="2" t="inlineStr">
        <is>
          <t>EJ310123.TXT</t>
        </is>
      </c>
      <c r="B39" s="3" t="inlineStr">
        <is>
          <t>004554</t>
        </is>
      </c>
      <c r="C39" s="3" t="inlineStr">
        <is>
          <t>003599</t>
        </is>
      </c>
      <c r="D39" s="4" t="n">
        <v>44942</v>
      </c>
      <c r="E39" s="2" t="inlineStr">
        <is>
          <t>11:45</t>
        </is>
      </c>
      <c r="F39" s="5" t="n">
        <v>581.67</v>
      </c>
      <c r="G39" s="5" t="n"/>
      <c r="H39" s="5" t="n"/>
      <c r="I39" s="5" t="n"/>
      <c r="J39" s="5" t="n">
        <v>116.33</v>
      </c>
      <c r="K39" s="5" t="n"/>
      <c r="L39" s="5" t="n"/>
      <c r="M39" s="5" t="n"/>
      <c r="N39" s="5" t="n"/>
      <c r="O39" s="5" t="n">
        <v>698</v>
      </c>
      <c r="P39" s="5" t="n"/>
      <c r="Q39" s="5" t="n">
        <v>698</v>
      </c>
      <c r="R39" s="5" t="n"/>
      <c r="S39" s="5">
        <f>SUM(F39:I39)+N39</f>
        <v/>
      </c>
      <c r="T39" s="5">
        <f>J39</f>
        <v/>
      </c>
      <c r="U39" s="6">
        <f>YEAR(D39)</f>
        <v/>
      </c>
      <c r="V39" s="5">
        <f>TEXT(D39,"yyyy-mm")</f>
        <v/>
      </c>
    </row>
    <row r="40">
      <c r="A40" s="2" t="inlineStr">
        <is>
          <t>EJ310123.TXT</t>
        </is>
      </c>
      <c r="B40" s="3" t="inlineStr">
        <is>
          <t>004555</t>
        </is>
      </c>
      <c r="C40" s="3" t="inlineStr">
        <is>
          <t>003600</t>
        </is>
      </c>
      <c r="D40" s="4" t="n">
        <v>44942</v>
      </c>
      <c r="E40" s="2" t="inlineStr">
        <is>
          <t>12:07</t>
        </is>
      </c>
      <c r="F40" s="5" t="n">
        <v>350</v>
      </c>
      <c r="G40" s="5" t="n"/>
      <c r="H40" s="5" t="n"/>
      <c r="I40" s="5" t="n"/>
      <c r="J40" s="5" t="n">
        <v>70</v>
      </c>
      <c r="K40" s="5" t="n"/>
      <c r="L40" s="5" t="n"/>
      <c r="M40" s="5" t="n"/>
      <c r="N40" s="5" t="n"/>
      <c r="O40" s="5" t="n">
        <v>420</v>
      </c>
      <c r="P40" s="5" t="n">
        <v>420</v>
      </c>
      <c r="Q40" s="5" t="n"/>
      <c r="R40" s="5" t="n"/>
      <c r="S40" s="5">
        <f>SUM(F40:I40)+N40</f>
        <v/>
      </c>
      <c r="T40" s="5">
        <f>J40</f>
        <v/>
      </c>
      <c r="U40" s="6">
        <f>YEAR(D40)</f>
        <v/>
      </c>
      <c r="V40" s="5">
        <f>TEXT(D40,"yyyy-mm")</f>
        <v/>
      </c>
    </row>
    <row r="41">
      <c r="A41" s="2" t="inlineStr">
        <is>
          <t>EJ310123.TXT</t>
        </is>
      </c>
      <c r="B41" s="3" t="inlineStr">
        <is>
          <t>004556</t>
        </is>
      </c>
      <c r="C41" s="3" t="inlineStr">
        <is>
          <t>003601</t>
        </is>
      </c>
      <c r="D41" s="4" t="n">
        <v>44942</v>
      </c>
      <c r="E41" s="2" t="inlineStr">
        <is>
          <t>16:10</t>
        </is>
      </c>
      <c r="F41" s="5" t="n">
        <v>288.33</v>
      </c>
      <c r="G41" s="5" t="n"/>
      <c r="H41" s="5" t="n"/>
      <c r="I41" s="5" t="n"/>
      <c r="J41" s="5" t="n">
        <v>57.67</v>
      </c>
      <c r="K41" s="5" t="n"/>
      <c r="L41" s="5" t="n"/>
      <c r="M41" s="5" t="n"/>
      <c r="N41" s="5" t="n"/>
      <c r="O41" s="5" t="n">
        <v>346</v>
      </c>
      <c r="P41" s="5" t="n"/>
      <c r="Q41" s="5" t="n">
        <v>346</v>
      </c>
      <c r="R41" s="5" t="n"/>
      <c r="S41" s="5">
        <f>SUM(F41:I41)+N41</f>
        <v/>
      </c>
      <c r="T41" s="5">
        <f>J41</f>
        <v/>
      </c>
      <c r="U41" s="6">
        <f>YEAR(D41)</f>
        <v/>
      </c>
      <c r="V41" s="5">
        <f>TEXT(D41,"yyyy-mm")</f>
        <v/>
      </c>
    </row>
    <row r="42">
      <c r="A42" s="2" t="inlineStr">
        <is>
          <t>EJ310123.TXT</t>
        </is>
      </c>
      <c r="B42" s="3" t="inlineStr">
        <is>
          <t>004557</t>
        </is>
      </c>
      <c r="C42" s="3" t="inlineStr">
        <is>
          <t>003602</t>
        </is>
      </c>
      <c r="D42" s="4" t="n">
        <v>44942</v>
      </c>
      <c r="E42" s="2" t="inlineStr">
        <is>
          <t>18:23</t>
        </is>
      </c>
      <c r="F42" s="5" t="n">
        <v>299.17</v>
      </c>
      <c r="G42" s="5" t="n"/>
      <c r="H42" s="5" t="n"/>
      <c r="I42" s="5" t="n"/>
      <c r="J42" s="5" t="n">
        <v>59.83</v>
      </c>
      <c r="K42" s="5" t="n"/>
      <c r="L42" s="5" t="n"/>
      <c r="M42" s="5" t="n"/>
      <c r="N42" s="5" t="n"/>
      <c r="O42" s="5" t="n">
        <v>359</v>
      </c>
      <c r="P42" s="5" t="n"/>
      <c r="Q42" s="5" t="n">
        <v>359</v>
      </c>
      <c r="R42" s="5" t="n"/>
      <c r="S42" s="5">
        <f>SUM(F42:I42)+N42</f>
        <v/>
      </c>
      <c r="T42" s="5">
        <f>J42</f>
        <v/>
      </c>
      <c r="U42" s="6">
        <f>YEAR(D42)</f>
        <v/>
      </c>
      <c r="V42" s="5">
        <f>TEXT(D42,"yyyy-mm")</f>
        <v/>
      </c>
    </row>
    <row r="43">
      <c r="A43" s="2" t="inlineStr">
        <is>
          <t>EJ310123.TXT</t>
        </is>
      </c>
      <c r="B43" s="3" t="inlineStr">
        <is>
          <t>004558</t>
        </is>
      </c>
      <c r="C43" s="3" t="inlineStr">
        <is>
          <t>003603</t>
        </is>
      </c>
      <c r="D43" s="4" t="n">
        <v>44942</v>
      </c>
      <c r="E43" s="2" t="inlineStr">
        <is>
          <t>18:25</t>
        </is>
      </c>
      <c r="F43" s="5" t="n">
        <v>299.17</v>
      </c>
      <c r="G43" s="5" t="n"/>
      <c r="H43" s="5" t="n"/>
      <c r="I43" s="5" t="n"/>
      <c r="J43" s="5" t="n">
        <v>59.83</v>
      </c>
      <c r="K43" s="5" t="n"/>
      <c r="L43" s="5" t="n"/>
      <c r="M43" s="5" t="n"/>
      <c r="N43" s="5" t="n"/>
      <c r="O43" s="5" t="n">
        <v>359</v>
      </c>
      <c r="P43" s="5" t="n">
        <v>359</v>
      </c>
      <c r="Q43" s="5" t="n"/>
      <c r="R43" s="5" t="n"/>
      <c r="S43" s="5">
        <f>SUM(F43:I43)+N43</f>
        <v/>
      </c>
      <c r="T43" s="5">
        <f>J43</f>
        <v/>
      </c>
      <c r="U43" s="6">
        <f>YEAR(D43)</f>
        <v/>
      </c>
      <c r="V43" s="5">
        <f>TEXT(D43,"yyyy-mm")</f>
        <v/>
      </c>
    </row>
    <row r="44">
      <c r="A44" s="2" t="inlineStr">
        <is>
          <t>EJ310123.TXT</t>
        </is>
      </c>
      <c r="B44" s="3" t="inlineStr">
        <is>
          <t>004559</t>
        </is>
      </c>
      <c r="C44" s="3" t="inlineStr">
        <is>
          <t>003604</t>
        </is>
      </c>
      <c r="D44" s="4" t="n">
        <v>44943</v>
      </c>
      <c r="E44" s="2" t="inlineStr">
        <is>
          <t>12:25</t>
        </is>
      </c>
      <c r="F44" s="5" t="n">
        <v>581.67</v>
      </c>
      <c r="G44" s="5" t="n"/>
      <c r="H44" s="5" t="n"/>
      <c r="I44" s="5" t="n"/>
      <c r="J44" s="5" t="n">
        <v>116.33</v>
      </c>
      <c r="K44" s="5" t="n"/>
      <c r="L44" s="5" t="n"/>
      <c r="M44" s="5" t="n"/>
      <c r="N44" s="5" t="n"/>
      <c r="O44" s="5" t="n">
        <v>698</v>
      </c>
      <c r="P44" s="5" t="n"/>
      <c r="Q44" s="5" t="n">
        <v>698</v>
      </c>
      <c r="R44" s="5" t="n"/>
      <c r="S44" s="5">
        <f>SUM(F44:I44)+N44</f>
        <v/>
      </c>
      <c r="T44" s="5">
        <f>J44</f>
        <v/>
      </c>
      <c r="U44" s="6">
        <f>YEAR(D44)</f>
        <v/>
      </c>
      <c r="V44" s="5">
        <f>TEXT(D44,"yyyy-mm")</f>
        <v/>
      </c>
    </row>
    <row r="45">
      <c r="A45" s="2" t="inlineStr">
        <is>
          <t>EJ310123.TXT</t>
        </is>
      </c>
      <c r="B45" s="3" t="inlineStr">
        <is>
          <t>004560</t>
        </is>
      </c>
      <c r="C45" s="3" t="inlineStr">
        <is>
          <t>003605</t>
        </is>
      </c>
      <c r="D45" s="4" t="n">
        <v>44943</v>
      </c>
      <c r="E45" s="2" t="inlineStr">
        <is>
          <t>12:25</t>
        </is>
      </c>
      <c r="F45" s="5" t="n">
        <v>581.67</v>
      </c>
      <c r="G45" s="5" t="n"/>
      <c r="H45" s="5" t="n"/>
      <c r="I45" s="5" t="n"/>
      <c r="J45" s="5" t="n">
        <v>116.33</v>
      </c>
      <c r="K45" s="5" t="n"/>
      <c r="L45" s="5" t="n"/>
      <c r="M45" s="5" t="n"/>
      <c r="N45" s="5" t="n"/>
      <c r="O45" s="5" t="n">
        <v>698</v>
      </c>
      <c r="P45" s="5" t="n"/>
      <c r="Q45" s="5" t="n">
        <v>698</v>
      </c>
      <c r="R45" s="5" t="n"/>
      <c r="S45" s="5">
        <f>SUM(F45:I45)+N45</f>
        <v/>
      </c>
      <c r="T45" s="5">
        <f>J45</f>
        <v/>
      </c>
      <c r="U45" s="6">
        <f>YEAR(D45)</f>
        <v/>
      </c>
      <c r="V45" s="5">
        <f>TEXT(D45,"yyyy-mm")</f>
        <v/>
      </c>
    </row>
    <row r="46">
      <c r="A46" s="2" t="inlineStr">
        <is>
          <t>EJ310123.TXT</t>
        </is>
      </c>
      <c r="B46" s="3" t="inlineStr">
        <is>
          <t>004561</t>
        </is>
      </c>
      <c r="C46" s="3" t="inlineStr">
        <is>
          <t>003606</t>
        </is>
      </c>
      <c r="D46" s="4" t="n">
        <v>44943</v>
      </c>
      <c r="E46" s="2" t="inlineStr">
        <is>
          <t>12:25</t>
        </is>
      </c>
      <c r="F46" s="5" t="n">
        <v>581.67</v>
      </c>
      <c r="G46" s="5" t="n"/>
      <c r="H46" s="5" t="n"/>
      <c r="I46" s="5" t="n"/>
      <c r="J46" s="5" t="n">
        <v>116.33</v>
      </c>
      <c r="K46" s="5" t="n"/>
      <c r="L46" s="5" t="n"/>
      <c r="M46" s="5" t="n"/>
      <c r="N46" s="5" t="n"/>
      <c r="O46" s="5" t="n">
        <v>698</v>
      </c>
      <c r="P46" s="5" t="n"/>
      <c r="Q46" s="5" t="n">
        <v>698</v>
      </c>
      <c r="R46" s="5" t="n"/>
      <c r="S46" s="5">
        <f>SUM(F46:I46)+N46</f>
        <v/>
      </c>
      <c r="T46" s="5">
        <f>J46</f>
        <v/>
      </c>
      <c r="U46" s="6">
        <f>YEAR(D46)</f>
        <v/>
      </c>
      <c r="V46" s="5">
        <f>TEXT(D46,"yyyy-mm")</f>
        <v/>
      </c>
    </row>
    <row r="47">
      <c r="A47" s="2" t="inlineStr">
        <is>
          <t>EJ310123.TXT</t>
        </is>
      </c>
      <c r="B47" s="3" t="inlineStr">
        <is>
          <t>004562</t>
        </is>
      </c>
      <c r="C47" s="3" t="inlineStr">
        <is>
          <t>003607</t>
        </is>
      </c>
      <c r="D47" s="4" t="n">
        <v>44943</v>
      </c>
      <c r="E47" s="2" t="inlineStr">
        <is>
          <t>15:31</t>
        </is>
      </c>
      <c r="F47" s="5" t="n">
        <v>37.5</v>
      </c>
      <c r="G47" s="5" t="n"/>
      <c r="H47" s="5" t="n"/>
      <c r="I47" s="5" t="n"/>
      <c r="J47" s="5" t="n">
        <v>7.5</v>
      </c>
      <c r="K47" s="5" t="n"/>
      <c r="L47" s="5" t="n"/>
      <c r="M47" s="5" t="n"/>
      <c r="N47" s="5" t="n"/>
      <c r="O47" s="5" t="n">
        <v>45</v>
      </c>
      <c r="P47" s="5" t="n"/>
      <c r="Q47" s="5" t="n">
        <v>45</v>
      </c>
      <c r="R47" s="5" t="n"/>
      <c r="S47" s="5">
        <f>SUM(F47:I47)+N47</f>
        <v/>
      </c>
      <c r="T47" s="5">
        <f>J47</f>
        <v/>
      </c>
      <c r="U47" s="6">
        <f>YEAR(D47)</f>
        <v/>
      </c>
      <c r="V47" s="5">
        <f>TEXT(D47,"yyyy-mm")</f>
        <v/>
      </c>
    </row>
    <row r="48">
      <c r="A48" s="2" t="inlineStr">
        <is>
          <t>EJ310123.TXT</t>
        </is>
      </c>
      <c r="B48" s="3" t="inlineStr">
        <is>
          <t>004563</t>
        </is>
      </c>
      <c r="C48" s="3" t="inlineStr">
        <is>
          <t>003608</t>
        </is>
      </c>
      <c r="D48" s="4" t="n">
        <v>44944</v>
      </c>
      <c r="E48" s="2" t="inlineStr">
        <is>
          <t>11:13</t>
        </is>
      </c>
      <c r="F48" s="5" t="n">
        <v>166.67</v>
      </c>
      <c r="G48" s="5" t="n"/>
      <c r="H48" s="5" t="n"/>
      <c r="I48" s="5" t="n"/>
      <c r="J48" s="5" t="n">
        <v>33.33</v>
      </c>
      <c r="K48" s="5" t="n"/>
      <c r="L48" s="5" t="n"/>
      <c r="M48" s="5" t="n"/>
      <c r="N48" s="5" t="n"/>
      <c r="O48" s="5" t="n">
        <v>200</v>
      </c>
      <c r="P48" s="5" t="n"/>
      <c r="Q48" s="5" t="n">
        <v>200</v>
      </c>
      <c r="R48" s="5" t="n"/>
      <c r="S48" s="5">
        <f>SUM(F48:I48)+N48</f>
        <v/>
      </c>
      <c r="T48" s="5">
        <f>J48</f>
        <v/>
      </c>
      <c r="U48" s="6">
        <f>YEAR(D48)</f>
        <v/>
      </c>
      <c r="V48" s="5">
        <f>TEXT(D48,"yyyy-mm")</f>
        <v/>
      </c>
    </row>
    <row r="49">
      <c r="A49" s="2" t="inlineStr">
        <is>
          <t>EJ310123.TXT</t>
        </is>
      </c>
      <c r="B49" s="3" t="inlineStr">
        <is>
          <t>004564</t>
        </is>
      </c>
      <c r="C49" s="3" t="inlineStr">
        <is>
          <t>003609</t>
        </is>
      </c>
      <c r="D49" s="4" t="n">
        <v>44944</v>
      </c>
      <c r="E49" s="2" t="inlineStr">
        <is>
          <t>12:09</t>
        </is>
      </c>
      <c r="F49" s="5" t="n">
        <v>581.67</v>
      </c>
      <c r="G49" s="5" t="n"/>
      <c r="H49" s="5" t="n"/>
      <c r="I49" s="5" t="n"/>
      <c r="J49" s="5" t="n">
        <v>116.33</v>
      </c>
      <c r="K49" s="5" t="n"/>
      <c r="L49" s="5" t="n"/>
      <c r="M49" s="5" t="n"/>
      <c r="N49" s="5" t="n"/>
      <c r="O49" s="5" t="n">
        <v>698</v>
      </c>
      <c r="P49" s="5" t="n"/>
      <c r="Q49" s="5" t="n">
        <v>698</v>
      </c>
      <c r="R49" s="5" t="n"/>
      <c r="S49" s="5">
        <f>SUM(F49:I49)+N49</f>
        <v/>
      </c>
      <c r="T49" s="5">
        <f>J49</f>
        <v/>
      </c>
      <c r="U49" s="6">
        <f>YEAR(D49)</f>
        <v/>
      </c>
      <c r="V49" s="5">
        <f>TEXT(D49,"yyyy-mm")</f>
        <v/>
      </c>
    </row>
    <row r="50">
      <c r="A50" s="2" t="inlineStr">
        <is>
          <t>EJ310123.TXT</t>
        </is>
      </c>
      <c r="B50" s="3" t="inlineStr">
        <is>
          <t>004565</t>
        </is>
      </c>
      <c r="C50" s="3" t="inlineStr">
        <is>
          <t>003610</t>
        </is>
      </c>
      <c r="D50" s="4" t="n">
        <v>44944</v>
      </c>
      <c r="E50" s="2" t="inlineStr">
        <is>
          <t>12:10</t>
        </is>
      </c>
      <c r="F50" s="5" t="n">
        <v>299.17</v>
      </c>
      <c r="G50" s="5" t="n"/>
      <c r="H50" s="5" t="n"/>
      <c r="I50" s="5" t="n"/>
      <c r="J50" s="5" t="n">
        <v>59.83</v>
      </c>
      <c r="K50" s="5" t="n"/>
      <c r="L50" s="5" t="n"/>
      <c r="M50" s="5" t="n"/>
      <c r="N50" s="5" t="n"/>
      <c r="O50" s="5" t="n">
        <v>359</v>
      </c>
      <c r="P50" s="5" t="n"/>
      <c r="Q50" s="5" t="n">
        <v>359</v>
      </c>
      <c r="R50" s="5" t="n"/>
      <c r="S50" s="5">
        <f>SUM(F50:I50)+N50</f>
        <v/>
      </c>
      <c r="T50" s="5">
        <f>J50</f>
        <v/>
      </c>
      <c r="U50" s="6">
        <f>YEAR(D50)</f>
        <v/>
      </c>
      <c r="V50" s="5">
        <f>TEXT(D50,"yyyy-mm")</f>
        <v/>
      </c>
    </row>
    <row r="51">
      <c r="A51" s="2" t="inlineStr">
        <is>
          <t>EJ310123.TXT</t>
        </is>
      </c>
      <c r="B51" s="3" t="inlineStr">
        <is>
          <t>004566</t>
        </is>
      </c>
      <c r="C51" s="3" t="inlineStr">
        <is>
          <t>003611</t>
        </is>
      </c>
      <c r="D51" s="4" t="n">
        <v>44944</v>
      </c>
      <c r="E51" s="2" t="inlineStr">
        <is>
          <t>15:26</t>
        </is>
      </c>
      <c r="F51" s="5" t="n">
        <v>598.33</v>
      </c>
      <c r="G51" s="5" t="n"/>
      <c r="H51" s="5" t="n"/>
      <c r="I51" s="5" t="n"/>
      <c r="J51" s="5" t="n">
        <v>119.67</v>
      </c>
      <c r="K51" s="5" t="n"/>
      <c r="L51" s="5" t="n"/>
      <c r="M51" s="5" t="n"/>
      <c r="N51" s="5" t="n"/>
      <c r="O51" s="5" t="n">
        <v>718</v>
      </c>
      <c r="P51" s="5" t="n"/>
      <c r="Q51" s="5" t="n">
        <v>718</v>
      </c>
      <c r="R51" s="5" t="n"/>
      <c r="S51" s="5">
        <f>SUM(F51:I51)+N51</f>
        <v/>
      </c>
      <c r="T51" s="5">
        <f>J51</f>
        <v/>
      </c>
      <c r="U51" s="6">
        <f>YEAR(D51)</f>
        <v/>
      </c>
      <c r="V51" s="5">
        <f>TEXT(D51,"yyyy-mm")</f>
        <v/>
      </c>
    </row>
    <row r="52">
      <c r="A52" s="2" t="inlineStr">
        <is>
          <t>EJ310123.TXT</t>
        </is>
      </c>
      <c r="B52" s="3" t="inlineStr">
        <is>
          <t>004567</t>
        </is>
      </c>
      <c r="C52" s="3" t="inlineStr">
        <is>
          <t>003612</t>
        </is>
      </c>
      <c r="D52" s="4" t="n">
        <v>44944</v>
      </c>
      <c r="E52" s="2" t="inlineStr">
        <is>
          <t>15:26</t>
        </is>
      </c>
      <c r="F52" s="5" t="n">
        <v>598.33</v>
      </c>
      <c r="G52" s="5" t="n"/>
      <c r="H52" s="5" t="n"/>
      <c r="I52" s="5" t="n"/>
      <c r="J52" s="5" t="n">
        <v>119.67</v>
      </c>
      <c r="K52" s="5" t="n"/>
      <c r="L52" s="5" t="n"/>
      <c r="M52" s="5" t="n"/>
      <c r="N52" s="5" t="n"/>
      <c r="O52" s="5" t="n">
        <v>718</v>
      </c>
      <c r="P52" s="5" t="n"/>
      <c r="Q52" s="5" t="n">
        <v>718</v>
      </c>
      <c r="R52" s="5" t="n"/>
      <c r="S52" s="5">
        <f>SUM(F52:I52)+N52</f>
        <v/>
      </c>
      <c r="T52" s="5">
        <f>J52</f>
        <v/>
      </c>
      <c r="U52" s="6">
        <f>YEAR(D52)</f>
        <v/>
      </c>
      <c r="V52" s="5">
        <f>TEXT(D52,"yyyy-mm")</f>
        <v/>
      </c>
    </row>
    <row r="53">
      <c r="A53" s="2" t="inlineStr">
        <is>
          <t>EJ310123.TXT</t>
        </is>
      </c>
      <c r="B53" s="3" t="inlineStr">
        <is>
          <t>004568</t>
        </is>
      </c>
      <c r="C53" s="3" t="inlineStr">
        <is>
          <t>003613</t>
        </is>
      </c>
      <c r="D53" s="4" t="n">
        <v>44944</v>
      </c>
      <c r="E53" s="2" t="inlineStr">
        <is>
          <t>15:27</t>
        </is>
      </c>
      <c r="F53" s="5" t="n">
        <v>290.83</v>
      </c>
      <c r="G53" s="5" t="n"/>
      <c r="H53" s="5" t="n"/>
      <c r="I53" s="5" t="n"/>
      <c r="J53" s="5" t="n">
        <v>58.17</v>
      </c>
      <c r="K53" s="5" t="n"/>
      <c r="L53" s="5" t="n"/>
      <c r="M53" s="5" t="n"/>
      <c r="N53" s="5" t="n"/>
      <c r="O53" s="5" t="n">
        <v>349</v>
      </c>
      <c r="P53" s="5" t="n"/>
      <c r="Q53" s="5" t="n">
        <v>349</v>
      </c>
      <c r="R53" s="5" t="n"/>
      <c r="S53" s="5">
        <f>SUM(F53:I53)+N53</f>
        <v/>
      </c>
      <c r="T53" s="5">
        <f>J53</f>
        <v/>
      </c>
      <c r="U53" s="6">
        <f>YEAR(D53)</f>
        <v/>
      </c>
      <c r="V53" s="5">
        <f>TEXT(D53,"yyyy-mm")</f>
        <v/>
      </c>
    </row>
    <row r="54">
      <c r="A54" s="2" t="inlineStr">
        <is>
          <t>EJ310123.TXT</t>
        </is>
      </c>
      <c r="B54" s="3" t="inlineStr">
        <is>
          <t>004569</t>
        </is>
      </c>
      <c r="C54" s="3" t="inlineStr">
        <is>
          <t>003614</t>
        </is>
      </c>
      <c r="D54" s="4" t="n">
        <v>44944</v>
      </c>
      <c r="E54" s="2" t="inlineStr">
        <is>
          <t>17:26</t>
        </is>
      </c>
      <c r="F54" s="5" t="n">
        <v>115.83</v>
      </c>
      <c r="G54" s="5" t="n"/>
      <c r="H54" s="5" t="n"/>
      <c r="I54" s="5" t="n"/>
      <c r="J54" s="5" t="n">
        <v>23.17</v>
      </c>
      <c r="K54" s="5" t="n"/>
      <c r="L54" s="5" t="n"/>
      <c r="M54" s="5" t="n"/>
      <c r="N54" s="5" t="n"/>
      <c r="O54" s="5" t="n">
        <v>139</v>
      </c>
      <c r="P54" s="5" t="n">
        <v>139</v>
      </c>
      <c r="Q54" s="5" t="n"/>
      <c r="R54" s="5" t="n"/>
      <c r="S54" s="5">
        <f>SUM(F54:I54)+N54</f>
        <v/>
      </c>
      <c r="T54" s="5">
        <f>J54</f>
        <v/>
      </c>
      <c r="U54" s="6">
        <f>YEAR(D54)</f>
        <v/>
      </c>
      <c r="V54" s="5">
        <f>TEXT(D54,"yyyy-mm")</f>
        <v/>
      </c>
    </row>
    <row r="55">
      <c r="A55" s="2" t="inlineStr">
        <is>
          <t>EJ310123.TXT</t>
        </is>
      </c>
      <c r="B55" s="3" t="inlineStr">
        <is>
          <t>004570</t>
        </is>
      </c>
      <c r="C55" s="3" t="inlineStr">
        <is>
          <t>003615</t>
        </is>
      </c>
      <c r="D55" s="4" t="n">
        <v>44944</v>
      </c>
      <c r="E55" s="2" t="inlineStr">
        <is>
          <t>18:12</t>
        </is>
      </c>
      <c r="F55" s="5" t="n">
        <v>598.33</v>
      </c>
      <c r="G55" s="5" t="n"/>
      <c r="H55" s="5" t="n"/>
      <c r="I55" s="5" t="n"/>
      <c r="J55" s="5" t="n">
        <v>119.67</v>
      </c>
      <c r="K55" s="5" t="n"/>
      <c r="L55" s="5" t="n"/>
      <c r="M55" s="5" t="n"/>
      <c r="N55" s="5" t="n"/>
      <c r="O55" s="5" t="n">
        <v>718</v>
      </c>
      <c r="P55" s="5" t="n"/>
      <c r="Q55" s="5" t="n">
        <v>718</v>
      </c>
      <c r="R55" s="5" t="n"/>
      <c r="S55" s="5">
        <f>SUM(F55:I55)+N55</f>
        <v/>
      </c>
      <c r="T55" s="5">
        <f>J55</f>
        <v/>
      </c>
      <c r="U55" s="6">
        <f>YEAR(D55)</f>
        <v/>
      </c>
      <c r="V55" s="5">
        <f>TEXT(D55,"yyyy-mm")</f>
        <v/>
      </c>
    </row>
    <row r="56">
      <c r="A56" s="2" t="inlineStr">
        <is>
          <t>EJ310123.TXT</t>
        </is>
      </c>
      <c r="B56" s="3" t="inlineStr">
        <is>
          <t>004571</t>
        </is>
      </c>
      <c r="C56" s="3" t="inlineStr">
        <is>
          <t>003616</t>
        </is>
      </c>
      <c r="D56" s="4" t="n">
        <v>44944</v>
      </c>
      <c r="E56" s="2" t="inlineStr">
        <is>
          <t>18:16</t>
        </is>
      </c>
      <c r="F56" s="5" t="n">
        <v>598.33</v>
      </c>
      <c r="G56" s="5" t="n"/>
      <c r="H56" s="5" t="n"/>
      <c r="I56" s="5" t="n"/>
      <c r="J56" s="5" t="n">
        <v>119.67</v>
      </c>
      <c r="K56" s="5" t="n"/>
      <c r="L56" s="5" t="n"/>
      <c r="M56" s="5" t="n"/>
      <c r="N56" s="5" t="n"/>
      <c r="O56" s="5" t="n">
        <v>718</v>
      </c>
      <c r="P56" s="5" t="n">
        <v>718</v>
      </c>
      <c r="Q56" s="5" t="n"/>
      <c r="R56" s="5" t="n"/>
      <c r="S56" s="5">
        <f>SUM(F56:I56)+N56</f>
        <v/>
      </c>
      <c r="T56" s="5">
        <f>J56</f>
        <v/>
      </c>
      <c r="U56" s="6">
        <f>YEAR(D56)</f>
        <v/>
      </c>
      <c r="V56" s="5">
        <f>TEXT(D56,"yyyy-mm")</f>
        <v/>
      </c>
    </row>
    <row r="57">
      <c r="A57" s="2" t="inlineStr">
        <is>
          <t>EJ310123.TXT</t>
        </is>
      </c>
      <c r="B57" s="3" t="inlineStr">
        <is>
          <t>004572</t>
        </is>
      </c>
      <c r="C57" s="3" t="inlineStr">
        <is>
          <t>003617</t>
        </is>
      </c>
      <c r="D57" s="4" t="n">
        <v>44944</v>
      </c>
      <c r="E57" s="2" t="inlineStr">
        <is>
          <t>18:18</t>
        </is>
      </c>
      <c r="F57" s="5" t="n">
        <v>175</v>
      </c>
      <c r="G57" s="5" t="n"/>
      <c r="H57" s="5" t="n"/>
      <c r="I57" s="5" t="n"/>
      <c r="J57" s="5" t="n">
        <v>35</v>
      </c>
      <c r="K57" s="5" t="n"/>
      <c r="L57" s="5" t="n"/>
      <c r="M57" s="5" t="n"/>
      <c r="N57" s="5" t="n"/>
      <c r="O57" s="5" t="n">
        <v>210</v>
      </c>
      <c r="P57" s="5" t="n"/>
      <c r="Q57" s="5" t="n">
        <v>210</v>
      </c>
      <c r="R57" s="5" t="n"/>
      <c r="S57" s="5">
        <f>SUM(F57:I57)+N57</f>
        <v/>
      </c>
      <c r="T57" s="5">
        <f>J57</f>
        <v/>
      </c>
      <c r="U57" s="6">
        <f>YEAR(D57)</f>
        <v/>
      </c>
      <c r="V57" s="5">
        <f>TEXT(D57,"yyyy-mm")</f>
        <v/>
      </c>
    </row>
    <row r="58">
      <c r="A58" s="2" t="inlineStr">
        <is>
          <t>EJ310123.TXT</t>
        </is>
      </c>
      <c r="B58" s="3" t="inlineStr">
        <is>
          <t>004573</t>
        </is>
      </c>
      <c r="C58" s="3" t="inlineStr">
        <is>
          <t>003618</t>
        </is>
      </c>
      <c r="D58" s="4" t="n">
        <v>44944</v>
      </c>
      <c r="E58" s="2" t="inlineStr">
        <is>
          <t>18:22</t>
        </is>
      </c>
      <c r="F58" s="5" t="n">
        <v>75</v>
      </c>
      <c r="G58" s="5" t="n"/>
      <c r="H58" s="5" t="n"/>
      <c r="I58" s="5" t="n"/>
      <c r="J58" s="5" t="n">
        <v>15</v>
      </c>
      <c r="K58" s="5" t="n"/>
      <c r="L58" s="5" t="n"/>
      <c r="M58" s="5" t="n"/>
      <c r="N58" s="5" t="n"/>
      <c r="O58" s="5" t="n">
        <v>90</v>
      </c>
      <c r="P58" s="5" t="n"/>
      <c r="Q58" s="5" t="n">
        <v>90</v>
      </c>
      <c r="R58" s="5" t="n"/>
      <c r="S58" s="5">
        <f>SUM(F58:I58)+N58</f>
        <v/>
      </c>
      <c r="T58" s="5">
        <f>J58</f>
        <v/>
      </c>
      <c r="U58" s="6">
        <f>YEAR(D58)</f>
        <v/>
      </c>
      <c r="V58" s="5">
        <f>TEXT(D58,"yyyy-mm")</f>
        <v/>
      </c>
    </row>
    <row r="59">
      <c r="A59" s="2" t="inlineStr">
        <is>
          <t>EJ310123.TXT</t>
        </is>
      </c>
      <c r="B59" s="3" t="inlineStr">
        <is>
          <t>004574</t>
        </is>
      </c>
      <c r="C59" s="3" t="inlineStr">
        <is>
          <t>003619</t>
        </is>
      </c>
      <c r="D59" s="4" t="n">
        <v>44945</v>
      </c>
      <c r="E59" s="2" t="inlineStr">
        <is>
          <t>15:50</t>
        </is>
      </c>
      <c r="F59" s="5" t="n">
        <v>299.17</v>
      </c>
      <c r="G59" s="5" t="n"/>
      <c r="H59" s="5" t="n"/>
      <c r="I59" s="5" t="n"/>
      <c r="J59" s="5" t="n">
        <v>59.83</v>
      </c>
      <c r="K59" s="5" t="n"/>
      <c r="L59" s="5" t="n"/>
      <c r="M59" s="5" t="n"/>
      <c r="N59" s="5" t="n"/>
      <c r="O59" s="5" t="n">
        <v>359</v>
      </c>
      <c r="P59" s="5" t="n"/>
      <c r="Q59" s="5" t="n">
        <v>359</v>
      </c>
      <c r="R59" s="5" t="n"/>
      <c r="S59" s="5">
        <f>SUM(F59:I59)+N59</f>
        <v/>
      </c>
      <c r="T59" s="5">
        <f>J59</f>
        <v/>
      </c>
      <c r="U59" s="6">
        <f>YEAR(D59)</f>
        <v/>
      </c>
      <c r="V59" s="5">
        <f>TEXT(D59,"yyyy-mm")</f>
        <v/>
      </c>
    </row>
    <row r="60">
      <c r="A60" s="2" t="inlineStr">
        <is>
          <t>EJ310123.TXT</t>
        </is>
      </c>
      <c r="B60" s="3" t="inlineStr">
        <is>
          <t>004575</t>
        </is>
      </c>
      <c r="C60" s="3" t="inlineStr">
        <is>
          <t>003620</t>
        </is>
      </c>
      <c r="D60" s="4" t="n">
        <v>44945</v>
      </c>
      <c r="E60" s="2" t="inlineStr">
        <is>
          <t>16:56</t>
        </is>
      </c>
      <c r="F60" s="5" t="n">
        <v>299.17</v>
      </c>
      <c r="G60" s="5" t="n"/>
      <c r="H60" s="5" t="n"/>
      <c r="I60" s="5" t="n"/>
      <c r="J60" s="5" t="n">
        <v>59.83</v>
      </c>
      <c r="K60" s="5" t="n"/>
      <c r="L60" s="5" t="n"/>
      <c r="M60" s="5" t="n"/>
      <c r="N60" s="5" t="n"/>
      <c r="O60" s="5" t="n">
        <v>359</v>
      </c>
      <c r="P60" s="5" t="n">
        <v>359</v>
      </c>
      <c r="Q60" s="5" t="n"/>
      <c r="R60" s="5" t="n"/>
      <c r="S60" s="5">
        <f>SUM(F60:I60)+N60</f>
        <v/>
      </c>
      <c r="T60" s="5">
        <f>J60</f>
        <v/>
      </c>
      <c r="U60" s="6">
        <f>YEAR(D60)</f>
        <v/>
      </c>
      <c r="V60" s="5">
        <f>TEXT(D60,"yyyy-mm")</f>
        <v/>
      </c>
    </row>
    <row r="61">
      <c r="A61" s="2" t="inlineStr">
        <is>
          <t>EJ310123.TXT</t>
        </is>
      </c>
      <c r="B61" s="3" t="inlineStr">
        <is>
          <t>004576</t>
        </is>
      </c>
      <c r="C61" s="3" t="inlineStr">
        <is>
          <t>003621</t>
        </is>
      </c>
      <c r="D61" s="4" t="n">
        <v>44945</v>
      </c>
      <c r="E61" s="2" t="inlineStr">
        <is>
          <t>18:15</t>
        </is>
      </c>
      <c r="F61" s="5" t="n">
        <v>582.5</v>
      </c>
      <c r="G61" s="5" t="n"/>
      <c r="H61" s="5" t="n"/>
      <c r="I61" s="5" t="n"/>
      <c r="J61" s="5" t="n">
        <v>116.5</v>
      </c>
      <c r="K61" s="5" t="n"/>
      <c r="L61" s="5" t="n"/>
      <c r="M61" s="5" t="n"/>
      <c r="N61" s="5" t="n"/>
      <c r="O61" s="5" t="n">
        <v>699</v>
      </c>
      <c r="P61" s="5" t="n"/>
      <c r="Q61" s="5" t="n">
        <v>699</v>
      </c>
      <c r="R61" s="5" t="n"/>
      <c r="S61" s="5">
        <f>SUM(F61:I61)+N61</f>
        <v/>
      </c>
      <c r="T61" s="5">
        <f>J61</f>
        <v/>
      </c>
      <c r="U61" s="6">
        <f>YEAR(D61)</f>
        <v/>
      </c>
      <c r="V61" s="5">
        <f>TEXT(D61,"yyyy-mm")</f>
        <v/>
      </c>
    </row>
    <row r="62">
      <c r="A62" s="2" t="inlineStr">
        <is>
          <t>EJ310123.TXT</t>
        </is>
      </c>
      <c r="B62" s="3" t="inlineStr">
        <is>
          <t>004577</t>
        </is>
      </c>
      <c r="C62" s="3" t="inlineStr">
        <is>
          <t>003622</t>
        </is>
      </c>
      <c r="D62" s="4" t="n">
        <v>44945</v>
      </c>
      <c r="E62" s="2" t="inlineStr">
        <is>
          <t>18:15</t>
        </is>
      </c>
      <c r="F62" s="5" t="n">
        <v>582.5</v>
      </c>
      <c r="G62" s="5" t="n"/>
      <c r="H62" s="5" t="n"/>
      <c r="I62" s="5" t="n"/>
      <c r="J62" s="5" t="n">
        <v>116.5</v>
      </c>
      <c r="K62" s="5" t="n"/>
      <c r="L62" s="5" t="n"/>
      <c r="M62" s="5" t="n"/>
      <c r="N62" s="5" t="n"/>
      <c r="O62" s="5" t="n">
        <v>699</v>
      </c>
      <c r="P62" s="5" t="n"/>
      <c r="Q62" s="5" t="n">
        <v>699</v>
      </c>
      <c r="R62" s="5" t="n"/>
      <c r="S62" s="5">
        <f>SUM(F62:I62)+N62</f>
        <v/>
      </c>
      <c r="T62" s="5">
        <f>J62</f>
        <v/>
      </c>
      <c r="U62" s="6">
        <f>YEAR(D62)</f>
        <v/>
      </c>
      <c r="V62" s="5">
        <f>TEXT(D62,"yyyy-mm")</f>
        <v/>
      </c>
    </row>
    <row r="63">
      <c r="A63" s="2" t="inlineStr">
        <is>
          <t>EJ310123.TXT</t>
        </is>
      </c>
      <c r="B63" s="3" t="inlineStr">
        <is>
          <t>004578</t>
        </is>
      </c>
      <c r="C63" s="3" t="inlineStr">
        <is>
          <t>003623</t>
        </is>
      </c>
      <c r="D63" s="4" t="n">
        <v>44946</v>
      </c>
      <c r="E63" s="2" t="inlineStr">
        <is>
          <t>11:51</t>
        </is>
      </c>
      <c r="F63" s="5" t="n">
        <v>249.17</v>
      </c>
      <c r="G63" s="5" t="n"/>
      <c r="H63" s="5" t="n"/>
      <c r="I63" s="5" t="n"/>
      <c r="J63" s="5" t="n">
        <v>49.83</v>
      </c>
      <c r="K63" s="5" t="n"/>
      <c r="L63" s="5" t="n"/>
      <c r="M63" s="5" t="n"/>
      <c r="N63" s="5" t="n"/>
      <c r="O63" s="5" t="n">
        <v>299</v>
      </c>
      <c r="P63" s="5" t="n"/>
      <c r="Q63" s="5" t="n">
        <v>299</v>
      </c>
      <c r="R63" s="5" t="n"/>
      <c r="S63" s="5">
        <f>SUM(F63:I63)+N63</f>
        <v/>
      </c>
      <c r="T63" s="5">
        <f>J63</f>
        <v/>
      </c>
      <c r="U63" s="6">
        <f>YEAR(D63)</f>
        <v/>
      </c>
      <c r="V63" s="5">
        <f>TEXT(D63,"yyyy-mm")</f>
        <v/>
      </c>
    </row>
    <row r="64">
      <c r="A64" s="2" t="inlineStr">
        <is>
          <t>EJ310123.TXT</t>
        </is>
      </c>
      <c r="B64" s="3" t="inlineStr">
        <is>
          <t>004579</t>
        </is>
      </c>
      <c r="C64" s="3" t="inlineStr">
        <is>
          <t>003624</t>
        </is>
      </c>
      <c r="D64" s="4" t="n">
        <v>44946</v>
      </c>
      <c r="E64" s="2" t="inlineStr">
        <is>
          <t>12:17</t>
        </is>
      </c>
      <c r="F64" s="5" t="n">
        <v>37.5</v>
      </c>
      <c r="G64" s="5" t="n"/>
      <c r="H64" s="5" t="n"/>
      <c r="I64" s="5" t="n"/>
      <c r="J64" s="5" t="n">
        <v>7.5</v>
      </c>
      <c r="K64" s="5" t="n"/>
      <c r="L64" s="5" t="n"/>
      <c r="M64" s="5" t="n"/>
      <c r="N64" s="5" t="n"/>
      <c r="O64" s="5" t="n">
        <v>45</v>
      </c>
      <c r="P64" s="5" t="n">
        <v>45</v>
      </c>
      <c r="Q64" s="5" t="n"/>
      <c r="R64" s="5" t="n"/>
      <c r="S64" s="5">
        <f>SUM(F64:I64)+N64</f>
        <v/>
      </c>
      <c r="T64" s="5">
        <f>J64</f>
        <v/>
      </c>
      <c r="U64" s="6">
        <f>YEAR(D64)</f>
        <v/>
      </c>
      <c r="V64" s="5">
        <f>TEXT(D64,"yyyy-mm")</f>
        <v/>
      </c>
    </row>
    <row r="65">
      <c r="A65" s="2" t="inlineStr">
        <is>
          <t>EJ310123.TXT</t>
        </is>
      </c>
      <c r="B65" s="3" t="inlineStr">
        <is>
          <t>004580</t>
        </is>
      </c>
      <c r="C65" s="3" t="inlineStr">
        <is>
          <t>003625</t>
        </is>
      </c>
      <c r="D65" s="4" t="n">
        <v>44946</v>
      </c>
      <c r="E65" s="2" t="inlineStr">
        <is>
          <t>12:32</t>
        </is>
      </c>
      <c r="F65" s="5" t="n">
        <v>725</v>
      </c>
      <c r="G65" s="5" t="n"/>
      <c r="H65" s="5" t="n"/>
      <c r="I65" s="5" t="n"/>
      <c r="J65" s="5" t="n">
        <v>145</v>
      </c>
      <c r="K65" s="5" t="n"/>
      <c r="L65" s="5" t="n"/>
      <c r="M65" s="5" t="n"/>
      <c r="N65" s="5" t="n"/>
      <c r="O65" s="5" t="n">
        <v>870</v>
      </c>
      <c r="P65" s="5" t="n"/>
      <c r="Q65" s="5" t="n">
        <v>870</v>
      </c>
      <c r="R65" s="5" t="n"/>
      <c r="S65" s="5">
        <f>SUM(F65:I65)+N65</f>
        <v/>
      </c>
      <c r="T65" s="5">
        <f>J65</f>
        <v/>
      </c>
      <c r="U65" s="6">
        <f>YEAR(D65)</f>
        <v/>
      </c>
      <c r="V65" s="5">
        <f>TEXT(D65,"yyyy-mm")</f>
        <v/>
      </c>
    </row>
    <row r="66">
      <c r="A66" s="2" t="inlineStr">
        <is>
          <t>EJ310123.TXT</t>
        </is>
      </c>
      <c r="B66" s="3" t="inlineStr">
        <is>
          <t>004581</t>
        </is>
      </c>
      <c r="C66" s="3" t="inlineStr">
        <is>
          <t>003626</t>
        </is>
      </c>
      <c r="D66" s="4" t="n">
        <v>44946</v>
      </c>
      <c r="E66" s="2" t="inlineStr">
        <is>
          <t>13:04</t>
        </is>
      </c>
      <c r="F66" s="5" t="n">
        <v>249.17</v>
      </c>
      <c r="G66" s="5" t="n"/>
      <c r="H66" s="5" t="n"/>
      <c r="I66" s="5" t="n"/>
      <c r="J66" s="5" t="n">
        <v>49.83</v>
      </c>
      <c r="K66" s="5" t="n"/>
      <c r="L66" s="5" t="n"/>
      <c r="M66" s="5" t="n"/>
      <c r="N66" s="5" t="n"/>
      <c r="O66" s="5" t="n">
        <v>299</v>
      </c>
      <c r="P66" s="5" t="n">
        <v>299</v>
      </c>
      <c r="Q66" s="5" t="n"/>
      <c r="R66" s="5" t="n"/>
      <c r="S66" s="5">
        <f>SUM(F66:I66)+N66</f>
        <v/>
      </c>
      <c r="T66" s="5">
        <f>J66</f>
        <v/>
      </c>
      <c r="U66" s="6">
        <f>YEAR(D66)</f>
        <v/>
      </c>
      <c r="V66" s="5">
        <f>TEXT(D66,"yyyy-mm")</f>
        <v/>
      </c>
    </row>
    <row r="67">
      <c r="A67" s="2" t="inlineStr">
        <is>
          <t>EJ310123.TXT</t>
        </is>
      </c>
      <c r="B67" s="3" t="inlineStr">
        <is>
          <t>004582</t>
        </is>
      </c>
      <c r="C67" s="3" t="inlineStr">
        <is>
          <t>003627</t>
        </is>
      </c>
      <c r="D67" s="4" t="n">
        <v>44946</v>
      </c>
      <c r="E67" s="2" t="inlineStr">
        <is>
          <t>14:32</t>
        </is>
      </c>
      <c r="F67" s="5" t="n">
        <v>166.67</v>
      </c>
      <c r="G67" s="5" t="n"/>
      <c r="H67" s="5" t="n"/>
      <c r="I67" s="5" t="n"/>
      <c r="J67" s="5" t="n">
        <v>33.33</v>
      </c>
      <c r="K67" s="5" t="n"/>
      <c r="L67" s="5" t="n"/>
      <c r="M67" s="5" t="n"/>
      <c r="N67" s="5" t="n"/>
      <c r="O67" s="5" t="n">
        <v>200</v>
      </c>
      <c r="P67" s="5" t="n"/>
      <c r="Q67" s="5" t="n">
        <v>200</v>
      </c>
      <c r="R67" s="5" t="n"/>
      <c r="S67" s="5">
        <f>SUM(F67:I67)+N67</f>
        <v/>
      </c>
      <c r="T67" s="5">
        <f>J67</f>
        <v/>
      </c>
      <c r="U67" s="6">
        <f>YEAR(D67)</f>
        <v/>
      </c>
      <c r="V67" s="5">
        <f>TEXT(D67,"yyyy-mm")</f>
        <v/>
      </c>
    </row>
    <row r="68">
      <c r="A68" s="2" t="inlineStr">
        <is>
          <t>EJ310123.TXT</t>
        </is>
      </c>
      <c r="B68" s="3" t="inlineStr">
        <is>
          <t>004583</t>
        </is>
      </c>
      <c r="C68" s="3" t="inlineStr">
        <is>
          <t>003628</t>
        </is>
      </c>
      <c r="D68" s="4" t="n">
        <v>44946</v>
      </c>
      <c r="E68" s="2" t="inlineStr">
        <is>
          <t>14:50</t>
        </is>
      </c>
      <c r="F68" s="5" t="n">
        <v>319.17</v>
      </c>
      <c r="G68" s="5" t="n"/>
      <c r="H68" s="5" t="n"/>
      <c r="I68" s="5" t="n"/>
      <c r="J68" s="5" t="n">
        <v>63.83</v>
      </c>
      <c r="K68" s="5" t="n"/>
      <c r="L68" s="5" t="n"/>
      <c r="M68" s="5" t="n"/>
      <c r="N68" s="5" t="n"/>
      <c r="O68" s="5" t="n">
        <v>383</v>
      </c>
      <c r="P68" s="5" t="n">
        <v>383</v>
      </c>
      <c r="Q68" s="5" t="n"/>
      <c r="R68" s="5" t="n"/>
      <c r="S68" s="5">
        <f>SUM(F68:I68)+N68</f>
        <v/>
      </c>
      <c r="T68" s="5">
        <f>J68</f>
        <v/>
      </c>
      <c r="U68" s="6">
        <f>YEAR(D68)</f>
        <v/>
      </c>
      <c r="V68" s="5">
        <f>TEXT(D68,"yyyy-mm")</f>
        <v/>
      </c>
    </row>
    <row r="69">
      <c r="A69" s="2" t="inlineStr">
        <is>
          <t>EJ310123.TXT</t>
        </is>
      </c>
      <c r="B69" s="3" t="inlineStr">
        <is>
          <t>004584</t>
        </is>
      </c>
      <c r="C69" s="3" t="inlineStr">
        <is>
          <t>003629</t>
        </is>
      </c>
      <c r="D69" s="4" t="n">
        <v>44946</v>
      </c>
      <c r="E69" s="2" t="inlineStr">
        <is>
          <t>15:10</t>
        </is>
      </c>
      <c r="F69" s="5" t="n">
        <v>175</v>
      </c>
      <c r="G69" s="5" t="n"/>
      <c r="H69" s="5" t="n"/>
      <c r="I69" s="5" t="n"/>
      <c r="J69" s="5" t="n">
        <v>35</v>
      </c>
      <c r="K69" s="5" t="n"/>
      <c r="L69" s="5" t="n"/>
      <c r="M69" s="5" t="n"/>
      <c r="N69" s="5" t="n"/>
      <c r="O69" s="5" t="n">
        <v>210</v>
      </c>
      <c r="P69" s="5" t="n">
        <v>210</v>
      </c>
      <c r="Q69" s="5" t="n"/>
      <c r="R69" s="5" t="n"/>
      <c r="S69" s="5">
        <f>SUM(F69:I69)+N69</f>
        <v/>
      </c>
      <c r="T69" s="5">
        <f>J69</f>
        <v/>
      </c>
      <c r="U69" s="6">
        <f>YEAR(D69)</f>
        <v/>
      </c>
      <c r="V69" s="5">
        <f>TEXT(D69,"yyyy-mm")</f>
        <v/>
      </c>
    </row>
    <row r="70">
      <c r="A70" s="2" t="inlineStr">
        <is>
          <t>EJ310123.TXT</t>
        </is>
      </c>
      <c r="B70" s="3" t="inlineStr">
        <is>
          <t>004585</t>
        </is>
      </c>
      <c r="C70" s="3" t="inlineStr">
        <is>
          <t>003630</t>
        </is>
      </c>
      <c r="D70" s="4" t="n">
        <v>44946</v>
      </c>
      <c r="E70" s="2" t="inlineStr">
        <is>
          <t>15:46</t>
        </is>
      </c>
      <c r="F70" s="5" t="n">
        <v>249.17</v>
      </c>
      <c r="G70" s="5" t="n"/>
      <c r="H70" s="5" t="n"/>
      <c r="I70" s="5" t="n"/>
      <c r="J70" s="5" t="n">
        <v>49.83</v>
      </c>
      <c r="K70" s="5" t="n"/>
      <c r="L70" s="5" t="n"/>
      <c r="M70" s="5" t="n"/>
      <c r="N70" s="5" t="n"/>
      <c r="O70" s="5" t="n">
        <v>299</v>
      </c>
      <c r="P70" s="5" t="n">
        <v>299</v>
      </c>
      <c r="Q70" s="5" t="n"/>
      <c r="R70" s="5" t="n"/>
      <c r="S70" s="5">
        <f>SUM(F70:I70)+N70</f>
        <v/>
      </c>
      <c r="T70" s="5">
        <f>J70</f>
        <v/>
      </c>
      <c r="U70" s="6">
        <f>YEAR(D70)</f>
        <v/>
      </c>
      <c r="V70" s="5">
        <f>TEXT(D70,"yyyy-mm")</f>
        <v/>
      </c>
    </row>
    <row r="71">
      <c r="A71" s="2" t="inlineStr">
        <is>
          <t>EJ310123.TXT</t>
        </is>
      </c>
      <c r="B71" s="3" t="inlineStr">
        <is>
          <t>004586</t>
        </is>
      </c>
      <c r="C71" s="3" t="inlineStr">
        <is>
          <t>003631</t>
        </is>
      </c>
      <c r="D71" s="4" t="n">
        <v>44946</v>
      </c>
      <c r="E71" s="2" t="inlineStr">
        <is>
          <t>18:22</t>
        </is>
      </c>
      <c r="F71" s="5" t="n">
        <v>483.33</v>
      </c>
      <c r="G71" s="5" t="n"/>
      <c r="H71" s="5" t="n"/>
      <c r="I71" s="5" t="n"/>
      <c r="J71" s="5" t="n">
        <v>96.67</v>
      </c>
      <c r="K71" s="5" t="n"/>
      <c r="L71" s="5" t="n"/>
      <c r="M71" s="5" t="n"/>
      <c r="N71" s="5" t="n"/>
      <c r="O71" s="5" t="n">
        <v>580</v>
      </c>
      <c r="P71" s="5" t="n"/>
      <c r="Q71" s="5" t="n">
        <v>580</v>
      </c>
      <c r="R71" s="5" t="n"/>
      <c r="S71" s="5">
        <f>SUM(F71:I71)+N71</f>
        <v/>
      </c>
      <c r="T71" s="5">
        <f>J71</f>
        <v/>
      </c>
      <c r="U71" s="6">
        <f>YEAR(D71)</f>
        <v/>
      </c>
      <c r="V71" s="5">
        <f>TEXT(D71,"yyyy-mm")</f>
        <v/>
      </c>
    </row>
    <row r="72">
      <c r="A72" s="2" t="inlineStr">
        <is>
          <t>EJ310123.TXT</t>
        </is>
      </c>
      <c r="B72" s="3" t="inlineStr">
        <is>
          <t>004587</t>
        </is>
      </c>
      <c r="C72" s="3" t="inlineStr">
        <is>
          <t>003632</t>
        </is>
      </c>
      <c r="D72" s="4" t="n">
        <v>44947</v>
      </c>
      <c r="E72" s="2" t="inlineStr">
        <is>
          <t>15:25</t>
        </is>
      </c>
      <c r="F72" s="5" t="n">
        <v>2100</v>
      </c>
      <c r="G72" s="5" t="n"/>
      <c r="H72" s="5" t="n"/>
      <c r="I72" s="5" t="n"/>
      <c r="J72" s="5" t="n">
        <v>420</v>
      </c>
      <c r="K72" s="5" t="n"/>
      <c r="L72" s="5" t="n"/>
      <c r="M72" s="5" t="n"/>
      <c r="N72" s="5" t="n"/>
      <c r="O72" s="5" t="n">
        <v>2520</v>
      </c>
      <c r="P72" s="5" t="n">
        <v>2520</v>
      </c>
      <c r="Q72" s="5" t="n"/>
      <c r="R72" s="5" t="n"/>
      <c r="S72" s="5">
        <f>SUM(F72:I72)+N72</f>
        <v/>
      </c>
      <c r="T72" s="5">
        <f>J72</f>
        <v/>
      </c>
      <c r="U72" s="6">
        <f>YEAR(D72)</f>
        <v/>
      </c>
      <c r="V72" s="5">
        <f>TEXT(D72,"yyyy-mm")</f>
        <v/>
      </c>
    </row>
    <row r="73">
      <c r="A73" s="2" t="inlineStr">
        <is>
          <t>EJ310123.TXT</t>
        </is>
      </c>
      <c r="B73" s="3" t="inlineStr">
        <is>
          <t>004588</t>
        </is>
      </c>
      <c r="C73" s="3" t="inlineStr">
        <is>
          <t>003633</t>
        </is>
      </c>
      <c r="D73" s="4" t="n">
        <v>44947</v>
      </c>
      <c r="E73" s="2" t="inlineStr">
        <is>
          <t>15:37</t>
        </is>
      </c>
      <c r="F73" s="5" t="n">
        <v>494.17</v>
      </c>
      <c r="G73" s="5" t="n"/>
      <c r="H73" s="5" t="n"/>
      <c r="I73" s="5" t="n"/>
      <c r="J73" s="5" t="n">
        <v>98.83</v>
      </c>
      <c r="K73" s="5" t="n"/>
      <c r="L73" s="5" t="n"/>
      <c r="M73" s="5" t="n"/>
      <c r="N73" s="5" t="n"/>
      <c r="O73" s="5" t="n">
        <v>593</v>
      </c>
      <c r="P73" s="5" t="n"/>
      <c r="Q73" s="5" t="n">
        <v>593</v>
      </c>
      <c r="R73" s="5" t="n"/>
      <c r="S73" s="5">
        <f>SUM(F73:I73)+N73</f>
        <v/>
      </c>
      <c r="T73" s="5">
        <f>J73</f>
        <v/>
      </c>
      <c r="U73" s="6">
        <f>YEAR(D73)</f>
        <v/>
      </c>
      <c r="V73" s="5">
        <f>TEXT(D73,"yyyy-mm")</f>
        <v/>
      </c>
    </row>
    <row r="74">
      <c r="A74" s="2" t="inlineStr">
        <is>
          <t>EJ310123.TXT</t>
        </is>
      </c>
      <c r="B74" s="3" t="inlineStr">
        <is>
          <t>004589</t>
        </is>
      </c>
      <c r="C74" s="3" t="inlineStr">
        <is>
          <t>003634</t>
        </is>
      </c>
      <c r="D74" s="4" t="n">
        <v>44947</v>
      </c>
      <c r="E74" s="2" t="inlineStr">
        <is>
          <t>15:40</t>
        </is>
      </c>
      <c r="F74" s="5" t="n">
        <v>747.5</v>
      </c>
      <c r="G74" s="5" t="n"/>
      <c r="H74" s="5" t="n"/>
      <c r="I74" s="5" t="n"/>
      <c r="J74" s="5" t="n">
        <v>149.5</v>
      </c>
      <c r="K74" s="5" t="n"/>
      <c r="L74" s="5" t="n"/>
      <c r="M74" s="5" t="n"/>
      <c r="N74" s="5" t="n"/>
      <c r="O74" s="5" t="n">
        <v>897</v>
      </c>
      <c r="P74" s="5" t="n"/>
      <c r="Q74" s="5" t="n">
        <v>897</v>
      </c>
      <c r="R74" s="5" t="n"/>
      <c r="S74" s="5">
        <f>SUM(F74:I74)+N74</f>
        <v/>
      </c>
      <c r="T74" s="5">
        <f>J74</f>
        <v/>
      </c>
      <c r="U74" s="6">
        <f>YEAR(D74)</f>
        <v/>
      </c>
      <c r="V74" s="5">
        <f>TEXT(D74,"yyyy-mm")</f>
        <v/>
      </c>
    </row>
    <row r="75">
      <c r="A75" s="2" t="inlineStr">
        <is>
          <t>EJ310123.TXT</t>
        </is>
      </c>
      <c r="B75" s="3" t="inlineStr">
        <is>
          <t>004590</t>
        </is>
      </c>
      <c r="C75" s="3" t="inlineStr">
        <is>
          <t>003635</t>
        </is>
      </c>
      <c r="D75" s="4" t="n">
        <v>44947</v>
      </c>
      <c r="E75" s="2" t="inlineStr">
        <is>
          <t>15:44</t>
        </is>
      </c>
      <c r="F75" s="5" t="n">
        <v>747.5</v>
      </c>
      <c r="G75" s="5" t="n"/>
      <c r="H75" s="5" t="n"/>
      <c r="I75" s="5" t="n"/>
      <c r="J75" s="5" t="n">
        <v>149.5</v>
      </c>
      <c r="K75" s="5" t="n"/>
      <c r="L75" s="5" t="n"/>
      <c r="M75" s="5" t="n"/>
      <c r="N75" s="5" t="n"/>
      <c r="O75" s="5" t="n">
        <v>897</v>
      </c>
      <c r="P75" s="5" t="n"/>
      <c r="Q75" s="5" t="n">
        <v>897</v>
      </c>
      <c r="R75" s="5" t="n"/>
      <c r="S75" s="5">
        <f>SUM(F75:I75)+N75</f>
        <v/>
      </c>
      <c r="T75" s="5">
        <f>J75</f>
        <v/>
      </c>
      <c r="U75" s="6">
        <f>YEAR(D75)</f>
        <v/>
      </c>
      <c r="V75" s="5">
        <f>TEXT(D75,"yyyy-mm")</f>
        <v/>
      </c>
    </row>
    <row r="76">
      <c r="A76" s="2" t="inlineStr">
        <is>
          <t>EJ310123.TXT</t>
        </is>
      </c>
      <c r="B76" s="3" t="inlineStr">
        <is>
          <t>004591</t>
        </is>
      </c>
      <c r="C76" s="3" t="inlineStr">
        <is>
          <t>003636</t>
        </is>
      </c>
      <c r="D76" s="4" t="n">
        <v>44947</v>
      </c>
      <c r="E76" s="2" t="inlineStr">
        <is>
          <t>15:46</t>
        </is>
      </c>
      <c r="F76" s="5" t="n">
        <v>498.33</v>
      </c>
      <c r="G76" s="5" t="n"/>
      <c r="H76" s="5" t="n"/>
      <c r="I76" s="5" t="n"/>
      <c r="J76" s="5" t="n">
        <v>99.67</v>
      </c>
      <c r="K76" s="5" t="n"/>
      <c r="L76" s="5" t="n"/>
      <c r="M76" s="5" t="n"/>
      <c r="N76" s="5" t="n"/>
      <c r="O76" s="5" t="n">
        <v>598</v>
      </c>
      <c r="P76" s="5" t="n"/>
      <c r="Q76" s="5" t="n">
        <v>598</v>
      </c>
      <c r="R76" s="5" t="n"/>
      <c r="S76" s="5">
        <f>SUM(F76:I76)+N76</f>
        <v/>
      </c>
      <c r="T76" s="5">
        <f>J76</f>
        <v/>
      </c>
      <c r="U76" s="6">
        <f>YEAR(D76)</f>
        <v/>
      </c>
      <c r="V76" s="5">
        <f>TEXT(D76,"yyyy-mm")</f>
        <v/>
      </c>
    </row>
    <row r="77">
      <c r="A77" s="2" t="inlineStr">
        <is>
          <t>EJ310123.TXT</t>
        </is>
      </c>
      <c r="B77" s="3" t="inlineStr">
        <is>
          <t>004592</t>
        </is>
      </c>
      <c r="C77" s="3" t="inlineStr">
        <is>
          <t>003637</t>
        </is>
      </c>
      <c r="D77" s="4" t="n">
        <v>44947</v>
      </c>
      <c r="E77" s="2" t="inlineStr">
        <is>
          <t>15:47</t>
        </is>
      </c>
      <c r="F77" s="5" t="n">
        <v>725</v>
      </c>
      <c r="G77" s="5" t="n"/>
      <c r="H77" s="5" t="n"/>
      <c r="I77" s="5" t="n"/>
      <c r="J77" s="5" t="n">
        <v>145</v>
      </c>
      <c r="K77" s="5" t="n"/>
      <c r="L77" s="5" t="n"/>
      <c r="M77" s="5" t="n"/>
      <c r="N77" s="5" t="n"/>
      <c r="O77" s="5" t="n">
        <v>870</v>
      </c>
      <c r="P77" s="5" t="n"/>
      <c r="Q77" s="5" t="n">
        <v>870</v>
      </c>
      <c r="R77" s="5" t="n"/>
      <c r="S77" s="5">
        <f>SUM(F77:I77)+N77</f>
        <v/>
      </c>
      <c r="T77" s="5">
        <f>J77</f>
        <v/>
      </c>
      <c r="U77" s="6">
        <f>YEAR(D77)</f>
        <v/>
      </c>
      <c r="V77" s="5">
        <f>TEXT(D77,"yyyy-mm")</f>
        <v/>
      </c>
    </row>
    <row r="78">
      <c r="A78" s="2" t="inlineStr">
        <is>
          <t>EJ310123.TXT</t>
        </is>
      </c>
      <c r="B78" s="3" t="inlineStr">
        <is>
          <t>004593</t>
        </is>
      </c>
      <c r="C78" s="3" t="inlineStr">
        <is>
          <t>003638</t>
        </is>
      </c>
      <c r="D78" s="4" t="n">
        <v>44947</v>
      </c>
      <c r="E78" s="2" t="inlineStr">
        <is>
          <t>15:48</t>
        </is>
      </c>
      <c r="F78" s="5" t="n">
        <v>702.5</v>
      </c>
      <c r="G78" s="5" t="n"/>
      <c r="H78" s="5" t="n"/>
      <c r="I78" s="5" t="n"/>
      <c r="J78" s="5" t="n">
        <v>140.5</v>
      </c>
      <c r="K78" s="5" t="n"/>
      <c r="L78" s="5" t="n"/>
      <c r="M78" s="5" t="n"/>
      <c r="N78" s="5" t="n"/>
      <c r="O78" s="5" t="n">
        <v>843</v>
      </c>
      <c r="P78" s="5" t="n"/>
      <c r="Q78" s="5" t="n">
        <v>843</v>
      </c>
      <c r="R78" s="5" t="n"/>
      <c r="S78" s="5">
        <f>SUM(F78:I78)+N78</f>
        <v/>
      </c>
      <c r="T78" s="5">
        <f>J78</f>
        <v/>
      </c>
      <c r="U78" s="6">
        <f>YEAR(D78)</f>
        <v/>
      </c>
      <c r="V78" s="5">
        <f>TEXT(D78,"yyyy-mm")</f>
        <v/>
      </c>
    </row>
    <row r="79">
      <c r="A79" s="2" t="inlineStr">
        <is>
          <t>EJ310123.TXT</t>
        </is>
      </c>
      <c r="B79" s="3" t="inlineStr">
        <is>
          <t>004594</t>
        </is>
      </c>
      <c r="C79" s="3" t="inlineStr">
        <is>
          <t>003639</t>
        </is>
      </c>
      <c r="D79" s="4" t="n">
        <v>44947</v>
      </c>
      <c r="E79" s="2" t="inlineStr">
        <is>
          <t>15:49</t>
        </is>
      </c>
      <c r="F79" s="5" t="n">
        <v>226.67</v>
      </c>
      <c r="G79" s="5" t="n"/>
      <c r="H79" s="5" t="n"/>
      <c r="I79" s="5" t="n"/>
      <c r="J79" s="5" t="n">
        <v>45.33</v>
      </c>
      <c r="K79" s="5" t="n"/>
      <c r="L79" s="5" t="n"/>
      <c r="M79" s="5" t="n"/>
      <c r="N79" s="5" t="n"/>
      <c r="O79" s="5" t="n">
        <v>272</v>
      </c>
      <c r="P79" s="5" t="n"/>
      <c r="Q79" s="5" t="n">
        <v>272</v>
      </c>
      <c r="R79" s="5" t="n"/>
      <c r="S79" s="5">
        <f>SUM(F79:I79)+N79</f>
        <v/>
      </c>
      <c r="T79" s="5">
        <f>J79</f>
        <v/>
      </c>
      <c r="U79" s="6">
        <f>YEAR(D79)</f>
        <v/>
      </c>
      <c r="V79" s="5">
        <f>TEXT(D79,"yyyy-mm")</f>
        <v/>
      </c>
    </row>
    <row r="80">
      <c r="A80" s="2" t="inlineStr">
        <is>
          <t>EJ310123.TXT</t>
        </is>
      </c>
      <c r="B80" s="3" t="inlineStr">
        <is>
          <t>004595</t>
        </is>
      </c>
      <c r="C80" s="3" t="inlineStr">
        <is>
          <t>003640</t>
        </is>
      </c>
      <c r="D80" s="4" t="n">
        <v>44947</v>
      </c>
      <c r="E80" s="2" t="inlineStr">
        <is>
          <t>16:04</t>
        </is>
      </c>
      <c r="F80" s="5" t="n">
        <v>582.5</v>
      </c>
      <c r="G80" s="5" t="n"/>
      <c r="H80" s="5" t="n"/>
      <c r="I80" s="5" t="n"/>
      <c r="J80" s="5" t="n">
        <v>116.5</v>
      </c>
      <c r="K80" s="5" t="n"/>
      <c r="L80" s="5" t="n"/>
      <c r="M80" s="5" t="n"/>
      <c r="N80" s="5" t="n"/>
      <c r="O80" s="5" t="n">
        <v>699</v>
      </c>
      <c r="P80" s="5" t="n"/>
      <c r="Q80" s="5" t="n">
        <v>699</v>
      </c>
      <c r="R80" s="5" t="n"/>
      <c r="S80" s="5">
        <f>SUM(F80:I80)+N80</f>
        <v/>
      </c>
      <c r="T80" s="5">
        <f>J80</f>
        <v/>
      </c>
      <c r="U80" s="6">
        <f>YEAR(D80)</f>
        <v/>
      </c>
      <c r="V80" s="5">
        <f>TEXT(D80,"yyyy-mm")</f>
        <v/>
      </c>
    </row>
    <row r="81">
      <c r="A81" s="2" t="inlineStr">
        <is>
          <t>EJ310123.TXT</t>
        </is>
      </c>
      <c r="B81" s="3" t="inlineStr">
        <is>
          <t>004596</t>
        </is>
      </c>
      <c r="C81" s="3" t="inlineStr">
        <is>
          <t>003641</t>
        </is>
      </c>
      <c r="D81" s="4" t="n">
        <v>44947</v>
      </c>
      <c r="E81" s="2" t="inlineStr">
        <is>
          <t>16:52</t>
        </is>
      </c>
      <c r="F81" s="5" t="n">
        <v>175</v>
      </c>
      <c r="G81" s="5" t="n"/>
      <c r="H81" s="5" t="n"/>
      <c r="I81" s="5" t="n"/>
      <c r="J81" s="5" t="n">
        <v>35</v>
      </c>
      <c r="K81" s="5" t="n"/>
      <c r="L81" s="5" t="n"/>
      <c r="M81" s="5" t="n"/>
      <c r="N81" s="5" t="n"/>
      <c r="O81" s="5" t="n">
        <v>210</v>
      </c>
      <c r="P81" s="5" t="n">
        <v>210</v>
      </c>
      <c r="Q81" s="5" t="n"/>
      <c r="R81" s="5" t="n"/>
      <c r="S81" s="5">
        <f>SUM(F81:I81)+N81</f>
        <v/>
      </c>
      <c r="T81" s="5">
        <f>J81</f>
        <v/>
      </c>
      <c r="U81" s="6">
        <f>YEAR(D81)</f>
        <v/>
      </c>
      <c r="V81" s="5">
        <f>TEXT(D81,"yyyy-mm")</f>
        <v/>
      </c>
    </row>
    <row r="82">
      <c r="A82" s="2" t="inlineStr">
        <is>
          <t>EJ310123.TXT</t>
        </is>
      </c>
      <c r="B82" s="3" t="inlineStr">
        <is>
          <t>004597</t>
        </is>
      </c>
      <c r="C82" s="3" t="inlineStr">
        <is>
          <t>003642</t>
        </is>
      </c>
      <c r="D82" s="4" t="n">
        <v>44947</v>
      </c>
      <c r="E82" s="2" t="inlineStr">
        <is>
          <t>18:18</t>
        </is>
      </c>
      <c r="F82" s="5" t="n">
        <v>249.17</v>
      </c>
      <c r="G82" s="5" t="n"/>
      <c r="H82" s="5" t="n"/>
      <c r="I82" s="5" t="n"/>
      <c r="J82" s="5" t="n">
        <v>49.83</v>
      </c>
      <c r="K82" s="5" t="n"/>
      <c r="L82" s="5" t="n"/>
      <c r="M82" s="5" t="n"/>
      <c r="N82" s="5" t="n"/>
      <c r="O82" s="5" t="n">
        <v>299</v>
      </c>
      <c r="P82" s="5" t="n"/>
      <c r="Q82" s="5" t="n">
        <v>299</v>
      </c>
      <c r="R82" s="5" t="n"/>
      <c r="S82" s="5">
        <f>SUM(F82:I82)+N82</f>
        <v/>
      </c>
      <c r="T82" s="5">
        <f>J82</f>
        <v/>
      </c>
      <c r="U82" s="6">
        <f>YEAR(D82)</f>
        <v/>
      </c>
      <c r="V82" s="5">
        <f>TEXT(D82,"yyyy-mm")</f>
        <v/>
      </c>
    </row>
    <row r="83">
      <c r="A83" s="2" t="inlineStr">
        <is>
          <t>EJ310123.TXT</t>
        </is>
      </c>
      <c r="B83" s="3" t="inlineStr">
        <is>
          <t>004598</t>
        </is>
      </c>
      <c r="C83" s="3" t="inlineStr">
        <is>
          <t>003643</t>
        </is>
      </c>
      <c r="D83" s="4" t="n">
        <v>44947</v>
      </c>
      <c r="E83" s="2" t="inlineStr">
        <is>
          <t>18:40</t>
        </is>
      </c>
      <c r="F83" s="5" t="n">
        <v>1245.83</v>
      </c>
      <c r="G83" s="5" t="n"/>
      <c r="H83" s="5" t="n"/>
      <c r="I83" s="5" t="n"/>
      <c r="J83" s="5" t="n">
        <v>249.17</v>
      </c>
      <c r="K83" s="5" t="n"/>
      <c r="L83" s="5" t="n"/>
      <c r="M83" s="5" t="n"/>
      <c r="N83" s="5" t="n"/>
      <c r="O83" s="5" t="n">
        <v>1495</v>
      </c>
      <c r="P83" s="5" t="n">
        <v>1495</v>
      </c>
      <c r="Q83" s="5" t="n"/>
      <c r="R83" s="5" t="n"/>
      <c r="S83" s="5">
        <f>SUM(F83:I83)+N83</f>
        <v/>
      </c>
      <c r="T83" s="5">
        <f>J83</f>
        <v/>
      </c>
      <c r="U83" s="6">
        <f>YEAR(D83)</f>
        <v/>
      </c>
      <c r="V83" s="5">
        <f>TEXT(D83,"yyyy-mm")</f>
        <v/>
      </c>
    </row>
    <row r="84">
      <c r="A84" s="2" t="inlineStr">
        <is>
          <t>EJ310123.TXT</t>
        </is>
      </c>
      <c r="B84" s="3" t="inlineStr">
        <is>
          <t>004599</t>
        </is>
      </c>
      <c r="C84" s="3" t="inlineStr">
        <is>
          <t>003644</t>
        </is>
      </c>
      <c r="D84" s="4" t="n">
        <v>44949</v>
      </c>
      <c r="E84" s="2" t="inlineStr">
        <is>
          <t>14:44</t>
        </is>
      </c>
      <c r="F84" s="5" t="n">
        <v>747.5</v>
      </c>
      <c r="G84" s="5" t="n"/>
      <c r="H84" s="5" t="n"/>
      <c r="I84" s="5" t="n"/>
      <c r="J84" s="5" t="n">
        <v>149.5</v>
      </c>
      <c r="K84" s="5" t="n"/>
      <c r="L84" s="5" t="n"/>
      <c r="M84" s="5" t="n"/>
      <c r="N84" s="5" t="n"/>
      <c r="O84" s="5" t="n">
        <v>897</v>
      </c>
      <c r="P84" s="5" t="n"/>
      <c r="Q84" s="5" t="n">
        <v>897</v>
      </c>
      <c r="R84" s="5" t="n"/>
      <c r="S84" s="5">
        <f>SUM(F84:I84)+N84</f>
        <v/>
      </c>
      <c r="T84" s="5">
        <f>J84</f>
        <v/>
      </c>
      <c r="U84" s="6">
        <f>YEAR(D84)</f>
        <v/>
      </c>
      <c r="V84" s="5">
        <f>TEXT(D84,"yyyy-mm")</f>
        <v/>
      </c>
    </row>
    <row r="85">
      <c r="A85" s="2" t="inlineStr">
        <is>
          <t>EJ310123.TXT</t>
        </is>
      </c>
      <c r="B85" s="3" t="inlineStr">
        <is>
          <t>004600</t>
        </is>
      </c>
      <c r="C85" s="3" t="inlineStr">
        <is>
          <t>003645</t>
        </is>
      </c>
      <c r="D85" s="4" t="n">
        <v>44949</v>
      </c>
      <c r="E85" s="2" t="inlineStr">
        <is>
          <t>14:45</t>
        </is>
      </c>
      <c r="F85" s="5" t="n">
        <v>747.5</v>
      </c>
      <c r="G85" s="5" t="n"/>
      <c r="H85" s="5" t="n"/>
      <c r="I85" s="5" t="n"/>
      <c r="J85" s="5" t="n">
        <v>149.5</v>
      </c>
      <c r="K85" s="5" t="n"/>
      <c r="L85" s="5" t="n"/>
      <c r="M85" s="5" t="n"/>
      <c r="N85" s="5" t="n"/>
      <c r="O85" s="5" t="n">
        <v>897</v>
      </c>
      <c r="P85" s="5" t="n"/>
      <c r="Q85" s="5" t="n">
        <v>897</v>
      </c>
      <c r="R85" s="5" t="n"/>
      <c r="S85" s="5">
        <f>SUM(F85:I85)+N85</f>
        <v/>
      </c>
      <c r="T85" s="5">
        <f>J85</f>
        <v/>
      </c>
      <c r="U85" s="6">
        <f>YEAR(D85)</f>
        <v/>
      </c>
      <c r="V85" s="5">
        <f>TEXT(D85,"yyyy-mm")</f>
        <v/>
      </c>
    </row>
    <row r="86">
      <c r="A86" s="2" t="inlineStr">
        <is>
          <t>EJ310123.TXT</t>
        </is>
      </c>
      <c r="B86" s="3" t="inlineStr">
        <is>
          <t>004601</t>
        </is>
      </c>
      <c r="C86" s="3" t="inlineStr">
        <is>
          <t>003646</t>
        </is>
      </c>
      <c r="D86" s="4" t="n">
        <v>44949</v>
      </c>
      <c r="E86" s="2" t="inlineStr">
        <is>
          <t>15:36</t>
        </is>
      </c>
      <c r="F86" s="5" t="n">
        <v>156.67</v>
      </c>
      <c r="G86" s="5" t="n"/>
      <c r="H86" s="5" t="n"/>
      <c r="I86" s="5" t="n"/>
      <c r="J86" s="5" t="n">
        <v>31.33</v>
      </c>
      <c r="K86" s="5" t="n"/>
      <c r="L86" s="5" t="n"/>
      <c r="M86" s="5" t="n"/>
      <c r="N86" s="5" t="n"/>
      <c r="O86" s="5" t="n">
        <v>188</v>
      </c>
      <c r="P86" s="5" t="n"/>
      <c r="Q86" s="5" t="n">
        <v>188</v>
      </c>
      <c r="R86" s="5" t="n"/>
      <c r="S86" s="5">
        <f>SUM(F86:I86)+N86</f>
        <v/>
      </c>
      <c r="T86" s="5">
        <f>J86</f>
        <v/>
      </c>
      <c r="U86" s="6">
        <f>YEAR(D86)</f>
        <v/>
      </c>
      <c r="V86" s="5">
        <f>TEXT(D86,"yyyy-mm")</f>
        <v/>
      </c>
    </row>
    <row r="87">
      <c r="A87" s="2" t="inlineStr">
        <is>
          <t>EJ310123.TXT</t>
        </is>
      </c>
      <c r="B87" s="3" t="inlineStr">
        <is>
          <t>004602</t>
        </is>
      </c>
      <c r="C87" s="3" t="inlineStr">
        <is>
          <t>003647</t>
        </is>
      </c>
      <c r="D87" s="4" t="n">
        <v>44949</v>
      </c>
      <c r="E87" s="2" t="inlineStr">
        <is>
          <t>15:36</t>
        </is>
      </c>
      <c r="F87" s="5" t="n">
        <v>725</v>
      </c>
      <c r="G87" s="5" t="n"/>
      <c r="H87" s="5" t="n"/>
      <c r="I87" s="5" t="n"/>
      <c r="J87" s="5" t="n">
        <v>145</v>
      </c>
      <c r="K87" s="5" t="n"/>
      <c r="L87" s="5" t="n"/>
      <c r="M87" s="5" t="n"/>
      <c r="N87" s="5" t="n"/>
      <c r="O87" s="5" t="n">
        <v>870</v>
      </c>
      <c r="P87" s="5" t="n"/>
      <c r="Q87" s="5" t="n">
        <v>870</v>
      </c>
      <c r="R87" s="5" t="n"/>
      <c r="S87" s="5">
        <f>SUM(F87:I87)+N87</f>
        <v/>
      </c>
      <c r="T87" s="5">
        <f>J87</f>
        <v/>
      </c>
      <c r="U87" s="6">
        <f>YEAR(D87)</f>
        <v/>
      </c>
      <c r="V87" s="5">
        <f>TEXT(D87,"yyyy-mm")</f>
        <v/>
      </c>
    </row>
    <row r="88">
      <c r="A88" s="2" t="inlineStr">
        <is>
          <t>EJ310123.TXT</t>
        </is>
      </c>
      <c r="B88" s="3" t="inlineStr">
        <is>
          <t>004603</t>
        </is>
      </c>
      <c r="C88" s="3" t="inlineStr">
        <is>
          <t>003648</t>
        </is>
      </c>
      <c r="D88" s="4" t="n">
        <v>44949</v>
      </c>
      <c r="E88" s="2" t="inlineStr">
        <is>
          <t>15:36</t>
        </is>
      </c>
      <c r="F88" s="5" t="n">
        <v>241.67</v>
      </c>
      <c r="G88" s="5" t="n"/>
      <c r="H88" s="5" t="n"/>
      <c r="I88" s="5" t="n"/>
      <c r="J88" s="5" t="n">
        <v>48.33</v>
      </c>
      <c r="K88" s="5" t="n"/>
      <c r="L88" s="5" t="n"/>
      <c r="M88" s="5" t="n"/>
      <c r="N88" s="5" t="n"/>
      <c r="O88" s="5" t="n">
        <v>290</v>
      </c>
      <c r="P88" s="5" t="n"/>
      <c r="Q88" s="5" t="n">
        <v>290</v>
      </c>
      <c r="R88" s="5" t="n"/>
      <c r="S88" s="5">
        <f>SUM(F88:I88)+N88</f>
        <v/>
      </c>
      <c r="T88" s="5">
        <f>J88</f>
        <v/>
      </c>
      <c r="U88" s="6">
        <f>YEAR(D88)</f>
        <v/>
      </c>
      <c r="V88" s="5">
        <f>TEXT(D88,"yyyy-mm")</f>
        <v/>
      </c>
    </row>
    <row r="89">
      <c r="A89" s="2" t="inlineStr">
        <is>
          <t>EJ310123.TXT</t>
        </is>
      </c>
      <c r="B89" s="3" t="inlineStr">
        <is>
          <t>004604</t>
        </is>
      </c>
      <c r="C89" s="3" t="inlineStr">
        <is>
          <t>003649</t>
        </is>
      </c>
      <c r="D89" s="4" t="n">
        <v>44949</v>
      </c>
      <c r="E89" s="2" t="inlineStr">
        <is>
          <t>15:36</t>
        </is>
      </c>
      <c r="F89" s="5" t="n">
        <v>483.33</v>
      </c>
      <c r="G89" s="5" t="n"/>
      <c r="H89" s="5" t="n"/>
      <c r="I89" s="5" t="n"/>
      <c r="J89" s="5" t="n">
        <v>96.67</v>
      </c>
      <c r="K89" s="5" t="n"/>
      <c r="L89" s="5" t="n"/>
      <c r="M89" s="5" t="n"/>
      <c r="N89" s="5" t="n"/>
      <c r="O89" s="5" t="n">
        <v>580</v>
      </c>
      <c r="P89" s="5" t="n"/>
      <c r="Q89" s="5" t="n">
        <v>580</v>
      </c>
      <c r="R89" s="5" t="n"/>
      <c r="S89" s="5">
        <f>SUM(F89:I89)+N89</f>
        <v/>
      </c>
      <c r="T89" s="5">
        <f>J89</f>
        <v/>
      </c>
      <c r="U89" s="6">
        <f>YEAR(D89)</f>
        <v/>
      </c>
      <c r="V89" s="5">
        <f>TEXT(D89,"yyyy-mm")</f>
        <v/>
      </c>
    </row>
    <row r="90">
      <c r="A90" s="2" t="inlineStr">
        <is>
          <t>EJ310123.TXT</t>
        </is>
      </c>
      <c r="B90" s="3" t="inlineStr">
        <is>
          <t>004605</t>
        </is>
      </c>
      <c r="C90" s="3" t="inlineStr">
        <is>
          <t>003650</t>
        </is>
      </c>
      <c r="D90" s="4" t="n">
        <v>44949</v>
      </c>
      <c r="E90" s="2" t="inlineStr">
        <is>
          <t>17:28</t>
        </is>
      </c>
      <c r="F90" s="5" t="n">
        <v>115.83</v>
      </c>
      <c r="G90" s="5" t="n"/>
      <c r="H90" s="5" t="n"/>
      <c r="I90" s="5" t="n"/>
      <c r="J90" s="5" t="n">
        <v>23.17</v>
      </c>
      <c r="K90" s="5" t="n"/>
      <c r="L90" s="5" t="n"/>
      <c r="M90" s="5" t="n"/>
      <c r="N90" s="5" t="n"/>
      <c r="O90" s="5" t="n">
        <v>139</v>
      </c>
      <c r="P90" s="5" t="n"/>
      <c r="Q90" s="5" t="n">
        <v>139</v>
      </c>
      <c r="R90" s="5" t="n"/>
      <c r="S90" s="5">
        <f>SUM(F90:I90)+N90</f>
        <v/>
      </c>
      <c r="T90" s="5">
        <f>J90</f>
        <v/>
      </c>
      <c r="U90" s="6">
        <f>YEAR(D90)</f>
        <v/>
      </c>
      <c r="V90" s="5">
        <f>TEXT(D90,"yyyy-mm")</f>
        <v/>
      </c>
    </row>
    <row r="91">
      <c r="A91" s="2" t="inlineStr">
        <is>
          <t>EJ310123.TXT</t>
        </is>
      </c>
      <c r="B91" s="3" t="inlineStr">
        <is>
          <t>004606</t>
        </is>
      </c>
      <c r="C91" s="3" t="inlineStr">
        <is>
          <t>003651</t>
        </is>
      </c>
      <c r="D91" s="4" t="n">
        <v>44949</v>
      </c>
      <c r="E91" s="2" t="inlineStr">
        <is>
          <t>17:50</t>
        </is>
      </c>
      <c r="F91" s="5" t="n">
        <v>249.17</v>
      </c>
      <c r="G91" s="5" t="n"/>
      <c r="H91" s="5" t="n"/>
      <c r="I91" s="5" t="n"/>
      <c r="J91" s="5" t="n">
        <v>49.83</v>
      </c>
      <c r="K91" s="5" t="n"/>
      <c r="L91" s="5" t="n"/>
      <c r="M91" s="5" t="n"/>
      <c r="N91" s="5" t="n"/>
      <c r="O91" s="5" t="n">
        <v>299</v>
      </c>
      <c r="P91" s="5" t="n"/>
      <c r="Q91" s="5" t="n">
        <v>299</v>
      </c>
      <c r="R91" s="5" t="n"/>
      <c r="S91" s="5">
        <f>SUM(F91:I91)+N91</f>
        <v/>
      </c>
      <c r="T91" s="5">
        <f>J91</f>
        <v/>
      </c>
      <c r="U91" s="6">
        <f>YEAR(D91)</f>
        <v/>
      </c>
      <c r="V91" s="5">
        <f>TEXT(D91,"yyyy-mm")</f>
        <v/>
      </c>
    </row>
    <row r="92">
      <c r="A92" s="2" t="inlineStr">
        <is>
          <t>EJ310123.TXT</t>
        </is>
      </c>
      <c r="B92" s="3" t="inlineStr">
        <is>
          <t>004607</t>
        </is>
      </c>
      <c r="C92" s="3" t="inlineStr">
        <is>
          <t>003652</t>
        </is>
      </c>
      <c r="D92" s="4" t="n">
        <v>44950</v>
      </c>
      <c r="E92" s="2" t="inlineStr">
        <is>
          <t>12:25</t>
        </is>
      </c>
      <c r="F92" s="5" t="n">
        <v>747.5</v>
      </c>
      <c r="G92" s="5" t="n"/>
      <c r="H92" s="5" t="n"/>
      <c r="I92" s="5" t="n"/>
      <c r="J92" s="5" t="n">
        <v>149.5</v>
      </c>
      <c r="K92" s="5" t="n"/>
      <c r="L92" s="5" t="n"/>
      <c r="M92" s="5" t="n"/>
      <c r="N92" s="5" t="n"/>
      <c r="O92" s="5" t="n">
        <v>897</v>
      </c>
      <c r="P92" s="5" t="n"/>
      <c r="Q92" s="5" t="n">
        <v>897</v>
      </c>
      <c r="R92" s="5" t="n"/>
      <c r="S92" s="5">
        <f>SUM(F92:I92)+N92</f>
        <v/>
      </c>
      <c r="T92" s="5">
        <f>J92</f>
        <v/>
      </c>
      <c r="U92" s="6">
        <f>YEAR(D92)</f>
        <v/>
      </c>
      <c r="V92" s="5">
        <f>TEXT(D92,"yyyy-mm")</f>
        <v/>
      </c>
    </row>
    <row r="93">
      <c r="A93" s="2" t="inlineStr">
        <is>
          <t>EJ310123.TXT</t>
        </is>
      </c>
      <c r="B93" s="3" t="inlineStr">
        <is>
          <t>004608</t>
        </is>
      </c>
      <c r="C93" s="3" t="inlineStr">
        <is>
          <t>003653</t>
        </is>
      </c>
      <c r="D93" s="4" t="n">
        <v>44950</v>
      </c>
      <c r="E93" s="2" t="inlineStr">
        <is>
          <t>12:27</t>
        </is>
      </c>
      <c r="F93" s="5" t="n">
        <v>747.5</v>
      </c>
      <c r="G93" s="5" t="n"/>
      <c r="H93" s="5" t="n"/>
      <c r="I93" s="5" t="n"/>
      <c r="J93" s="5" t="n">
        <v>149.5</v>
      </c>
      <c r="K93" s="5" t="n"/>
      <c r="L93" s="5" t="n"/>
      <c r="M93" s="5" t="n"/>
      <c r="N93" s="5" t="n"/>
      <c r="O93" s="5" t="n">
        <v>897</v>
      </c>
      <c r="P93" s="5" t="n"/>
      <c r="Q93" s="5" t="n">
        <v>897</v>
      </c>
      <c r="R93" s="5" t="n"/>
      <c r="S93" s="5">
        <f>SUM(F93:I93)+N93</f>
        <v/>
      </c>
      <c r="T93" s="5">
        <f>J93</f>
        <v/>
      </c>
      <c r="U93" s="6">
        <f>YEAR(D93)</f>
        <v/>
      </c>
      <c r="V93" s="5">
        <f>TEXT(D93,"yyyy-mm")</f>
        <v/>
      </c>
    </row>
    <row r="94">
      <c r="A94" s="2" t="inlineStr">
        <is>
          <t>EJ310123.TXT</t>
        </is>
      </c>
      <c r="B94" s="3" t="inlineStr">
        <is>
          <t>004609</t>
        </is>
      </c>
      <c r="C94" s="3" t="inlineStr">
        <is>
          <t>003654</t>
        </is>
      </c>
      <c r="D94" s="4" t="n">
        <v>44950</v>
      </c>
      <c r="E94" s="2" t="inlineStr">
        <is>
          <t>12:27</t>
        </is>
      </c>
      <c r="F94" s="5" t="n">
        <v>747.5</v>
      </c>
      <c r="G94" s="5" t="n"/>
      <c r="H94" s="5" t="n"/>
      <c r="I94" s="5" t="n"/>
      <c r="J94" s="5" t="n">
        <v>149.5</v>
      </c>
      <c r="K94" s="5" t="n"/>
      <c r="L94" s="5" t="n"/>
      <c r="M94" s="5" t="n"/>
      <c r="N94" s="5" t="n"/>
      <c r="O94" s="5" t="n">
        <v>897</v>
      </c>
      <c r="P94" s="5" t="n"/>
      <c r="Q94" s="5" t="n">
        <v>897</v>
      </c>
      <c r="R94" s="5" t="n"/>
      <c r="S94" s="5">
        <f>SUM(F94:I94)+N94</f>
        <v/>
      </c>
      <c r="T94" s="5">
        <f>J94</f>
        <v/>
      </c>
      <c r="U94" s="6">
        <f>YEAR(D94)</f>
        <v/>
      </c>
      <c r="V94" s="5">
        <f>TEXT(D94,"yyyy-mm")</f>
        <v/>
      </c>
    </row>
    <row r="95">
      <c r="A95" s="2" t="inlineStr">
        <is>
          <t>EJ310123.TXT</t>
        </is>
      </c>
      <c r="B95" s="3" t="inlineStr">
        <is>
          <t>004610</t>
        </is>
      </c>
      <c r="C95" s="3" t="inlineStr">
        <is>
          <t>003655</t>
        </is>
      </c>
      <c r="D95" s="4" t="n">
        <v>44950</v>
      </c>
      <c r="E95" s="2" t="inlineStr">
        <is>
          <t>12:27</t>
        </is>
      </c>
      <c r="F95" s="5" t="n">
        <v>747.5</v>
      </c>
      <c r="G95" s="5" t="n"/>
      <c r="H95" s="5" t="n"/>
      <c r="I95" s="5" t="n"/>
      <c r="J95" s="5" t="n">
        <v>149.5</v>
      </c>
      <c r="K95" s="5" t="n"/>
      <c r="L95" s="5" t="n"/>
      <c r="M95" s="5" t="n"/>
      <c r="N95" s="5" t="n"/>
      <c r="O95" s="5" t="n">
        <v>897</v>
      </c>
      <c r="P95" s="5" t="n"/>
      <c r="Q95" s="5" t="n">
        <v>897</v>
      </c>
      <c r="R95" s="5" t="n"/>
      <c r="S95" s="5">
        <f>SUM(F95:I95)+N95</f>
        <v/>
      </c>
      <c r="T95" s="5">
        <f>J95</f>
        <v/>
      </c>
      <c r="U95" s="6">
        <f>YEAR(D95)</f>
        <v/>
      </c>
      <c r="V95" s="5">
        <f>TEXT(D95,"yyyy-mm")</f>
        <v/>
      </c>
    </row>
    <row r="96">
      <c r="A96" s="2" t="inlineStr">
        <is>
          <t>EJ310123.TXT</t>
        </is>
      </c>
      <c r="B96" s="3" t="inlineStr">
        <is>
          <t>004611</t>
        </is>
      </c>
      <c r="C96" s="3" t="inlineStr">
        <is>
          <t>003656</t>
        </is>
      </c>
      <c r="D96" s="4" t="n">
        <v>44950</v>
      </c>
      <c r="E96" s="2" t="inlineStr">
        <is>
          <t>15:08</t>
        </is>
      </c>
      <c r="F96" s="5" t="n">
        <v>747.5</v>
      </c>
      <c r="G96" s="5" t="n"/>
      <c r="H96" s="5" t="n"/>
      <c r="I96" s="5" t="n"/>
      <c r="J96" s="5" t="n">
        <v>149.5</v>
      </c>
      <c r="K96" s="5" t="n"/>
      <c r="L96" s="5" t="n"/>
      <c r="M96" s="5" t="n"/>
      <c r="N96" s="5" t="n"/>
      <c r="O96" s="5" t="n">
        <v>897</v>
      </c>
      <c r="P96" s="5" t="n"/>
      <c r="Q96" s="5" t="n">
        <v>897</v>
      </c>
      <c r="R96" s="5" t="n"/>
      <c r="S96" s="5">
        <f>SUM(F96:I96)+N96</f>
        <v/>
      </c>
      <c r="T96" s="5">
        <f>J96</f>
        <v/>
      </c>
      <c r="U96" s="6">
        <f>YEAR(D96)</f>
        <v/>
      </c>
      <c r="V96" s="5">
        <f>TEXT(D96,"yyyy-mm")</f>
        <v/>
      </c>
    </row>
    <row r="97">
      <c r="A97" s="2" t="inlineStr">
        <is>
          <t>EJ310123.TXT</t>
        </is>
      </c>
      <c r="B97" s="3" t="inlineStr">
        <is>
          <t>004612</t>
        </is>
      </c>
      <c r="C97" s="3" t="inlineStr">
        <is>
          <t>003657</t>
        </is>
      </c>
      <c r="D97" s="4" t="n">
        <v>44950</v>
      </c>
      <c r="E97" s="2" t="inlineStr">
        <is>
          <t>15:08</t>
        </is>
      </c>
      <c r="F97" s="5" t="n">
        <v>747.5</v>
      </c>
      <c r="G97" s="5" t="n"/>
      <c r="H97" s="5" t="n"/>
      <c r="I97" s="5" t="n"/>
      <c r="J97" s="5" t="n">
        <v>149.5</v>
      </c>
      <c r="K97" s="5" t="n"/>
      <c r="L97" s="5" t="n"/>
      <c r="M97" s="5" t="n"/>
      <c r="N97" s="5" t="n"/>
      <c r="O97" s="5" t="n">
        <v>897</v>
      </c>
      <c r="P97" s="5" t="n"/>
      <c r="Q97" s="5" t="n">
        <v>897</v>
      </c>
      <c r="R97" s="5" t="n"/>
      <c r="S97" s="5">
        <f>SUM(F97:I97)+N97</f>
        <v/>
      </c>
      <c r="T97" s="5">
        <f>J97</f>
        <v/>
      </c>
      <c r="U97" s="6">
        <f>YEAR(D97)</f>
        <v/>
      </c>
      <c r="V97" s="5">
        <f>TEXT(D97,"yyyy-mm")</f>
        <v/>
      </c>
    </row>
    <row r="98">
      <c r="A98" s="2" t="inlineStr">
        <is>
          <t>EJ310123.TXT</t>
        </is>
      </c>
      <c r="B98" s="3" t="inlineStr">
        <is>
          <t>004613</t>
        </is>
      </c>
      <c r="C98" s="3" t="inlineStr">
        <is>
          <t>003658</t>
        </is>
      </c>
      <c r="D98" s="4" t="n">
        <v>44950</v>
      </c>
      <c r="E98" s="2" t="inlineStr">
        <is>
          <t>15:17</t>
        </is>
      </c>
      <c r="F98" s="5" t="n">
        <v>75</v>
      </c>
      <c r="G98" s="5" t="n"/>
      <c r="H98" s="5" t="n"/>
      <c r="I98" s="5" t="n"/>
      <c r="J98" s="5" t="n">
        <v>15</v>
      </c>
      <c r="K98" s="5" t="n"/>
      <c r="L98" s="5" t="n"/>
      <c r="M98" s="5" t="n"/>
      <c r="N98" s="5" t="n"/>
      <c r="O98" s="5" t="n">
        <v>90</v>
      </c>
      <c r="P98" s="5" t="n"/>
      <c r="Q98" s="5" t="n">
        <v>90</v>
      </c>
      <c r="R98" s="5" t="n"/>
      <c r="S98" s="5">
        <f>SUM(F98:I98)+N98</f>
        <v/>
      </c>
      <c r="T98" s="5">
        <f>J98</f>
        <v/>
      </c>
      <c r="U98" s="6">
        <f>YEAR(D98)</f>
        <v/>
      </c>
      <c r="V98" s="5">
        <f>TEXT(D98,"yyyy-mm")</f>
        <v/>
      </c>
    </row>
    <row r="99">
      <c r="A99" s="2" t="inlineStr">
        <is>
          <t>EJ310123.TXT</t>
        </is>
      </c>
      <c r="B99" s="3" t="inlineStr">
        <is>
          <t>004614</t>
        </is>
      </c>
      <c r="C99" s="3" t="inlineStr">
        <is>
          <t>003659</t>
        </is>
      </c>
      <c r="D99" s="4" t="n">
        <v>44950</v>
      </c>
      <c r="E99" s="2" t="inlineStr">
        <is>
          <t>15:52</t>
        </is>
      </c>
      <c r="F99" s="5" t="n">
        <v>498.33</v>
      </c>
      <c r="G99" s="5" t="n"/>
      <c r="H99" s="5" t="n"/>
      <c r="I99" s="5" t="n"/>
      <c r="J99" s="5" t="n">
        <v>99.67</v>
      </c>
      <c r="K99" s="5" t="n"/>
      <c r="L99" s="5" t="n"/>
      <c r="M99" s="5" t="n"/>
      <c r="N99" s="5" t="n"/>
      <c r="O99" s="5" t="n">
        <v>598</v>
      </c>
      <c r="P99" s="5" t="n"/>
      <c r="Q99" s="5" t="n">
        <v>598</v>
      </c>
      <c r="R99" s="5" t="n"/>
      <c r="S99" s="5">
        <f>SUM(F99:I99)+N99</f>
        <v/>
      </c>
      <c r="T99" s="5">
        <f>J99</f>
        <v/>
      </c>
      <c r="U99" s="6">
        <f>YEAR(D99)</f>
        <v/>
      </c>
      <c r="V99" s="5">
        <f>TEXT(D99,"yyyy-mm")</f>
        <v/>
      </c>
    </row>
    <row r="100">
      <c r="A100" s="2" t="inlineStr">
        <is>
          <t>EJ310123.TXT</t>
        </is>
      </c>
      <c r="B100" s="3" t="inlineStr">
        <is>
          <t>004615</t>
        </is>
      </c>
      <c r="C100" s="3" t="inlineStr">
        <is>
          <t>003660</t>
        </is>
      </c>
      <c r="D100" s="4" t="n">
        <v>44950</v>
      </c>
      <c r="E100" s="2" t="inlineStr">
        <is>
          <t>15:57</t>
        </is>
      </c>
      <c r="F100" s="5" t="n">
        <v>498.33</v>
      </c>
      <c r="G100" s="5" t="n"/>
      <c r="H100" s="5" t="n"/>
      <c r="I100" s="5" t="n"/>
      <c r="J100" s="5" t="n">
        <v>99.67</v>
      </c>
      <c r="K100" s="5" t="n"/>
      <c r="L100" s="5" t="n"/>
      <c r="M100" s="5" t="n"/>
      <c r="N100" s="5" t="n"/>
      <c r="O100" s="5" t="n">
        <v>598</v>
      </c>
      <c r="P100" s="5" t="n">
        <v>598</v>
      </c>
      <c r="Q100" s="5" t="n"/>
      <c r="R100" s="5" t="n"/>
      <c r="S100" s="5">
        <f>SUM(F100:I100)+N100</f>
        <v/>
      </c>
      <c r="T100" s="5">
        <f>J100</f>
        <v/>
      </c>
      <c r="U100" s="6">
        <f>YEAR(D100)</f>
        <v/>
      </c>
      <c r="V100" s="5">
        <f>TEXT(D100,"yyyy-mm")</f>
        <v/>
      </c>
    </row>
    <row r="101">
      <c r="A101" s="2" t="inlineStr">
        <is>
          <t>EJ310123.TXT</t>
        </is>
      </c>
      <c r="B101" s="3" t="inlineStr">
        <is>
          <t>004616</t>
        </is>
      </c>
      <c r="C101" s="3" t="inlineStr">
        <is>
          <t>003661</t>
        </is>
      </c>
      <c r="D101" s="4" t="n">
        <v>44950</v>
      </c>
      <c r="E101" s="2" t="inlineStr">
        <is>
          <t>18:33</t>
        </is>
      </c>
      <c r="F101" s="5" t="n">
        <v>208.33</v>
      </c>
      <c r="G101" s="5" t="n"/>
      <c r="H101" s="5" t="n"/>
      <c r="I101" s="5" t="n"/>
      <c r="J101" s="5" t="n">
        <v>41.67</v>
      </c>
      <c r="K101" s="5" t="n"/>
      <c r="L101" s="5" t="n"/>
      <c r="M101" s="5" t="n"/>
      <c r="N101" s="5" t="n"/>
      <c r="O101" s="5" t="n">
        <v>250</v>
      </c>
      <c r="P101" s="5" t="n"/>
      <c r="Q101" s="5" t="n">
        <v>250</v>
      </c>
      <c r="R101" s="5" t="n"/>
      <c r="S101" s="5">
        <f>SUM(F101:I101)+N101</f>
        <v/>
      </c>
      <c r="T101" s="5">
        <f>J101</f>
        <v/>
      </c>
      <c r="U101" s="6">
        <f>YEAR(D101)</f>
        <v/>
      </c>
      <c r="V101" s="5">
        <f>TEXT(D101,"yyyy-mm")</f>
        <v/>
      </c>
    </row>
    <row r="102">
      <c r="A102" s="2" t="inlineStr">
        <is>
          <t>EJ310123.TXT</t>
        </is>
      </c>
      <c r="B102" s="3" t="inlineStr">
        <is>
          <t>004617</t>
        </is>
      </c>
      <c r="C102" s="3" t="inlineStr">
        <is>
          <t>003662</t>
        </is>
      </c>
      <c r="D102" s="4" t="n">
        <v>44952</v>
      </c>
      <c r="E102" s="2" t="inlineStr">
        <is>
          <t>12:16</t>
        </is>
      </c>
      <c r="F102" s="5" t="n">
        <v>725</v>
      </c>
      <c r="G102" s="5" t="n"/>
      <c r="H102" s="5" t="n"/>
      <c r="I102" s="5" t="n"/>
      <c r="J102" s="5" t="n">
        <v>145</v>
      </c>
      <c r="K102" s="5" t="n"/>
      <c r="L102" s="5" t="n"/>
      <c r="M102" s="5" t="n"/>
      <c r="N102" s="5" t="n"/>
      <c r="O102" s="5" t="n">
        <v>870</v>
      </c>
      <c r="P102" s="5" t="n"/>
      <c r="Q102" s="5" t="n">
        <v>870</v>
      </c>
      <c r="R102" s="5" t="n"/>
      <c r="S102" s="5">
        <f>SUM(F102:I102)+N102</f>
        <v/>
      </c>
      <c r="T102" s="5">
        <f>J102</f>
        <v/>
      </c>
      <c r="U102" s="6">
        <f>YEAR(D102)</f>
        <v/>
      </c>
      <c r="V102" s="5">
        <f>TEXT(D102,"yyyy-mm")</f>
        <v/>
      </c>
    </row>
    <row r="103">
      <c r="A103" s="2" t="inlineStr">
        <is>
          <t>EJ310123.TXT</t>
        </is>
      </c>
      <c r="B103" s="3" t="inlineStr">
        <is>
          <t>004618</t>
        </is>
      </c>
      <c r="C103" s="3" t="inlineStr">
        <is>
          <t>003663</t>
        </is>
      </c>
      <c r="D103" s="4" t="n">
        <v>44952</v>
      </c>
      <c r="E103" s="2" t="inlineStr">
        <is>
          <t>12:16</t>
        </is>
      </c>
      <c r="F103" s="5" t="n">
        <v>241.67</v>
      </c>
      <c r="G103" s="5" t="n"/>
      <c r="H103" s="5" t="n"/>
      <c r="I103" s="5" t="n"/>
      <c r="J103" s="5" t="n">
        <v>48.33</v>
      </c>
      <c r="K103" s="5" t="n"/>
      <c r="L103" s="5" t="n"/>
      <c r="M103" s="5" t="n"/>
      <c r="N103" s="5" t="n"/>
      <c r="O103" s="5" t="n">
        <v>290</v>
      </c>
      <c r="P103" s="5" t="n"/>
      <c r="Q103" s="5" t="n">
        <v>290</v>
      </c>
      <c r="R103" s="5" t="n"/>
      <c r="S103" s="5">
        <f>SUM(F103:I103)+N103</f>
        <v/>
      </c>
      <c r="T103" s="5">
        <f>J103</f>
        <v/>
      </c>
      <c r="U103" s="6">
        <f>YEAR(D103)</f>
        <v/>
      </c>
      <c r="V103" s="5">
        <f>TEXT(D103,"yyyy-mm")</f>
        <v/>
      </c>
    </row>
    <row r="104">
      <c r="A104" s="2" t="inlineStr">
        <is>
          <t>EJ310123.TXT</t>
        </is>
      </c>
      <c r="B104" s="3" t="inlineStr">
        <is>
          <t>004619</t>
        </is>
      </c>
      <c r="C104" s="3" t="inlineStr">
        <is>
          <t>003664</t>
        </is>
      </c>
      <c r="D104" s="4" t="n">
        <v>44952</v>
      </c>
      <c r="E104" s="2" t="inlineStr">
        <is>
          <t>12:16</t>
        </is>
      </c>
      <c r="F104" s="5" t="n">
        <v>483.33</v>
      </c>
      <c r="G104" s="5" t="n"/>
      <c r="H104" s="5" t="n"/>
      <c r="I104" s="5" t="n"/>
      <c r="J104" s="5" t="n">
        <v>96.67</v>
      </c>
      <c r="K104" s="5" t="n"/>
      <c r="L104" s="5" t="n"/>
      <c r="M104" s="5" t="n"/>
      <c r="N104" s="5" t="n"/>
      <c r="O104" s="5" t="n">
        <v>580</v>
      </c>
      <c r="P104" s="5" t="n"/>
      <c r="Q104" s="5" t="n">
        <v>580</v>
      </c>
      <c r="R104" s="5" t="n"/>
      <c r="S104" s="5">
        <f>SUM(F104:I104)+N104</f>
        <v/>
      </c>
      <c r="T104" s="5">
        <f>J104</f>
        <v/>
      </c>
      <c r="U104" s="6">
        <f>YEAR(D104)</f>
        <v/>
      </c>
      <c r="V104" s="5">
        <f>TEXT(D104,"yyyy-mm")</f>
        <v/>
      </c>
    </row>
    <row r="105">
      <c r="A105" s="2" t="inlineStr">
        <is>
          <t>EJ310123.TXT</t>
        </is>
      </c>
      <c r="B105" s="3" t="inlineStr">
        <is>
          <t>004620</t>
        </is>
      </c>
      <c r="C105" s="3" t="inlineStr">
        <is>
          <t>003665</t>
        </is>
      </c>
      <c r="D105" s="4" t="n">
        <v>44952</v>
      </c>
      <c r="E105" s="2" t="inlineStr">
        <is>
          <t>12:23</t>
        </is>
      </c>
      <c r="F105" s="5" t="n">
        <v>498.33</v>
      </c>
      <c r="G105" s="5" t="n"/>
      <c r="H105" s="5" t="n"/>
      <c r="I105" s="5" t="n"/>
      <c r="J105" s="5" t="n">
        <v>99.67</v>
      </c>
      <c r="K105" s="5" t="n"/>
      <c r="L105" s="5" t="n"/>
      <c r="M105" s="5" t="n"/>
      <c r="N105" s="5" t="n"/>
      <c r="O105" s="5" t="n">
        <v>598</v>
      </c>
      <c r="P105" s="5" t="n"/>
      <c r="Q105" s="5" t="n">
        <v>598</v>
      </c>
      <c r="R105" s="5" t="n"/>
      <c r="S105" s="5">
        <f>SUM(F105:I105)+N105</f>
        <v/>
      </c>
      <c r="T105" s="5">
        <f>J105</f>
        <v/>
      </c>
      <c r="U105" s="6">
        <f>YEAR(D105)</f>
        <v/>
      </c>
      <c r="V105" s="5">
        <f>TEXT(D105,"yyyy-mm")</f>
        <v/>
      </c>
    </row>
    <row r="106">
      <c r="A106" s="2" t="inlineStr">
        <is>
          <t>EJ310123.TXT</t>
        </is>
      </c>
      <c r="B106" s="3" t="inlineStr">
        <is>
          <t>004621</t>
        </is>
      </c>
      <c r="C106" s="3" t="inlineStr">
        <is>
          <t>003666</t>
        </is>
      </c>
      <c r="D106" s="4" t="n">
        <v>44952</v>
      </c>
      <c r="E106" s="2" t="inlineStr">
        <is>
          <t>12:28</t>
        </is>
      </c>
      <c r="F106" s="5" t="n">
        <v>498.33</v>
      </c>
      <c r="G106" s="5" t="n"/>
      <c r="H106" s="5" t="n"/>
      <c r="I106" s="5" t="n"/>
      <c r="J106" s="5" t="n">
        <v>99.67</v>
      </c>
      <c r="K106" s="5" t="n"/>
      <c r="L106" s="5" t="n"/>
      <c r="M106" s="5" t="n"/>
      <c r="N106" s="5" t="n"/>
      <c r="O106" s="5" t="n">
        <v>598</v>
      </c>
      <c r="P106" s="5" t="n"/>
      <c r="Q106" s="5" t="n">
        <v>598</v>
      </c>
      <c r="R106" s="5" t="n"/>
      <c r="S106" s="5">
        <f>SUM(F106:I106)+N106</f>
        <v/>
      </c>
      <c r="T106" s="5">
        <f>J106</f>
        <v/>
      </c>
      <c r="U106" s="6">
        <f>YEAR(D106)</f>
        <v/>
      </c>
      <c r="V106" s="5">
        <f>TEXT(D106,"yyyy-mm")</f>
        <v/>
      </c>
    </row>
    <row r="107">
      <c r="A107" s="2" t="inlineStr">
        <is>
          <t>EJ310123.TXT</t>
        </is>
      </c>
      <c r="B107" s="3" t="inlineStr">
        <is>
          <t>004622</t>
        </is>
      </c>
      <c r="C107" s="3" t="inlineStr">
        <is>
          <t>003667</t>
        </is>
      </c>
      <c r="D107" s="4" t="n">
        <v>44952</v>
      </c>
      <c r="E107" s="2" t="inlineStr">
        <is>
          <t>14:55</t>
        </is>
      </c>
      <c r="F107" s="5" t="n">
        <v>963.33</v>
      </c>
      <c r="G107" s="5" t="n"/>
      <c r="H107" s="5" t="n"/>
      <c r="I107" s="5" t="n"/>
      <c r="J107" s="5" t="n">
        <v>192.67</v>
      </c>
      <c r="K107" s="5" t="n"/>
      <c r="L107" s="5" t="n"/>
      <c r="M107" s="5" t="n"/>
      <c r="N107" s="5" t="n"/>
      <c r="O107" s="5" t="n">
        <v>1156</v>
      </c>
      <c r="P107" s="5" t="n">
        <v>1156</v>
      </c>
      <c r="Q107" s="5" t="n"/>
      <c r="R107" s="5" t="n"/>
      <c r="S107" s="5">
        <f>SUM(F107:I107)+N107</f>
        <v/>
      </c>
      <c r="T107" s="5">
        <f>J107</f>
        <v/>
      </c>
      <c r="U107" s="6">
        <f>YEAR(D107)</f>
        <v/>
      </c>
      <c r="V107" s="5">
        <f>TEXT(D107,"yyyy-mm")</f>
        <v/>
      </c>
    </row>
    <row r="108">
      <c r="A108" s="2" t="inlineStr">
        <is>
          <t>EJ310123.TXT</t>
        </is>
      </c>
      <c r="B108" s="3" t="inlineStr">
        <is>
          <t>004623</t>
        </is>
      </c>
      <c r="C108" s="3" t="inlineStr">
        <is>
          <t>003668</t>
        </is>
      </c>
      <c r="D108" s="4" t="n">
        <v>44953</v>
      </c>
      <c r="E108" s="2" t="inlineStr">
        <is>
          <t>11:14</t>
        </is>
      </c>
      <c r="F108" s="5" t="n">
        <v>747.5</v>
      </c>
      <c r="G108" s="5" t="n"/>
      <c r="H108" s="5" t="n"/>
      <c r="I108" s="5" t="n"/>
      <c r="J108" s="5" t="n">
        <v>149.5</v>
      </c>
      <c r="K108" s="5" t="n"/>
      <c r="L108" s="5" t="n"/>
      <c r="M108" s="5" t="n"/>
      <c r="N108" s="5" t="n"/>
      <c r="O108" s="5" t="n">
        <v>897</v>
      </c>
      <c r="P108" s="5" t="n"/>
      <c r="Q108" s="5" t="n">
        <v>897</v>
      </c>
      <c r="R108" s="5" t="n"/>
      <c r="S108" s="5">
        <f>SUM(F108:I108)+N108</f>
        <v/>
      </c>
      <c r="T108" s="5">
        <f>J108</f>
        <v/>
      </c>
      <c r="U108" s="6">
        <f>YEAR(D108)</f>
        <v/>
      </c>
      <c r="V108" s="5">
        <f>TEXT(D108,"yyyy-mm")</f>
        <v/>
      </c>
    </row>
    <row r="109">
      <c r="A109" s="2" t="inlineStr">
        <is>
          <t>EJ310123.TXT</t>
        </is>
      </c>
      <c r="B109" s="3" t="inlineStr">
        <is>
          <t>004624</t>
        </is>
      </c>
      <c r="C109" s="3" t="inlineStr">
        <is>
          <t>003669</t>
        </is>
      </c>
      <c r="D109" s="4" t="n">
        <v>44953</v>
      </c>
      <c r="E109" s="2" t="inlineStr">
        <is>
          <t>16:22</t>
        </is>
      </c>
      <c r="F109" s="5" t="n">
        <v>249.17</v>
      </c>
      <c r="G109" s="5" t="n"/>
      <c r="H109" s="5" t="n"/>
      <c r="I109" s="5" t="n"/>
      <c r="J109" s="5" t="n">
        <v>49.83</v>
      </c>
      <c r="K109" s="5" t="n"/>
      <c r="L109" s="5" t="n"/>
      <c r="M109" s="5" t="n"/>
      <c r="N109" s="5" t="n"/>
      <c r="O109" s="5" t="n">
        <v>299</v>
      </c>
      <c r="P109" s="5" t="n"/>
      <c r="Q109" s="5" t="n">
        <v>299</v>
      </c>
      <c r="R109" s="5" t="n"/>
      <c r="S109" s="5">
        <f>SUM(F109:I109)+N109</f>
        <v/>
      </c>
      <c r="T109" s="5">
        <f>J109</f>
        <v/>
      </c>
      <c r="U109" s="6">
        <f>YEAR(D109)</f>
        <v/>
      </c>
      <c r="V109" s="5">
        <f>TEXT(D109,"yyyy-mm")</f>
        <v/>
      </c>
    </row>
    <row r="110">
      <c r="A110" s="2" t="inlineStr">
        <is>
          <t>EJ310123.TXT</t>
        </is>
      </c>
      <c r="B110" s="3" t="inlineStr">
        <is>
          <t>004625</t>
        </is>
      </c>
      <c r="C110" s="3" t="inlineStr">
        <is>
          <t>003670</t>
        </is>
      </c>
      <c r="D110" s="4" t="n">
        <v>44953</v>
      </c>
      <c r="E110" s="2" t="inlineStr">
        <is>
          <t>16:58</t>
        </is>
      </c>
      <c r="F110" s="5" t="n">
        <v>498.33</v>
      </c>
      <c r="G110" s="5" t="n"/>
      <c r="H110" s="5" t="n"/>
      <c r="I110" s="5" t="n"/>
      <c r="J110" s="5" t="n">
        <v>99.67</v>
      </c>
      <c r="K110" s="5" t="n"/>
      <c r="L110" s="5" t="n"/>
      <c r="M110" s="5" t="n"/>
      <c r="N110" s="5" t="n"/>
      <c r="O110" s="5" t="n">
        <v>598</v>
      </c>
      <c r="P110" s="5" t="n">
        <v>598</v>
      </c>
      <c r="Q110" s="5" t="n"/>
      <c r="R110" s="5" t="n"/>
      <c r="S110" s="5">
        <f>SUM(F110:I110)+N110</f>
        <v/>
      </c>
      <c r="T110" s="5">
        <f>J110</f>
        <v/>
      </c>
      <c r="U110" s="6">
        <f>YEAR(D110)</f>
        <v/>
      </c>
      <c r="V110" s="5">
        <f>TEXT(D110,"yyyy-mm")</f>
        <v/>
      </c>
    </row>
    <row r="111">
      <c r="A111" s="2" t="inlineStr">
        <is>
          <t>EJ310123.TXT</t>
        </is>
      </c>
      <c r="B111" s="3" t="inlineStr">
        <is>
          <t>004626</t>
        </is>
      </c>
      <c r="C111" s="3" t="inlineStr">
        <is>
          <t>003671</t>
        </is>
      </c>
      <c r="D111" s="4" t="n">
        <v>44953</v>
      </c>
      <c r="E111" s="2" t="inlineStr">
        <is>
          <t>17:40</t>
        </is>
      </c>
      <c r="F111" s="5" t="n">
        <v>331.67</v>
      </c>
      <c r="G111" s="5" t="n"/>
      <c r="H111" s="5" t="n"/>
      <c r="I111" s="5" t="n"/>
      <c r="J111" s="5" t="n">
        <v>66.33</v>
      </c>
      <c r="K111" s="5" t="n"/>
      <c r="L111" s="5" t="n"/>
      <c r="M111" s="5" t="n"/>
      <c r="N111" s="5" t="n"/>
      <c r="O111" s="5" t="n">
        <v>398</v>
      </c>
      <c r="P111" s="5" t="n">
        <v>398</v>
      </c>
      <c r="Q111" s="5" t="n"/>
      <c r="R111" s="5" t="n"/>
      <c r="S111" s="5">
        <f>SUM(F111:I111)+N111</f>
        <v/>
      </c>
      <c r="T111" s="5">
        <f>J111</f>
        <v/>
      </c>
      <c r="U111" s="6">
        <f>YEAR(D111)</f>
        <v/>
      </c>
      <c r="V111" s="5">
        <f>TEXT(D111,"yyyy-mm")</f>
        <v/>
      </c>
    </row>
    <row r="112">
      <c r="A112" s="2" t="inlineStr">
        <is>
          <t>EJ310123.TXT</t>
        </is>
      </c>
      <c r="B112" s="3" t="inlineStr">
        <is>
          <t>004627</t>
        </is>
      </c>
      <c r="C112" s="3" t="inlineStr">
        <is>
          <t>003672</t>
        </is>
      </c>
      <c r="D112" s="4" t="n">
        <v>44953</v>
      </c>
      <c r="E112" s="2" t="inlineStr">
        <is>
          <t>18:11</t>
        </is>
      </c>
      <c r="F112" s="5" t="n">
        <v>350</v>
      </c>
      <c r="G112" s="5" t="n"/>
      <c r="H112" s="5" t="n"/>
      <c r="I112" s="5" t="n"/>
      <c r="J112" s="5" t="n">
        <v>70</v>
      </c>
      <c r="K112" s="5" t="n"/>
      <c r="L112" s="5" t="n"/>
      <c r="M112" s="5" t="n"/>
      <c r="N112" s="5" t="n"/>
      <c r="O112" s="5" t="n">
        <v>420</v>
      </c>
      <c r="P112" s="5" t="n"/>
      <c r="Q112" s="5" t="n">
        <v>420</v>
      </c>
      <c r="R112" s="5" t="n"/>
      <c r="S112" s="5">
        <f>SUM(F112:I112)+N112</f>
        <v/>
      </c>
      <c r="T112" s="5">
        <f>J112</f>
        <v/>
      </c>
      <c r="U112" s="6">
        <f>YEAR(D112)</f>
        <v/>
      </c>
      <c r="V112" s="5">
        <f>TEXT(D112,"yyyy-mm")</f>
        <v/>
      </c>
    </row>
    <row r="113">
      <c r="A113" s="2" t="inlineStr">
        <is>
          <t>EJ310123.TXT</t>
        </is>
      </c>
      <c r="B113" s="3" t="inlineStr">
        <is>
          <t>004628</t>
        </is>
      </c>
      <c r="C113" s="3" t="inlineStr">
        <is>
          <t>003673</t>
        </is>
      </c>
      <c r="D113" s="4" t="n">
        <v>44953</v>
      </c>
      <c r="E113" s="2" t="inlineStr">
        <is>
          <t>18:36</t>
        </is>
      </c>
      <c r="F113" s="5" t="n">
        <v>144.17</v>
      </c>
      <c r="G113" s="5" t="n"/>
      <c r="H113" s="5" t="n"/>
      <c r="I113" s="5" t="n"/>
      <c r="J113" s="5" t="n">
        <v>28.83</v>
      </c>
      <c r="K113" s="5" t="n"/>
      <c r="L113" s="5" t="n"/>
      <c r="M113" s="5" t="n"/>
      <c r="N113" s="5" t="n"/>
      <c r="O113" s="5" t="n">
        <v>173</v>
      </c>
      <c r="P113" s="5" t="n"/>
      <c r="Q113" s="5" t="n">
        <v>173</v>
      </c>
      <c r="R113" s="5" t="n"/>
      <c r="S113" s="5">
        <f>SUM(F113:I113)+N113</f>
        <v/>
      </c>
      <c r="T113" s="5">
        <f>J113</f>
        <v/>
      </c>
      <c r="U113" s="6">
        <f>YEAR(D113)</f>
        <v/>
      </c>
      <c r="V113" s="5">
        <f>TEXT(D113,"yyyy-mm")</f>
        <v/>
      </c>
    </row>
    <row r="114">
      <c r="A114" s="2" t="inlineStr">
        <is>
          <t>EJ310123.TXT</t>
        </is>
      </c>
      <c r="B114" s="3" t="inlineStr">
        <is>
          <t>004629</t>
        </is>
      </c>
      <c r="C114" s="3" t="inlineStr">
        <is>
          <t>003674</t>
        </is>
      </c>
      <c r="D114" s="4" t="n">
        <v>44954</v>
      </c>
      <c r="E114" s="2" t="inlineStr">
        <is>
          <t>15:44</t>
        </is>
      </c>
      <c r="F114" s="5" t="n">
        <v>24.83</v>
      </c>
      <c r="G114" s="5" t="n"/>
      <c r="H114" s="5" t="n"/>
      <c r="I114" s="5" t="n"/>
      <c r="J114" s="5" t="n">
        <v>4.97</v>
      </c>
      <c r="K114" s="5" t="n"/>
      <c r="L114" s="5" t="n"/>
      <c r="M114" s="5" t="n"/>
      <c r="N114" s="5" t="n"/>
      <c r="O114" s="5" t="n">
        <v>29.8</v>
      </c>
      <c r="P114" s="5" t="n"/>
      <c r="Q114" s="5" t="n">
        <v>29.8</v>
      </c>
      <c r="R114" s="5" t="n"/>
      <c r="S114" s="5">
        <f>SUM(F114:I114)+N114</f>
        <v/>
      </c>
      <c r="T114" s="5">
        <f>J114</f>
        <v/>
      </c>
      <c r="U114" s="6">
        <f>YEAR(D114)</f>
        <v/>
      </c>
      <c r="V114" s="5">
        <f>TEXT(D114,"yyyy-mm")</f>
        <v/>
      </c>
    </row>
    <row r="115">
      <c r="A115" s="2" t="inlineStr">
        <is>
          <t>EJ310123.TXT</t>
        </is>
      </c>
      <c r="B115" s="3" t="inlineStr">
        <is>
          <t>004630</t>
        </is>
      </c>
      <c r="C115" s="3" t="inlineStr">
        <is>
          <t>003675</t>
        </is>
      </c>
      <c r="D115" s="4" t="n">
        <v>44954</v>
      </c>
      <c r="E115" s="2" t="inlineStr">
        <is>
          <t>16:02</t>
        </is>
      </c>
      <c r="F115" s="5" t="n">
        <v>73.33</v>
      </c>
      <c r="G115" s="5" t="n"/>
      <c r="H115" s="5" t="n"/>
      <c r="I115" s="5" t="n"/>
      <c r="J115" s="5" t="n">
        <v>14.67</v>
      </c>
      <c r="K115" s="5" t="n"/>
      <c r="L115" s="5" t="n"/>
      <c r="M115" s="5" t="n"/>
      <c r="N115" s="5" t="n"/>
      <c r="O115" s="5" t="n">
        <v>88</v>
      </c>
      <c r="P115" s="5" t="n"/>
      <c r="Q115" s="5" t="n">
        <v>88</v>
      </c>
      <c r="R115" s="5" t="n"/>
      <c r="S115" s="5">
        <f>SUM(F115:I115)+N115</f>
        <v/>
      </c>
      <c r="T115" s="5">
        <f>J115</f>
        <v/>
      </c>
      <c r="U115" s="6">
        <f>YEAR(D115)</f>
        <v/>
      </c>
      <c r="V115" s="5">
        <f>TEXT(D115,"yyyy-mm")</f>
        <v/>
      </c>
    </row>
    <row r="116">
      <c r="A116" s="2" t="inlineStr">
        <is>
          <t>EJ310123.TXT</t>
        </is>
      </c>
      <c r="B116" s="3" t="inlineStr">
        <is>
          <t>004631</t>
        </is>
      </c>
      <c r="C116" s="3" t="inlineStr">
        <is>
          <t>003676</t>
        </is>
      </c>
      <c r="D116" s="4" t="n">
        <v>44954</v>
      </c>
      <c r="E116" s="2" t="inlineStr">
        <is>
          <t>16:13</t>
        </is>
      </c>
      <c r="F116" s="5" t="n">
        <v>996.67</v>
      </c>
      <c r="G116" s="5" t="n"/>
      <c r="H116" s="5" t="n"/>
      <c r="I116" s="5" t="n"/>
      <c r="J116" s="5" t="n">
        <v>199.33</v>
      </c>
      <c r="K116" s="5" t="n"/>
      <c r="L116" s="5" t="n"/>
      <c r="M116" s="5" t="n"/>
      <c r="N116" s="5" t="n"/>
      <c r="O116" s="5" t="n">
        <v>1196</v>
      </c>
      <c r="P116" s="5" t="n">
        <v>1196</v>
      </c>
      <c r="Q116" s="5" t="n"/>
      <c r="R116" s="5" t="n"/>
      <c r="S116" s="5">
        <f>SUM(F116:I116)+N116</f>
        <v/>
      </c>
      <c r="T116" s="5">
        <f>J116</f>
        <v/>
      </c>
      <c r="U116" s="6">
        <f>YEAR(D116)</f>
        <v/>
      </c>
      <c r="V116" s="5">
        <f>TEXT(D116,"yyyy-mm")</f>
        <v/>
      </c>
    </row>
    <row r="117">
      <c r="A117" s="2" t="inlineStr">
        <is>
          <t>EJ310123.TXT</t>
        </is>
      </c>
      <c r="B117" s="3" t="inlineStr">
        <is>
          <t>004632</t>
        </is>
      </c>
      <c r="C117" s="3" t="inlineStr">
        <is>
          <t>003677</t>
        </is>
      </c>
      <c r="D117" s="4" t="n">
        <v>44954</v>
      </c>
      <c r="E117" s="2" t="inlineStr">
        <is>
          <t>16:51</t>
        </is>
      </c>
      <c r="F117" s="5" t="n">
        <v>249.17</v>
      </c>
      <c r="G117" s="5" t="n"/>
      <c r="H117" s="5" t="n"/>
      <c r="I117" s="5" t="n"/>
      <c r="J117" s="5" t="n">
        <v>49.83</v>
      </c>
      <c r="K117" s="5" t="n"/>
      <c r="L117" s="5" t="n"/>
      <c r="M117" s="5" t="n"/>
      <c r="N117" s="5" t="n"/>
      <c r="O117" s="5" t="n">
        <v>299</v>
      </c>
      <c r="P117" s="5" t="n"/>
      <c r="Q117" s="5" t="n">
        <v>299</v>
      </c>
      <c r="R117" s="5" t="n"/>
      <c r="S117" s="5">
        <f>SUM(F117:I117)+N117</f>
        <v/>
      </c>
      <c r="T117" s="5">
        <f>J117</f>
        <v/>
      </c>
      <c r="U117" s="6">
        <f>YEAR(D117)</f>
        <v/>
      </c>
      <c r="V117" s="5">
        <f>TEXT(D117,"yyyy-mm")</f>
        <v/>
      </c>
    </row>
    <row r="118">
      <c r="A118" s="2" t="inlineStr">
        <is>
          <t>EJ310123.TXT</t>
        </is>
      </c>
      <c r="B118" s="3" t="inlineStr">
        <is>
          <t>004633</t>
        </is>
      </c>
      <c r="C118" s="3" t="inlineStr">
        <is>
          <t>003678</t>
        </is>
      </c>
      <c r="D118" s="4" t="n">
        <v>44954</v>
      </c>
      <c r="E118" s="2" t="inlineStr">
        <is>
          <t>18:41</t>
        </is>
      </c>
      <c r="F118" s="5" t="n">
        <v>625</v>
      </c>
      <c r="G118" s="5" t="n"/>
      <c r="H118" s="5" t="n"/>
      <c r="I118" s="5" t="n"/>
      <c r="J118" s="5" t="n">
        <v>125</v>
      </c>
      <c r="K118" s="5" t="n"/>
      <c r="L118" s="5" t="n"/>
      <c r="M118" s="5" t="n"/>
      <c r="N118" s="5" t="n"/>
      <c r="O118" s="5" t="n">
        <v>750</v>
      </c>
      <c r="P118" s="5" t="n"/>
      <c r="Q118" s="5" t="n">
        <v>750</v>
      </c>
      <c r="R118" s="5" t="n"/>
      <c r="S118" s="5">
        <f>SUM(F118:I118)+N118</f>
        <v/>
      </c>
      <c r="T118" s="5">
        <f>J118</f>
        <v/>
      </c>
      <c r="U118" s="6">
        <f>YEAR(D118)</f>
        <v/>
      </c>
      <c r="V118" s="5">
        <f>TEXT(D118,"yyyy-mm")</f>
        <v/>
      </c>
    </row>
    <row r="119">
      <c r="A119" s="2" t="inlineStr">
        <is>
          <t>EJ310123.TXT</t>
        </is>
      </c>
      <c r="B119" s="3" t="inlineStr">
        <is>
          <t>004634</t>
        </is>
      </c>
      <c r="C119" s="3" t="inlineStr">
        <is>
          <t>003679</t>
        </is>
      </c>
      <c r="D119" s="4" t="n">
        <v>44954</v>
      </c>
      <c r="E119" s="2" t="inlineStr">
        <is>
          <t>18:42</t>
        </is>
      </c>
      <c r="F119" s="5" t="n">
        <v>625</v>
      </c>
      <c r="G119" s="5" t="n"/>
      <c r="H119" s="5" t="n"/>
      <c r="I119" s="5" t="n"/>
      <c r="J119" s="5" t="n">
        <v>125</v>
      </c>
      <c r="K119" s="5" t="n"/>
      <c r="L119" s="5" t="n"/>
      <c r="M119" s="5" t="n"/>
      <c r="N119" s="5" t="n"/>
      <c r="O119" s="5" t="n">
        <v>750</v>
      </c>
      <c r="P119" s="5" t="n"/>
      <c r="Q119" s="5" t="n">
        <v>750</v>
      </c>
      <c r="R119" s="5" t="n"/>
      <c r="S119" s="5">
        <f>SUM(F119:I119)+N119</f>
        <v/>
      </c>
      <c r="T119" s="5">
        <f>J119</f>
        <v/>
      </c>
      <c r="U119" s="6">
        <f>YEAR(D119)</f>
        <v/>
      </c>
      <c r="V119" s="5">
        <f>TEXT(D119,"yyyy-mm")</f>
        <v/>
      </c>
    </row>
    <row r="120">
      <c r="A120" s="2" t="inlineStr">
        <is>
          <t>EJ310123.TXT</t>
        </is>
      </c>
      <c r="B120" s="3" t="inlineStr">
        <is>
          <t>004635</t>
        </is>
      </c>
      <c r="C120" s="3" t="inlineStr">
        <is>
          <t>003680</t>
        </is>
      </c>
      <c r="D120" s="4" t="n">
        <v>44954</v>
      </c>
      <c r="E120" s="2" t="inlineStr">
        <is>
          <t>18:53</t>
        </is>
      </c>
      <c r="F120" s="5" t="n">
        <v>75</v>
      </c>
      <c r="G120" s="5" t="n"/>
      <c r="H120" s="5" t="n"/>
      <c r="I120" s="5" t="n"/>
      <c r="J120" s="5" t="n">
        <v>15</v>
      </c>
      <c r="K120" s="5" t="n"/>
      <c r="L120" s="5" t="n"/>
      <c r="M120" s="5" t="n"/>
      <c r="N120" s="5" t="n"/>
      <c r="O120" s="5" t="n">
        <v>90</v>
      </c>
      <c r="P120" s="5" t="n"/>
      <c r="Q120" s="5" t="n">
        <v>90</v>
      </c>
      <c r="R120" s="5" t="n"/>
      <c r="S120" s="5">
        <f>SUM(F120:I120)+N120</f>
        <v/>
      </c>
      <c r="T120" s="5">
        <f>J120</f>
        <v/>
      </c>
      <c r="U120" s="6">
        <f>YEAR(D120)</f>
        <v/>
      </c>
      <c r="V120" s="5">
        <f>TEXT(D120,"yyyy-mm")</f>
        <v/>
      </c>
    </row>
    <row r="121">
      <c r="A121" s="2" t="inlineStr">
        <is>
          <t>EJ310123.TXT</t>
        </is>
      </c>
      <c r="B121" s="3" t="inlineStr">
        <is>
          <t>004636</t>
        </is>
      </c>
      <c r="C121" s="3" t="inlineStr">
        <is>
          <t>003681</t>
        </is>
      </c>
      <c r="D121" s="4" t="n">
        <v>44956</v>
      </c>
      <c r="E121" s="2" t="inlineStr">
        <is>
          <t>18:18</t>
        </is>
      </c>
      <c r="F121" s="5" t="n">
        <v>354.17</v>
      </c>
      <c r="G121" s="5" t="n"/>
      <c r="H121" s="5" t="n"/>
      <c r="I121" s="5" t="n"/>
      <c r="J121" s="5" t="n">
        <v>70.83</v>
      </c>
      <c r="K121" s="5" t="n"/>
      <c r="L121" s="5" t="n"/>
      <c r="M121" s="5" t="n"/>
      <c r="N121" s="5" t="n"/>
      <c r="O121" s="5" t="n">
        <v>425</v>
      </c>
      <c r="P121" s="5" t="n"/>
      <c r="Q121" s="5" t="n">
        <v>425</v>
      </c>
      <c r="R121" s="5" t="n"/>
      <c r="S121" s="5">
        <f>SUM(F121:I121)+N121</f>
        <v/>
      </c>
      <c r="T121" s="5">
        <f>J121</f>
        <v/>
      </c>
      <c r="U121" s="6">
        <f>YEAR(D121)</f>
        <v/>
      </c>
      <c r="V121" s="5">
        <f>TEXT(D121,"yyyy-mm")</f>
        <v/>
      </c>
    </row>
    <row r="122">
      <c r="A122" s="2" t="inlineStr">
        <is>
          <t>EJ310123.TXT</t>
        </is>
      </c>
      <c r="B122" s="3" t="inlineStr">
        <is>
          <t>004637</t>
        </is>
      </c>
      <c r="C122" s="3" t="inlineStr">
        <is>
          <t>003682</t>
        </is>
      </c>
      <c r="D122" s="4" t="n">
        <v>44957</v>
      </c>
      <c r="E122" s="2" t="inlineStr">
        <is>
          <t>15:46</t>
        </is>
      </c>
      <c r="F122" s="5" t="n">
        <v>483.33</v>
      </c>
      <c r="G122" s="5" t="n"/>
      <c r="H122" s="5" t="n"/>
      <c r="I122" s="5" t="n"/>
      <c r="J122" s="5" t="n">
        <v>96.67</v>
      </c>
      <c r="K122" s="5" t="n"/>
      <c r="L122" s="5" t="n"/>
      <c r="M122" s="5" t="n"/>
      <c r="N122" s="5" t="n"/>
      <c r="O122" s="5" t="n">
        <v>580</v>
      </c>
      <c r="P122" s="5" t="n"/>
      <c r="Q122" s="5" t="n">
        <v>580</v>
      </c>
      <c r="R122" s="5" t="n"/>
      <c r="S122" s="5">
        <f>SUM(F122:I122)+N122</f>
        <v/>
      </c>
      <c r="T122" s="5">
        <f>J122</f>
        <v/>
      </c>
      <c r="U122" s="6">
        <f>YEAR(D122)</f>
        <v/>
      </c>
      <c r="V122" s="5">
        <f>TEXT(D122,"yyyy-mm")</f>
        <v/>
      </c>
    </row>
    <row r="123">
      <c r="A123" s="2" t="inlineStr">
        <is>
          <t>EJ030323.TXT</t>
        </is>
      </c>
      <c r="B123" s="3" t="inlineStr">
        <is>
          <t>004645</t>
        </is>
      </c>
      <c r="C123" s="3" t="inlineStr">
        <is>
          <t>003683</t>
        </is>
      </c>
      <c r="D123" s="4" t="n">
        <v>44958</v>
      </c>
      <c r="E123" s="2" t="inlineStr">
        <is>
          <t>13:11</t>
        </is>
      </c>
      <c r="F123" s="5" t="n">
        <v>144.17</v>
      </c>
      <c r="G123" s="5" t="n"/>
      <c r="H123" s="5" t="n"/>
      <c r="I123" s="5" t="n"/>
      <c r="J123" s="5" t="n">
        <v>28.83</v>
      </c>
      <c r="K123" s="5" t="n"/>
      <c r="L123" s="5" t="n"/>
      <c r="M123" s="5" t="n"/>
      <c r="N123" s="5" t="n"/>
      <c r="O123" s="5" t="n">
        <v>173</v>
      </c>
      <c r="P123" s="5" t="n"/>
      <c r="Q123" s="5" t="n">
        <v>173</v>
      </c>
      <c r="R123" s="5" t="n"/>
      <c r="S123" s="5">
        <f>SUM(F123:I123)+N123</f>
        <v/>
      </c>
      <c r="T123" s="5">
        <f>J123</f>
        <v/>
      </c>
      <c r="U123" s="6">
        <f>YEAR(D123)</f>
        <v/>
      </c>
      <c r="V123" s="5">
        <f>TEXT(D123,"yyyy-mm")</f>
        <v/>
      </c>
    </row>
    <row r="124">
      <c r="A124" s="2" t="inlineStr">
        <is>
          <t>EJ030323.TXT</t>
        </is>
      </c>
      <c r="B124" s="3" t="inlineStr">
        <is>
          <t>004646</t>
        </is>
      </c>
      <c r="C124" s="3" t="inlineStr">
        <is>
          <t>003684</t>
        </is>
      </c>
      <c r="D124" s="4" t="n">
        <v>44958</v>
      </c>
      <c r="E124" s="2" t="inlineStr">
        <is>
          <t>16:34</t>
        </is>
      </c>
      <c r="F124" s="5" t="n">
        <v>124.17</v>
      </c>
      <c r="G124" s="5" t="n"/>
      <c r="H124" s="5" t="n"/>
      <c r="I124" s="5" t="n"/>
      <c r="J124" s="5" t="n">
        <v>24.83</v>
      </c>
      <c r="K124" s="5" t="n"/>
      <c r="L124" s="5" t="n"/>
      <c r="M124" s="5" t="n"/>
      <c r="N124" s="5" t="n"/>
      <c r="O124" s="5" t="n">
        <v>149</v>
      </c>
      <c r="P124" s="5" t="n">
        <v>149</v>
      </c>
      <c r="Q124" s="5" t="n"/>
      <c r="R124" s="5" t="n"/>
      <c r="S124" s="5">
        <f>SUM(F124:I124)+N124</f>
        <v/>
      </c>
      <c r="T124" s="5">
        <f>J124</f>
        <v/>
      </c>
      <c r="U124" s="6">
        <f>YEAR(D124)</f>
        <v/>
      </c>
      <c r="V124" s="5">
        <f>TEXT(D124,"yyyy-mm")</f>
        <v/>
      </c>
    </row>
    <row r="125">
      <c r="A125" s="2" t="inlineStr">
        <is>
          <t>EJ030323.TXT</t>
        </is>
      </c>
      <c r="B125" s="3" t="inlineStr">
        <is>
          <t>004647</t>
        </is>
      </c>
      <c r="C125" s="3" t="inlineStr">
        <is>
          <t>003685</t>
        </is>
      </c>
      <c r="D125" s="4" t="n">
        <v>44958</v>
      </c>
      <c r="E125" s="2" t="inlineStr">
        <is>
          <t>16:39</t>
        </is>
      </c>
      <c r="F125" s="5" t="n">
        <v>725</v>
      </c>
      <c r="G125" s="5" t="n"/>
      <c r="H125" s="5" t="n"/>
      <c r="I125" s="5" t="n"/>
      <c r="J125" s="5" t="n">
        <v>145</v>
      </c>
      <c r="K125" s="5" t="n"/>
      <c r="L125" s="5" t="n"/>
      <c r="M125" s="5" t="n"/>
      <c r="N125" s="5" t="n"/>
      <c r="O125" s="5" t="n">
        <v>870</v>
      </c>
      <c r="P125" s="5" t="n"/>
      <c r="Q125" s="5" t="n">
        <v>870</v>
      </c>
      <c r="R125" s="5" t="n"/>
      <c r="S125" s="5">
        <f>SUM(F125:I125)+N125</f>
        <v/>
      </c>
      <c r="T125" s="5">
        <f>J125</f>
        <v/>
      </c>
      <c r="U125" s="6">
        <f>YEAR(D125)</f>
        <v/>
      </c>
      <c r="V125" s="5">
        <f>TEXT(D125,"yyyy-mm")</f>
        <v/>
      </c>
    </row>
    <row r="126">
      <c r="A126" s="2" t="inlineStr">
        <is>
          <t>EJ030323.TXT</t>
        </is>
      </c>
      <c r="B126" s="3" t="inlineStr">
        <is>
          <t>004648</t>
        </is>
      </c>
      <c r="C126" s="3" t="inlineStr">
        <is>
          <t>003686</t>
        </is>
      </c>
      <c r="D126" s="4" t="n">
        <v>44958</v>
      </c>
      <c r="E126" s="2" t="inlineStr">
        <is>
          <t>16:40</t>
        </is>
      </c>
      <c r="F126" s="5" t="n">
        <v>725</v>
      </c>
      <c r="G126" s="5" t="n"/>
      <c r="H126" s="5" t="n"/>
      <c r="I126" s="5" t="n"/>
      <c r="J126" s="5" t="n">
        <v>145</v>
      </c>
      <c r="K126" s="5" t="n"/>
      <c r="L126" s="5" t="n"/>
      <c r="M126" s="5" t="n"/>
      <c r="N126" s="5" t="n"/>
      <c r="O126" s="5" t="n">
        <v>870</v>
      </c>
      <c r="P126" s="5" t="n"/>
      <c r="Q126" s="5" t="n">
        <v>870</v>
      </c>
      <c r="R126" s="5" t="n"/>
      <c r="S126" s="5">
        <f>SUM(F126:I126)+N126</f>
        <v/>
      </c>
      <c r="T126" s="5">
        <f>J126</f>
        <v/>
      </c>
      <c r="U126" s="6">
        <f>YEAR(D126)</f>
        <v/>
      </c>
      <c r="V126" s="5">
        <f>TEXT(D126,"yyyy-mm")</f>
        <v/>
      </c>
    </row>
    <row r="127">
      <c r="A127" s="2" t="inlineStr">
        <is>
          <t>EJ030323.TXT</t>
        </is>
      </c>
      <c r="B127" s="3" t="inlineStr">
        <is>
          <t>004649</t>
        </is>
      </c>
      <c r="C127" s="3" t="inlineStr">
        <is>
          <t>003687</t>
        </is>
      </c>
      <c r="D127" s="4" t="n">
        <v>44958</v>
      </c>
      <c r="E127" s="2" t="inlineStr">
        <is>
          <t>16:41</t>
        </is>
      </c>
      <c r="F127" s="5" t="n">
        <v>166.67</v>
      </c>
      <c r="G127" s="5" t="n"/>
      <c r="H127" s="5" t="n"/>
      <c r="I127" s="5" t="n"/>
      <c r="J127" s="5" t="n">
        <v>33.33</v>
      </c>
      <c r="K127" s="5" t="n"/>
      <c r="L127" s="5" t="n"/>
      <c r="M127" s="5" t="n"/>
      <c r="N127" s="5" t="n"/>
      <c r="O127" s="5" t="n">
        <v>200</v>
      </c>
      <c r="P127" s="5" t="n"/>
      <c r="Q127" s="5" t="n">
        <v>200</v>
      </c>
      <c r="R127" s="5" t="n"/>
      <c r="S127" s="5">
        <f>SUM(F127:I127)+N127</f>
        <v/>
      </c>
      <c r="T127" s="5">
        <f>J127</f>
        <v/>
      </c>
      <c r="U127" s="6">
        <f>YEAR(D127)</f>
        <v/>
      </c>
      <c r="V127" s="5">
        <f>TEXT(D127,"yyyy-mm")</f>
        <v/>
      </c>
    </row>
    <row r="128">
      <c r="A128" s="2" t="inlineStr">
        <is>
          <t>EJ030323.TXT</t>
        </is>
      </c>
      <c r="B128" s="3" t="inlineStr">
        <is>
          <t>004650</t>
        </is>
      </c>
      <c r="C128" s="3" t="inlineStr">
        <is>
          <t>003688</t>
        </is>
      </c>
      <c r="D128" s="4" t="n">
        <v>44959</v>
      </c>
      <c r="E128" s="2" t="inlineStr">
        <is>
          <t>17:13</t>
        </is>
      </c>
      <c r="F128" s="5" t="n">
        <v>166.67</v>
      </c>
      <c r="G128" s="5" t="n"/>
      <c r="H128" s="5" t="n"/>
      <c r="I128" s="5" t="n"/>
      <c r="J128" s="5" t="n">
        <v>33.33</v>
      </c>
      <c r="K128" s="5" t="n"/>
      <c r="L128" s="5" t="n"/>
      <c r="M128" s="5" t="n"/>
      <c r="N128" s="5" t="n"/>
      <c r="O128" s="5" t="n">
        <v>200</v>
      </c>
      <c r="P128" s="5" t="n"/>
      <c r="Q128" s="5" t="n">
        <v>200</v>
      </c>
      <c r="R128" s="5" t="n"/>
      <c r="S128" s="5">
        <f>SUM(F128:I128)+N128</f>
        <v/>
      </c>
      <c r="T128" s="5">
        <f>J128</f>
        <v/>
      </c>
      <c r="U128" s="6">
        <f>YEAR(D128)</f>
        <v/>
      </c>
      <c r="V128" s="5">
        <f>TEXT(D128,"yyyy-mm")</f>
        <v/>
      </c>
    </row>
    <row r="129">
      <c r="A129" s="2" t="inlineStr">
        <is>
          <t>EJ030323.TXT</t>
        </is>
      </c>
      <c r="B129" s="3" t="inlineStr">
        <is>
          <t>004651</t>
        </is>
      </c>
      <c r="C129" s="3" t="inlineStr">
        <is>
          <t>003689</t>
        </is>
      </c>
      <c r="D129" s="4" t="n">
        <v>44959</v>
      </c>
      <c r="E129" s="2" t="inlineStr">
        <is>
          <t>17:30</t>
        </is>
      </c>
      <c r="F129" s="5" t="n">
        <v>166.67</v>
      </c>
      <c r="G129" s="5" t="n"/>
      <c r="H129" s="5" t="n"/>
      <c r="I129" s="5" t="n"/>
      <c r="J129" s="5" t="n">
        <v>33.33</v>
      </c>
      <c r="K129" s="5" t="n"/>
      <c r="L129" s="5" t="n"/>
      <c r="M129" s="5" t="n"/>
      <c r="N129" s="5" t="n"/>
      <c r="O129" s="5" t="n">
        <v>200</v>
      </c>
      <c r="P129" s="5" t="n"/>
      <c r="Q129" s="5" t="n">
        <v>200</v>
      </c>
      <c r="R129" s="5" t="n"/>
      <c r="S129" s="5">
        <f>SUM(F129:I129)+N129</f>
        <v/>
      </c>
      <c r="T129" s="5">
        <f>J129</f>
        <v/>
      </c>
      <c r="U129" s="6">
        <f>YEAR(D129)</f>
        <v/>
      </c>
      <c r="V129" s="5">
        <f>TEXT(D129,"yyyy-mm")</f>
        <v/>
      </c>
    </row>
    <row r="130">
      <c r="A130" s="2" t="inlineStr">
        <is>
          <t>EJ030323.TXT</t>
        </is>
      </c>
      <c r="B130" s="3" t="inlineStr">
        <is>
          <t>004652</t>
        </is>
      </c>
      <c r="C130" s="3" t="inlineStr">
        <is>
          <t>003690</t>
        </is>
      </c>
      <c r="D130" s="4" t="n">
        <v>44960</v>
      </c>
      <c r="E130" s="2" t="inlineStr">
        <is>
          <t>10:40</t>
        </is>
      </c>
      <c r="F130" s="5" t="n">
        <v>822.5</v>
      </c>
      <c r="G130" s="5" t="n"/>
      <c r="H130" s="5" t="n"/>
      <c r="I130" s="5" t="n"/>
      <c r="J130" s="5" t="n">
        <v>164.5</v>
      </c>
      <c r="K130" s="5" t="n"/>
      <c r="L130" s="5" t="n"/>
      <c r="M130" s="5" t="n"/>
      <c r="N130" s="5" t="n"/>
      <c r="O130" s="5" t="n">
        <v>987</v>
      </c>
      <c r="P130" s="5" t="n"/>
      <c r="Q130" s="5" t="n">
        <v>987</v>
      </c>
      <c r="R130" s="5" t="n"/>
      <c r="S130" s="5">
        <f>SUM(F130:I130)+N130</f>
        <v/>
      </c>
      <c r="T130" s="5">
        <f>J130</f>
        <v/>
      </c>
      <c r="U130" s="6">
        <f>YEAR(D130)</f>
        <v/>
      </c>
      <c r="V130" s="5">
        <f>TEXT(D130,"yyyy-mm")</f>
        <v/>
      </c>
    </row>
    <row r="131">
      <c r="A131" s="2" t="inlineStr">
        <is>
          <t>EJ030323.TXT</t>
        </is>
      </c>
      <c r="B131" s="3" t="inlineStr">
        <is>
          <t>004653</t>
        </is>
      </c>
      <c r="C131" s="3" t="inlineStr">
        <is>
          <t>003691</t>
        </is>
      </c>
      <c r="D131" s="4" t="n">
        <v>44960</v>
      </c>
      <c r="E131" s="2" t="inlineStr">
        <is>
          <t>11:55</t>
        </is>
      </c>
      <c r="F131" s="5" t="n">
        <v>166.67</v>
      </c>
      <c r="G131" s="5" t="n"/>
      <c r="H131" s="5" t="n"/>
      <c r="I131" s="5" t="n"/>
      <c r="J131" s="5" t="n">
        <v>33.33</v>
      </c>
      <c r="K131" s="5" t="n"/>
      <c r="L131" s="5" t="n"/>
      <c r="M131" s="5" t="n"/>
      <c r="N131" s="5" t="n"/>
      <c r="O131" s="5" t="n">
        <v>200</v>
      </c>
      <c r="P131" s="5" t="n"/>
      <c r="Q131" s="5" t="n">
        <v>200</v>
      </c>
      <c r="R131" s="5" t="n"/>
      <c r="S131" s="5">
        <f>SUM(F131:I131)+N131</f>
        <v/>
      </c>
      <c r="T131" s="5">
        <f>J131</f>
        <v/>
      </c>
      <c r="U131" s="6">
        <f>YEAR(D131)</f>
        <v/>
      </c>
      <c r="V131" s="5">
        <f>TEXT(D131,"yyyy-mm")</f>
        <v/>
      </c>
    </row>
    <row r="132">
      <c r="A132" s="2" t="inlineStr">
        <is>
          <t>EJ030323.TXT</t>
        </is>
      </c>
      <c r="B132" s="3" t="inlineStr">
        <is>
          <t>004654</t>
        </is>
      </c>
      <c r="C132" s="3" t="inlineStr">
        <is>
          <t>003692</t>
        </is>
      </c>
      <c r="D132" s="4" t="n">
        <v>44960</v>
      </c>
      <c r="E132" s="2" t="inlineStr">
        <is>
          <t>11:57</t>
        </is>
      </c>
      <c r="F132" s="5" t="n">
        <v>208.33</v>
      </c>
      <c r="G132" s="5" t="n"/>
      <c r="H132" s="5" t="n"/>
      <c r="I132" s="5" t="n"/>
      <c r="J132" s="5" t="n">
        <v>41.67</v>
      </c>
      <c r="K132" s="5" t="n"/>
      <c r="L132" s="5" t="n"/>
      <c r="M132" s="5" t="n"/>
      <c r="N132" s="5" t="n"/>
      <c r="O132" s="5" t="n">
        <v>250</v>
      </c>
      <c r="P132" s="5" t="n"/>
      <c r="Q132" s="5" t="n">
        <v>250</v>
      </c>
      <c r="R132" s="5" t="n"/>
      <c r="S132" s="5">
        <f>SUM(F132:I132)+N132</f>
        <v/>
      </c>
      <c r="T132" s="5">
        <f>J132</f>
        <v/>
      </c>
      <c r="U132" s="6">
        <f>YEAR(D132)</f>
        <v/>
      </c>
      <c r="V132" s="5">
        <f>TEXT(D132,"yyyy-mm")</f>
        <v/>
      </c>
    </row>
    <row r="133">
      <c r="A133" s="2" t="inlineStr">
        <is>
          <t>EJ030323.TXT</t>
        </is>
      </c>
      <c r="B133" s="3" t="inlineStr">
        <is>
          <t>004655</t>
        </is>
      </c>
      <c r="C133" s="3" t="inlineStr">
        <is>
          <t>003693</t>
        </is>
      </c>
      <c r="D133" s="4" t="n">
        <v>44960</v>
      </c>
      <c r="E133" s="2" t="inlineStr">
        <is>
          <t>14:51</t>
        </is>
      </c>
      <c r="F133" s="5" t="n">
        <v>799.17</v>
      </c>
      <c r="G133" s="5" t="n"/>
      <c r="H133" s="5" t="n"/>
      <c r="I133" s="5" t="n"/>
      <c r="J133" s="5" t="n">
        <v>159.83</v>
      </c>
      <c r="K133" s="5" t="n"/>
      <c r="L133" s="5" t="n"/>
      <c r="M133" s="5" t="n"/>
      <c r="N133" s="5" t="n"/>
      <c r="O133" s="5" t="n">
        <v>959</v>
      </c>
      <c r="P133" s="5" t="n"/>
      <c r="Q133" s="5" t="n">
        <v>959</v>
      </c>
      <c r="R133" s="5" t="n"/>
      <c r="S133" s="5">
        <f>SUM(F133:I133)+N133</f>
        <v/>
      </c>
      <c r="T133" s="5">
        <f>J133</f>
        <v/>
      </c>
      <c r="U133" s="6">
        <f>YEAR(D133)</f>
        <v/>
      </c>
      <c r="V133" s="5">
        <f>TEXT(D133,"yyyy-mm")</f>
        <v/>
      </c>
    </row>
    <row r="134">
      <c r="A134" s="2" t="inlineStr">
        <is>
          <t>EJ030323.TXT</t>
        </is>
      </c>
      <c r="B134" s="3" t="inlineStr">
        <is>
          <t>004656</t>
        </is>
      </c>
      <c r="C134" s="3" t="inlineStr">
        <is>
          <t>003694</t>
        </is>
      </c>
      <c r="D134" s="4" t="n">
        <v>44960</v>
      </c>
      <c r="E134" s="2" t="inlineStr">
        <is>
          <t>14:51</t>
        </is>
      </c>
      <c r="F134" s="5" t="n">
        <v>799.17</v>
      </c>
      <c r="G134" s="5" t="n"/>
      <c r="H134" s="5" t="n"/>
      <c r="I134" s="5" t="n"/>
      <c r="J134" s="5" t="n">
        <v>159.83</v>
      </c>
      <c r="K134" s="5" t="n"/>
      <c r="L134" s="5" t="n"/>
      <c r="M134" s="5" t="n"/>
      <c r="N134" s="5" t="n"/>
      <c r="O134" s="5" t="n">
        <v>959</v>
      </c>
      <c r="P134" s="5" t="n"/>
      <c r="Q134" s="5" t="n">
        <v>959</v>
      </c>
      <c r="R134" s="5" t="n"/>
      <c r="S134" s="5">
        <f>SUM(F134:I134)+N134</f>
        <v/>
      </c>
      <c r="T134" s="5">
        <f>J134</f>
        <v/>
      </c>
      <c r="U134" s="6">
        <f>YEAR(D134)</f>
        <v/>
      </c>
      <c r="V134" s="5">
        <f>TEXT(D134,"yyyy-mm")</f>
        <v/>
      </c>
    </row>
    <row r="135">
      <c r="A135" s="2" t="inlineStr">
        <is>
          <t>EJ030323.TXT</t>
        </is>
      </c>
      <c r="B135" s="3" t="inlineStr">
        <is>
          <t>004657</t>
        </is>
      </c>
      <c r="C135" s="3" t="inlineStr">
        <is>
          <t>003695</t>
        </is>
      </c>
      <c r="D135" s="4" t="n">
        <v>44960</v>
      </c>
      <c r="E135" s="2" t="inlineStr">
        <is>
          <t>14:51</t>
        </is>
      </c>
      <c r="F135" s="5" t="n">
        <v>733.33</v>
      </c>
      <c r="G135" s="5" t="n"/>
      <c r="H135" s="5" t="n"/>
      <c r="I135" s="5" t="n"/>
      <c r="J135" s="5" t="n">
        <v>146.67</v>
      </c>
      <c r="K135" s="5" t="n"/>
      <c r="L135" s="5" t="n"/>
      <c r="M135" s="5" t="n"/>
      <c r="N135" s="5" t="n"/>
      <c r="O135" s="5" t="n">
        <v>880</v>
      </c>
      <c r="P135" s="5" t="n"/>
      <c r="Q135" s="5" t="n">
        <v>880</v>
      </c>
      <c r="R135" s="5" t="n"/>
      <c r="S135" s="5">
        <f>SUM(F135:I135)+N135</f>
        <v/>
      </c>
      <c r="T135" s="5">
        <f>J135</f>
        <v/>
      </c>
      <c r="U135" s="6">
        <f>YEAR(D135)</f>
        <v/>
      </c>
      <c r="V135" s="5">
        <f>TEXT(D135,"yyyy-mm")</f>
        <v/>
      </c>
    </row>
    <row r="136">
      <c r="A136" s="2" t="inlineStr">
        <is>
          <t>EJ030323.TXT</t>
        </is>
      </c>
      <c r="B136" s="3" t="inlineStr">
        <is>
          <t>004658</t>
        </is>
      </c>
      <c r="C136" s="3" t="inlineStr">
        <is>
          <t>003696</t>
        </is>
      </c>
      <c r="D136" s="4" t="n">
        <v>44960</v>
      </c>
      <c r="E136" s="2" t="inlineStr">
        <is>
          <t>14:51</t>
        </is>
      </c>
      <c r="F136" s="5" t="n">
        <v>733.33</v>
      </c>
      <c r="G136" s="5" t="n"/>
      <c r="H136" s="5" t="n"/>
      <c r="I136" s="5" t="n"/>
      <c r="J136" s="5" t="n">
        <v>146.67</v>
      </c>
      <c r="K136" s="5" t="n"/>
      <c r="L136" s="5" t="n"/>
      <c r="M136" s="5" t="n"/>
      <c r="N136" s="5" t="n"/>
      <c r="O136" s="5" t="n">
        <v>880</v>
      </c>
      <c r="P136" s="5" t="n"/>
      <c r="Q136" s="5" t="n">
        <v>880</v>
      </c>
      <c r="R136" s="5" t="n"/>
      <c r="S136" s="5">
        <f>SUM(F136:I136)+N136</f>
        <v/>
      </c>
      <c r="T136" s="5">
        <f>J136</f>
        <v/>
      </c>
      <c r="U136" s="6">
        <f>YEAR(D136)</f>
        <v/>
      </c>
      <c r="V136" s="5">
        <f>TEXT(D136,"yyyy-mm")</f>
        <v/>
      </c>
    </row>
    <row r="137">
      <c r="A137" s="2" t="inlineStr">
        <is>
          <t>EJ030323.TXT</t>
        </is>
      </c>
      <c r="B137" s="3" t="inlineStr">
        <is>
          <t>004659</t>
        </is>
      </c>
      <c r="C137" s="3" t="inlineStr">
        <is>
          <t>003697</t>
        </is>
      </c>
      <c r="D137" s="4" t="n">
        <v>44960</v>
      </c>
      <c r="E137" s="2" t="inlineStr">
        <is>
          <t>14:51</t>
        </is>
      </c>
      <c r="F137" s="5" t="n">
        <v>650</v>
      </c>
      <c r="G137" s="5" t="n"/>
      <c r="H137" s="5" t="n"/>
      <c r="I137" s="5" t="n"/>
      <c r="J137" s="5" t="n">
        <v>130</v>
      </c>
      <c r="K137" s="5" t="n"/>
      <c r="L137" s="5" t="n"/>
      <c r="M137" s="5" t="n"/>
      <c r="N137" s="5" t="n"/>
      <c r="O137" s="5" t="n">
        <v>780</v>
      </c>
      <c r="P137" s="5" t="n"/>
      <c r="Q137" s="5" t="n">
        <v>780</v>
      </c>
      <c r="R137" s="5" t="n"/>
      <c r="S137" s="5">
        <f>SUM(F137:I137)+N137</f>
        <v/>
      </c>
      <c r="T137" s="5">
        <f>J137</f>
        <v/>
      </c>
      <c r="U137" s="6">
        <f>YEAR(D137)</f>
        <v/>
      </c>
      <c r="V137" s="5">
        <f>TEXT(D137,"yyyy-mm")</f>
        <v/>
      </c>
    </row>
    <row r="138">
      <c r="A138" s="2" t="inlineStr">
        <is>
          <t>EJ030323.TXT</t>
        </is>
      </c>
      <c r="B138" s="3" t="inlineStr">
        <is>
          <t>004660</t>
        </is>
      </c>
      <c r="C138" s="3" t="inlineStr">
        <is>
          <t>003698</t>
        </is>
      </c>
      <c r="D138" s="4" t="n">
        <v>44960</v>
      </c>
      <c r="E138" s="2" t="inlineStr">
        <is>
          <t>14:52</t>
        </is>
      </c>
      <c r="F138" s="5" t="n">
        <v>650</v>
      </c>
      <c r="G138" s="5" t="n"/>
      <c r="H138" s="5" t="n"/>
      <c r="I138" s="5" t="n"/>
      <c r="J138" s="5" t="n">
        <v>130</v>
      </c>
      <c r="K138" s="5" t="n"/>
      <c r="L138" s="5" t="n"/>
      <c r="M138" s="5" t="n"/>
      <c r="N138" s="5" t="n"/>
      <c r="O138" s="5" t="n">
        <v>780</v>
      </c>
      <c r="P138" s="5" t="n"/>
      <c r="Q138" s="5" t="n">
        <v>780</v>
      </c>
      <c r="R138" s="5" t="n"/>
      <c r="S138" s="5">
        <f>SUM(F138:I138)+N138</f>
        <v/>
      </c>
      <c r="T138" s="5">
        <f>J138</f>
        <v/>
      </c>
      <c r="U138" s="6">
        <f>YEAR(D138)</f>
        <v/>
      </c>
      <c r="V138" s="5">
        <f>TEXT(D138,"yyyy-mm")</f>
        <v/>
      </c>
    </row>
    <row r="139">
      <c r="A139" s="2" t="inlineStr">
        <is>
          <t>EJ030323.TXT</t>
        </is>
      </c>
      <c r="B139" s="3" t="inlineStr">
        <is>
          <t>004661</t>
        </is>
      </c>
      <c r="C139" s="3" t="inlineStr">
        <is>
          <t>003699</t>
        </is>
      </c>
      <c r="D139" s="4" t="n">
        <v>44960</v>
      </c>
      <c r="E139" s="2" t="inlineStr">
        <is>
          <t>16:40</t>
        </is>
      </c>
      <c r="F139" s="5" t="n">
        <v>190.83</v>
      </c>
      <c r="G139" s="5" t="n"/>
      <c r="H139" s="5" t="n"/>
      <c r="I139" s="5" t="n"/>
      <c r="J139" s="5" t="n">
        <v>38.17</v>
      </c>
      <c r="K139" s="5" t="n"/>
      <c r="L139" s="5" t="n"/>
      <c r="M139" s="5" t="n"/>
      <c r="N139" s="5" t="n"/>
      <c r="O139" s="5" t="n">
        <v>229</v>
      </c>
      <c r="P139" s="5" t="n"/>
      <c r="Q139" s="5" t="n">
        <v>229</v>
      </c>
      <c r="R139" s="5" t="n"/>
      <c r="S139" s="5">
        <f>SUM(F139:I139)+N139</f>
        <v/>
      </c>
      <c r="T139" s="5">
        <f>J139</f>
        <v/>
      </c>
      <c r="U139" s="6">
        <f>YEAR(D139)</f>
        <v/>
      </c>
      <c r="V139" s="5">
        <f>TEXT(D139,"yyyy-mm")</f>
        <v/>
      </c>
    </row>
    <row r="140">
      <c r="A140" s="2" t="inlineStr">
        <is>
          <t>EJ030323.TXT</t>
        </is>
      </c>
      <c r="B140" s="3" t="inlineStr">
        <is>
          <t>004662</t>
        </is>
      </c>
      <c r="C140" s="3" t="inlineStr">
        <is>
          <t>003700</t>
        </is>
      </c>
      <c r="D140" s="4" t="n">
        <v>44963</v>
      </c>
      <c r="E140" s="2" t="inlineStr">
        <is>
          <t>15:19</t>
        </is>
      </c>
      <c r="F140" s="5" t="n">
        <v>822.5</v>
      </c>
      <c r="G140" s="5" t="n"/>
      <c r="H140" s="5" t="n"/>
      <c r="I140" s="5" t="n"/>
      <c r="J140" s="5" t="n">
        <v>164.5</v>
      </c>
      <c r="K140" s="5" t="n"/>
      <c r="L140" s="5" t="n"/>
      <c r="M140" s="5" t="n"/>
      <c r="N140" s="5" t="n"/>
      <c r="O140" s="5" t="n">
        <v>987</v>
      </c>
      <c r="P140" s="5" t="n">
        <v>987</v>
      </c>
      <c r="Q140" s="5" t="n"/>
      <c r="R140" s="5" t="n"/>
      <c r="S140" s="5">
        <f>SUM(F140:I140)+N140</f>
        <v/>
      </c>
      <c r="T140" s="5">
        <f>J140</f>
        <v/>
      </c>
      <c r="U140" s="6">
        <f>YEAR(D140)</f>
        <v/>
      </c>
      <c r="V140" s="5">
        <f>TEXT(D140,"yyyy-mm")</f>
        <v/>
      </c>
    </row>
    <row r="141">
      <c r="A141" s="2" t="inlineStr">
        <is>
          <t>EJ030323.TXT</t>
        </is>
      </c>
      <c r="B141" s="3" t="inlineStr">
        <is>
          <t>004663</t>
        </is>
      </c>
      <c r="C141" s="3" t="inlineStr">
        <is>
          <t>003701</t>
        </is>
      </c>
      <c r="D141" s="4" t="n">
        <v>44963</v>
      </c>
      <c r="E141" s="2" t="inlineStr">
        <is>
          <t>15:46</t>
        </is>
      </c>
      <c r="F141" s="5" t="n">
        <v>381.67</v>
      </c>
      <c r="G141" s="5" t="n"/>
      <c r="H141" s="5" t="n"/>
      <c r="I141" s="5" t="n"/>
      <c r="J141" s="5" t="n">
        <v>76.33</v>
      </c>
      <c r="K141" s="5" t="n"/>
      <c r="L141" s="5" t="n"/>
      <c r="M141" s="5" t="n"/>
      <c r="N141" s="5" t="n"/>
      <c r="O141" s="5" t="n">
        <v>458</v>
      </c>
      <c r="P141" s="5" t="n"/>
      <c r="Q141" s="5" t="n">
        <v>458</v>
      </c>
      <c r="R141" s="5" t="n"/>
      <c r="S141" s="5">
        <f>SUM(F141:I141)+N141</f>
        <v/>
      </c>
      <c r="T141" s="5">
        <f>J141</f>
        <v/>
      </c>
      <c r="U141" s="6">
        <f>YEAR(D141)</f>
        <v/>
      </c>
      <c r="V141" s="5">
        <f>TEXT(D141,"yyyy-mm")</f>
        <v/>
      </c>
    </row>
    <row r="142">
      <c r="A142" s="2" t="inlineStr">
        <is>
          <t>EJ030323.TXT</t>
        </is>
      </c>
      <c r="B142" s="3" t="inlineStr">
        <is>
          <t>004664</t>
        </is>
      </c>
      <c r="C142" s="3" t="inlineStr">
        <is>
          <t>003702</t>
        </is>
      </c>
      <c r="D142" s="4" t="n">
        <v>44964</v>
      </c>
      <c r="E142" s="2" t="inlineStr">
        <is>
          <t>16:13</t>
        </is>
      </c>
      <c r="F142" s="5" t="n">
        <v>582.5</v>
      </c>
      <c r="G142" s="5" t="n"/>
      <c r="H142" s="5" t="n"/>
      <c r="I142" s="5" t="n"/>
      <c r="J142" s="5" t="n">
        <v>116.5</v>
      </c>
      <c r="K142" s="5" t="n"/>
      <c r="L142" s="5" t="n"/>
      <c r="M142" s="5" t="n"/>
      <c r="N142" s="5" t="n"/>
      <c r="O142" s="5" t="n">
        <v>699</v>
      </c>
      <c r="P142" s="5" t="n"/>
      <c r="Q142" s="5" t="n">
        <v>699</v>
      </c>
      <c r="R142" s="5" t="n"/>
      <c r="S142" s="5">
        <f>SUM(F142:I142)+N142</f>
        <v/>
      </c>
      <c r="T142" s="5">
        <f>J142</f>
        <v/>
      </c>
      <c r="U142" s="6">
        <f>YEAR(D142)</f>
        <v/>
      </c>
      <c r="V142" s="5">
        <f>TEXT(D142,"yyyy-mm")</f>
        <v/>
      </c>
    </row>
    <row r="143">
      <c r="A143" s="2" t="inlineStr">
        <is>
          <t>EJ030323.TXT</t>
        </is>
      </c>
      <c r="B143" s="3" t="inlineStr">
        <is>
          <t>004665</t>
        </is>
      </c>
      <c r="C143" s="3" t="inlineStr">
        <is>
          <t>003703</t>
        </is>
      </c>
      <c r="D143" s="4" t="n">
        <v>44964</v>
      </c>
      <c r="E143" s="2" t="inlineStr">
        <is>
          <t>16:13</t>
        </is>
      </c>
      <c r="F143" s="5" t="n">
        <v>582.5</v>
      </c>
      <c r="G143" s="5" t="n"/>
      <c r="H143" s="5" t="n"/>
      <c r="I143" s="5" t="n"/>
      <c r="J143" s="5" t="n">
        <v>116.5</v>
      </c>
      <c r="K143" s="5" t="n"/>
      <c r="L143" s="5" t="n"/>
      <c r="M143" s="5" t="n"/>
      <c r="N143" s="5" t="n"/>
      <c r="O143" s="5" t="n">
        <v>699</v>
      </c>
      <c r="P143" s="5" t="n"/>
      <c r="Q143" s="5" t="n">
        <v>699</v>
      </c>
      <c r="R143" s="5" t="n"/>
      <c r="S143" s="5">
        <f>SUM(F143:I143)+N143</f>
        <v/>
      </c>
      <c r="T143" s="5">
        <f>J143</f>
        <v/>
      </c>
      <c r="U143" s="6">
        <f>YEAR(D143)</f>
        <v/>
      </c>
      <c r="V143" s="5">
        <f>TEXT(D143,"yyyy-mm")</f>
        <v/>
      </c>
    </row>
    <row r="144">
      <c r="A144" s="2" t="inlineStr">
        <is>
          <t>EJ030323.TXT</t>
        </is>
      </c>
      <c r="B144" s="3" t="inlineStr">
        <is>
          <t>004666</t>
        </is>
      </c>
      <c r="C144" s="3" t="inlineStr">
        <is>
          <t>003704</t>
        </is>
      </c>
      <c r="D144" s="4" t="n">
        <v>44964</v>
      </c>
      <c r="E144" s="2" t="inlineStr">
        <is>
          <t>16:20</t>
        </is>
      </c>
      <c r="F144" s="5" t="n">
        <v>531.67</v>
      </c>
      <c r="G144" s="5" t="n"/>
      <c r="H144" s="5" t="n"/>
      <c r="I144" s="5" t="n"/>
      <c r="J144" s="5" t="n">
        <v>106.33</v>
      </c>
      <c r="K144" s="5" t="n"/>
      <c r="L144" s="5" t="n"/>
      <c r="M144" s="5" t="n"/>
      <c r="N144" s="5" t="n"/>
      <c r="O144" s="5" t="n">
        <v>638</v>
      </c>
      <c r="P144" s="5" t="n"/>
      <c r="Q144" s="5" t="n">
        <v>638</v>
      </c>
      <c r="R144" s="5" t="n"/>
      <c r="S144" s="5">
        <f>SUM(F144:I144)+N144</f>
        <v/>
      </c>
      <c r="T144" s="5">
        <f>J144</f>
        <v/>
      </c>
      <c r="U144" s="6">
        <f>YEAR(D144)</f>
        <v/>
      </c>
      <c r="V144" s="5">
        <f>TEXT(D144,"yyyy-mm")</f>
        <v/>
      </c>
    </row>
    <row r="145">
      <c r="A145" s="2" t="inlineStr">
        <is>
          <t>EJ030323.TXT</t>
        </is>
      </c>
      <c r="B145" s="3" t="inlineStr">
        <is>
          <t>004667</t>
        </is>
      </c>
      <c r="C145" s="3" t="inlineStr">
        <is>
          <t>003705</t>
        </is>
      </c>
      <c r="D145" s="4" t="n">
        <v>44964</v>
      </c>
      <c r="E145" s="2" t="inlineStr">
        <is>
          <t>16:29</t>
        </is>
      </c>
      <c r="F145" s="5" t="n">
        <v>282.5</v>
      </c>
      <c r="G145" s="5" t="n"/>
      <c r="H145" s="5" t="n"/>
      <c r="I145" s="5" t="n"/>
      <c r="J145" s="5" t="n">
        <v>56.5</v>
      </c>
      <c r="K145" s="5" t="n"/>
      <c r="L145" s="5" t="n"/>
      <c r="M145" s="5" t="n"/>
      <c r="N145" s="5" t="n"/>
      <c r="O145" s="5" t="n">
        <v>339</v>
      </c>
      <c r="P145" s="5" t="n"/>
      <c r="Q145" s="5" t="n">
        <v>339</v>
      </c>
      <c r="R145" s="5" t="n"/>
      <c r="S145" s="5">
        <f>SUM(F145:I145)+N145</f>
        <v/>
      </c>
      <c r="T145" s="5">
        <f>J145</f>
        <v/>
      </c>
      <c r="U145" s="6">
        <f>YEAR(D145)</f>
        <v/>
      </c>
      <c r="V145" s="5">
        <f>TEXT(D145,"yyyy-mm")</f>
        <v/>
      </c>
    </row>
    <row r="146">
      <c r="A146" s="2" t="inlineStr">
        <is>
          <t>EJ030323.TXT</t>
        </is>
      </c>
      <c r="B146" s="3" t="inlineStr">
        <is>
          <t>004668</t>
        </is>
      </c>
      <c r="C146" s="3" t="inlineStr">
        <is>
          <t>003706</t>
        </is>
      </c>
      <c r="D146" s="4" t="n">
        <v>44965</v>
      </c>
      <c r="E146" s="2" t="inlineStr">
        <is>
          <t>12:42</t>
        </is>
      </c>
      <c r="F146" s="5" t="n">
        <v>1063.33</v>
      </c>
      <c r="G146" s="5" t="n"/>
      <c r="H146" s="5" t="n"/>
      <c r="I146" s="5" t="n"/>
      <c r="J146" s="5" t="n">
        <v>212.67</v>
      </c>
      <c r="K146" s="5" t="n"/>
      <c r="L146" s="5" t="n"/>
      <c r="M146" s="5" t="n"/>
      <c r="N146" s="5" t="n"/>
      <c r="O146" s="5" t="n">
        <v>1276</v>
      </c>
      <c r="P146" s="5" t="n">
        <v>1276</v>
      </c>
      <c r="Q146" s="5" t="n"/>
      <c r="R146" s="5" t="n"/>
      <c r="S146" s="5">
        <f>SUM(F146:I146)+N146</f>
        <v/>
      </c>
      <c r="T146" s="5">
        <f>J146</f>
        <v/>
      </c>
      <c r="U146" s="6">
        <f>YEAR(D146)</f>
        <v/>
      </c>
      <c r="V146" s="5">
        <f>TEXT(D146,"yyyy-mm")</f>
        <v/>
      </c>
    </row>
    <row r="147">
      <c r="A147" s="2" t="inlineStr">
        <is>
          <t>EJ030323.TXT</t>
        </is>
      </c>
      <c r="B147" s="3" t="inlineStr">
        <is>
          <t>004669</t>
        </is>
      </c>
      <c r="C147" s="3" t="inlineStr">
        <is>
          <t>003707</t>
        </is>
      </c>
      <c r="D147" s="4" t="n">
        <v>44965</v>
      </c>
      <c r="E147" s="2" t="inlineStr">
        <is>
          <t>13:04</t>
        </is>
      </c>
      <c r="F147" s="5" t="n">
        <v>37.5</v>
      </c>
      <c r="G147" s="5" t="n"/>
      <c r="H147" s="5" t="n"/>
      <c r="I147" s="5" t="n"/>
      <c r="J147" s="5" t="n">
        <v>7.5</v>
      </c>
      <c r="K147" s="5" t="n"/>
      <c r="L147" s="5" t="n"/>
      <c r="M147" s="5" t="n"/>
      <c r="N147" s="5" t="n"/>
      <c r="O147" s="5" t="n">
        <v>45</v>
      </c>
      <c r="P147" s="5" t="n"/>
      <c r="Q147" s="5" t="n">
        <v>45</v>
      </c>
      <c r="R147" s="5" t="n"/>
      <c r="S147" s="5">
        <f>SUM(F147:I147)+N147</f>
        <v/>
      </c>
      <c r="T147" s="5">
        <f>J147</f>
        <v/>
      </c>
      <c r="U147" s="6">
        <f>YEAR(D147)</f>
        <v/>
      </c>
      <c r="V147" s="5">
        <f>TEXT(D147,"yyyy-mm")</f>
        <v/>
      </c>
    </row>
    <row r="148">
      <c r="A148" s="2" t="inlineStr">
        <is>
          <t>EJ030323.TXT</t>
        </is>
      </c>
      <c r="B148" s="3" t="inlineStr">
        <is>
          <t>004670</t>
        </is>
      </c>
      <c r="C148" s="3" t="inlineStr">
        <is>
          <t>003708</t>
        </is>
      </c>
      <c r="D148" s="4" t="n">
        <v>44965</v>
      </c>
      <c r="E148" s="2" t="inlineStr">
        <is>
          <t>16:37</t>
        </is>
      </c>
      <c r="F148" s="5" t="n">
        <v>1096.67</v>
      </c>
      <c r="G148" s="5" t="n"/>
      <c r="H148" s="5" t="n"/>
      <c r="I148" s="5" t="n"/>
      <c r="J148" s="5" t="n">
        <v>219.33</v>
      </c>
      <c r="K148" s="5" t="n"/>
      <c r="L148" s="5" t="n"/>
      <c r="M148" s="5" t="n"/>
      <c r="N148" s="5" t="n"/>
      <c r="O148" s="5" t="n">
        <v>1316</v>
      </c>
      <c r="P148" s="5" t="n">
        <v>1316</v>
      </c>
      <c r="Q148" s="5" t="n"/>
      <c r="R148" s="5" t="n"/>
      <c r="S148" s="5">
        <f>SUM(F148:I148)+N148</f>
        <v/>
      </c>
      <c r="T148" s="5">
        <f>J148</f>
        <v/>
      </c>
      <c r="U148" s="6">
        <f>YEAR(D148)</f>
        <v/>
      </c>
      <c r="V148" s="5">
        <f>TEXT(D148,"yyyy-mm")</f>
        <v/>
      </c>
    </row>
    <row r="149">
      <c r="A149" s="2" t="inlineStr">
        <is>
          <t>EJ030323.TXT</t>
        </is>
      </c>
      <c r="B149" s="3" t="inlineStr">
        <is>
          <t>004671</t>
        </is>
      </c>
      <c r="C149" s="3" t="inlineStr">
        <is>
          <t>003709</t>
        </is>
      </c>
      <c r="D149" s="4" t="n">
        <v>44966</v>
      </c>
      <c r="E149" s="2" t="inlineStr">
        <is>
          <t>11:15</t>
        </is>
      </c>
      <c r="F149" s="5" t="n">
        <v>548.33</v>
      </c>
      <c r="G149" s="5" t="n"/>
      <c r="H149" s="5" t="n"/>
      <c r="I149" s="5" t="n"/>
      <c r="J149" s="5" t="n">
        <v>109.67</v>
      </c>
      <c r="K149" s="5" t="n"/>
      <c r="L149" s="5" t="n"/>
      <c r="M149" s="5" t="n"/>
      <c r="N149" s="5" t="n"/>
      <c r="O149" s="5" t="n">
        <v>658</v>
      </c>
      <c r="P149" s="5" t="n"/>
      <c r="Q149" s="5" t="n">
        <v>658</v>
      </c>
      <c r="R149" s="5" t="n"/>
      <c r="S149" s="5">
        <f>SUM(F149:I149)+N149</f>
        <v/>
      </c>
      <c r="T149" s="5">
        <f>J149</f>
        <v/>
      </c>
      <c r="U149" s="6">
        <f>YEAR(D149)</f>
        <v/>
      </c>
      <c r="V149" s="5">
        <f>TEXT(D149,"yyyy-mm")</f>
        <v/>
      </c>
    </row>
    <row r="150">
      <c r="A150" s="2" t="inlineStr">
        <is>
          <t>EJ030323.TXT</t>
        </is>
      </c>
      <c r="B150" s="3" t="inlineStr">
        <is>
          <t>004672</t>
        </is>
      </c>
      <c r="C150" s="3" t="inlineStr">
        <is>
          <t>003710</t>
        </is>
      </c>
      <c r="D150" s="4" t="n">
        <v>44966</v>
      </c>
      <c r="E150" s="2" t="inlineStr">
        <is>
          <t>11:16</t>
        </is>
      </c>
      <c r="F150" s="5" t="n">
        <v>307.5</v>
      </c>
      <c r="G150" s="5" t="n"/>
      <c r="H150" s="5" t="n"/>
      <c r="I150" s="5" t="n"/>
      <c r="J150" s="5" t="n">
        <v>61.5</v>
      </c>
      <c r="K150" s="5" t="n"/>
      <c r="L150" s="5" t="n"/>
      <c r="M150" s="5" t="n"/>
      <c r="N150" s="5" t="n"/>
      <c r="O150" s="5" t="n">
        <v>369</v>
      </c>
      <c r="P150" s="5" t="n"/>
      <c r="Q150" s="5" t="n">
        <v>369</v>
      </c>
      <c r="R150" s="5" t="n"/>
      <c r="S150" s="5">
        <f>SUM(F150:I150)+N150</f>
        <v/>
      </c>
      <c r="T150" s="5">
        <f>J150</f>
        <v/>
      </c>
      <c r="U150" s="6">
        <f>YEAR(D150)</f>
        <v/>
      </c>
      <c r="V150" s="5">
        <f>TEXT(D150,"yyyy-mm")</f>
        <v/>
      </c>
    </row>
    <row r="151">
      <c r="A151" s="2" t="inlineStr">
        <is>
          <t>EJ030323.TXT</t>
        </is>
      </c>
      <c r="B151" s="3" t="inlineStr">
        <is>
          <t>004673</t>
        </is>
      </c>
      <c r="C151" s="3" t="inlineStr">
        <is>
          <t>003711</t>
        </is>
      </c>
      <c r="D151" s="4" t="n">
        <v>44966</v>
      </c>
      <c r="E151" s="2" t="inlineStr">
        <is>
          <t>16:22</t>
        </is>
      </c>
      <c r="F151" s="5" t="n">
        <v>531.67</v>
      </c>
      <c r="G151" s="5" t="n"/>
      <c r="H151" s="5" t="n"/>
      <c r="I151" s="5" t="n"/>
      <c r="J151" s="5" t="n">
        <v>106.33</v>
      </c>
      <c r="K151" s="5" t="n"/>
      <c r="L151" s="5" t="n"/>
      <c r="M151" s="5" t="n"/>
      <c r="N151" s="5" t="n"/>
      <c r="O151" s="5" t="n">
        <v>638</v>
      </c>
      <c r="P151" s="5" t="n"/>
      <c r="Q151" s="5" t="n">
        <v>638</v>
      </c>
      <c r="R151" s="5" t="n"/>
      <c r="S151" s="5">
        <f>SUM(F151:I151)+N151</f>
        <v/>
      </c>
      <c r="T151" s="5">
        <f>J151</f>
        <v/>
      </c>
      <c r="U151" s="6">
        <f>YEAR(D151)</f>
        <v/>
      </c>
      <c r="V151" s="5">
        <f>TEXT(D151,"yyyy-mm")</f>
        <v/>
      </c>
    </row>
    <row r="152">
      <c r="A152" s="2" t="inlineStr">
        <is>
          <t>EJ030323.TXT</t>
        </is>
      </c>
      <c r="B152" s="3" t="inlineStr">
        <is>
          <t>004674</t>
        </is>
      </c>
      <c r="C152" s="3" t="inlineStr">
        <is>
          <t>003712</t>
        </is>
      </c>
      <c r="D152" s="4" t="n">
        <v>44966</v>
      </c>
      <c r="E152" s="2" t="inlineStr">
        <is>
          <t>18:21</t>
        </is>
      </c>
      <c r="F152" s="5" t="n">
        <v>6380</v>
      </c>
      <c r="G152" s="5" t="n"/>
      <c r="H152" s="5" t="n"/>
      <c r="I152" s="5" t="n"/>
      <c r="J152" s="5" t="n">
        <v>1276</v>
      </c>
      <c r="K152" s="5" t="n"/>
      <c r="L152" s="5" t="n"/>
      <c r="M152" s="5" t="n"/>
      <c r="N152" s="5" t="n"/>
      <c r="O152" s="5" t="n">
        <v>7656</v>
      </c>
      <c r="P152" s="5" t="n">
        <v>7656</v>
      </c>
      <c r="Q152" s="5" t="n"/>
      <c r="R152" s="5" t="n"/>
      <c r="S152" s="5">
        <f>SUM(F152:I152)+N152</f>
        <v/>
      </c>
      <c r="T152" s="5">
        <f>J152</f>
        <v/>
      </c>
      <c r="U152" s="6">
        <f>YEAR(D152)</f>
        <v/>
      </c>
      <c r="V152" s="5">
        <f>TEXT(D152,"yyyy-mm")</f>
        <v/>
      </c>
    </row>
    <row r="153">
      <c r="A153" s="2" t="inlineStr">
        <is>
          <t>EJ030323.TXT</t>
        </is>
      </c>
      <c r="B153" s="3" t="inlineStr">
        <is>
          <t>004675</t>
        </is>
      </c>
      <c r="C153" s="3" t="inlineStr">
        <is>
          <t>003713</t>
        </is>
      </c>
      <c r="D153" s="4" t="n">
        <v>44968</v>
      </c>
      <c r="E153" s="2" t="inlineStr">
        <is>
          <t>16:19</t>
        </is>
      </c>
      <c r="F153" s="5" t="n">
        <v>75</v>
      </c>
      <c r="G153" s="5" t="n"/>
      <c r="H153" s="5" t="n"/>
      <c r="I153" s="5" t="n"/>
      <c r="J153" s="5" t="n">
        <v>15</v>
      </c>
      <c r="K153" s="5" t="n"/>
      <c r="L153" s="5" t="n"/>
      <c r="M153" s="5" t="n"/>
      <c r="N153" s="5" t="n"/>
      <c r="O153" s="5" t="n">
        <v>90</v>
      </c>
      <c r="P153" s="5" t="n"/>
      <c r="Q153" s="5" t="n">
        <v>90</v>
      </c>
      <c r="R153" s="5" t="n"/>
      <c r="S153" s="5">
        <f>SUM(F153:I153)+N153</f>
        <v/>
      </c>
      <c r="T153" s="5">
        <f>J153</f>
        <v/>
      </c>
      <c r="U153" s="6">
        <f>YEAR(D153)</f>
        <v/>
      </c>
      <c r="V153" s="5">
        <f>TEXT(D153,"yyyy-mm")</f>
        <v/>
      </c>
    </row>
    <row r="154">
      <c r="A154" s="2" t="inlineStr">
        <is>
          <t>EJ030323.TXT</t>
        </is>
      </c>
      <c r="B154" s="3" t="inlineStr">
        <is>
          <t>004676</t>
        </is>
      </c>
      <c r="C154" s="3" t="inlineStr">
        <is>
          <t>003714</t>
        </is>
      </c>
      <c r="D154" s="4" t="n">
        <v>44968</v>
      </c>
      <c r="E154" s="2" t="inlineStr">
        <is>
          <t>16:20</t>
        </is>
      </c>
      <c r="F154" s="5" t="n">
        <v>315</v>
      </c>
      <c r="G154" s="5" t="n"/>
      <c r="H154" s="5" t="n"/>
      <c r="I154" s="5" t="n"/>
      <c r="J154" s="5" t="n">
        <v>63</v>
      </c>
      <c r="K154" s="5" t="n"/>
      <c r="L154" s="5" t="n"/>
      <c r="M154" s="5" t="n"/>
      <c r="N154" s="5" t="n"/>
      <c r="O154" s="5" t="n">
        <v>378</v>
      </c>
      <c r="P154" s="5" t="n"/>
      <c r="Q154" s="5" t="n">
        <v>378</v>
      </c>
      <c r="R154" s="5" t="n"/>
      <c r="S154" s="5">
        <f>SUM(F154:I154)+N154</f>
        <v/>
      </c>
      <c r="T154" s="5">
        <f>J154</f>
        <v/>
      </c>
      <c r="U154" s="6">
        <f>YEAR(D154)</f>
        <v/>
      </c>
      <c r="V154" s="5">
        <f>TEXT(D154,"yyyy-mm")</f>
        <v/>
      </c>
    </row>
    <row r="155">
      <c r="A155" s="2" t="inlineStr">
        <is>
          <t>EJ030323.TXT</t>
        </is>
      </c>
      <c r="B155" s="3" t="inlineStr">
        <is>
          <t>004677</t>
        </is>
      </c>
      <c r="C155" s="3" t="inlineStr">
        <is>
          <t>003715</t>
        </is>
      </c>
      <c r="D155" s="4" t="n">
        <v>44970</v>
      </c>
      <c r="E155" s="2" t="inlineStr">
        <is>
          <t>14:39</t>
        </is>
      </c>
      <c r="F155" s="5" t="n">
        <v>295</v>
      </c>
      <c r="G155" s="5" t="n"/>
      <c r="H155" s="5" t="n"/>
      <c r="I155" s="5" t="n"/>
      <c r="J155" s="5" t="n">
        <v>59</v>
      </c>
      <c r="K155" s="5" t="n"/>
      <c r="L155" s="5" t="n"/>
      <c r="M155" s="5" t="n"/>
      <c r="N155" s="5" t="n"/>
      <c r="O155" s="5" t="n">
        <v>354</v>
      </c>
      <c r="P155" s="5" t="n"/>
      <c r="Q155" s="5" t="n">
        <v>354</v>
      </c>
      <c r="R155" s="5" t="n"/>
      <c r="S155" s="5">
        <f>SUM(F155:I155)+N155</f>
        <v/>
      </c>
      <c r="T155" s="5">
        <f>J155</f>
        <v/>
      </c>
      <c r="U155" s="6">
        <f>YEAR(D155)</f>
        <v/>
      </c>
      <c r="V155" s="5">
        <f>TEXT(D155,"yyyy-mm")</f>
        <v/>
      </c>
    </row>
    <row r="156">
      <c r="A156" s="2" t="inlineStr">
        <is>
          <t>EJ030323.TXT</t>
        </is>
      </c>
      <c r="B156" s="3" t="inlineStr">
        <is>
          <t>004678</t>
        </is>
      </c>
      <c r="C156" s="3" t="inlineStr">
        <is>
          <t>003716</t>
        </is>
      </c>
      <c r="D156" s="4" t="n">
        <v>44970</v>
      </c>
      <c r="E156" s="2" t="inlineStr">
        <is>
          <t>14:42</t>
        </is>
      </c>
      <c r="F156" s="5" t="n">
        <v>65.83</v>
      </c>
      <c r="G156" s="5" t="n"/>
      <c r="H156" s="5" t="n"/>
      <c r="I156" s="5" t="n"/>
      <c r="J156" s="5" t="n">
        <v>13.17</v>
      </c>
      <c r="K156" s="5" t="n"/>
      <c r="L156" s="5" t="n"/>
      <c r="M156" s="5" t="n"/>
      <c r="N156" s="5" t="n"/>
      <c r="O156" s="5" t="n">
        <v>79</v>
      </c>
      <c r="P156" s="5" t="n"/>
      <c r="Q156" s="5" t="n">
        <v>79</v>
      </c>
      <c r="R156" s="5" t="n"/>
      <c r="S156" s="5">
        <f>SUM(F156:I156)+N156</f>
        <v/>
      </c>
      <c r="T156" s="5">
        <f>J156</f>
        <v/>
      </c>
      <c r="U156" s="6">
        <f>YEAR(D156)</f>
        <v/>
      </c>
      <c r="V156" s="5">
        <f>TEXT(D156,"yyyy-mm")</f>
        <v/>
      </c>
    </row>
    <row r="157">
      <c r="A157" s="2" t="inlineStr">
        <is>
          <t>EJ030323.TXT</t>
        </is>
      </c>
      <c r="B157" s="3" t="inlineStr">
        <is>
          <t>004679</t>
        </is>
      </c>
      <c r="C157" s="3" t="inlineStr">
        <is>
          <t>003717</t>
        </is>
      </c>
      <c r="D157" s="4" t="n">
        <v>44971</v>
      </c>
      <c r="E157" s="2" t="inlineStr">
        <is>
          <t>12:11</t>
        </is>
      </c>
      <c r="F157" s="5" t="n">
        <v>274.17</v>
      </c>
      <c r="G157" s="5" t="n"/>
      <c r="H157" s="5" t="n"/>
      <c r="I157" s="5" t="n"/>
      <c r="J157" s="5" t="n">
        <v>54.83</v>
      </c>
      <c r="K157" s="5" t="n"/>
      <c r="L157" s="5" t="n"/>
      <c r="M157" s="5" t="n"/>
      <c r="N157" s="5" t="n"/>
      <c r="O157" s="5" t="n">
        <v>329</v>
      </c>
      <c r="P157" s="5" t="n"/>
      <c r="Q157" s="5" t="n">
        <v>329</v>
      </c>
      <c r="R157" s="5" t="n"/>
      <c r="S157" s="5">
        <f>SUM(F157:I157)+N157</f>
        <v/>
      </c>
      <c r="T157" s="5">
        <f>J157</f>
        <v/>
      </c>
      <c r="U157" s="6">
        <f>YEAR(D157)</f>
        <v/>
      </c>
      <c r="V157" s="5">
        <f>TEXT(D157,"yyyy-mm")</f>
        <v/>
      </c>
    </row>
    <row r="158">
      <c r="A158" s="2" t="inlineStr">
        <is>
          <t>EJ030323.TXT</t>
        </is>
      </c>
      <c r="B158" s="3" t="inlineStr">
        <is>
          <t>004680</t>
        </is>
      </c>
      <c r="C158" s="3" t="inlineStr">
        <is>
          <t>003718</t>
        </is>
      </c>
      <c r="D158" s="4" t="n">
        <v>44971</v>
      </c>
      <c r="E158" s="2" t="inlineStr">
        <is>
          <t>18:26</t>
        </is>
      </c>
      <c r="F158" s="5" t="n">
        <v>124.17</v>
      </c>
      <c r="G158" s="5" t="n"/>
      <c r="H158" s="5" t="n"/>
      <c r="I158" s="5" t="n"/>
      <c r="J158" s="5" t="n">
        <v>24.83</v>
      </c>
      <c r="K158" s="5" t="n"/>
      <c r="L158" s="5" t="n"/>
      <c r="M158" s="5" t="n"/>
      <c r="N158" s="5" t="n"/>
      <c r="O158" s="5" t="n">
        <v>149</v>
      </c>
      <c r="P158" s="5" t="n">
        <v>149</v>
      </c>
      <c r="Q158" s="5" t="n"/>
      <c r="R158" s="5" t="n"/>
      <c r="S158" s="5">
        <f>SUM(F158:I158)+N158</f>
        <v/>
      </c>
      <c r="T158" s="5">
        <f>J158</f>
        <v/>
      </c>
      <c r="U158" s="6">
        <f>YEAR(D158)</f>
        <v/>
      </c>
      <c r="V158" s="5">
        <f>TEXT(D158,"yyyy-mm")</f>
        <v/>
      </c>
    </row>
    <row r="159">
      <c r="A159" s="2" t="inlineStr">
        <is>
          <t>EJ030323.TXT</t>
        </is>
      </c>
      <c r="B159" s="3" t="inlineStr">
        <is>
          <t>004681</t>
        </is>
      </c>
      <c r="C159" s="3" t="inlineStr">
        <is>
          <t>003719</t>
        </is>
      </c>
      <c r="D159" s="4" t="n">
        <v>44974</v>
      </c>
      <c r="E159" s="2" t="inlineStr">
        <is>
          <t>16:29</t>
        </is>
      </c>
      <c r="F159" s="5" t="n">
        <v>548.33</v>
      </c>
      <c r="G159" s="5" t="n"/>
      <c r="H159" s="5" t="n"/>
      <c r="I159" s="5" t="n"/>
      <c r="J159" s="5" t="n">
        <v>109.67</v>
      </c>
      <c r="K159" s="5" t="n"/>
      <c r="L159" s="5" t="n"/>
      <c r="M159" s="5" t="n"/>
      <c r="N159" s="5" t="n"/>
      <c r="O159" s="5" t="n">
        <v>658</v>
      </c>
      <c r="P159" s="5" t="n"/>
      <c r="Q159" s="5" t="n">
        <v>658</v>
      </c>
      <c r="R159" s="5" t="n"/>
      <c r="S159" s="5">
        <f>SUM(F159:I159)+N159</f>
        <v/>
      </c>
      <c r="T159" s="5">
        <f>J159</f>
        <v/>
      </c>
      <c r="U159" s="6">
        <f>YEAR(D159)</f>
        <v/>
      </c>
      <c r="V159" s="5">
        <f>TEXT(D159,"yyyy-mm")</f>
        <v/>
      </c>
    </row>
    <row r="160">
      <c r="A160" s="2" t="inlineStr">
        <is>
          <t>EJ030323.TXT</t>
        </is>
      </c>
      <c r="B160" s="3" t="inlineStr">
        <is>
          <t>004682</t>
        </is>
      </c>
      <c r="C160" s="3" t="inlineStr">
        <is>
          <t>003720</t>
        </is>
      </c>
      <c r="D160" s="4" t="n">
        <v>44975</v>
      </c>
      <c r="E160" s="2" t="inlineStr">
        <is>
          <t>17:03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/>
      <c r="Q160" s="5" t="n">
        <v>658</v>
      </c>
      <c r="R160" s="5" t="n"/>
      <c r="S160" s="5">
        <f>SUM(F160:I160)+N160</f>
        <v/>
      </c>
      <c r="T160" s="5">
        <f>J160</f>
        <v/>
      </c>
      <c r="U160" s="6">
        <f>YEAR(D160)</f>
        <v/>
      </c>
      <c r="V160" s="5">
        <f>TEXT(D160,"yyyy-mm")</f>
        <v/>
      </c>
    </row>
    <row r="161">
      <c r="A161" s="2" t="inlineStr">
        <is>
          <t>EJ030323.TXT</t>
        </is>
      </c>
      <c r="B161" s="3" t="inlineStr">
        <is>
          <t>004683</t>
        </is>
      </c>
      <c r="C161" s="3" t="inlineStr">
        <is>
          <t>003721</t>
        </is>
      </c>
      <c r="D161" s="4" t="n">
        <v>44977</v>
      </c>
      <c r="E161" s="2" t="inlineStr">
        <is>
          <t>10:49</t>
        </is>
      </c>
      <c r="F161" s="5" t="n">
        <v>457.5</v>
      </c>
      <c r="G161" s="5" t="n"/>
      <c r="H161" s="5" t="n"/>
      <c r="I161" s="5" t="n"/>
      <c r="J161" s="5" t="n">
        <v>91.5</v>
      </c>
      <c r="K161" s="5" t="n"/>
      <c r="L161" s="5" t="n"/>
      <c r="M161" s="5" t="n"/>
      <c r="N161" s="5" t="n"/>
      <c r="O161" s="5" t="n">
        <v>549</v>
      </c>
      <c r="P161" s="5" t="n"/>
      <c r="Q161" s="5" t="n">
        <v>549</v>
      </c>
      <c r="R161" s="5" t="n"/>
      <c r="S161" s="5">
        <f>SUM(F161:I161)+N161</f>
        <v/>
      </c>
      <c r="T161" s="5">
        <f>J161</f>
        <v/>
      </c>
      <c r="U161" s="6">
        <f>YEAR(D161)</f>
        <v/>
      </c>
      <c r="V161" s="5">
        <f>TEXT(D161,"yyyy-mm")</f>
        <v/>
      </c>
    </row>
    <row r="162">
      <c r="A162" s="2" t="inlineStr">
        <is>
          <t>EJ030323.TXT</t>
        </is>
      </c>
      <c r="B162" s="3" t="inlineStr">
        <is>
          <t>004684</t>
        </is>
      </c>
      <c r="C162" s="3" t="inlineStr">
        <is>
          <t>003722</t>
        </is>
      </c>
      <c r="D162" s="4" t="n">
        <v>44977</v>
      </c>
      <c r="E162" s="2" t="inlineStr">
        <is>
          <t>15:47</t>
        </is>
      </c>
      <c r="F162" s="5" t="n">
        <v>806.67</v>
      </c>
      <c r="G162" s="5" t="n"/>
      <c r="H162" s="5" t="n"/>
      <c r="I162" s="5" t="n"/>
      <c r="J162" s="5" t="n">
        <v>161.33</v>
      </c>
      <c r="K162" s="5" t="n"/>
      <c r="L162" s="5" t="n"/>
      <c r="M162" s="5" t="n"/>
      <c r="N162" s="5" t="n"/>
      <c r="O162" s="5" t="n">
        <v>968</v>
      </c>
      <c r="P162" s="5" t="n"/>
      <c r="Q162" s="5" t="n">
        <v>968</v>
      </c>
      <c r="R162" s="5" t="n"/>
      <c r="S162" s="5">
        <f>SUM(F162:I162)+N162</f>
        <v/>
      </c>
      <c r="T162" s="5">
        <f>J162</f>
        <v/>
      </c>
      <c r="U162" s="6">
        <f>YEAR(D162)</f>
        <v/>
      </c>
      <c r="V162" s="5">
        <f>TEXT(D162,"yyyy-mm")</f>
        <v/>
      </c>
    </row>
    <row r="163">
      <c r="A163" s="2" t="inlineStr">
        <is>
          <t>EJ030323.TXT</t>
        </is>
      </c>
      <c r="B163" s="3" t="inlineStr">
        <is>
          <t>004685</t>
        </is>
      </c>
      <c r="C163" s="3" t="inlineStr">
        <is>
          <t>003723</t>
        </is>
      </c>
      <c r="D163" s="4" t="n">
        <v>44977</v>
      </c>
      <c r="E163" s="2" t="inlineStr">
        <is>
          <t>15:51</t>
        </is>
      </c>
      <c r="F163" s="5" t="n">
        <v>381.67</v>
      </c>
      <c r="G163" s="5" t="n"/>
      <c r="H163" s="5" t="n"/>
      <c r="I163" s="5" t="n"/>
      <c r="J163" s="5" t="n">
        <v>76.33</v>
      </c>
      <c r="K163" s="5" t="n"/>
      <c r="L163" s="5" t="n"/>
      <c r="M163" s="5" t="n"/>
      <c r="N163" s="5" t="n"/>
      <c r="O163" s="5" t="n">
        <v>458</v>
      </c>
      <c r="P163" s="5" t="n"/>
      <c r="Q163" s="5" t="n">
        <v>458</v>
      </c>
      <c r="R163" s="5" t="n"/>
      <c r="S163" s="5">
        <f>SUM(F163:I163)+N163</f>
        <v/>
      </c>
      <c r="T163" s="5">
        <f>J163</f>
        <v/>
      </c>
      <c r="U163" s="6">
        <f>YEAR(D163)</f>
        <v/>
      </c>
      <c r="V163" s="5">
        <f>TEXT(D163,"yyyy-mm")</f>
        <v/>
      </c>
    </row>
    <row r="164">
      <c r="A164" s="2" t="inlineStr">
        <is>
          <t>EJ030323.TXT</t>
        </is>
      </c>
      <c r="B164" s="3" t="inlineStr">
        <is>
          <t>004686</t>
        </is>
      </c>
      <c r="C164" s="3" t="inlineStr">
        <is>
          <t>003724</t>
        </is>
      </c>
      <c r="D164" s="4" t="n">
        <v>44980</v>
      </c>
      <c r="E164" s="2" t="inlineStr">
        <is>
          <t>17:50</t>
        </is>
      </c>
      <c r="F164" s="5" t="n">
        <v>572.5</v>
      </c>
      <c r="G164" s="5" t="n"/>
      <c r="H164" s="5" t="n"/>
      <c r="I164" s="5" t="n"/>
      <c r="J164" s="5" t="n">
        <v>114.5</v>
      </c>
      <c r="K164" s="5" t="n"/>
      <c r="L164" s="5" t="n"/>
      <c r="M164" s="5" t="n"/>
      <c r="N164" s="5" t="n"/>
      <c r="O164" s="5" t="n">
        <v>687</v>
      </c>
      <c r="P164" s="5" t="n"/>
      <c r="Q164" s="5" t="n">
        <v>687</v>
      </c>
      <c r="R164" s="5" t="n"/>
      <c r="S164" s="5">
        <f>SUM(F164:I164)+N164</f>
        <v/>
      </c>
      <c r="T164" s="5">
        <f>J164</f>
        <v/>
      </c>
      <c r="U164" s="6">
        <f>YEAR(D164)</f>
        <v/>
      </c>
      <c r="V164" s="5">
        <f>TEXT(D164,"yyyy-mm")</f>
        <v/>
      </c>
    </row>
    <row r="165">
      <c r="A165" s="2" t="inlineStr">
        <is>
          <t>EJ030323.TXT</t>
        </is>
      </c>
      <c r="B165" s="3" t="inlineStr">
        <is>
          <t>004687</t>
        </is>
      </c>
      <c r="C165" s="3" t="inlineStr">
        <is>
          <t>003725</t>
        </is>
      </c>
      <c r="D165" s="4" t="n">
        <v>44980</v>
      </c>
      <c r="E165" s="2" t="inlineStr">
        <is>
          <t>18:32</t>
        </is>
      </c>
      <c r="F165" s="5" t="n">
        <v>381.67</v>
      </c>
      <c r="G165" s="5" t="n"/>
      <c r="H165" s="5" t="n"/>
      <c r="I165" s="5" t="n"/>
      <c r="J165" s="5" t="n">
        <v>76.33</v>
      </c>
      <c r="K165" s="5" t="n"/>
      <c r="L165" s="5" t="n"/>
      <c r="M165" s="5" t="n"/>
      <c r="N165" s="5" t="n"/>
      <c r="O165" s="5" t="n">
        <v>458</v>
      </c>
      <c r="P165" s="5" t="n"/>
      <c r="Q165" s="5" t="n">
        <v>458</v>
      </c>
      <c r="R165" s="5" t="n"/>
      <c r="S165" s="5">
        <f>SUM(F165:I165)+N165</f>
        <v/>
      </c>
      <c r="T165" s="5">
        <f>J165</f>
        <v/>
      </c>
      <c r="U165" s="6">
        <f>YEAR(D165)</f>
        <v/>
      </c>
      <c r="V165" s="5">
        <f>TEXT(D165,"yyyy-mm")</f>
        <v/>
      </c>
    </row>
    <row r="166">
      <c r="A166" s="2" t="inlineStr">
        <is>
          <t>EJ030323.TXT</t>
        </is>
      </c>
      <c r="B166" s="3" t="inlineStr">
        <is>
          <t>004688</t>
        </is>
      </c>
      <c r="C166" s="3" t="inlineStr">
        <is>
          <t>003726</t>
        </is>
      </c>
      <c r="D166" s="4" t="n">
        <v>44981</v>
      </c>
      <c r="E166" s="2" t="inlineStr">
        <is>
          <t>13:26</t>
        </is>
      </c>
      <c r="F166" s="5" t="n">
        <v>208.33</v>
      </c>
      <c r="G166" s="5" t="n"/>
      <c r="H166" s="5" t="n"/>
      <c r="I166" s="5" t="n"/>
      <c r="J166" s="5" t="n">
        <v>41.67</v>
      </c>
      <c r="K166" s="5" t="n"/>
      <c r="L166" s="5" t="n"/>
      <c r="M166" s="5" t="n"/>
      <c r="N166" s="5" t="n"/>
      <c r="O166" s="5" t="n">
        <v>250</v>
      </c>
      <c r="P166" s="5" t="n"/>
      <c r="Q166" s="5" t="n">
        <v>250</v>
      </c>
      <c r="R166" s="5" t="n"/>
      <c r="S166" s="5">
        <f>SUM(F166:I166)+N166</f>
        <v/>
      </c>
      <c r="T166" s="5">
        <f>J166</f>
        <v/>
      </c>
      <c r="U166" s="6">
        <f>YEAR(D166)</f>
        <v/>
      </c>
      <c r="V166" s="5">
        <f>TEXT(D166,"yyyy-mm")</f>
        <v/>
      </c>
    </row>
    <row r="167">
      <c r="A167" s="2" t="inlineStr">
        <is>
          <t>EJ030323.TXT</t>
        </is>
      </c>
      <c r="B167" s="3" t="inlineStr">
        <is>
          <t>004689</t>
        </is>
      </c>
      <c r="C167" s="3" t="inlineStr">
        <is>
          <t>003727</t>
        </is>
      </c>
      <c r="D167" s="4" t="n">
        <v>44981</v>
      </c>
      <c r="E167" s="2" t="inlineStr">
        <is>
          <t>15:56</t>
        </is>
      </c>
      <c r="F167" s="5" t="n">
        <v>2330</v>
      </c>
      <c r="G167" s="5" t="n"/>
      <c r="H167" s="5" t="n"/>
      <c r="I167" s="5" t="n"/>
      <c r="J167" s="5" t="n">
        <v>466</v>
      </c>
      <c r="K167" s="5" t="n"/>
      <c r="L167" s="5" t="n"/>
      <c r="M167" s="5" t="n"/>
      <c r="N167" s="5" t="n"/>
      <c r="O167" s="5" t="n">
        <v>2796</v>
      </c>
      <c r="P167" s="5" t="n">
        <v>2796</v>
      </c>
      <c r="Q167" s="5" t="n"/>
      <c r="R167" s="5" t="n"/>
      <c r="S167" s="5">
        <f>SUM(F167:I167)+N167</f>
        <v/>
      </c>
      <c r="T167" s="5">
        <f>J167</f>
        <v/>
      </c>
      <c r="U167" s="6">
        <f>YEAR(D167)</f>
        <v/>
      </c>
      <c r="V167" s="5">
        <f>TEXT(D167,"yyyy-mm")</f>
        <v/>
      </c>
    </row>
    <row r="168">
      <c r="A168" s="2" t="inlineStr">
        <is>
          <t>EJ030323.TXT</t>
        </is>
      </c>
      <c r="B168" s="3" t="inlineStr">
        <is>
          <t>004690</t>
        </is>
      </c>
      <c r="C168" s="3" t="inlineStr">
        <is>
          <t>003728</t>
        </is>
      </c>
      <c r="D168" s="4" t="n">
        <v>44981</v>
      </c>
      <c r="E168" s="2" t="inlineStr">
        <is>
          <t>16:46</t>
        </is>
      </c>
      <c r="F168" s="5" t="n">
        <v>822.5</v>
      </c>
      <c r="G168" s="5" t="n"/>
      <c r="H168" s="5" t="n"/>
      <c r="I168" s="5" t="n"/>
      <c r="J168" s="5" t="n">
        <v>164.5</v>
      </c>
      <c r="K168" s="5" t="n"/>
      <c r="L168" s="5" t="n"/>
      <c r="M168" s="5" t="n"/>
      <c r="N168" s="5" t="n"/>
      <c r="O168" s="5" t="n">
        <v>987</v>
      </c>
      <c r="P168" s="5" t="n"/>
      <c r="Q168" s="5" t="n">
        <v>987</v>
      </c>
      <c r="R168" s="5" t="n"/>
      <c r="S168" s="5">
        <f>SUM(F168:I168)+N168</f>
        <v/>
      </c>
      <c r="T168" s="5">
        <f>J168</f>
        <v/>
      </c>
      <c r="U168" s="6">
        <f>YEAR(D168)</f>
        <v/>
      </c>
      <c r="V168" s="5">
        <f>TEXT(D168,"yyyy-mm")</f>
        <v/>
      </c>
    </row>
    <row r="169">
      <c r="A169" s="2" t="inlineStr">
        <is>
          <t>EJ030323.TXT</t>
        </is>
      </c>
      <c r="B169" s="3" t="inlineStr">
        <is>
          <t>004691</t>
        </is>
      </c>
      <c r="C169" s="3" t="inlineStr">
        <is>
          <t>003729</t>
        </is>
      </c>
      <c r="D169" s="4" t="n">
        <v>44981</v>
      </c>
      <c r="E169" s="2" t="inlineStr">
        <is>
          <t>16:47</t>
        </is>
      </c>
      <c r="F169" s="5" t="n">
        <v>822.5</v>
      </c>
      <c r="G169" s="5" t="n"/>
      <c r="H169" s="5" t="n"/>
      <c r="I169" s="5" t="n"/>
      <c r="J169" s="5" t="n">
        <v>164.5</v>
      </c>
      <c r="K169" s="5" t="n"/>
      <c r="L169" s="5" t="n"/>
      <c r="M169" s="5" t="n"/>
      <c r="N169" s="5" t="n"/>
      <c r="O169" s="5" t="n">
        <v>987</v>
      </c>
      <c r="P169" s="5" t="n"/>
      <c r="Q169" s="5" t="n">
        <v>987</v>
      </c>
      <c r="R169" s="5" t="n"/>
      <c r="S169" s="5">
        <f>SUM(F169:I169)+N169</f>
        <v/>
      </c>
      <c r="T169" s="5">
        <f>J169</f>
        <v/>
      </c>
      <c r="U169" s="6">
        <f>YEAR(D169)</f>
        <v/>
      </c>
      <c r="V169" s="5">
        <f>TEXT(D169,"yyyy-mm")</f>
        <v/>
      </c>
    </row>
    <row r="170">
      <c r="A170" s="2" t="inlineStr">
        <is>
          <t>EJ030323.TXT</t>
        </is>
      </c>
      <c r="B170" s="3" t="inlineStr">
        <is>
          <t>004692</t>
        </is>
      </c>
      <c r="C170" s="3" t="inlineStr">
        <is>
          <t>003730</t>
        </is>
      </c>
      <c r="D170" s="4" t="n">
        <v>44981</v>
      </c>
      <c r="E170" s="2" t="inlineStr">
        <is>
          <t>16:47</t>
        </is>
      </c>
      <c r="F170" s="5" t="n">
        <v>797.5</v>
      </c>
      <c r="G170" s="5" t="n"/>
      <c r="H170" s="5" t="n"/>
      <c r="I170" s="5" t="n"/>
      <c r="J170" s="5" t="n">
        <v>159.5</v>
      </c>
      <c r="K170" s="5" t="n"/>
      <c r="L170" s="5" t="n"/>
      <c r="M170" s="5" t="n"/>
      <c r="N170" s="5" t="n"/>
      <c r="O170" s="5" t="n">
        <v>957</v>
      </c>
      <c r="P170" s="5" t="n"/>
      <c r="Q170" s="5" t="n">
        <v>957</v>
      </c>
      <c r="R170" s="5" t="n"/>
      <c r="S170" s="5">
        <f>SUM(F170:I170)+N170</f>
        <v/>
      </c>
      <c r="T170" s="5">
        <f>J170</f>
        <v/>
      </c>
      <c r="U170" s="6">
        <f>YEAR(D170)</f>
        <v/>
      </c>
      <c r="V170" s="5">
        <f>TEXT(D170,"yyyy-mm")</f>
        <v/>
      </c>
    </row>
    <row r="171">
      <c r="A171" s="2" t="inlineStr">
        <is>
          <t>EJ030323.TXT</t>
        </is>
      </c>
      <c r="B171" s="3" t="inlineStr">
        <is>
          <t>004693</t>
        </is>
      </c>
      <c r="C171" s="3" t="inlineStr">
        <is>
          <t>003731</t>
        </is>
      </c>
      <c r="D171" s="4" t="n">
        <v>44982</v>
      </c>
      <c r="E171" s="2" t="inlineStr">
        <is>
          <t>14:55</t>
        </is>
      </c>
      <c r="F171" s="5" t="n">
        <v>208.33</v>
      </c>
      <c r="G171" s="5" t="n"/>
      <c r="H171" s="5" t="n"/>
      <c r="I171" s="5" t="n"/>
      <c r="J171" s="5" t="n">
        <v>41.67</v>
      </c>
      <c r="K171" s="5" t="n"/>
      <c r="L171" s="5" t="n"/>
      <c r="M171" s="5" t="n"/>
      <c r="N171" s="5" t="n"/>
      <c r="O171" s="5" t="n">
        <v>250</v>
      </c>
      <c r="P171" s="5" t="n"/>
      <c r="Q171" s="5" t="n">
        <v>250</v>
      </c>
      <c r="R171" s="5" t="n"/>
      <c r="S171" s="5">
        <f>SUM(F171:I171)+N171</f>
        <v/>
      </c>
      <c r="T171" s="5">
        <f>J171</f>
        <v/>
      </c>
      <c r="U171" s="6">
        <f>YEAR(D171)</f>
        <v/>
      </c>
      <c r="V171" s="5">
        <f>TEXT(D171,"yyyy-mm")</f>
        <v/>
      </c>
    </row>
    <row r="172">
      <c r="A172" s="2" t="inlineStr">
        <is>
          <t>EJ030323.TXT</t>
        </is>
      </c>
      <c r="B172" s="3" t="inlineStr">
        <is>
          <t>004694</t>
        </is>
      </c>
      <c r="C172" s="3" t="inlineStr">
        <is>
          <t>003732</t>
        </is>
      </c>
      <c r="D172" s="4" t="n">
        <v>44982</v>
      </c>
      <c r="E172" s="2" t="inlineStr">
        <is>
          <t>17:06</t>
        </is>
      </c>
      <c r="F172" s="5" t="n">
        <v>797.5</v>
      </c>
      <c r="G172" s="5" t="n"/>
      <c r="H172" s="5" t="n"/>
      <c r="I172" s="5" t="n"/>
      <c r="J172" s="5" t="n">
        <v>159.5</v>
      </c>
      <c r="K172" s="5" t="n"/>
      <c r="L172" s="5" t="n"/>
      <c r="M172" s="5" t="n"/>
      <c r="N172" s="5" t="n"/>
      <c r="O172" s="5" t="n">
        <v>957</v>
      </c>
      <c r="P172" s="5" t="n"/>
      <c r="Q172" s="5" t="n">
        <v>957</v>
      </c>
      <c r="R172" s="5" t="n"/>
      <c r="S172" s="5">
        <f>SUM(F172:I172)+N172</f>
        <v/>
      </c>
      <c r="T172" s="5">
        <f>J172</f>
        <v/>
      </c>
      <c r="U172" s="6">
        <f>YEAR(D172)</f>
        <v/>
      </c>
      <c r="V172" s="5">
        <f>TEXT(D172,"yyyy-mm")</f>
        <v/>
      </c>
    </row>
    <row r="173">
      <c r="A173" s="2" t="inlineStr">
        <is>
          <t>EJ030323.TXT</t>
        </is>
      </c>
      <c r="B173" s="3" t="inlineStr">
        <is>
          <t>004695</t>
        </is>
      </c>
      <c r="C173" s="3" t="inlineStr">
        <is>
          <t>003733</t>
        </is>
      </c>
      <c r="D173" s="4" t="n">
        <v>44982</v>
      </c>
      <c r="E173" s="2" t="inlineStr">
        <is>
          <t>17:06</t>
        </is>
      </c>
      <c r="F173" s="5" t="n">
        <v>265.83</v>
      </c>
      <c r="G173" s="5" t="n"/>
      <c r="H173" s="5" t="n"/>
      <c r="I173" s="5" t="n"/>
      <c r="J173" s="5" t="n">
        <v>53.17</v>
      </c>
      <c r="K173" s="5" t="n"/>
      <c r="L173" s="5" t="n"/>
      <c r="M173" s="5" t="n"/>
      <c r="N173" s="5" t="n"/>
      <c r="O173" s="5" t="n">
        <v>319</v>
      </c>
      <c r="P173" s="5" t="n"/>
      <c r="Q173" s="5" t="n">
        <v>319</v>
      </c>
      <c r="R173" s="5" t="n"/>
      <c r="S173" s="5">
        <f>SUM(F173:I173)+N173</f>
        <v/>
      </c>
      <c r="T173" s="5">
        <f>J173</f>
        <v/>
      </c>
      <c r="U173" s="6">
        <f>YEAR(D173)</f>
        <v/>
      </c>
      <c r="V173" s="5">
        <f>TEXT(D173,"yyyy-mm")</f>
        <v/>
      </c>
    </row>
    <row r="174">
      <c r="A174" s="2" t="inlineStr">
        <is>
          <t>EJ030323.TXT</t>
        </is>
      </c>
      <c r="B174" s="3" t="inlineStr">
        <is>
          <t>004696</t>
        </is>
      </c>
      <c r="C174" s="3" t="inlineStr">
        <is>
          <t>003734</t>
        </is>
      </c>
      <c r="D174" s="4" t="n">
        <v>44982</v>
      </c>
      <c r="E174" s="2" t="inlineStr">
        <is>
          <t>17:06</t>
        </is>
      </c>
      <c r="F174" s="5" t="n">
        <v>531.67</v>
      </c>
      <c r="G174" s="5" t="n"/>
      <c r="H174" s="5" t="n"/>
      <c r="I174" s="5" t="n"/>
      <c r="J174" s="5" t="n">
        <v>106.33</v>
      </c>
      <c r="K174" s="5" t="n"/>
      <c r="L174" s="5" t="n"/>
      <c r="M174" s="5" t="n"/>
      <c r="N174" s="5" t="n"/>
      <c r="O174" s="5" t="n">
        <v>638</v>
      </c>
      <c r="P174" s="5" t="n"/>
      <c r="Q174" s="5" t="n">
        <v>638</v>
      </c>
      <c r="R174" s="5" t="n"/>
      <c r="S174" s="5">
        <f>SUM(F174:I174)+N174</f>
        <v/>
      </c>
      <c r="T174" s="5">
        <f>J174</f>
        <v/>
      </c>
      <c r="U174" s="6">
        <f>YEAR(D174)</f>
        <v/>
      </c>
      <c r="V174" s="5">
        <f>TEXT(D174,"yyyy-mm")</f>
        <v/>
      </c>
    </row>
    <row r="175">
      <c r="A175" s="2" t="inlineStr">
        <is>
          <t>EJ030323.TXT</t>
        </is>
      </c>
      <c r="B175" s="3" t="inlineStr">
        <is>
          <t>004697</t>
        </is>
      </c>
      <c r="C175" s="3" t="inlineStr">
        <is>
          <t>003735</t>
        </is>
      </c>
      <c r="D175" s="4" t="n">
        <v>44982</v>
      </c>
      <c r="E175" s="2" t="inlineStr">
        <is>
          <t>17:07</t>
        </is>
      </c>
      <c r="F175" s="5" t="n">
        <v>797.5</v>
      </c>
      <c r="G175" s="5" t="n"/>
      <c r="H175" s="5" t="n"/>
      <c r="I175" s="5" t="n"/>
      <c r="J175" s="5" t="n">
        <v>159.5</v>
      </c>
      <c r="K175" s="5" t="n"/>
      <c r="L175" s="5" t="n"/>
      <c r="M175" s="5" t="n"/>
      <c r="N175" s="5" t="n"/>
      <c r="O175" s="5" t="n">
        <v>957</v>
      </c>
      <c r="P175" s="5" t="n"/>
      <c r="Q175" s="5" t="n">
        <v>957</v>
      </c>
      <c r="R175" s="5" t="n"/>
      <c r="S175" s="5">
        <f>SUM(F175:I175)+N175</f>
        <v/>
      </c>
      <c r="T175" s="5">
        <f>J175</f>
        <v/>
      </c>
      <c r="U175" s="6">
        <f>YEAR(D175)</f>
        <v/>
      </c>
      <c r="V175" s="5">
        <f>TEXT(D175,"yyyy-mm")</f>
        <v/>
      </c>
    </row>
    <row r="176">
      <c r="A176" s="2" t="inlineStr">
        <is>
          <t>EJ030323.TXT</t>
        </is>
      </c>
      <c r="B176" s="3" t="inlineStr">
        <is>
          <t>004698</t>
        </is>
      </c>
      <c r="C176" s="3" t="inlineStr">
        <is>
          <t>003736</t>
        </is>
      </c>
      <c r="D176" s="4" t="n">
        <v>44982</v>
      </c>
      <c r="E176" s="2" t="inlineStr">
        <is>
          <t>17:07</t>
        </is>
      </c>
      <c r="F176" s="5" t="n">
        <v>531.67</v>
      </c>
      <c r="G176" s="5" t="n"/>
      <c r="H176" s="5" t="n"/>
      <c r="I176" s="5" t="n"/>
      <c r="J176" s="5" t="n">
        <v>106.33</v>
      </c>
      <c r="K176" s="5" t="n"/>
      <c r="L176" s="5" t="n"/>
      <c r="M176" s="5" t="n"/>
      <c r="N176" s="5" t="n"/>
      <c r="O176" s="5" t="n">
        <v>638</v>
      </c>
      <c r="P176" s="5" t="n"/>
      <c r="Q176" s="5" t="n">
        <v>638</v>
      </c>
      <c r="R176" s="5" t="n"/>
      <c r="S176" s="5">
        <f>SUM(F176:I176)+N176</f>
        <v/>
      </c>
      <c r="T176" s="5">
        <f>J176</f>
        <v/>
      </c>
      <c r="U176" s="6">
        <f>YEAR(D176)</f>
        <v/>
      </c>
      <c r="V176" s="5">
        <f>TEXT(D176,"yyyy-mm")</f>
        <v/>
      </c>
    </row>
    <row r="177">
      <c r="A177" s="2" t="inlineStr">
        <is>
          <t>EJ030323.TXT</t>
        </is>
      </c>
      <c r="B177" s="3" t="inlineStr">
        <is>
          <t>004699</t>
        </is>
      </c>
      <c r="C177" s="3" t="inlineStr">
        <is>
          <t>003737</t>
        </is>
      </c>
      <c r="D177" s="4" t="n">
        <v>44982</v>
      </c>
      <c r="E177" s="2" t="inlineStr">
        <is>
          <t>17:08</t>
        </is>
      </c>
      <c r="F177" s="5" t="n">
        <v>265.83</v>
      </c>
      <c r="G177" s="5" t="n"/>
      <c r="H177" s="5" t="n"/>
      <c r="I177" s="5" t="n"/>
      <c r="J177" s="5" t="n">
        <v>53.17</v>
      </c>
      <c r="K177" s="5" t="n"/>
      <c r="L177" s="5" t="n"/>
      <c r="M177" s="5" t="n"/>
      <c r="N177" s="5" t="n"/>
      <c r="O177" s="5" t="n">
        <v>319</v>
      </c>
      <c r="P177" s="5" t="n"/>
      <c r="Q177" s="5" t="n">
        <v>319</v>
      </c>
      <c r="R177" s="5" t="n"/>
      <c r="S177" s="5">
        <f>SUM(F177:I177)+N177</f>
        <v/>
      </c>
      <c r="T177" s="5">
        <f>J177</f>
        <v/>
      </c>
      <c r="U177" s="6">
        <f>YEAR(D177)</f>
        <v/>
      </c>
      <c r="V177" s="5">
        <f>TEXT(D177,"yyyy-mm")</f>
        <v/>
      </c>
    </row>
    <row r="178">
      <c r="A178" s="2" t="inlineStr">
        <is>
          <t>EJ030323.TXT</t>
        </is>
      </c>
      <c r="B178" s="3" t="inlineStr">
        <is>
          <t>004700</t>
        </is>
      </c>
      <c r="C178" s="3" t="inlineStr">
        <is>
          <t>003738</t>
        </is>
      </c>
      <c r="D178" s="4" t="n">
        <v>44984</v>
      </c>
      <c r="E178" s="2" t="inlineStr">
        <is>
          <t>11:07</t>
        </is>
      </c>
      <c r="F178" s="5" t="n">
        <v>73.33</v>
      </c>
      <c r="G178" s="5" t="n"/>
      <c r="H178" s="5" t="n"/>
      <c r="I178" s="5" t="n"/>
      <c r="J178" s="5" t="n">
        <v>14.67</v>
      </c>
      <c r="K178" s="5" t="n"/>
      <c r="L178" s="5" t="n"/>
      <c r="M178" s="5" t="n"/>
      <c r="N178" s="5" t="n"/>
      <c r="O178" s="5" t="n">
        <v>88</v>
      </c>
      <c r="P178" s="5" t="n">
        <v>88</v>
      </c>
      <c r="Q178" s="5" t="n"/>
      <c r="R178" s="5" t="n"/>
      <c r="S178" s="5">
        <f>SUM(F178:I178)+N178</f>
        <v/>
      </c>
      <c r="T178" s="5">
        <f>J178</f>
        <v/>
      </c>
      <c r="U178" s="6">
        <f>YEAR(D178)</f>
        <v/>
      </c>
      <c r="V178" s="5">
        <f>TEXT(D178,"yyyy-mm")</f>
        <v/>
      </c>
    </row>
    <row r="179">
      <c r="A179" s="2" t="inlineStr">
        <is>
          <t>EJ030323.TXT</t>
        </is>
      </c>
      <c r="B179" s="3" t="inlineStr">
        <is>
          <t>004701</t>
        </is>
      </c>
      <c r="C179" s="3" t="inlineStr">
        <is>
          <t>003739</t>
        </is>
      </c>
      <c r="D179" s="4" t="n">
        <v>44984</v>
      </c>
      <c r="E179" s="2" t="inlineStr">
        <is>
          <t>15:37</t>
        </is>
      </c>
      <c r="F179" s="5" t="n">
        <v>548.33</v>
      </c>
      <c r="G179" s="5" t="n"/>
      <c r="H179" s="5" t="n"/>
      <c r="I179" s="5" t="n"/>
      <c r="J179" s="5" t="n">
        <v>109.67</v>
      </c>
      <c r="K179" s="5" t="n"/>
      <c r="L179" s="5" t="n"/>
      <c r="M179" s="5" t="n"/>
      <c r="N179" s="5" t="n"/>
      <c r="O179" s="5" t="n">
        <v>658</v>
      </c>
      <c r="P179" s="5" t="n">
        <v>658</v>
      </c>
      <c r="Q179" s="5" t="n"/>
      <c r="R179" s="5" t="n"/>
      <c r="S179" s="5">
        <f>SUM(F179:I179)+N179</f>
        <v/>
      </c>
      <c r="T179" s="5">
        <f>J179</f>
        <v/>
      </c>
      <c r="U179" s="6">
        <f>YEAR(D179)</f>
        <v/>
      </c>
      <c r="V179" s="5">
        <f>TEXT(D179,"yyyy-mm")</f>
        <v/>
      </c>
    </row>
    <row r="180">
      <c r="A180" s="2" t="inlineStr">
        <is>
          <t>EJ030323.TXT</t>
        </is>
      </c>
      <c r="B180" s="3" t="inlineStr">
        <is>
          <t>004702</t>
        </is>
      </c>
      <c r="C180" s="3" t="inlineStr">
        <is>
          <t>003740</t>
        </is>
      </c>
      <c r="D180" s="4" t="n">
        <v>44985</v>
      </c>
      <c r="E180" s="2" t="inlineStr">
        <is>
          <t>14:53</t>
        </is>
      </c>
      <c r="F180" s="5" t="n">
        <v>307.5</v>
      </c>
      <c r="G180" s="5" t="n"/>
      <c r="H180" s="5" t="n"/>
      <c r="I180" s="5" t="n"/>
      <c r="J180" s="5" t="n">
        <v>61.5</v>
      </c>
      <c r="K180" s="5" t="n"/>
      <c r="L180" s="5" t="n"/>
      <c r="M180" s="5" t="n"/>
      <c r="N180" s="5" t="n"/>
      <c r="O180" s="5" t="n">
        <v>369</v>
      </c>
      <c r="P180" s="5" t="n"/>
      <c r="Q180" s="5" t="n">
        <v>369</v>
      </c>
      <c r="R180" s="5" t="n"/>
      <c r="S180" s="5">
        <f>SUM(F180:I180)+N180</f>
        <v/>
      </c>
      <c r="T180" s="5">
        <f>J180</f>
        <v/>
      </c>
      <c r="U180" s="6">
        <f>YEAR(D180)</f>
        <v/>
      </c>
      <c r="V180" s="5">
        <f>TEXT(D180,"yyyy-mm")</f>
        <v/>
      </c>
    </row>
    <row r="181">
      <c r="A181" s="2" t="inlineStr">
        <is>
          <t>EJ030323.TXT</t>
        </is>
      </c>
      <c r="B181" s="3" t="inlineStr">
        <is>
          <t>004703</t>
        </is>
      </c>
      <c r="C181" s="3" t="inlineStr">
        <is>
          <t>003741</t>
        </is>
      </c>
      <c r="D181" s="4" t="n">
        <v>44985</v>
      </c>
      <c r="E181" s="2" t="inlineStr">
        <is>
          <t>14:56</t>
        </is>
      </c>
      <c r="F181" s="5" t="n">
        <v>307.5</v>
      </c>
      <c r="G181" s="5" t="n"/>
      <c r="H181" s="5" t="n"/>
      <c r="I181" s="5" t="n"/>
      <c r="J181" s="5" t="n">
        <v>61.5</v>
      </c>
      <c r="K181" s="5" t="n"/>
      <c r="L181" s="5" t="n"/>
      <c r="M181" s="5" t="n"/>
      <c r="N181" s="5" t="n"/>
      <c r="O181" s="5" t="n">
        <v>369</v>
      </c>
      <c r="P181" s="5" t="n"/>
      <c r="Q181" s="5" t="n">
        <v>369</v>
      </c>
      <c r="R181" s="5" t="n"/>
      <c r="S181" s="5">
        <f>SUM(F181:I181)+N181</f>
        <v/>
      </c>
      <c r="T181" s="5">
        <f>J181</f>
        <v/>
      </c>
      <c r="U181" s="6">
        <f>YEAR(D181)</f>
        <v/>
      </c>
      <c r="V181" s="5">
        <f>TEXT(D181,"yyyy-mm")</f>
        <v/>
      </c>
    </row>
    <row r="182">
      <c r="A182" s="2" t="inlineStr">
        <is>
          <t>EJ030323.TXT</t>
        </is>
      </c>
      <c r="B182" s="3" t="inlineStr">
        <is>
          <t>004704</t>
        </is>
      </c>
      <c r="C182" s="3" t="inlineStr">
        <is>
          <t>003742</t>
        </is>
      </c>
      <c r="D182" s="4" t="n">
        <v>44986</v>
      </c>
      <c r="E182" s="2" t="inlineStr">
        <is>
          <t>11:35</t>
        </is>
      </c>
      <c r="F182" s="5" t="n">
        <v>65.83</v>
      </c>
      <c r="G182" s="5" t="n"/>
      <c r="H182" s="5" t="n"/>
      <c r="I182" s="5" t="n"/>
      <c r="J182" s="5" t="n">
        <v>13.17</v>
      </c>
      <c r="K182" s="5" t="n"/>
      <c r="L182" s="5" t="n"/>
      <c r="M182" s="5" t="n"/>
      <c r="N182" s="5" t="n"/>
      <c r="O182" s="5" t="n">
        <v>79</v>
      </c>
      <c r="P182" s="5" t="n">
        <v>79</v>
      </c>
      <c r="Q182" s="5" t="n"/>
      <c r="R182" s="5" t="n"/>
      <c r="S182" s="5">
        <f>SUM(F182:I182)+N182</f>
        <v/>
      </c>
      <c r="T182" s="5">
        <f>J182</f>
        <v/>
      </c>
      <c r="U182" s="6">
        <f>YEAR(D182)</f>
        <v/>
      </c>
      <c r="V182" s="5">
        <f>TEXT(D182,"yyyy-mm")</f>
        <v/>
      </c>
    </row>
    <row r="183">
      <c r="A183" s="2" t="inlineStr">
        <is>
          <t>EJ030323.TXT</t>
        </is>
      </c>
      <c r="B183" s="3" t="inlineStr">
        <is>
          <t>004705</t>
        </is>
      </c>
      <c r="C183" s="3" t="inlineStr">
        <is>
          <t>003743</t>
        </is>
      </c>
      <c r="D183" s="4" t="n">
        <v>44987</v>
      </c>
      <c r="E183" s="2" t="inlineStr">
        <is>
          <t>11:43</t>
        </is>
      </c>
      <c r="F183" s="5" t="n">
        <v>1490</v>
      </c>
      <c r="G183" s="5" t="n"/>
      <c r="H183" s="5" t="n"/>
      <c r="I183" s="5" t="n"/>
      <c r="J183" s="5" t="n">
        <v>298</v>
      </c>
      <c r="K183" s="5" t="n"/>
      <c r="L183" s="5" t="n"/>
      <c r="M183" s="5" t="n"/>
      <c r="N183" s="5" t="n"/>
      <c r="O183" s="5" t="n">
        <v>1788</v>
      </c>
      <c r="P183" s="5" t="n">
        <v>1788</v>
      </c>
      <c r="Q183" s="5" t="n"/>
      <c r="R183" s="5" t="n"/>
      <c r="S183" s="5">
        <f>SUM(F183:I183)+N183</f>
        <v/>
      </c>
      <c r="T183" s="5">
        <f>J183</f>
        <v/>
      </c>
      <c r="U183" s="6">
        <f>YEAR(D183)</f>
        <v/>
      </c>
      <c r="V183" s="5">
        <f>TEXT(D183,"yyyy-mm")</f>
        <v/>
      </c>
    </row>
    <row r="184">
      <c r="A184" s="2" t="inlineStr">
        <is>
          <t>EJ030323.TXT</t>
        </is>
      </c>
      <c r="B184" s="3" t="inlineStr">
        <is>
          <t>004706</t>
        </is>
      </c>
      <c r="C184" s="3" t="inlineStr">
        <is>
          <t>003744</t>
        </is>
      </c>
      <c r="D184" s="4" t="n">
        <v>44987</v>
      </c>
      <c r="E184" s="2" t="inlineStr">
        <is>
          <t>11:45</t>
        </is>
      </c>
      <c r="F184" s="5" t="n">
        <v>395</v>
      </c>
      <c r="G184" s="5" t="n"/>
      <c r="H184" s="5" t="n"/>
      <c r="I184" s="5" t="n"/>
      <c r="J184" s="5" t="n">
        <v>79</v>
      </c>
      <c r="K184" s="5" t="n"/>
      <c r="L184" s="5" t="n"/>
      <c r="M184" s="5" t="n"/>
      <c r="N184" s="5" t="n"/>
      <c r="O184" s="5" t="n">
        <v>474</v>
      </c>
      <c r="P184" s="5" t="n"/>
      <c r="Q184" s="5" t="n">
        <v>474</v>
      </c>
      <c r="R184" s="5" t="n"/>
      <c r="S184" s="5">
        <f>SUM(F184:I184)+N184</f>
        <v/>
      </c>
      <c r="T184" s="5">
        <f>J184</f>
        <v/>
      </c>
      <c r="U184" s="6">
        <f>YEAR(D184)</f>
        <v/>
      </c>
      <c r="V184" s="5">
        <f>TEXT(D184,"yyyy-mm")</f>
        <v/>
      </c>
    </row>
    <row r="185">
      <c r="A185" s="2" t="inlineStr">
        <is>
          <t>EJ030323.TXT</t>
        </is>
      </c>
      <c r="B185" s="3" t="inlineStr">
        <is>
          <t>004707</t>
        </is>
      </c>
      <c r="C185" s="3" t="inlineStr">
        <is>
          <t>003745</t>
        </is>
      </c>
      <c r="D185" s="4" t="n">
        <v>44987</v>
      </c>
      <c r="E185" s="2" t="inlineStr">
        <is>
          <t>11:47</t>
        </is>
      </c>
      <c r="F185" s="5" t="n">
        <v>274.17</v>
      </c>
      <c r="G185" s="5" t="n"/>
      <c r="H185" s="5" t="n"/>
      <c r="I185" s="5" t="n"/>
      <c r="J185" s="5" t="n">
        <v>54.83</v>
      </c>
      <c r="K185" s="5" t="n"/>
      <c r="L185" s="5" t="n"/>
      <c r="M185" s="5" t="n"/>
      <c r="N185" s="5" t="n"/>
      <c r="O185" s="5" t="n">
        <v>329</v>
      </c>
      <c r="P185" s="5" t="n"/>
      <c r="Q185" s="5" t="n">
        <v>329</v>
      </c>
      <c r="R185" s="5" t="n"/>
      <c r="S185" s="5">
        <f>SUM(F185:I185)+N185</f>
        <v/>
      </c>
      <c r="T185" s="5">
        <f>J185</f>
        <v/>
      </c>
      <c r="U185" s="6">
        <f>YEAR(D185)</f>
        <v/>
      </c>
      <c r="V185" s="5">
        <f>TEXT(D185,"yyyy-mm")</f>
        <v/>
      </c>
    </row>
    <row r="186">
      <c r="A186" s="2" t="inlineStr">
        <is>
          <t>EJ030323.TXT</t>
        </is>
      </c>
      <c r="B186" s="3" t="inlineStr">
        <is>
          <t>004708</t>
        </is>
      </c>
      <c r="C186" s="3" t="inlineStr">
        <is>
          <t>003746</t>
        </is>
      </c>
      <c r="D186" s="4" t="n">
        <v>44987</v>
      </c>
      <c r="E186" s="2" t="inlineStr">
        <is>
          <t>12:22</t>
        </is>
      </c>
      <c r="F186" s="5" t="n">
        <v>73.33</v>
      </c>
      <c r="G186" s="5" t="n"/>
      <c r="H186" s="5" t="n"/>
      <c r="I186" s="5" t="n"/>
      <c r="J186" s="5" t="n">
        <v>14.67</v>
      </c>
      <c r="K186" s="5" t="n"/>
      <c r="L186" s="5" t="n"/>
      <c r="M186" s="5" t="n"/>
      <c r="N186" s="5" t="n"/>
      <c r="O186" s="5" t="n">
        <v>88</v>
      </c>
      <c r="P186" s="5" t="n">
        <v>88</v>
      </c>
      <c r="Q186" s="5" t="n"/>
      <c r="R186" s="5" t="n"/>
      <c r="S186" s="5">
        <f>SUM(F186:I186)+N186</f>
        <v/>
      </c>
      <c r="T186" s="5">
        <f>J186</f>
        <v/>
      </c>
      <c r="U186" s="6">
        <f>YEAR(D186)</f>
        <v/>
      </c>
      <c r="V186" s="5">
        <f>TEXT(D186,"yyyy-mm")</f>
        <v/>
      </c>
    </row>
    <row r="187">
      <c r="A187" s="2" t="inlineStr">
        <is>
          <t>EJ030323.TXT</t>
        </is>
      </c>
      <c r="B187" s="3" t="inlineStr">
        <is>
          <t>004709</t>
        </is>
      </c>
      <c r="C187" s="3" t="inlineStr">
        <is>
          <t>003747</t>
        </is>
      </c>
      <c r="D187" s="4" t="n">
        <v>44987</v>
      </c>
      <c r="E187" s="2" t="inlineStr">
        <is>
          <t>13:02</t>
        </is>
      </c>
      <c r="F187" s="5" t="n">
        <v>1117.5</v>
      </c>
      <c r="G187" s="5" t="n"/>
      <c r="H187" s="5" t="n"/>
      <c r="I187" s="5" t="n"/>
      <c r="J187" s="5" t="n">
        <v>223.5</v>
      </c>
      <c r="K187" s="5" t="n"/>
      <c r="L187" s="5" t="n"/>
      <c r="M187" s="5" t="n"/>
      <c r="N187" s="5" t="n"/>
      <c r="O187" s="5" t="n">
        <v>1341</v>
      </c>
      <c r="P187" s="5" t="n">
        <v>1341</v>
      </c>
      <c r="Q187" s="5" t="n"/>
      <c r="R187" s="5" t="n"/>
      <c r="S187" s="5">
        <f>SUM(F187:I187)+N187</f>
        <v/>
      </c>
      <c r="T187" s="5">
        <f>J187</f>
        <v/>
      </c>
      <c r="U187" s="6">
        <f>YEAR(D187)</f>
        <v/>
      </c>
      <c r="V187" s="5">
        <f>TEXT(D187,"yyyy-mm")</f>
        <v/>
      </c>
    </row>
    <row r="188">
      <c r="A188" s="2" t="inlineStr">
        <is>
          <t>EJ030323.TXT</t>
        </is>
      </c>
      <c r="B188" s="3" t="inlineStr">
        <is>
          <t>004710</t>
        </is>
      </c>
      <c r="C188" s="3" t="inlineStr">
        <is>
          <t>003748</t>
        </is>
      </c>
      <c r="D188" s="4" t="n">
        <v>44987</v>
      </c>
      <c r="E188" s="2" t="inlineStr">
        <is>
          <t>13:08</t>
        </is>
      </c>
      <c r="F188" s="5" t="n">
        <v>1070.83</v>
      </c>
      <c r="G188" s="5" t="n"/>
      <c r="H188" s="5" t="n"/>
      <c r="I188" s="5" t="n"/>
      <c r="J188" s="5" t="n">
        <v>214.17</v>
      </c>
      <c r="K188" s="5" t="n"/>
      <c r="L188" s="5" t="n"/>
      <c r="M188" s="5" t="n"/>
      <c r="N188" s="5" t="n"/>
      <c r="O188" s="5" t="n">
        <v>1285</v>
      </c>
      <c r="P188" s="5" t="n">
        <v>1285</v>
      </c>
      <c r="Q188" s="5" t="n"/>
      <c r="R188" s="5" t="n"/>
      <c r="S188" s="5">
        <f>SUM(F188:I188)+N188</f>
        <v/>
      </c>
      <c r="T188" s="5">
        <f>J188</f>
        <v/>
      </c>
      <c r="U188" s="6">
        <f>YEAR(D188)</f>
        <v/>
      </c>
      <c r="V188" s="5">
        <f>TEXT(D188,"yyyy-mm")</f>
        <v/>
      </c>
    </row>
    <row r="189">
      <c r="A189" s="2" t="inlineStr">
        <is>
          <t>EJ030323.TXT</t>
        </is>
      </c>
      <c r="B189" s="3" t="inlineStr">
        <is>
          <t>004711</t>
        </is>
      </c>
      <c r="C189" s="3" t="inlineStr">
        <is>
          <t>003749</t>
        </is>
      </c>
      <c r="D189" s="4" t="n">
        <v>44987</v>
      </c>
      <c r="E189" s="2" t="inlineStr">
        <is>
          <t>13:12</t>
        </is>
      </c>
      <c r="F189" s="5" t="n">
        <v>1096.67</v>
      </c>
      <c r="G189" s="5" t="n"/>
      <c r="H189" s="5" t="n"/>
      <c r="I189" s="5" t="n"/>
      <c r="J189" s="5" t="n">
        <v>219.33</v>
      </c>
      <c r="K189" s="5" t="n"/>
      <c r="L189" s="5" t="n"/>
      <c r="M189" s="5" t="n"/>
      <c r="N189" s="5" t="n"/>
      <c r="O189" s="5" t="n">
        <v>1316</v>
      </c>
      <c r="P189" s="5" t="n">
        <v>1316</v>
      </c>
      <c r="Q189" s="5" t="n"/>
      <c r="R189" s="5" t="n"/>
      <c r="S189" s="5">
        <f>SUM(F189:I189)+N189</f>
        <v/>
      </c>
      <c r="T189" s="5">
        <f>J189</f>
        <v/>
      </c>
      <c r="U189" s="6">
        <f>YEAR(D189)</f>
        <v/>
      </c>
      <c r="V189" s="5">
        <f>TEXT(D189,"yyyy-mm")</f>
        <v/>
      </c>
    </row>
    <row r="190">
      <c r="A190" s="2" t="inlineStr">
        <is>
          <t>EJ030323.TXT</t>
        </is>
      </c>
      <c r="B190" s="3" t="inlineStr">
        <is>
          <t>004712</t>
        </is>
      </c>
      <c r="C190" s="3" t="inlineStr">
        <is>
          <t>003750</t>
        </is>
      </c>
      <c r="D190" s="4" t="n">
        <v>44987</v>
      </c>
      <c r="E190" s="2" t="inlineStr">
        <is>
          <t>13:13</t>
        </is>
      </c>
      <c r="F190" s="5" t="n">
        <v>1370.83</v>
      </c>
      <c r="G190" s="5" t="n"/>
      <c r="H190" s="5" t="n"/>
      <c r="I190" s="5" t="n"/>
      <c r="J190" s="5" t="n">
        <v>274.17</v>
      </c>
      <c r="K190" s="5" t="n"/>
      <c r="L190" s="5" t="n"/>
      <c r="M190" s="5" t="n"/>
      <c r="N190" s="5" t="n"/>
      <c r="O190" s="5" t="n">
        <v>1645</v>
      </c>
      <c r="P190" s="5" t="n">
        <v>1645</v>
      </c>
      <c r="Q190" s="5" t="n"/>
      <c r="R190" s="5" t="n"/>
      <c r="S190" s="5">
        <f>SUM(F190:I190)+N190</f>
        <v/>
      </c>
      <c r="T190" s="5">
        <f>J190</f>
        <v/>
      </c>
      <c r="U190" s="6">
        <f>YEAR(D190)</f>
        <v/>
      </c>
      <c r="V190" s="5">
        <f>TEXT(D190,"yyyy-mm")</f>
        <v/>
      </c>
    </row>
    <row r="191">
      <c r="A191" s="2" t="inlineStr">
        <is>
          <t>EJ030323.TXT</t>
        </is>
      </c>
      <c r="B191" s="3" t="inlineStr">
        <is>
          <t>004713</t>
        </is>
      </c>
      <c r="C191" s="3" t="inlineStr">
        <is>
          <t>003751</t>
        </is>
      </c>
      <c r="D191" s="4" t="n">
        <v>44987</v>
      </c>
      <c r="E191" s="2" t="inlineStr">
        <is>
          <t>15:23</t>
        </is>
      </c>
      <c r="F191" s="5" t="n">
        <v>196.67</v>
      </c>
      <c r="G191" s="5" t="n"/>
      <c r="H191" s="5" t="n"/>
      <c r="I191" s="5" t="n"/>
      <c r="J191" s="5" t="n">
        <v>39.33</v>
      </c>
      <c r="K191" s="5" t="n"/>
      <c r="L191" s="5" t="n"/>
      <c r="M191" s="5" t="n"/>
      <c r="N191" s="5" t="n"/>
      <c r="O191" s="5" t="n">
        <v>236</v>
      </c>
      <c r="P191" s="5" t="n"/>
      <c r="Q191" s="5" t="n">
        <v>236</v>
      </c>
      <c r="R191" s="5" t="n"/>
      <c r="S191" s="5">
        <f>SUM(F191:I191)+N191</f>
        <v/>
      </c>
      <c r="T191" s="5">
        <f>J191</f>
        <v/>
      </c>
      <c r="U191" s="6">
        <f>YEAR(D191)</f>
        <v/>
      </c>
      <c r="V191" s="5">
        <f>TEXT(D191,"yyyy-mm")</f>
        <v/>
      </c>
    </row>
    <row r="192">
      <c r="A192" s="2" t="inlineStr">
        <is>
          <t>EJ030323.TXT</t>
        </is>
      </c>
      <c r="B192" s="3" t="inlineStr">
        <is>
          <t>004714</t>
        </is>
      </c>
      <c r="C192" s="3" t="inlineStr">
        <is>
          <t>003752</t>
        </is>
      </c>
      <c r="D192" s="4" t="n">
        <v>44987</v>
      </c>
      <c r="E192" s="2" t="inlineStr">
        <is>
          <t>18:43</t>
        </is>
      </c>
      <c r="F192" s="5" t="n">
        <v>73.33</v>
      </c>
      <c r="G192" s="5" t="n"/>
      <c r="H192" s="5" t="n"/>
      <c r="I192" s="5" t="n"/>
      <c r="J192" s="5" t="n">
        <v>14.67</v>
      </c>
      <c r="K192" s="5" t="n"/>
      <c r="L192" s="5" t="n"/>
      <c r="M192" s="5" t="n"/>
      <c r="N192" s="5" t="n"/>
      <c r="O192" s="5" t="n">
        <v>88</v>
      </c>
      <c r="P192" s="5" t="n">
        <v>88</v>
      </c>
      <c r="Q192" s="5" t="n"/>
      <c r="R192" s="5" t="n"/>
      <c r="S192" s="5">
        <f>SUM(F192:I192)+N192</f>
        <v/>
      </c>
      <c r="T192" s="5">
        <f>J192</f>
        <v/>
      </c>
      <c r="U192" s="6">
        <f>YEAR(D192)</f>
        <v/>
      </c>
      <c r="V192" s="5">
        <f>TEXT(D192,"yyyy-mm")</f>
        <v/>
      </c>
    </row>
    <row r="193">
      <c r="A193" s="2" t="inlineStr">
        <is>
          <t>EJ030323.TXT</t>
        </is>
      </c>
      <c r="B193" s="3" t="inlineStr">
        <is>
          <t>004715</t>
        </is>
      </c>
      <c r="C193" s="3" t="inlineStr">
        <is>
          <t>003753</t>
        </is>
      </c>
      <c r="D193" s="4" t="n">
        <v>44988</v>
      </c>
      <c r="E193" s="2" t="inlineStr">
        <is>
          <t>12:41</t>
        </is>
      </c>
      <c r="F193" s="5" t="n">
        <v>582.5</v>
      </c>
      <c r="G193" s="5" t="n"/>
      <c r="H193" s="5" t="n"/>
      <c r="I193" s="5" t="n"/>
      <c r="J193" s="5" t="n">
        <v>116.5</v>
      </c>
      <c r="K193" s="5" t="n"/>
      <c r="L193" s="5" t="n"/>
      <c r="M193" s="5" t="n"/>
      <c r="N193" s="5" t="n"/>
      <c r="O193" s="5" t="n">
        <v>699</v>
      </c>
      <c r="P193" s="5" t="n"/>
      <c r="Q193" s="5" t="n">
        <v>699</v>
      </c>
      <c r="R193" s="5" t="n"/>
      <c r="S193" s="5">
        <f>SUM(F193:I193)+N193</f>
        <v/>
      </c>
      <c r="T193" s="5">
        <f>J193</f>
        <v/>
      </c>
      <c r="U193" s="6">
        <f>YEAR(D193)</f>
        <v/>
      </c>
      <c r="V193" s="5">
        <f>TEXT(D193,"yyyy-mm")</f>
        <v/>
      </c>
    </row>
    <row r="194">
      <c r="A194" s="2" t="inlineStr">
        <is>
          <t>EJ030323.TXT</t>
        </is>
      </c>
      <c r="B194" s="3" t="inlineStr">
        <is>
          <t>004716</t>
        </is>
      </c>
      <c r="C194" s="3" t="inlineStr">
        <is>
          <t>003754</t>
        </is>
      </c>
      <c r="D194" s="4" t="n">
        <v>44988</v>
      </c>
      <c r="E194" s="2" t="inlineStr">
        <is>
          <t>12:41</t>
        </is>
      </c>
      <c r="F194" s="5" t="n">
        <v>582.5</v>
      </c>
      <c r="G194" s="5" t="n"/>
      <c r="H194" s="5" t="n"/>
      <c r="I194" s="5" t="n"/>
      <c r="J194" s="5" t="n">
        <v>116.5</v>
      </c>
      <c r="K194" s="5" t="n"/>
      <c r="L194" s="5" t="n"/>
      <c r="M194" s="5" t="n"/>
      <c r="N194" s="5" t="n"/>
      <c r="O194" s="5" t="n">
        <v>699</v>
      </c>
      <c r="P194" s="5" t="n"/>
      <c r="Q194" s="5" t="n">
        <v>699</v>
      </c>
      <c r="R194" s="5" t="n"/>
      <c r="S194" s="5">
        <f>SUM(F194:I194)+N194</f>
        <v/>
      </c>
      <c r="T194" s="5">
        <f>J194</f>
        <v/>
      </c>
      <c r="U194" s="6">
        <f>YEAR(D194)</f>
        <v/>
      </c>
      <c r="V194" s="5">
        <f>TEXT(D194,"yyyy-mm")</f>
        <v/>
      </c>
    </row>
    <row r="195">
      <c r="A195" s="2" t="inlineStr">
        <is>
          <t>EJ010423.TXT</t>
        </is>
      </c>
      <c r="B195" s="3" t="inlineStr">
        <is>
          <t>004723</t>
        </is>
      </c>
      <c r="C195" s="3" t="inlineStr">
        <is>
          <t>003755</t>
        </is>
      </c>
      <c r="D195" s="4" t="n">
        <v>44991</v>
      </c>
      <c r="E195" s="2" t="inlineStr">
        <is>
          <t>11:08</t>
        </is>
      </c>
      <c r="F195" s="5" t="n">
        <v>98.33</v>
      </c>
      <c r="G195" s="5" t="n"/>
      <c r="H195" s="5" t="n"/>
      <c r="I195" s="5" t="n"/>
      <c r="J195" s="5" t="n">
        <v>19.67</v>
      </c>
      <c r="K195" s="5" t="n"/>
      <c r="L195" s="5" t="n"/>
      <c r="M195" s="5" t="n"/>
      <c r="N195" s="5" t="n"/>
      <c r="O195" s="5" t="n">
        <v>118</v>
      </c>
      <c r="P195" s="5" t="n"/>
      <c r="Q195" s="5" t="n">
        <v>118</v>
      </c>
      <c r="R195" s="5" t="n"/>
      <c r="S195" s="5">
        <f>SUM(F195:I195)+N195</f>
        <v/>
      </c>
      <c r="T195" s="5">
        <f>J195</f>
        <v/>
      </c>
      <c r="U195" s="6">
        <f>YEAR(D195)</f>
        <v/>
      </c>
      <c r="V195" s="5">
        <f>TEXT(D195,"yyyy-mm")</f>
        <v/>
      </c>
    </row>
    <row r="196">
      <c r="A196" s="2" t="inlineStr">
        <is>
          <t>EJ010423.TXT</t>
        </is>
      </c>
      <c r="B196" s="3" t="inlineStr">
        <is>
          <t>004724</t>
        </is>
      </c>
      <c r="C196" s="3" t="inlineStr">
        <is>
          <t>003756</t>
        </is>
      </c>
      <c r="D196" s="4" t="n">
        <v>44991</v>
      </c>
      <c r="E196" s="2" t="inlineStr">
        <is>
          <t>18:30</t>
        </is>
      </c>
      <c r="F196" s="5" t="n">
        <v>822.5</v>
      </c>
      <c r="G196" s="5" t="n"/>
      <c r="H196" s="5" t="n"/>
      <c r="I196" s="5" t="n"/>
      <c r="J196" s="5" t="n">
        <v>164.5</v>
      </c>
      <c r="K196" s="5" t="n"/>
      <c r="L196" s="5" t="n"/>
      <c r="M196" s="5" t="n"/>
      <c r="N196" s="5" t="n"/>
      <c r="O196" s="5" t="n">
        <v>987</v>
      </c>
      <c r="P196" s="5" t="n"/>
      <c r="Q196" s="5" t="n"/>
      <c r="R196" s="5" t="n">
        <v>987</v>
      </c>
      <c r="S196" s="5">
        <f>SUM(F196:I196)+N196</f>
        <v/>
      </c>
      <c r="T196" s="5">
        <f>J196</f>
        <v/>
      </c>
      <c r="U196" s="6">
        <f>YEAR(D196)</f>
        <v/>
      </c>
      <c r="V196" s="5">
        <f>TEXT(D196,"yyyy-mm")</f>
        <v/>
      </c>
    </row>
    <row r="197">
      <c r="A197" s="2" t="inlineStr">
        <is>
          <t>EJ010423.TXT</t>
        </is>
      </c>
      <c r="B197" s="3" t="inlineStr">
        <is>
          <t>004725</t>
        </is>
      </c>
      <c r="C197" s="3" t="inlineStr">
        <is>
          <t>003757</t>
        </is>
      </c>
      <c r="D197" s="4" t="n">
        <v>44992</v>
      </c>
      <c r="E197" s="2" t="inlineStr">
        <is>
          <t>12:32</t>
        </is>
      </c>
      <c r="F197" s="5" t="n">
        <v>548.33</v>
      </c>
      <c r="G197" s="5" t="n"/>
      <c r="H197" s="5" t="n"/>
      <c r="I197" s="5" t="n"/>
      <c r="J197" s="5" t="n">
        <v>109.67</v>
      </c>
      <c r="K197" s="5" t="n"/>
      <c r="L197" s="5" t="n"/>
      <c r="M197" s="5" t="n"/>
      <c r="N197" s="5" t="n"/>
      <c r="O197" s="5" t="n">
        <v>658</v>
      </c>
      <c r="P197" s="5" t="n"/>
      <c r="Q197" s="5" t="n">
        <v>658</v>
      </c>
      <c r="R197" s="5" t="n"/>
      <c r="S197" s="5">
        <f>SUM(F197:I197)+N197</f>
        <v/>
      </c>
      <c r="T197" s="5">
        <f>J197</f>
        <v/>
      </c>
      <c r="U197" s="6">
        <f>YEAR(D197)</f>
        <v/>
      </c>
      <c r="V197" s="5">
        <f>TEXT(D197,"yyyy-mm")</f>
        <v/>
      </c>
    </row>
    <row r="198">
      <c r="A198" s="2" t="inlineStr">
        <is>
          <t>EJ010423.TXT</t>
        </is>
      </c>
      <c r="B198" s="3" t="inlineStr">
        <is>
          <t>004726</t>
        </is>
      </c>
      <c r="C198" s="3" t="inlineStr">
        <is>
          <t>003758</t>
        </is>
      </c>
      <c r="D198" s="4" t="n">
        <v>44992</v>
      </c>
      <c r="E198" s="2" t="inlineStr">
        <is>
          <t>14:59</t>
        </is>
      </c>
      <c r="F198" s="5" t="n">
        <v>822.5</v>
      </c>
      <c r="G198" s="5" t="n"/>
      <c r="H198" s="5" t="n"/>
      <c r="I198" s="5" t="n"/>
      <c r="J198" s="5" t="n">
        <v>164.5</v>
      </c>
      <c r="K198" s="5" t="n"/>
      <c r="L198" s="5" t="n"/>
      <c r="M198" s="5" t="n"/>
      <c r="N198" s="5" t="n"/>
      <c r="O198" s="5" t="n">
        <v>987</v>
      </c>
      <c r="P198" s="5" t="n"/>
      <c r="Q198" s="5" t="n">
        <v>987</v>
      </c>
      <c r="R198" s="5" t="n"/>
      <c r="S198" s="5">
        <f>SUM(F198:I198)+N198</f>
        <v/>
      </c>
      <c r="T198" s="5">
        <f>J198</f>
        <v/>
      </c>
      <c r="U198" s="6">
        <f>YEAR(D198)</f>
        <v/>
      </c>
      <c r="V198" s="5">
        <f>TEXT(D198,"yyyy-mm")</f>
        <v/>
      </c>
    </row>
    <row r="199">
      <c r="A199" s="2" t="inlineStr">
        <is>
          <t>EJ010423.TXT</t>
        </is>
      </c>
      <c r="B199" s="3" t="inlineStr">
        <is>
          <t>004727</t>
        </is>
      </c>
      <c r="C199" s="3" t="inlineStr">
        <is>
          <t>003759</t>
        </is>
      </c>
      <c r="D199" s="4" t="n">
        <v>44992</v>
      </c>
      <c r="E199" s="2" t="inlineStr">
        <is>
          <t>14:59</t>
        </is>
      </c>
      <c r="F199" s="5" t="n">
        <v>822.5</v>
      </c>
      <c r="G199" s="5" t="n"/>
      <c r="H199" s="5" t="n"/>
      <c r="I199" s="5" t="n"/>
      <c r="J199" s="5" t="n">
        <v>164.5</v>
      </c>
      <c r="K199" s="5" t="n"/>
      <c r="L199" s="5" t="n"/>
      <c r="M199" s="5" t="n"/>
      <c r="N199" s="5" t="n"/>
      <c r="O199" s="5" t="n">
        <v>987</v>
      </c>
      <c r="P199" s="5" t="n"/>
      <c r="Q199" s="5" t="n">
        <v>987</v>
      </c>
      <c r="R199" s="5" t="n"/>
      <c r="S199" s="5">
        <f>SUM(F199:I199)+N199</f>
        <v/>
      </c>
      <c r="T199" s="5">
        <f>J199</f>
        <v/>
      </c>
      <c r="U199" s="6">
        <f>YEAR(D199)</f>
        <v/>
      </c>
      <c r="V199" s="5">
        <f>TEXT(D199,"yyyy-mm")</f>
        <v/>
      </c>
    </row>
    <row r="200">
      <c r="A200" s="2" t="inlineStr">
        <is>
          <t>EJ010423.TXT</t>
        </is>
      </c>
      <c r="B200" s="3" t="inlineStr">
        <is>
          <t>004728</t>
        </is>
      </c>
      <c r="C200" s="3" t="inlineStr">
        <is>
          <t>003760</t>
        </is>
      </c>
      <c r="D200" s="4" t="n">
        <v>44993</v>
      </c>
      <c r="E200" s="2" t="inlineStr">
        <is>
          <t>11:12</t>
        </is>
      </c>
      <c r="F200" s="5" t="n">
        <v>208.33</v>
      </c>
      <c r="G200" s="5" t="n"/>
      <c r="H200" s="5" t="n"/>
      <c r="I200" s="5" t="n"/>
      <c r="J200" s="5" t="n">
        <v>41.67</v>
      </c>
      <c r="K200" s="5" t="n"/>
      <c r="L200" s="5" t="n"/>
      <c r="M200" s="5" t="n"/>
      <c r="N200" s="5" t="n"/>
      <c r="O200" s="5" t="n">
        <v>250</v>
      </c>
      <c r="P200" s="5" t="n"/>
      <c r="Q200" s="5" t="n">
        <v>250</v>
      </c>
      <c r="R200" s="5" t="n"/>
      <c r="S200" s="5">
        <f>SUM(F200:I200)+N200</f>
        <v/>
      </c>
      <c r="T200" s="5">
        <f>J200</f>
        <v/>
      </c>
      <c r="U200" s="6">
        <f>YEAR(D200)</f>
        <v/>
      </c>
      <c r="V200" s="5">
        <f>TEXT(D200,"yyyy-mm")</f>
        <v/>
      </c>
    </row>
    <row r="201">
      <c r="A201" s="2" t="inlineStr">
        <is>
          <t>EJ010423.TXT</t>
        </is>
      </c>
      <c r="B201" s="3" t="inlineStr">
        <is>
          <t>004729</t>
        </is>
      </c>
      <c r="C201" s="3" t="inlineStr">
        <is>
          <t>003761</t>
        </is>
      </c>
      <c r="D201" s="4" t="n">
        <v>44993</v>
      </c>
      <c r="E201" s="2" t="inlineStr">
        <is>
          <t>12:20</t>
        </is>
      </c>
      <c r="F201" s="5" t="n">
        <v>763.33</v>
      </c>
      <c r="G201" s="5" t="n"/>
      <c r="H201" s="5" t="n"/>
      <c r="I201" s="5" t="n"/>
      <c r="J201" s="5" t="n">
        <v>152.67</v>
      </c>
      <c r="K201" s="5" t="n"/>
      <c r="L201" s="5" t="n"/>
      <c r="M201" s="5" t="n"/>
      <c r="N201" s="5" t="n"/>
      <c r="O201" s="5" t="n">
        <v>916</v>
      </c>
      <c r="P201" s="5" t="n"/>
      <c r="Q201" s="5" t="n">
        <v>916</v>
      </c>
      <c r="R201" s="5" t="n"/>
      <c r="S201" s="5">
        <f>SUM(F201:I201)+N201</f>
        <v/>
      </c>
      <c r="T201" s="5">
        <f>J201</f>
        <v/>
      </c>
      <c r="U201" s="6">
        <f>YEAR(D201)</f>
        <v/>
      </c>
      <c r="V201" s="5">
        <f>TEXT(D201,"yyyy-mm")</f>
        <v/>
      </c>
    </row>
    <row r="202">
      <c r="A202" s="2" t="inlineStr">
        <is>
          <t>EJ010423.TXT</t>
        </is>
      </c>
      <c r="B202" s="3" t="inlineStr">
        <is>
          <t>004730</t>
        </is>
      </c>
      <c r="C202" s="3" t="inlineStr">
        <is>
          <t>003762</t>
        </is>
      </c>
      <c r="D202" s="4" t="n">
        <v>44998</v>
      </c>
      <c r="E202" s="2" t="inlineStr">
        <is>
          <t>14:55</t>
        </is>
      </c>
      <c r="F202" s="5" t="n">
        <v>307.5</v>
      </c>
      <c r="G202" s="5" t="n"/>
      <c r="H202" s="5" t="n"/>
      <c r="I202" s="5" t="n"/>
      <c r="J202" s="5" t="n">
        <v>61.5</v>
      </c>
      <c r="K202" s="5" t="n"/>
      <c r="L202" s="5" t="n"/>
      <c r="M202" s="5" t="n"/>
      <c r="N202" s="5" t="n"/>
      <c r="O202" s="5" t="n">
        <v>369</v>
      </c>
      <c r="P202" s="5" t="n"/>
      <c r="Q202" s="5" t="n">
        <v>369</v>
      </c>
      <c r="R202" s="5" t="n"/>
      <c r="S202" s="5">
        <f>SUM(F202:I202)+N202</f>
        <v/>
      </c>
      <c r="T202" s="5">
        <f>J202</f>
        <v/>
      </c>
      <c r="U202" s="6">
        <f>YEAR(D202)</f>
        <v/>
      </c>
      <c r="V202" s="5">
        <f>TEXT(D202,"yyyy-mm")</f>
        <v/>
      </c>
    </row>
    <row r="203">
      <c r="A203" s="2" t="inlineStr">
        <is>
          <t>EJ010423.TXT</t>
        </is>
      </c>
      <c r="B203" s="3" t="inlineStr">
        <is>
          <t>004731</t>
        </is>
      </c>
      <c r="C203" s="3" t="inlineStr">
        <is>
          <t>003763</t>
        </is>
      </c>
      <c r="D203" s="4" t="n">
        <v>44999</v>
      </c>
      <c r="E203" s="2" t="inlineStr">
        <is>
          <t>15:07</t>
        </is>
      </c>
      <c r="F203" s="5" t="n">
        <v>797.5</v>
      </c>
      <c r="G203" s="5" t="n"/>
      <c r="H203" s="5" t="n"/>
      <c r="I203" s="5" t="n"/>
      <c r="J203" s="5" t="n">
        <v>159.5</v>
      </c>
      <c r="K203" s="5" t="n"/>
      <c r="L203" s="5" t="n"/>
      <c r="M203" s="5" t="n"/>
      <c r="N203" s="5" t="n"/>
      <c r="O203" s="5" t="n">
        <v>957</v>
      </c>
      <c r="P203" s="5" t="n"/>
      <c r="Q203" s="5" t="n">
        <v>957</v>
      </c>
      <c r="R203" s="5" t="n"/>
      <c r="S203" s="5">
        <f>SUM(F203:I203)+N203</f>
        <v/>
      </c>
      <c r="T203" s="5">
        <f>J203</f>
        <v/>
      </c>
      <c r="U203" s="6">
        <f>YEAR(D203)</f>
        <v/>
      </c>
      <c r="V203" s="5">
        <f>TEXT(D203,"yyyy-mm")</f>
        <v/>
      </c>
    </row>
    <row r="204">
      <c r="A204" s="2" t="inlineStr">
        <is>
          <t>EJ010423.TXT</t>
        </is>
      </c>
      <c r="B204" s="3" t="inlineStr">
        <is>
          <t>004732</t>
        </is>
      </c>
      <c r="C204" s="3" t="inlineStr">
        <is>
          <t>003764</t>
        </is>
      </c>
      <c r="D204" s="4" t="n">
        <v>44999</v>
      </c>
      <c r="E204" s="2" t="inlineStr">
        <is>
          <t>16:56</t>
        </is>
      </c>
      <c r="F204" s="5" t="n">
        <v>797.5</v>
      </c>
      <c r="G204" s="5" t="n"/>
      <c r="H204" s="5" t="n"/>
      <c r="I204" s="5" t="n"/>
      <c r="J204" s="5" t="n">
        <v>159.5</v>
      </c>
      <c r="K204" s="5" t="n"/>
      <c r="L204" s="5" t="n"/>
      <c r="M204" s="5" t="n"/>
      <c r="N204" s="5" t="n"/>
      <c r="O204" s="5" t="n">
        <v>957</v>
      </c>
      <c r="P204" s="5" t="n"/>
      <c r="Q204" s="5" t="n">
        <v>957</v>
      </c>
      <c r="R204" s="5" t="n"/>
      <c r="S204" s="5">
        <f>SUM(F204:I204)+N204</f>
        <v/>
      </c>
      <c r="T204" s="5">
        <f>J204</f>
        <v/>
      </c>
      <c r="U204" s="6">
        <f>YEAR(D204)</f>
        <v/>
      </c>
      <c r="V204" s="5">
        <f>TEXT(D204,"yyyy-mm")</f>
        <v/>
      </c>
    </row>
    <row r="205">
      <c r="A205" s="2" t="inlineStr">
        <is>
          <t>EJ010423.TXT</t>
        </is>
      </c>
      <c r="B205" s="3" t="inlineStr">
        <is>
          <t>004733</t>
        </is>
      </c>
      <c r="C205" s="3" t="inlineStr">
        <is>
          <t>003765</t>
        </is>
      </c>
      <c r="D205" s="4" t="n">
        <v>44999</v>
      </c>
      <c r="E205" s="2" t="inlineStr">
        <is>
          <t>18:58</t>
        </is>
      </c>
      <c r="F205" s="5" t="n">
        <v>797.5</v>
      </c>
      <c r="G205" s="5" t="n"/>
      <c r="H205" s="5" t="n"/>
      <c r="I205" s="5" t="n"/>
      <c r="J205" s="5" t="n">
        <v>159.5</v>
      </c>
      <c r="K205" s="5" t="n"/>
      <c r="L205" s="5" t="n"/>
      <c r="M205" s="5" t="n"/>
      <c r="N205" s="5" t="n"/>
      <c r="O205" s="5" t="n">
        <v>957</v>
      </c>
      <c r="P205" s="5" t="n"/>
      <c r="Q205" s="5" t="n">
        <v>957</v>
      </c>
      <c r="R205" s="5" t="n"/>
      <c r="S205" s="5">
        <f>SUM(F205:I205)+N205</f>
        <v/>
      </c>
      <c r="T205" s="5">
        <f>J205</f>
        <v/>
      </c>
      <c r="U205" s="6">
        <f>YEAR(D205)</f>
        <v/>
      </c>
      <c r="V205" s="5">
        <f>TEXT(D205,"yyyy-mm")</f>
        <v/>
      </c>
    </row>
    <row r="206">
      <c r="A206" s="2" t="inlineStr">
        <is>
          <t>EJ010423.TXT</t>
        </is>
      </c>
      <c r="B206" s="3" t="inlineStr">
        <is>
          <t>004734</t>
        </is>
      </c>
      <c r="C206" s="3" t="inlineStr">
        <is>
          <t>003766</t>
        </is>
      </c>
      <c r="D206" s="4" t="n">
        <v>44999</v>
      </c>
      <c r="E206" s="2" t="inlineStr">
        <is>
          <t>18:59</t>
        </is>
      </c>
      <c r="F206" s="5" t="n">
        <v>797.5</v>
      </c>
      <c r="G206" s="5" t="n"/>
      <c r="H206" s="5" t="n"/>
      <c r="I206" s="5" t="n"/>
      <c r="J206" s="5" t="n">
        <v>159.5</v>
      </c>
      <c r="K206" s="5" t="n"/>
      <c r="L206" s="5" t="n"/>
      <c r="M206" s="5" t="n"/>
      <c r="N206" s="5" t="n"/>
      <c r="O206" s="5" t="n">
        <v>957</v>
      </c>
      <c r="P206" s="5" t="n"/>
      <c r="Q206" s="5" t="n">
        <v>957</v>
      </c>
      <c r="R206" s="5" t="n"/>
      <c r="S206" s="5">
        <f>SUM(F206:I206)+N206</f>
        <v/>
      </c>
      <c r="T206" s="5">
        <f>J206</f>
        <v/>
      </c>
      <c r="U206" s="6">
        <f>YEAR(D206)</f>
        <v/>
      </c>
      <c r="V206" s="5">
        <f>TEXT(D206,"yyyy-mm")</f>
        <v/>
      </c>
    </row>
    <row r="207">
      <c r="A207" s="2" t="inlineStr">
        <is>
          <t>EJ010423.TXT</t>
        </is>
      </c>
      <c r="B207" s="3" t="inlineStr">
        <is>
          <t>004735</t>
        </is>
      </c>
      <c r="C207" s="3" t="inlineStr">
        <is>
          <t>003767</t>
        </is>
      </c>
      <c r="D207" s="4" t="n">
        <v>45000</v>
      </c>
      <c r="E207" s="2" t="inlineStr">
        <is>
          <t>17:19</t>
        </is>
      </c>
      <c r="F207" s="5" t="n">
        <v>797.5</v>
      </c>
      <c r="G207" s="5" t="n"/>
      <c r="H207" s="5" t="n"/>
      <c r="I207" s="5" t="n"/>
      <c r="J207" s="5" t="n">
        <v>159.5</v>
      </c>
      <c r="K207" s="5" t="n"/>
      <c r="L207" s="5" t="n"/>
      <c r="M207" s="5" t="n"/>
      <c r="N207" s="5" t="n"/>
      <c r="O207" s="5" t="n">
        <v>957</v>
      </c>
      <c r="P207" s="5" t="n"/>
      <c r="Q207" s="5" t="n">
        <v>957</v>
      </c>
      <c r="R207" s="5" t="n"/>
      <c r="S207" s="5">
        <f>SUM(F207:I207)+N207</f>
        <v/>
      </c>
      <c r="T207" s="5">
        <f>J207</f>
        <v/>
      </c>
      <c r="U207" s="6">
        <f>YEAR(D207)</f>
        <v/>
      </c>
      <c r="V207" s="5">
        <f>TEXT(D207,"yyyy-mm")</f>
        <v/>
      </c>
    </row>
    <row r="208">
      <c r="A208" s="2" t="inlineStr">
        <is>
          <t>EJ010423.TXT</t>
        </is>
      </c>
      <c r="B208" s="3" t="inlineStr">
        <is>
          <t>004736</t>
        </is>
      </c>
      <c r="C208" s="3" t="inlineStr">
        <is>
          <t>003768</t>
        </is>
      </c>
      <c r="D208" s="4" t="n">
        <v>45000</v>
      </c>
      <c r="E208" s="2" t="inlineStr">
        <is>
          <t>17:20</t>
        </is>
      </c>
      <c r="F208" s="5" t="n">
        <v>797.5</v>
      </c>
      <c r="G208" s="5" t="n"/>
      <c r="H208" s="5" t="n"/>
      <c r="I208" s="5" t="n"/>
      <c r="J208" s="5" t="n">
        <v>159.5</v>
      </c>
      <c r="K208" s="5" t="n"/>
      <c r="L208" s="5" t="n"/>
      <c r="M208" s="5" t="n"/>
      <c r="N208" s="5" t="n"/>
      <c r="O208" s="5" t="n">
        <v>957</v>
      </c>
      <c r="P208" s="5" t="n"/>
      <c r="Q208" s="5" t="n">
        <v>957</v>
      </c>
      <c r="R208" s="5" t="n"/>
      <c r="S208" s="5">
        <f>SUM(F208:I208)+N208</f>
        <v/>
      </c>
      <c r="T208" s="5">
        <f>J208</f>
        <v/>
      </c>
      <c r="U208" s="6">
        <f>YEAR(D208)</f>
        <v/>
      </c>
      <c r="V208" s="5">
        <f>TEXT(D208,"yyyy-mm")</f>
        <v/>
      </c>
    </row>
    <row r="209">
      <c r="A209" s="2" t="inlineStr">
        <is>
          <t>EJ010423.TXT</t>
        </is>
      </c>
      <c r="B209" s="3" t="inlineStr">
        <is>
          <t>004737</t>
        </is>
      </c>
      <c r="C209" s="3" t="inlineStr">
        <is>
          <t>003769</t>
        </is>
      </c>
      <c r="D209" s="4" t="n">
        <v>45000</v>
      </c>
      <c r="E209" s="2" t="inlineStr">
        <is>
          <t>18:30</t>
        </is>
      </c>
      <c r="F209" s="5" t="n">
        <v>548.33</v>
      </c>
      <c r="G209" s="5" t="n"/>
      <c r="H209" s="5" t="n"/>
      <c r="I209" s="5" t="n"/>
      <c r="J209" s="5" t="n">
        <v>109.67</v>
      </c>
      <c r="K209" s="5" t="n"/>
      <c r="L209" s="5" t="n"/>
      <c r="M209" s="5" t="n"/>
      <c r="N209" s="5" t="n"/>
      <c r="O209" s="5" t="n">
        <v>658</v>
      </c>
      <c r="P209" s="5" t="n"/>
      <c r="Q209" s="5" t="n">
        <v>658</v>
      </c>
      <c r="R209" s="5" t="n"/>
      <c r="S209" s="5">
        <f>SUM(F209:I209)+N209</f>
        <v/>
      </c>
      <c r="T209" s="5">
        <f>J209</f>
        <v/>
      </c>
      <c r="U209" s="6">
        <f>YEAR(D209)</f>
        <v/>
      </c>
      <c r="V209" s="5">
        <f>TEXT(D209,"yyyy-mm")</f>
        <v/>
      </c>
    </row>
    <row r="210">
      <c r="A210" s="2" t="inlineStr">
        <is>
          <t>EJ010423.TXT</t>
        </is>
      </c>
      <c r="B210" s="3" t="inlineStr">
        <is>
          <t>004738</t>
        </is>
      </c>
      <c r="C210" s="3" t="inlineStr">
        <is>
          <t>003770</t>
        </is>
      </c>
      <c r="D210" s="4" t="n">
        <v>45001</v>
      </c>
      <c r="E210" s="2" t="inlineStr">
        <is>
          <t>12:02</t>
        </is>
      </c>
      <c r="F210" s="5" t="n">
        <v>531.67</v>
      </c>
      <c r="G210" s="5" t="n"/>
      <c r="H210" s="5" t="n"/>
      <c r="I210" s="5" t="n"/>
      <c r="J210" s="5" t="n">
        <v>106.33</v>
      </c>
      <c r="K210" s="5" t="n"/>
      <c r="L210" s="5" t="n"/>
      <c r="M210" s="5" t="n"/>
      <c r="N210" s="5" t="n"/>
      <c r="O210" s="5" t="n">
        <v>638</v>
      </c>
      <c r="P210" s="5" t="n"/>
      <c r="Q210" s="5" t="n">
        <v>638</v>
      </c>
      <c r="R210" s="5" t="n"/>
      <c r="S210" s="5">
        <f>SUM(F210:I210)+N210</f>
        <v/>
      </c>
      <c r="T210" s="5">
        <f>J210</f>
        <v/>
      </c>
      <c r="U210" s="6">
        <f>YEAR(D210)</f>
        <v/>
      </c>
      <c r="V210" s="5">
        <f>TEXT(D210,"yyyy-mm")</f>
        <v/>
      </c>
    </row>
    <row r="211">
      <c r="A211" s="2" t="inlineStr">
        <is>
          <t>EJ010423.TXT</t>
        </is>
      </c>
      <c r="B211" s="3" t="inlineStr">
        <is>
          <t>004739</t>
        </is>
      </c>
      <c r="C211" s="3" t="inlineStr">
        <is>
          <t>003771</t>
        </is>
      </c>
      <c r="D211" s="4" t="n">
        <v>45001</v>
      </c>
      <c r="E211" s="2" t="inlineStr">
        <is>
          <t>18:12</t>
        </is>
      </c>
      <c r="F211" s="5" t="n">
        <v>274.17</v>
      </c>
      <c r="G211" s="5" t="n"/>
      <c r="H211" s="5" t="n"/>
      <c r="I211" s="5" t="n"/>
      <c r="J211" s="5" t="n">
        <v>54.83</v>
      </c>
      <c r="K211" s="5" t="n"/>
      <c r="L211" s="5" t="n"/>
      <c r="M211" s="5" t="n"/>
      <c r="N211" s="5" t="n"/>
      <c r="O211" s="5" t="n">
        <v>329</v>
      </c>
      <c r="P211" s="5" t="n">
        <v>329</v>
      </c>
      <c r="Q211" s="5" t="n"/>
      <c r="R211" s="5" t="n"/>
      <c r="S211" s="5">
        <f>SUM(F211:I211)+N211</f>
        <v/>
      </c>
      <c r="T211" s="5">
        <f>J211</f>
        <v/>
      </c>
      <c r="U211" s="6">
        <f>YEAR(D211)</f>
        <v/>
      </c>
      <c r="V211" s="5">
        <f>TEXT(D211,"yyyy-mm")</f>
        <v/>
      </c>
    </row>
    <row r="212">
      <c r="A212" s="2" t="inlineStr">
        <is>
          <t>EJ010423.TXT</t>
        </is>
      </c>
      <c r="B212" s="3" t="inlineStr">
        <is>
          <t>004740</t>
        </is>
      </c>
      <c r="C212" s="3" t="inlineStr">
        <is>
          <t>003772</t>
        </is>
      </c>
      <c r="D212" s="4" t="n">
        <v>45002</v>
      </c>
      <c r="E212" s="2" t="inlineStr">
        <is>
          <t>11:42</t>
        </is>
      </c>
      <c r="F212" s="5" t="n">
        <v>190.83</v>
      </c>
      <c r="G212" s="5" t="n"/>
      <c r="H212" s="5" t="n"/>
      <c r="I212" s="5" t="n"/>
      <c r="J212" s="5" t="n">
        <v>38.17</v>
      </c>
      <c r="K212" s="5" t="n"/>
      <c r="L212" s="5" t="n"/>
      <c r="M212" s="5" t="n"/>
      <c r="N212" s="5" t="n"/>
      <c r="O212" s="5" t="n">
        <v>229</v>
      </c>
      <c r="P212" s="5" t="n"/>
      <c r="Q212" s="5" t="n">
        <v>229</v>
      </c>
      <c r="R212" s="5" t="n"/>
      <c r="S212" s="5">
        <f>SUM(F212:I212)+N212</f>
        <v/>
      </c>
      <c r="T212" s="5">
        <f>J212</f>
        <v/>
      </c>
      <c r="U212" s="6">
        <f>YEAR(D212)</f>
        <v/>
      </c>
      <c r="V212" s="5">
        <f>TEXT(D212,"yyyy-mm")</f>
        <v/>
      </c>
    </row>
    <row r="213">
      <c r="A213" s="2" t="inlineStr">
        <is>
          <t>EJ010423.TXT</t>
        </is>
      </c>
      <c r="B213" s="3" t="inlineStr">
        <is>
          <t>004741</t>
        </is>
      </c>
      <c r="C213" s="3" t="inlineStr">
        <is>
          <t>003773</t>
        </is>
      </c>
      <c r="D213" s="4" t="n">
        <v>45003</v>
      </c>
      <c r="E213" s="2" t="inlineStr">
        <is>
          <t>15:04</t>
        </is>
      </c>
      <c r="F213" s="5" t="n">
        <v>822.5</v>
      </c>
      <c r="G213" s="5" t="n"/>
      <c r="H213" s="5" t="n"/>
      <c r="I213" s="5" t="n"/>
      <c r="J213" s="5" t="n">
        <v>164.5</v>
      </c>
      <c r="K213" s="5" t="n"/>
      <c r="L213" s="5" t="n"/>
      <c r="M213" s="5" t="n"/>
      <c r="N213" s="5" t="n"/>
      <c r="O213" s="5" t="n">
        <v>987</v>
      </c>
      <c r="P213" s="5" t="n"/>
      <c r="Q213" s="5" t="n">
        <v>987</v>
      </c>
      <c r="R213" s="5" t="n"/>
      <c r="S213" s="5">
        <f>SUM(F213:I213)+N213</f>
        <v/>
      </c>
      <c r="T213" s="5">
        <f>J213</f>
        <v/>
      </c>
      <c r="U213" s="6">
        <f>YEAR(D213)</f>
        <v/>
      </c>
      <c r="V213" s="5">
        <f>TEXT(D213,"yyyy-mm")</f>
        <v/>
      </c>
    </row>
    <row r="214">
      <c r="A214" s="2" t="inlineStr">
        <is>
          <t>EJ010423.TXT</t>
        </is>
      </c>
      <c r="B214" s="3" t="inlineStr">
        <is>
          <t>004742</t>
        </is>
      </c>
      <c r="C214" s="3" t="inlineStr">
        <is>
          <t>003774</t>
        </is>
      </c>
      <c r="D214" s="4" t="n">
        <v>45003</v>
      </c>
      <c r="E214" s="2" t="inlineStr">
        <is>
          <t>15:04</t>
        </is>
      </c>
      <c r="F214" s="5" t="n">
        <v>672.5</v>
      </c>
      <c r="G214" s="5" t="n"/>
      <c r="H214" s="5" t="n"/>
      <c r="I214" s="5" t="n"/>
      <c r="J214" s="5" t="n">
        <v>134.5</v>
      </c>
      <c r="K214" s="5" t="n"/>
      <c r="L214" s="5" t="n"/>
      <c r="M214" s="5" t="n"/>
      <c r="N214" s="5" t="n"/>
      <c r="O214" s="5" t="n">
        <v>807</v>
      </c>
      <c r="P214" s="5" t="n"/>
      <c r="Q214" s="5" t="n">
        <v>807</v>
      </c>
      <c r="R214" s="5" t="n"/>
      <c r="S214" s="5">
        <f>SUM(F214:I214)+N214</f>
        <v/>
      </c>
      <c r="T214" s="5">
        <f>J214</f>
        <v/>
      </c>
      <c r="U214" s="6">
        <f>YEAR(D214)</f>
        <v/>
      </c>
      <c r="V214" s="5">
        <f>TEXT(D214,"yyyy-mm")</f>
        <v/>
      </c>
    </row>
    <row r="215">
      <c r="A215" s="2" t="inlineStr">
        <is>
          <t>EJ010423.TXT</t>
        </is>
      </c>
      <c r="B215" s="3" t="inlineStr">
        <is>
          <t>004743</t>
        </is>
      </c>
      <c r="C215" s="3" t="inlineStr">
        <is>
          <t>003775</t>
        </is>
      </c>
      <c r="D215" s="4" t="n">
        <v>45003</v>
      </c>
      <c r="E215" s="2" t="inlineStr">
        <is>
          <t>15:05</t>
        </is>
      </c>
      <c r="F215" s="5" t="n">
        <v>747.5</v>
      </c>
      <c r="G215" s="5" t="n"/>
      <c r="H215" s="5" t="n"/>
      <c r="I215" s="5" t="n"/>
      <c r="J215" s="5" t="n">
        <v>149.5</v>
      </c>
      <c r="K215" s="5" t="n"/>
      <c r="L215" s="5" t="n"/>
      <c r="M215" s="5" t="n"/>
      <c r="N215" s="5" t="n"/>
      <c r="O215" s="5" t="n">
        <v>897</v>
      </c>
      <c r="P215" s="5" t="n"/>
      <c r="Q215" s="5" t="n">
        <v>897</v>
      </c>
      <c r="R215" s="5" t="n"/>
      <c r="S215" s="5">
        <f>SUM(F215:I215)+N215</f>
        <v/>
      </c>
      <c r="T215" s="5">
        <f>J215</f>
        <v/>
      </c>
      <c r="U215" s="6">
        <f>YEAR(D215)</f>
        <v/>
      </c>
      <c r="V215" s="5">
        <f>TEXT(D215,"yyyy-mm")</f>
        <v/>
      </c>
    </row>
    <row r="216">
      <c r="A216" s="2" t="inlineStr">
        <is>
          <t>EJ010423.TXT</t>
        </is>
      </c>
      <c r="B216" s="3" t="inlineStr">
        <is>
          <t>004744</t>
        </is>
      </c>
      <c r="C216" s="3" t="inlineStr">
        <is>
          <t>003776</t>
        </is>
      </c>
      <c r="D216" s="4" t="n">
        <v>45003</v>
      </c>
      <c r="E216" s="2" t="inlineStr">
        <is>
          <t>15:06</t>
        </is>
      </c>
      <c r="F216" s="5" t="n">
        <v>473.33</v>
      </c>
      <c r="G216" s="5" t="n"/>
      <c r="H216" s="5" t="n"/>
      <c r="I216" s="5" t="n"/>
      <c r="J216" s="5" t="n">
        <v>94.67</v>
      </c>
      <c r="K216" s="5" t="n"/>
      <c r="L216" s="5" t="n"/>
      <c r="M216" s="5" t="n"/>
      <c r="N216" s="5" t="n"/>
      <c r="O216" s="5" t="n">
        <v>568</v>
      </c>
      <c r="P216" s="5" t="n"/>
      <c r="Q216" s="5" t="n">
        <v>568</v>
      </c>
      <c r="R216" s="5" t="n"/>
      <c r="S216" s="5">
        <f>SUM(F216:I216)+N216</f>
        <v/>
      </c>
      <c r="T216" s="5">
        <f>J216</f>
        <v/>
      </c>
      <c r="U216" s="6">
        <f>YEAR(D216)</f>
        <v/>
      </c>
      <c r="V216" s="5">
        <f>TEXT(D216,"yyyy-mm")</f>
        <v/>
      </c>
    </row>
    <row r="217">
      <c r="A217" s="2" t="inlineStr">
        <is>
          <t>EJ010423.TXT</t>
        </is>
      </c>
      <c r="B217" s="3" t="inlineStr">
        <is>
          <t>004745</t>
        </is>
      </c>
      <c r="C217" s="3" t="inlineStr">
        <is>
          <t>003777</t>
        </is>
      </c>
      <c r="D217" s="4" t="n">
        <v>45003</v>
      </c>
      <c r="E217" s="2" t="inlineStr">
        <is>
          <t>15:07</t>
        </is>
      </c>
      <c r="F217" s="5" t="n">
        <v>274.17</v>
      </c>
      <c r="G217" s="5" t="n"/>
      <c r="H217" s="5" t="n"/>
      <c r="I217" s="5" t="n"/>
      <c r="J217" s="5" t="n">
        <v>54.83</v>
      </c>
      <c r="K217" s="5" t="n"/>
      <c r="L217" s="5" t="n"/>
      <c r="M217" s="5" t="n"/>
      <c r="N217" s="5" t="n"/>
      <c r="O217" s="5" t="n">
        <v>329</v>
      </c>
      <c r="P217" s="5" t="n"/>
      <c r="Q217" s="5" t="n">
        <v>329</v>
      </c>
      <c r="R217" s="5" t="n"/>
      <c r="S217" s="5">
        <f>SUM(F217:I217)+N217</f>
        <v/>
      </c>
      <c r="T217" s="5">
        <f>J217</f>
        <v/>
      </c>
      <c r="U217" s="6">
        <f>YEAR(D217)</f>
        <v/>
      </c>
      <c r="V217" s="5">
        <f>TEXT(D217,"yyyy-mm")</f>
        <v/>
      </c>
    </row>
    <row r="218">
      <c r="A218" s="2" t="inlineStr">
        <is>
          <t>EJ010423.TXT</t>
        </is>
      </c>
      <c r="B218" s="3" t="inlineStr">
        <is>
          <t>004746</t>
        </is>
      </c>
      <c r="C218" s="3" t="inlineStr">
        <is>
          <t>003778</t>
        </is>
      </c>
      <c r="D218" s="4" t="n">
        <v>45003</v>
      </c>
      <c r="E218" s="2" t="inlineStr">
        <is>
          <t>15:12</t>
        </is>
      </c>
      <c r="F218" s="5" t="n">
        <v>349.17</v>
      </c>
      <c r="G218" s="5" t="n"/>
      <c r="H218" s="5" t="n"/>
      <c r="I218" s="5" t="n"/>
      <c r="J218" s="5" t="n">
        <v>69.83</v>
      </c>
      <c r="K218" s="5" t="n"/>
      <c r="L218" s="5" t="n"/>
      <c r="M218" s="5" t="n"/>
      <c r="N218" s="5" t="n"/>
      <c r="O218" s="5" t="n">
        <v>419</v>
      </c>
      <c r="P218" s="5" t="n"/>
      <c r="Q218" s="5" t="n">
        <v>419</v>
      </c>
      <c r="R218" s="5" t="n"/>
      <c r="S218" s="5">
        <f>SUM(F218:I218)+N218</f>
        <v/>
      </c>
      <c r="T218" s="5">
        <f>J218</f>
        <v/>
      </c>
      <c r="U218" s="6">
        <f>YEAR(D218)</f>
        <v/>
      </c>
      <c r="V218" s="5">
        <f>TEXT(D218,"yyyy-mm")</f>
        <v/>
      </c>
    </row>
    <row r="219">
      <c r="A219" s="2" t="inlineStr">
        <is>
          <t>EJ010423.TXT</t>
        </is>
      </c>
      <c r="B219" s="3" t="inlineStr">
        <is>
          <t>004747</t>
        </is>
      </c>
      <c r="C219" s="3" t="inlineStr">
        <is>
          <t>003779</t>
        </is>
      </c>
      <c r="D219" s="4" t="n">
        <v>45003</v>
      </c>
      <c r="E219" s="2" t="inlineStr">
        <is>
          <t>15:15</t>
        </is>
      </c>
      <c r="F219" s="5" t="n">
        <v>208.33</v>
      </c>
      <c r="G219" s="5" t="n"/>
      <c r="H219" s="5" t="n"/>
      <c r="I219" s="5" t="n"/>
      <c r="J219" s="5" t="n">
        <v>41.67</v>
      </c>
      <c r="K219" s="5" t="n"/>
      <c r="L219" s="5" t="n"/>
      <c r="M219" s="5" t="n"/>
      <c r="N219" s="5" t="n"/>
      <c r="O219" s="5" t="n">
        <v>250</v>
      </c>
      <c r="P219" s="5" t="n"/>
      <c r="Q219" s="5" t="n">
        <v>250</v>
      </c>
      <c r="R219" s="5" t="n"/>
      <c r="S219" s="5">
        <f>SUM(F219:I219)+N219</f>
        <v/>
      </c>
      <c r="T219" s="5">
        <f>J219</f>
        <v/>
      </c>
      <c r="U219" s="6">
        <f>YEAR(D219)</f>
        <v/>
      </c>
      <c r="V219" s="5">
        <f>TEXT(D219,"yyyy-mm")</f>
        <v/>
      </c>
    </row>
    <row r="220">
      <c r="A220" s="2" t="inlineStr">
        <is>
          <t>EJ010423.TXT</t>
        </is>
      </c>
      <c r="B220" s="3" t="inlineStr">
        <is>
          <t>004748</t>
        </is>
      </c>
      <c r="C220" s="3" t="inlineStr">
        <is>
          <t>003780</t>
        </is>
      </c>
      <c r="D220" s="4" t="n">
        <v>45003</v>
      </c>
      <c r="E220" s="2" t="inlineStr">
        <is>
          <t>17:15</t>
        </is>
      </c>
      <c r="F220" s="5" t="n">
        <v>548.33</v>
      </c>
      <c r="G220" s="5" t="n"/>
      <c r="H220" s="5" t="n"/>
      <c r="I220" s="5" t="n"/>
      <c r="J220" s="5" t="n">
        <v>109.67</v>
      </c>
      <c r="K220" s="5" t="n"/>
      <c r="L220" s="5" t="n"/>
      <c r="M220" s="5" t="n"/>
      <c r="N220" s="5" t="n"/>
      <c r="O220" s="5" t="n">
        <v>658</v>
      </c>
      <c r="P220" s="5" t="n">
        <v>658</v>
      </c>
      <c r="Q220" s="5" t="n"/>
      <c r="R220" s="5" t="n"/>
      <c r="S220" s="5">
        <f>SUM(F220:I220)+N220</f>
        <v/>
      </c>
      <c r="T220" s="5">
        <f>J220</f>
        <v/>
      </c>
      <c r="U220" s="6">
        <f>YEAR(D220)</f>
        <v/>
      </c>
      <c r="V220" s="5">
        <f>TEXT(D220,"yyyy-mm")</f>
        <v/>
      </c>
    </row>
    <row r="221">
      <c r="A221" s="2" t="inlineStr">
        <is>
          <t>EJ010423.TXT</t>
        </is>
      </c>
      <c r="B221" s="3" t="inlineStr">
        <is>
          <t>004749</t>
        </is>
      </c>
      <c r="C221" s="3" t="inlineStr">
        <is>
          <t>003781</t>
        </is>
      </c>
      <c r="D221" s="4" t="n">
        <v>45003</v>
      </c>
      <c r="E221" s="2" t="inlineStr">
        <is>
          <t>18:23</t>
        </is>
      </c>
      <c r="F221" s="5" t="n">
        <v>73.33</v>
      </c>
      <c r="G221" s="5" t="n"/>
      <c r="H221" s="5" t="n"/>
      <c r="I221" s="5" t="n"/>
      <c r="J221" s="5" t="n">
        <v>14.67</v>
      </c>
      <c r="K221" s="5" t="n"/>
      <c r="L221" s="5" t="n"/>
      <c r="M221" s="5" t="n"/>
      <c r="N221" s="5" t="n"/>
      <c r="O221" s="5" t="n">
        <v>88</v>
      </c>
      <c r="P221" s="5" t="n">
        <v>88</v>
      </c>
      <c r="Q221" s="5" t="n"/>
      <c r="R221" s="5" t="n"/>
      <c r="S221" s="5">
        <f>SUM(F221:I221)+N221</f>
        <v/>
      </c>
      <c r="T221" s="5">
        <f>J221</f>
        <v/>
      </c>
      <c r="U221" s="6">
        <f>YEAR(D221)</f>
        <v/>
      </c>
      <c r="V221" s="5">
        <f>TEXT(D221,"yyyy-mm")</f>
        <v/>
      </c>
    </row>
    <row r="222">
      <c r="A222" s="2" t="inlineStr">
        <is>
          <t>EJ010423.TXT</t>
        </is>
      </c>
      <c r="B222" s="3" t="inlineStr">
        <is>
          <t>004750</t>
        </is>
      </c>
      <c r="C222" s="3" t="inlineStr">
        <is>
          <t>003782</t>
        </is>
      </c>
      <c r="D222" s="4" t="n">
        <v>45005</v>
      </c>
      <c r="E222" s="2" t="inlineStr">
        <is>
          <t>15:26</t>
        </is>
      </c>
      <c r="F222" s="5" t="n">
        <v>666.67</v>
      </c>
      <c r="G222" s="5" t="n"/>
      <c r="H222" s="5" t="n"/>
      <c r="I222" s="5" t="n"/>
      <c r="J222" s="5" t="n">
        <v>133.33</v>
      </c>
      <c r="K222" s="5" t="n"/>
      <c r="L222" s="5" t="n"/>
      <c r="M222" s="5" t="n"/>
      <c r="N222" s="5" t="n"/>
      <c r="O222" s="5" t="n">
        <v>800</v>
      </c>
      <c r="P222" s="5" t="n"/>
      <c r="Q222" s="5" t="n">
        <v>800</v>
      </c>
      <c r="R222" s="5" t="n"/>
      <c r="S222" s="5">
        <f>SUM(F222:I222)+N222</f>
        <v/>
      </c>
      <c r="T222" s="5">
        <f>J222</f>
        <v/>
      </c>
      <c r="U222" s="6">
        <f>YEAR(D222)</f>
        <v/>
      </c>
      <c r="V222" s="5">
        <f>TEXT(D222,"yyyy-mm")</f>
        <v/>
      </c>
    </row>
    <row r="223">
      <c r="A223" s="2" t="inlineStr">
        <is>
          <t>EJ010423.TXT</t>
        </is>
      </c>
      <c r="B223" s="3" t="inlineStr">
        <is>
          <t>004751</t>
        </is>
      </c>
      <c r="C223" s="3" t="inlineStr">
        <is>
          <t>003783</t>
        </is>
      </c>
      <c r="D223" s="4" t="n">
        <v>45005</v>
      </c>
      <c r="E223" s="2" t="inlineStr">
        <is>
          <t>15:33</t>
        </is>
      </c>
      <c r="F223" s="5" t="n">
        <v>166.67</v>
      </c>
      <c r="G223" s="5" t="n"/>
      <c r="H223" s="5" t="n"/>
      <c r="I223" s="5" t="n"/>
      <c r="J223" s="5" t="n">
        <v>33.33</v>
      </c>
      <c r="K223" s="5" t="n"/>
      <c r="L223" s="5" t="n"/>
      <c r="M223" s="5" t="n"/>
      <c r="N223" s="5" t="n"/>
      <c r="O223" s="5" t="n">
        <v>200</v>
      </c>
      <c r="P223" s="5" t="n"/>
      <c r="Q223" s="5" t="n">
        <v>200</v>
      </c>
      <c r="R223" s="5" t="n"/>
      <c r="S223" s="5">
        <f>SUM(F223:I223)+N223</f>
        <v/>
      </c>
      <c r="T223" s="5">
        <f>J223</f>
        <v/>
      </c>
      <c r="U223" s="6">
        <f>YEAR(D223)</f>
        <v/>
      </c>
      <c r="V223" s="5">
        <f>TEXT(D223,"yyyy-mm")</f>
        <v/>
      </c>
    </row>
    <row r="224">
      <c r="A224" s="2" t="inlineStr">
        <is>
          <t>EJ010423.TXT</t>
        </is>
      </c>
      <c r="B224" s="3" t="inlineStr">
        <is>
          <t>004752</t>
        </is>
      </c>
      <c r="C224" s="3" t="inlineStr">
        <is>
          <t>003784</t>
        </is>
      </c>
      <c r="D224" s="4" t="n">
        <v>45005</v>
      </c>
      <c r="E224" s="2" t="inlineStr">
        <is>
          <t>15:34</t>
        </is>
      </c>
      <c r="F224" s="5" t="n">
        <v>233.33</v>
      </c>
      <c r="G224" s="5" t="n"/>
      <c r="H224" s="5" t="n"/>
      <c r="I224" s="5" t="n"/>
      <c r="J224" s="5" t="n">
        <v>46.67</v>
      </c>
      <c r="K224" s="5" t="n"/>
      <c r="L224" s="5" t="n"/>
      <c r="M224" s="5" t="n"/>
      <c r="N224" s="5" t="n"/>
      <c r="O224" s="5" t="n">
        <v>280</v>
      </c>
      <c r="P224" s="5" t="n"/>
      <c r="Q224" s="5" t="n">
        <v>280</v>
      </c>
      <c r="R224" s="5" t="n"/>
      <c r="S224" s="5">
        <f>SUM(F224:I224)+N224</f>
        <v/>
      </c>
      <c r="T224" s="5">
        <f>J224</f>
        <v/>
      </c>
      <c r="U224" s="6">
        <f>YEAR(D224)</f>
        <v/>
      </c>
      <c r="V224" s="5">
        <f>TEXT(D224,"yyyy-mm")</f>
        <v/>
      </c>
    </row>
    <row r="225">
      <c r="A225" s="2" t="inlineStr">
        <is>
          <t>EJ010423.TXT</t>
        </is>
      </c>
      <c r="B225" s="3" t="inlineStr">
        <is>
          <t>004753</t>
        </is>
      </c>
      <c r="C225" s="3" t="inlineStr">
        <is>
          <t>003785</t>
        </is>
      </c>
      <c r="D225" s="4" t="n">
        <v>45006</v>
      </c>
      <c r="E225" s="2" t="inlineStr">
        <is>
          <t>16:56</t>
        </is>
      </c>
      <c r="F225" s="5" t="n">
        <v>381.67</v>
      </c>
      <c r="G225" s="5" t="n"/>
      <c r="H225" s="5" t="n"/>
      <c r="I225" s="5" t="n"/>
      <c r="J225" s="5" t="n">
        <v>76.33</v>
      </c>
      <c r="K225" s="5" t="n"/>
      <c r="L225" s="5" t="n"/>
      <c r="M225" s="5" t="n"/>
      <c r="N225" s="5" t="n"/>
      <c r="O225" s="5" t="n">
        <v>458</v>
      </c>
      <c r="P225" s="5" t="n"/>
      <c r="Q225" s="5" t="n">
        <v>458</v>
      </c>
      <c r="R225" s="5" t="n"/>
      <c r="S225" s="5">
        <f>SUM(F225:I225)+N225</f>
        <v/>
      </c>
      <c r="T225" s="5">
        <f>J225</f>
        <v/>
      </c>
      <c r="U225" s="6">
        <f>YEAR(D225)</f>
        <v/>
      </c>
      <c r="V225" s="5">
        <f>TEXT(D225,"yyyy-mm")</f>
        <v/>
      </c>
    </row>
    <row r="226">
      <c r="A226" s="2" t="inlineStr">
        <is>
          <t>EJ010423.TXT</t>
        </is>
      </c>
      <c r="B226" s="3" t="inlineStr">
        <is>
          <t>004754</t>
        </is>
      </c>
      <c r="C226" s="3" t="inlineStr">
        <is>
          <t>003786</t>
        </is>
      </c>
      <c r="D226" s="4" t="n">
        <v>45006</v>
      </c>
      <c r="E226" s="2" t="inlineStr">
        <is>
          <t>17:32</t>
        </is>
      </c>
      <c r="F226" s="5" t="n">
        <v>822.5</v>
      </c>
      <c r="G226" s="5" t="n"/>
      <c r="H226" s="5" t="n"/>
      <c r="I226" s="5" t="n"/>
      <c r="J226" s="5" t="n">
        <v>164.5</v>
      </c>
      <c r="K226" s="5" t="n"/>
      <c r="L226" s="5" t="n"/>
      <c r="M226" s="5" t="n"/>
      <c r="N226" s="5" t="n"/>
      <c r="O226" s="5" t="n">
        <v>987</v>
      </c>
      <c r="P226" s="5" t="n"/>
      <c r="Q226" s="5" t="n">
        <v>987</v>
      </c>
      <c r="R226" s="5" t="n"/>
      <c r="S226" s="5">
        <f>SUM(F226:I226)+N226</f>
        <v/>
      </c>
      <c r="T226" s="5">
        <f>J226</f>
        <v/>
      </c>
      <c r="U226" s="6">
        <f>YEAR(D226)</f>
        <v/>
      </c>
      <c r="V226" s="5">
        <f>TEXT(D226,"yyyy-mm")</f>
        <v/>
      </c>
    </row>
    <row r="227">
      <c r="A227" s="2" t="inlineStr">
        <is>
          <t>EJ010423.TXT</t>
        </is>
      </c>
      <c r="B227" s="3" t="inlineStr">
        <is>
          <t>004755</t>
        </is>
      </c>
      <c r="C227" s="3" t="inlineStr">
        <is>
          <t>003787</t>
        </is>
      </c>
      <c r="D227" s="4" t="n">
        <v>45007</v>
      </c>
      <c r="E227" s="2" t="inlineStr">
        <is>
          <t>12:24</t>
        </is>
      </c>
      <c r="F227" s="5" t="n">
        <v>208.33</v>
      </c>
      <c r="G227" s="5" t="n"/>
      <c r="H227" s="5" t="n"/>
      <c r="I227" s="5" t="n"/>
      <c r="J227" s="5" t="n">
        <v>41.67</v>
      </c>
      <c r="K227" s="5" t="n"/>
      <c r="L227" s="5" t="n"/>
      <c r="M227" s="5" t="n"/>
      <c r="N227" s="5" t="n"/>
      <c r="O227" s="5" t="n">
        <v>250</v>
      </c>
      <c r="P227" s="5" t="n"/>
      <c r="Q227" s="5" t="n">
        <v>250</v>
      </c>
      <c r="R227" s="5" t="n"/>
      <c r="S227" s="5">
        <f>SUM(F227:I227)+N227</f>
        <v/>
      </c>
      <c r="T227" s="5">
        <f>J227</f>
        <v/>
      </c>
      <c r="U227" s="6">
        <f>YEAR(D227)</f>
        <v/>
      </c>
      <c r="V227" s="5">
        <f>TEXT(D227,"yyyy-mm")</f>
        <v/>
      </c>
    </row>
    <row r="228">
      <c r="A228" s="2" t="inlineStr">
        <is>
          <t>EJ010423.TXT</t>
        </is>
      </c>
      <c r="B228" s="3" t="inlineStr">
        <is>
          <t>004756</t>
        </is>
      </c>
      <c r="C228" s="3" t="inlineStr">
        <is>
          <t>003788</t>
        </is>
      </c>
      <c r="D228" s="4" t="n">
        <v>45009</v>
      </c>
      <c r="E228" s="2" t="inlineStr">
        <is>
          <t>10:49</t>
        </is>
      </c>
      <c r="F228" s="5" t="n">
        <v>548.33</v>
      </c>
      <c r="G228" s="5" t="n"/>
      <c r="H228" s="5" t="n"/>
      <c r="I228" s="5" t="n"/>
      <c r="J228" s="5" t="n">
        <v>109.67</v>
      </c>
      <c r="K228" s="5" t="n"/>
      <c r="L228" s="5" t="n"/>
      <c r="M228" s="5" t="n"/>
      <c r="N228" s="5" t="n"/>
      <c r="O228" s="5" t="n">
        <v>658</v>
      </c>
      <c r="P228" s="5" t="n">
        <v>658</v>
      </c>
      <c r="Q228" s="5" t="n"/>
      <c r="R228" s="5" t="n"/>
      <c r="S228" s="5">
        <f>SUM(F228:I228)+N228</f>
        <v/>
      </c>
      <c r="T228" s="5">
        <f>J228</f>
        <v/>
      </c>
      <c r="U228" s="6">
        <f>YEAR(D228)</f>
        <v/>
      </c>
      <c r="V228" s="5">
        <f>TEXT(D228,"yyyy-mm")</f>
        <v/>
      </c>
    </row>
    <row r="229">
      <c r="A229" s="2" t="inlineStr">
        <is>
          <t>EJ010423.TXT</t>
        </is>
      </c>
      <c r="B229" s="3" t="inlineStr">
        <is>
          <t>004757</t>
        </is>
      </c>
      <c r="C229" s="3" t="inlineStr">
        <is>
          <t>003789</t>
        </is>
      </c>
      <c r="D229" s="4" t="n">
        <v>45009</v>
      </c>
      <c r="E229" s="2" t="inlineStr">
        <is>
          <t>18:19</t>
        </is>
      </c>
      <c r="F229" s="5" t="n">
        <v>208.33</v>
      </c>
      <c r="G229" s="5" t="n"/>
      <c r="H229" s="5" t="n"/>
      <c r="I229" s="5" t="n"/>
      <c r="J229" s="5" t="n">
        <v>41.67</v>
      </c>
      <c r="K229" s="5" t="n"/>
      <c r="L229" s="5" t="n"/>
      <c r="M229" s="5" t="n"/>
      <c r="N229" s="5" t="n"/>
      <c r="O229" s="5" t="n">
        <v>250</v>
      </c>
      <c r="P229" s="5" t="n"/>
      <c r="Q229" s="5" t="n">
        <v>250</v>
      </c>
      <c r="R229" s="5" t="n"/>
      <c r="S229" s="5">
        <f>SUM(F229:I229)+N229</f>
        <v/>
      </c>
      <c r="T229" s="5">
        <f>J229</f>
        <v/>
      </c>
      <c r="U229" s="6">
        <f>YEAR(D229)</f>
        <v/>
      </c>
      <c r="V229" s="5">
        <f>TEXT(D229,"yyyy-mm")</f>
        <v/>
      </c>
    </row>
    <row r="230">
      <c r="A230" s="2" t="inlineStr">
        <is>
          <t>EJ010423.TXT</t>
        </is>
      </c>
      <c r="B230" s="3" t="inlineStr">
        <is>
          <t>004758</t>
        </is>
      </c>
      <c r="C230" s="3" t="inlineStr">
        <is>
          <t>003790</t>
        </is>
      </c>
      <c r="D230" s="4" t="n">
        <v>45010</v>
      </c>
      <c r="E230" s="2" t="inlineStr">
        <is>
          <t>17:45</t>
        </is>
      </c>
      <c r="F230" s="5" t="n">
        <v>621.67</v>
      </c>
      <c r="G230" s="5" t="n"/>
      <c r="H230" s="5" t="n"/>
      <c r="I230" s="5" t="n"/>
      <c r="J230" s="5" t="n">
        <v>124.33</v>
      </c>
      <c r="K230" s="5" t="n"/>
      <c r="L230" s="5" t="n"/>
      <c r="M230" s="5" t="n"/>
      <c r="N230" s="5" t="n"/>
      <c r="O230" s="5" t="n">
        <v>746</v>
      </c>
      <c r="P230" s="5" t="n">
        <v>746</v>
      </c>
      <c r="Q230" s="5" t="n"/>
      <c r="R230" s="5" t="n"/>
      <c r="S230" s="5">
        <f>SUM(F230:I230)+N230</f>
        <v/>
      </c>
      <c r="T230" s="5">
        <f>J230</f>
        <v/>
      </c>
      <c r="U230" s="6">
        <f>YEAR(D230)</f>
        <v/>
      </c>
      <c r="V230" s="5">
        <f>TEXT(D230,"yyyy-mm")</f>
        <v/>
      </c>
    </row>
    <row r="231">
      <c r="A231" s="2" t="inlineStr">
        <is>
          <t>EJ010423.TXT</t>
        </is>
      </c>
      <c r="B231" s="3" t="inlineStr">
        <is>
          <t>004759</t>
        </is>
      </c>
      <c r="C231" s="3" t="inlineStr">
        <is>
          <t>003791</t>
        </is>
      </c>
      <c r="D231" s="4" t="n">
        <v>45012</v>
      </c>
      <c r="E231" s="2" t="inlineStr">
        <is>
          <t>10:05</t>
        </is>
      </c>
      <c r="F231" s="5" t="n">
        <v>531.67</v>
      </c>
      <c r="G231" s="5" t="n"/>
      <c r="H231" s="5" t="n"/>
      <c r="I231" s="5" t="n"/>
      <c r="J231" s="5" t="n">
        <v>106.33</v>
      </c>
      <c r="K231" s="5" t="n"/>
      <c r="L231" s="5" t="n"/>
      <c r="M231" s="5" t="n"/>
      <c r="N231" s="5" t="n"/>
      <c r="O231" s="5" t="n">
        <v>638</v>
      </c>
      <c r="P231" s="5" t="n">
        <v>638</v>
      </c>
      <c r="Q231" s="5" t="n"/>
      <c r="R231" s="5" t="n"/>
      <c r="S231" s="5">
        <f>SUM(F231:I231)+N231</f>
        <v/>
      </c>
      <c r="T231" s="5">
        <f>J231</f>
        <v/>
      </c>
      <c r="U231" s="6">
        <f>YEAR(D231)</f>
        <v/>
      </c>
      <c r="V231" s="5">
        <f>TEXT(D231,"yyyy-mm")</f>
        <v/>
      </c>
    </row>
    <row r="232">
      <c r="A232" s="2" t="inlineStr">
        <is>
          <t>EJ010423.TXT</t>
        </is>
      </c>
      <c r="B232" s="3" t="inlineStr">
        <is>
          <t>004760</t>
        </is>
      </c>
      <c r="C232" s="3" t="inlineStr">
        <is>
          <t>003792</t>
        </is>
      </c>
      <c r="D232" s="4" t="n">
        <v>45012</v>
      </c>
      <c r="E232" s="2" t="inlineStr">
        <is>
          <t>14:37</t>
        </is>
      </c>
      <c r="F232" s="5" t="n">
        <v>548.33</v>
      </c>
      <c r="G232" s="5" t="n"/>
      <c r="H232" s="5" t="n"/>
      <c r="I232" s="5" t="n"/>
      <c r="J232" s="5" t="n">
        <v>109.67</v>
      </c>
      <c r="K232" s="5" t="n"/>
      <c r="L232" s="5" t="n"/>
      <c r="M232" s="5" t="n"/>
      <c r="N232" s="5" t="n"/>
      <c r="O232" s="5" t="n">
        <v>658</v>
      </c>
      <c r="P232" s="5" t="n">
        <v>658</v>
      </c>
      <c r="Q232" s="5" t="n"/>
      <c r="R232" s="5" t="n"/>
      <c r="S232" s="5">
        <f>SUM(F232:I232)+N232</f>
        <v/>
      </c>
      <c r="T232" s="5">
        <f>J232</f>
        <v/>
      </c>
      <c r="U232" s="6">
        <f>YEAR(D232)</f>
        <v/>
      </c>
      <c r="V232" s="5">
        <f>TEXT(D232,"yyyy-mm")</f>
        <v/>
      </c>
    </row>
    <row r="233">
      <c r="A233" s="2" t="inlineStr">
        <is>
          <t>EJ010423.TXT</t>
        </is>
      </c>
      <c r="B233" s="3" t="inlineStr">
        <is>
          <t>004761</t>
        </is>
      </c>
      <c r="C233" s="3" t="inlineStr">
        <is>
          <t>003793</t>
        </is>
      </c>
      <c r="D233" s="4" t="n">
        <v>45012</v>
      </c>
      <c r="E233" s="2" t="inlineStr">
        <is>
          <t>14:57</t>
        </is>
      </c>
      <c r="F233" s="5" t="n">
        <v>274.17</v>
      </c>
      <c r="G233" s="5" t="n"/>
      <c r="H233" s="5" t="n"/>
      <c r="I233" s="5" t="n"/>
      <c r="J233" s="5" t="n">
        <v>54.83</v>
      </c>
      <c r="K233" s="5" t="n"/>
      <c r="L233" s="5" t="n"/>
      <c r="M233" s="5" t="n"/>
      <c r="N233" s="5" t="n"/>
      <c r="O233" s="5" t="n">
        <v>329</v>
      </c>
      <c r="P233" s="5" t="n"/>
      <c r="Q233" s="5" t="n">
        <v>329</v>
      </c>
      <c r="R233" s="5" t="n"/>
      <c r="S233" s="5">
        <f>SUM(F233:I233)+N233</f>
        <v/>
      </c>
      <c r="T233" s="5">
        <f>J233</f>
        <v/>
      </c>
      <c r="U233" s="6">
        <f>YEAR(D233)</f>
        <v/>
      </c>
      <c r="V233" s="5">
        <f>TEXT(D233,"yyyy-mm")</f>
        <v/>
      </c>
    </row>
    <row r="234">
      <c r="A234" s="2" t="inlineStr">
        <is>
          <t>EJ010423.TXT</t>
        </is>
      </c>
      <c r="B234" s="3" t="inlineStr">
        <is>
          <t>004762</t>
        </is>
      </c>
      <c r="C234" s="3" t="inlineStr">
        <is>
          <t>003794</t>
        </is>
      </c>
      <c r="D234" s="4" t="n">
        <v>45013</v>
      </c>
      <c r="E234" s="2" t="inlineStr">
        <is>
          <t>09:09</t>
        </is>
      </c>
      <c r="F234" s="5" t="n">
        <v>822.5</v>
      </c>
      <c r="G234" s="5" t="n"/>
      <c r="H234" s="5" t="n"/>
      <c r="I234" s="5" t="n"/>
      <c r="J234" s="5" t="n">
        <v>164.5</v>
      </c>
      <c r="K234" s="5" t="n"/>
      <c r="L234" s="5" t="n"/>
      <c r="M234" s="5" t="n"/>
      <c r="N234" s="5" t="n"/>
      <c r="O234" s="5" t="n">
        <v>987</v>
      </c>
      <c r="P234" s="5" t="n"/>
      <c r="Q234" s="5" t="n">
        <v>987</v>
      </c>
      <c r="R234" s="5" t="n"/>
      <c r="S234" s="5">
        <f>SUM(F234:I234)+N234</f>
        <v/>
      </c>
      <c r="T234" s="5">
        <f>J234</f>
        <v/>
      </c>
      <c r="U234" s="6">
        <f>YEAR(D234)</f>
        <v/>
      </c>
      <c r="V234" s="5">
        <f>TEXT(D234,"yyyy-mm")</f>
        <v/>
      </c>
    </row>
    <row r="235">
      <c r="A235" s="2" t="inlineStr">
        <is>
          <t>EJ010423.TXT</t>
        </is>
      </c>
      <c r="B235" s="3" t="inlineStr">
        <is>
          <t>004763</t>
        </is>
      </c>
      <c r="C235" s="3" t="inlineStr">
        <is>
          <t>003795</t>
        </is>
      </c>
      <c r="D235" s="4" t="n">
        <v>45013</v>
      </c>
      <c r="E235" s="2" t="inlineStr">
        <is>
          <t>12:12</t>
        </is>
      </c>
      <c r="F235" s="5" t="n">
        <v>797.5</v>
      </c>
      <c r="G235" s="5" t="n"/>
      <c r="H235" s="5" t="n"/>
      <c r="I235" s="5" t="n"/>
      <c r="J235" s="5" t="n">
        <v>159.5</v>
      </c>
      <c r="K235" s="5" t="n"/>
      <c r="L235" s="5" t="n"/>
      <c r="M235" s="5" t="n"/>
      <c r="N235" s="5" t="n"/>
      <c r="O235" s="5" t="n">
        <v>957</v>
      </c>
      <c r="P235" s="5" t="n"/>
      <c r="Q235" s="5" t="n">
        <v>957</v>
      </c>
      <c r="R235" s="5" t="n"/>
      <c r="S235" s="5">
        <f>SUM(F235:I235)+N235</f>
        <v/>
      </c>
      <c r="T235" s="5">
        <f>J235</f>
        <v/>
      </c>
      <c r="U235" s="6">
        <f>YEAR(D235)</f>
        <v/>
      </c>
      <c r="V235" s="5">
        <f>TEXT(D235,"yyyy-mm")</f>
        <v/>
      </c>
    </row>
    <row r="236">
      <c r="A236" s="2" t="inlineStr">
        <is>
          <t>EJ010423.TXT</t>
        </is>
      </c>
      <c r="B236" s="3" t="inlineStr">
        <is>
          <t>004764</t>
        </is>
      </c>
      <c r="C236" s="3" t="inlineStr">
        <is>
          <t>003796</t>
        </is>
      </c>
      <c r="D236" s="4" t="n">
        <v>45013</v>
      </c>
      <c r="E236" s="2" t="inlineStr">
        <is>
          <t>12:13</t>
        </is>
      </c>
      <c r="F236" s="5" t="n">
        <v>797.5</v>
      </c>
      <c r="G236" s="5" t="n"/>
      <c r="H236" s="5" t="n"/>
      <c r="I236" s="5" t="n"/>
      <c r="J236" s="5" t="n">
        <v>159.5</v>
      </c>
      <c r="K236" s="5" t="n"/>
      <c r="L236" s="5" t="n"/>
      <c r="M236" s="5" t="n"/>
      <c r="N236" s="5" t="n"/>
      <c r="O236" s="5" t="n">
        <v>957</v>
      </c>
      <c r="P236" s="5" t="n"/>
      <c r="Q236" s="5" t="n">
        <v>957</v>
      </c>
      <c r="R236" s="5" t="n"/>
      <c r="S236" s="5">
        <f>SUM(F236:I236)+N236</f>
        <v/>
      </c>
      <c r="T236" s="5">
        <f>J236</f>
        <v/>
      </c>
      <c r="U236" s="6">
        <f>YEAR(D236)</f>
        <v/>
      </c>
      <c r="V236" s="5">
        <f>TEXT(D236,"yyyy-mm")</f>
        <v/>
      </c>
    </row>
    <row r="237">
      <c r="A237" s="2" t="inlineStr">
        <is>
          <t>EJ010423.TXT</t>
        </is>
      </c>
      <c r="B237" s="3" t="inlineStr">
        <is>
          <t>004765</t>
        </is>
      </c>
      <c r="C237" s="3" t="inlineStr">
        <is>
          <t>003797</t>
        </is>
      </c>
      <c r="D237" s="4" t="n">
        <v>45014</v>
      </c>
      <c r="E237" s="2" t="inlineStr">
        <is>
          <t>10:57</t>
        </is>
      </c>
      <c r="F237" s="5" t="n">
        <v>175</v>
      </c>
      <c r="G237" s="5" t="n"/>
      <c r="H237" s="5" t="n"/>
      <c r="I237" s="5" t="n"/>
      <c r="J237" s="5" t="n">
        <v>35</v>
      </c>
      <c r="K237" s="5" t="n"/>
      <c r="L237" s="5" t="n"/>
      <c r="M237" s="5" t="n"/>
      <c r="N237" s="5" t="n"/>
      <c r="O237" s="5" t="n">
        <v>210</v>
      </c>
      <c r="P237" s="5" t="n">
        <v>210</v>
      </c>
      <c r="Q237" s="5" t="n"/>
      <c r="R237" s="5" t="n"/>
      <c r="S237" s="5">
        <f>SUM(F237:I237)+N237</f>
        <v/>
      </c>
      <c r="T237" s="5">
        <f>J237</f>
        <v/>
      </c>
      <c r="U237" s="6">
        <f>YEAR(D237)</f>
        <v/>
      </c>
      <c r="V237" s="5">
        <f>TEXT(D237,"yyyy-mm")</f>
        <v/>
      </c>
    </row>
    <row r="238">
      <c r="A238" s="2" t="inlineStr">
        <is>
          <t>EJ010423.TXT</t>
        </is>
      </c>
      <c r="B238" s="3" t="inlineStr">
        <is>
          <t>004766</t>
        </is>
      </c>
      <c r="C238" s="3" t="inlineStr">
        <is>
          <t>003798</t>
        </is>
      </c>
      <c r="D238" s="4" t="n">
        <v>45014</v>
      </c>
      <c r="E238" s="2" t="inlineStr">
        <is>
          <t>13:58</t>
        </is>
      </c>
      <c r="F238" s="5" t="n">
        <v>274.17</v>
      </c>
      <c r="G238" s="5" t="n"/>
      <c r="H238" s="5" t="n"/>
      <c r="I238" s="5" t="n"/>
      <c r="J238" s="5" t="n">
        <v>54.83</v>
      </c>
      <c r="K238" s="5" t="n"/>
      <c r="L238" s="5" t="n"/>
      <c r="M238" s="5" t="n"/>
      <c r="N238" s="5" t="n"/>
      <c r="O238" s="5" t="n">
        <v>329</v>
      </c>
      <c r="P238" s="5" t="n">
        <v>329</v>
      </c>
      <c r="Q238" s="5" t="n"/>
      <c r="R238" s="5" t="n"/>
      <c r="S238" s="5">
        <f>SUM(F238:I238)+N238</f>
        <v/>
      </c>
      <c r="T238" s="5">
        <f>J238</f>
        <v/>
      </c>
      <c r="U238" s="6">
        <f>YEAR(D238)</f>
        <v/>
      </c>
      <c r="V238" s="5">
        <f>TEXT(D238,"yyyy-mm")</f>
        <v/>
      </c>
    </row>
    <row r="239">
      <c r="A239" s="2" t="inlineStr">
        <is>
          <t>EJ010423.TXT</t>
        </is>
      </c>
      <c r="B239" s="3" t="inlineStr">
        <is>
          <t>004767</t>
        </is>
      </c>
      <c r="C239" s="3" t="inlineStr">
        <is>
          <t>003799</t>
        </is>
      </c>
      <c r="D239" s="4" t="n">
        <v>45014</v>
      </c>
      <c r="E239" s="2" t="inlineStr">
        <is>
          <t>14:16</t>
        </is>
      </c>
      <c r="F239" s="5" t="n">
        <v>822.5</v>
      </c>
      <c r="G239" s="5" t="n"/>
      <c r="H239" s="5" t="n"/>
      <c r="I239" s="5" t="n"/>
      <c r="J239" s="5" t="n">
        <v>164.5</v>
      </c>
      <c r="K239" s="5" t="n"/>
      <c r="L239" s="5" t="n"/>
      <c r="M239" s="5" t="n"/>
      <c r="N239" s="5" t="n"/>
      <c r="O239" s="5" t="n">
        <v>987</v>
      </c>
      <c r="P239" s="5" t="n"/>
      <c r="Q239" s="5" t="n">
        <v>987</v>
      </c>
      <c r="R239" s="5" t="n"/>
      <c r="S239" s="5">
        <f>SUM(F239:I239)+N239</f>
        <v/>
      </c>
      <c r="T239" s="5">
        <f>J239</f>
        <v/>
      </c>
      <c r="U239" s="6">
        <f>YEAR(D239)</f>
        <v/>
      </c>
      <c r="V239" s="5">
        <f>TEXT(D239,"yyyy-mm")</f>
        <v/>
      </c>
    </row>
    <row r="240">
      <c r="A240" s="2" t="inlineStr">
        <is>
          <t>EJ010423.TXT</t>
        </is>
      </c>
      <c r="B240" s="3" t="inlineStr">
        <is>
          <t>004768</t>
        </is>
      </c>
      <c r="C240" s="3" t="inlineStr">
        <is>
          <t>003800</t>
        </is>
      </c>
      <c r="D240" s="4" t="n">
        <v>45014</v>
      </c>
      <c r="E240" s="2" t="inlineStr">
        <is>
          <t>14:23</t>
        </is>
      </c>
      <c r="F240" s="5" t="n">
        <v>797.5</v>
      </c>
      <c r="G240" s="5" t="n"/>
      <c r="H240" s="5" t="n"/>
      <c r="I240" s="5" t="n"/>
      <c r="J240" s="5" t="n">
        <v>159.5</v>
      </c>
      <c r="K240" s="5" t="n"/>
      <c r="L240" s="5" t="n"/>
      <c r="M240" s="5" t="n"/>
      <c r="N240" s="5" t="n"/>
      <c r="O240" s="5" t="n">
        <v>957</v>
      </c>
      <c r="P240" s="5" t="n"/>
      <c r="Q240" s="5" t="n">
        <v>957</v>
      </c>
      <c r="R240" s="5" t="n"/>
      <c r="S240" s="5">
        <f>SUM(F240:I240)+N240</f>
        <v/>
      </c>
      <c r="T240" s="5">
        <f>J240</f>
        <v/>
      </c>
      <c r="U240" s="6">
        <f>YEAR(D240)</f>
        <v/>
      </c>
      <c r="V240" s="5">
        <f>TEXT(D240,"yyyy-mm")</f>
        <v/>
      </c>
    </row>
    <row r="241">
      <c r="A241" s="2" t="inlineStr">
        <is>
          <t>EJ010423.TXT</t>
        </is>
      </c>
      <c r="B241" s="3" t="inlineStr">
        <is>
          <t>004769</t>
        </is>
      </c>
      <c r="C241" s="3" t="inlineStr">
        <is>
          <t>003801</t>
        </is>
      </c>
      <c r="D241" s="4" t="n">
        <v>45014</v>
      </c>
      <c r="E241" s="2" t="inlineStr">
        <is>
          <t>14:29</t>
        </is>
      </c>
      <c r="F241" s="5" t="n">
        <v>797.5</v>
      </c>
      <c r="G241" s="5" t="n"/>
      <c r="H241" s="5" t="n"/>
      <c r="I241" s="5" t="n"/>
      <c r="J241" s="5" t="n">
        <v>159.5</v>
      </c>
      <c r="K241" s="5" t="n"/>
      <c r="L241" s="5" t="n"/>
      <c r="M241" s="5" t="n"/>
      <c r="N241" s="5" t="n"/>
      <c r="O241" s="5" t="n">
        <v>957</v>
      </c>
      <c r="P241" s="5" t="n"/>
      <c r="Q241" s="5" t="n">
        <v>957</v>
      </c>
      <c r="R241" s="5" t="n"/>
      <c r="S241" s="5">
        <f>SUM(F241:I241)+N241</f>
        <v/>
      </c>
      <c r="T241" s="5">
        <f>J241</f>
        <v/>
      </c>
      <c r="U241" s="6">
        <f>YEAR(D241)</f>
        <v/>
      </c>
      <c r="V241" s="5">
        <f>TEXT(D241,"yyyy-mm")</f>
        <v/>
      </c>
    </row>
    <row r="242">
      <c r="A242" s="2" t="inlineStr">
        <is>
          <t>EJ010423.TXT</t>
        </is>
      </c>
      <c r="B242" s="3" t="inlineStr">
        <is>
          <t>004770</t>
        </is>
      </c>
      <c r="C242" s="3" t="inlineStr">
        <is>
          <t>003802</t>
        </is>
      </c>
      <c r="D242" s="4" t="n">
        <v>45015</v>
      </c>
      <c r="E242" s="2" t="inlineStr">
        <is>
          <t>11:08</t>
        </is>
      </c>
      <c r="F242" s="5" t="n">
        <v>797.5</v>
      </c>
      <c r="G242" s="5" t="n"/>
      <c r="H242" s="5" t="n"/>
      <c r="I242" s="5" t="n"/>
      <c r="J242" s="5" t="n">
        <v>159.5</v>
      </c>
      <c r="K242" s="5" t="n"/>
      <c r="L242" s="5" t="n"/>
      <c r="M242" s="5" t="n"/>
      <c r="N242" s="5" t="n"/>
      <c r="O242" s="5" t="n">
        <v>957</v>
      </c>
      <c r="P242" s="5" t="n"/>
      <c r="Q242" s="5" t="n">
        <v>957</v>
      </c>
      <c r="R242" s="5" t="n"/>
      <c r="S242" s="5">
        <f>SUM(F242:I242)+N242</f>
        <v/>
      </c>
      <c r="T242" s="5">
        <f>J242</f>
        <v/>
      </c>
      <c r="U242" s="6">
        <f>YEAR(D242)</f>
        <v/>
      </c>
      <c r="V242" s="5">
        <f>TEXT(D242,"yyyy-mm")</f>
        <v/>
      </c>
    </row>
    <row r="243">
      <c r="A243" s="2" t="inlineStr">
        <is>
          <t>EJ010423.TXT</t>
        </is>
      </c>
      <c r="B243" s="3" t="inlineStr">
        <is>
          <t>004771</t>
        </is>
      </c>
      <c r="C243" s="3" t="inlineStr">
        <is>
          <t>003803</t>
        </is>
      </c>
      <c r="D243" s="4" t="n">
        <v>45016</v>
      </c>
      <c r="E243" s="2" t="inlineStr">
        <is>
          <t>09:47</t>
        </is>
      </c>
      <c r="F243" s="5" t="n">
        <v>797.5</v>
      </c>
      <c r="G243" s="5" t="n"/>
      <c r="H243" s="5" t="n"/>
      <c r="I243" s="5" t="n"/>
      <c r="J243" s="5" t="n">
        <v>159.5</v>
      </c>
      <c r="K243" s="5" t="n"/>
      <c r="L243" s="5" t="n"/>
      <c r="M243" s="5" t="n"/>
      <c r="N243" s="5" t="n"/>
      <c r="O243" s="5" t="n">
        <v>957</v>
      </c>
      <c r="P243" s="5" t="n"/>
      <c r="Q243" s="5" t="n">
        <v>957</v>
      </c>
      <c r="R243" s="5" t="n"/>
      <c r="S243" s="5">
        <f>SUM(F243:I243)+N243</f>
        <v/>
      </c>
      <c r="T243" s="5">
        <f>J243</f>
        <v/>
      </c>
      <c r="U243" s="6">
        <f>YEAR(D243)</f>
        <v/>
      </c>
      <c r="V243" s="5">
        <f>TEXT(D243,"yyyy-mm")</f>
        <v/>
      </c>
    </row>
    <row r="244">
      <c r="A244" s="2" t="inlineStr">
        <is>
          <t>EJ010423.TXT</t>
        </is>
      </c>
      <c r="B244" s="3" t="inlineStr">
        <is>
          <t>004772</t>
        </is>
      </c>
      <c r="C244" s="3" t="inlineStr">
        <is>
          <t>003804</t>
        </is>
      </c>
      <c r="D244" s="4" t="n">
        <v>45016</v>
      </c>
      <c r="E244" s="2" t="inlineStr">
        <is>
          <t>14:26</t>
        </is>
      </c>
      <c r="F244" s="5" t="n">
        <v>797.5</v>
      </c>
      <c r="G244" s="5" t="n"/>
      <c r="H244" s="5" t="n"/>
      <c r="I244" s="5" t="n"/>
      <c r="J244" s="5" t="n">
        <v>159.5</v>
      </c>
      <c r="K244" s="5" t="n"/>
      <c r="L244" s="5" t="n"/>
      <c r="M244" s="5" t="n"/>
      <c r="N244" s="5" t="n"/>
      <c r="O244" s="5" t="n">
        <v>957</v>
      </c>
      <c r="P244" s="5" t="n"/>
      <c r="Q244" s="5" t="n">
        <v>957</v>
      </c>
      <c r="R244" s="5" t="n"/>
      <c r="S244" s="5">
        <f>SUM(F244:I244)+N244</f>
        <v/>
      </c>
      <c r="T244" s="5">
        <f>J244</f>
        <v/>
      </c>
      <c r="U244" s="6">
        <f>YEAR(D244)</f>
        <v/>
      </c>
      <c r="V244" s="5">
        <f>TEXT(D244,"yyyy-mm")</f>
        <v/>
      </c>
    </row>
    <row r="245">
      <c r="A245" s="2" t="inlineStr">
        <is>
          <t>EJ010423.TXT</t>
        </is>
      </c>
      <c r="B245" s="3" t="inlineStr">
        <is>
          <t>004773</t>
        </is>
      </c>
      <c r="C245" s="3" t="inlineStr">
        <is>
          <t>003805</t>
        </is>
      </c>
      <c r="D245" s="4" t="n">
        <v>45016</v>
      </c>
      <c r="E245" s="2" t="inlineStr">
        <is>
          <t>14:33</t>
        </is>
      </c>
      <c r="F245" s="5" t="n">
        <v>131.67</v>
      </c>
      <c r="G245" s="5" t="n"/>
      <c r="H245" s="5" t="n"/>
      <c r="I245" s="5" t="n"/>
      <c r="J245" s="5" t="n">
        <v>26.33</v>
      </c>
      <c r="K245" s="5" t="n"/>
      <c r="L245" s="5" t="n"/>
      <c r="M245" s="5" t="n"/>
      <c r="N245" s="5" t="n"/>
      <c r="O245" s="5" t="n">
        <v>158</v>
      </c>
      <c r="P245" s="5" t="n"/>
      <c r="Q245" s="5" t="n">
        <v>158</v>
      </c>
      <c r="R245" s="5" t="n"/>
      <c r="S245" s="5">
        <f>SUM(F245:I245)+N245</f>
        <v/>
      </c>
      <c r="T245" s="5">
        <f>J245</f>
        <v/>
      </c>
      <c r="U245" s="6">
        <f>YEAR(D245)</f>
        <v/>
      </c>
      <c r="V245" s="5">
        <f>TEXT(D245,"yyyy-mm")</f>
        <v/>
      </c>
    </row>
    <row r="246">
      <c r="A246" s="2" t="inlineStr">
        <is>
          <t>EJ010423.TXT</t>
        </is>
      </c>
      <c r="B246" s="3" t="inlineStr">
        <is>
          <t>004774</t>
        </is>
      </c>
      <c r="C246" s="3" t="inlineStr">
        <is>
          <t>003806</t>
        </is>
      </c>
      <c r="D246" s="4" t="n">
        <v>45016</v>
      </c>
      <c r="E246" s="2" t="inlineStr">
        <is>
          <t>16:28</t>
        </is>
      </c>
      <c r="F246" s="5" t="n">
        <v>83.33</v>
      </c>
      <c r="G246" s="5" t="n"/>
      <c r="H246" s="5" t="n"/>
      <c r="I246" s="5" t="n"/>
      <c r="J246" s="5" t="n">
        <v>16.67</v>
      </c>
      <c r="K246" s="5" t="n"/>
      <c r="L246" s="5" t="n"/>
      <c r="M246" s="5" t="n"/>
      <c r="N246" s="5" t="n"/>
      <c r="O246" s="5" t="n">
        <v>100</v>
      </c>
      <c r="P246" s="5" t="n">
        <v>100</v>
      </c>
      <c r="Q246" s="5" t="n"/>
      <c r="R246" s="5" t="n"/>
      <c r="S246" s="5">
        <f>SUM(F246:I246)+N246</f>
        <v/>
      </c>
      <c r="T246" s="5">
        <f>J246</f>
        <v/>
      </c>
      <c r="U246" s="6">
        <f>YEAR(D246)</f>
        <v/>
      </c>
      <c r="V246" s="5">
        <f>TEXT(D246,"yyyy-mm")</f>
        <v/>
      </c>
    </row>
    <row r="247">
      <c r="A247" s="2" t="inlineStr">
        <is>
          <t>EJ010423.TXT</t>
        </is>
      </c>
      <c r="B247" s="3" t="inlineStr">
        <is>
          <t>004775</t>
        </is>
      </c>
      <c r="C247" s="3" t="inlineStr">
        <is>
          <t>003807</t>
        </is>
      </c>
      <c r="D247" s="4" t="n">
        <v>45016</v>
      </c>
      <c r="E247" s="2" t="inlineStr">
        <is>
          <t>16:28</t>
        </is>
      </c>
      <c r="F247" s="5" t="n">
        <v>15</v>
      </c>
      <c r="G247" s="5" t="n"/>
      <c r="H247" s="5" t="n"/>
      <c r="I247" s="5" t="n"/>
      <c r="J247" s="5" t="n">
        <v>3</v>
      </c>
      <c r="K247" s="5" t="n"/>
      <c r="L247" s="5" t="n"/>
      <c r="M247" s="5" t="n"/>
      <c r="N247" s="5" t="n"/>
      <c r="O247" s="5" t="n">
        <v>18</v>
      </c>
      <c r="P247" s="5" t="n"/>
      <c r="Q247" s="5" t="n">
        <v>18</v>
      </c>
      <c r="R247" s="5" t="n"/>
      <c r="S247" s="5">
        <f>SUM(F247:I247)+N247</f>
        <v/>
      </c>
      <c r="T247" s="5">
        <f>J247</f>
        <v/>
      </c>
      <c r="U247" s="6">
        <f>YEAR(D247)</f>
        <v/>
      </c>
      <c r="V247" s="5">
        <f>TEXT(D247,"yyyy-mm")</f>
        <v/>
      </c>
    </row>
    <row r="248">
      <c r="A248" s="2" t="inlineStr">
        <is>
          <t>EJ020523.TXT</t>
        </is>
      </c>
      <c r="B248" s="3" t="inlineStr">
        <is>
          <t>004783</t>
        </is>
      </c>
      <c r="C248" s="3" t="inlineStr">
        <is>
          <t>003808</t>
        </is>
      </c>
      <c r="D248" s="4" t="n">
        <v>45017</v>
      </c>
      <c r="E248" s="2" t="inlineStr">
        <is>
          <t>14:46</t>
        </is>
      </c>
      <c r="F248" s="5" t="n">
        <v>190.83</v>
      </c>
      <c r="G248" s="5" t="n"/>
      <c r="H248" s="5" t="n"/>
      <c r="I248" s="5" t="n"/>
      <c r="J248" s="5" t="n">
        <v>38.17</v>
      </c>
      <c r="K248" s="5" t="n"/>
      <c r="L248" s="5" t="n"/>
      <c r="M248" s="5" t="n"/>
      <c r="N248" s="5" t="n"/>
      <c r="O248" s="5" t="n">
        <v>229</v>
      </c>
      <c r="P248" s="5" t="n">
        <v>229</v>
      </c>
      <c r="Q248" s="5" t="n"/>
      <c r="R248" s="5" t="n"/>
      <c r="S248" s="5">
        <f>SUM(F248:I248)+N248</f>
        <v/>
      </c>
      <c r="T248" s="5">
        <f>J248</f>
        <v/>
      </c>
      <c r="U248" s="6">
        <f>YEAR(D248)</f>
        <v/>
      </c>
      <c r="V248" s="5">
        <f>TEXT(D248,"yyyy-mm")</f>
        <v/>
      </c>
    </row>
    <row r="249">
      <c r="A249" s="2" t="inlineStr">
        <is>
          <t>EJ020523.TXT</t>
        </is>
      </c>
      <c r="B249" s="3" t="inlineStr">
        <is>
          <t>004784</t>
        </is>
      </c>
      <c r="C249" s="3" t="inlineStr">
        <is>
          <t>003809</t>
        </is>
      </c>
      <c r="D249" s="4" t="n">
        <v>45019</v>
      </c>
      <c r="E249" s="2" t="inlineStr">
        <is>
          <t>14:30</t>
        </is>
      </c>
      <c r="F249" s="5" t="n">
        <v>797.5</v>
      </c>
      <c r="G249" s="5" t="n"/>
      <c r="H249" s="5" t="n"/>
      <c r="I249" s="5" t="n"/>
      <c r="J249" s="5" t="n">
        <v>159.5</v>
      </c>
      <c r="K249" s="5" t="n"/>
      <c r="L249" s="5" t="n"/>
      <c r="M249" s="5" t="n"/>
      <c r="N249" s="5" t="n"/>
      <c r="O249" s="5" t="n">
        <v>957</v>
      </c>
      <c r="P249" s="5" t="n"/>
      <c r="Q249" s="5" t="n">
        <v>957</v>
      </c>
      <c r="R249" s="5" t="n"/>
      <c r="S249" s="5">
        <f>SUM(F249:I249)+N249</f>
        <v/>
      </c>
      <c r="T249" s="5">
        <f>J249</f>
        <v/>
      </c>
      <c r="U249" s="6">
        <f>YEAR(D249)</f>
        <v/>
      </c>
      <c r="V249" s="5">
        <f>TEXT(D249,"yyyy-mm")</f>
        <v/>
      </c>
    </row>
    <row r="250">
      <c r="A250" s="2" t="inlineStr">
        <is>
          <t>EJ020523.TXT</t>
        </is>
      </c>
      <c r="B250" s="3" t="inlineStr">
        <is>
          <t>004785</t>
        </is>
      </c>
      <c r="C250" s="3" t="inlineStr">
        <is>
          <t>003810</t>
        </is>
      </c>
      <c r="D250" s="4" t="n">
        <v>45019</v>
      </c>
      <c r="E250" s="2" t="inlineStr">
        <is>
          <t>14:30</t>
        </is>
      </c>
      <c r="F250" s="5" t="n">
        <v>797.5</v>
      </c>
      <c r="G250" s="5" t="n"/>
      <c r="H250" s="5" t="n"/>
      <c r="I250" s="5" t="n"/>
      <c r="J250" s="5" t="n">
        <v>159.5</v>
      </c>
      <c r="K250" s="5" t="n"/>
      <c r="L250" s="5" t="n"/>
      <c r="M250" s="5" t="n"/>
      <c r="N250" s="5" t="n"/>
      <c r="O250" s="5" t="n">
        <v>957</v>
      </c>
      <c r="P250" s="5" t="n"/>
      <c r="Q250" s="5" t="n">
        <v>957</v>
      </c>
      <c r="R250" s="5" t="n"/>
      <c r="S250" s="5">
        <f>SUM(F250:I250)+N250</f>
        <v/>
      </c>
      <c r="T250" s="5">
        <f>J250</f>
        <v/>
      </c>
      <c r="U250" s="6">
        <f>YEAR(D250)</f>
        <v/>
      </c>
      <c r="V250" s="5">
        <f>TEXT(D250,"yyyy-mm")</f>
        <v/>
      </c>
    </row>
    <row r="251">
      <c r="A251" s="2" t="inlineStr">
        <is>
          <t>EJ020523.TXT</t>
        </is>
      </c>
      <c r="B251" s="3" t="inlineStr">
        <is>
          <t>004786</t>
        </is>
      </c>
      <c r="C251" s="3" t="inlineStr">
        <is>
          <t>003811</t>
        </is>
      </c>
      <c r="D251" s="4" t="n">
        <v>45019</v>
      </c>
      <c r="E251" s="2" t="inlineStr">
        <is>
          <t>17:35</t>
        </is>
      </c>
      <c r="F251" s="5" t="n">
        <v>531.67</v>
      </c>
      <c r="G251" s="5" t="n"/>
      <c r="H251" s="5" t="n"/>
      <c r="I251" s="5" t="n"/>
      <c r="J251" s="5" t="n">
        <v>106.33</v>
      </c>
      <c r="K251" s="5" t="n"/>
      <c r="L251" s="5" t="n"/>
      <c r="M251" s="5" t="n"/>
      <c r="N251" s="5" t="n"/>
      <c r="O251" s="5" t="n">
        <v>638</v>
      </c>
      <c r="P251" s="5" t="n"/>
      <c r="Q251" s="5" t="n">
        <v>638</v>
      </c>
      <c r="R251" s="5" t="n"/>
      <c r="S251" s="5">
        <f>SUM(F251:I251)+N251</f>
        <v/>
      </c>
      <c r="T251" s="5">
        <f>J251</f>
        <v/>
      </c>
      <c r="U251" s="6">
        <f>YEAR(D251)</f>
        <v/>
      </c>
      <c r="V251" s="5">
        <f>TEXT(D251,"yyyy-mm")</f>
        <v/>
      </c>
    </row>
    <row r="252">
      <c r="A252" s="2" t="inlineStr">
        <is>
          <t>EJ020523.TXT</t>
        </is>
      </c>
      <c r="B252" s="3" t="inlineStr">
        <is>
          <t>004787</t>
        </is>
      </c>
      <c r="C252" s="3" t="inlineStr">
        <is>
          <t>003812</t>
        </is>
      </c>
      <c r="D252" s="4" t="n">
        <v>45019</v>
      </c>
      <c r="E252" s="2" t="inlineStr">
        <is>
          <t>17:36</t>
        </is>
      </c>
      <c r="F252" s="5" t="n">
        <v>265.83</v>
      </c>
      <c r="G252" s="5" t="n"/>
      <c r="H252" s="5" t="n"/>
      <c r="I252" s="5" t="n"/>
      <c r="J252" s="5" t="n">
        <v>53.17</v>
      </c>
      <c r="K252" s="5" t="n"/>
      <c r="L252" s="5" t="n"/>
      <c r="M252" s="5" t="n"/>
      <c r="N252" s="5" t="n"/>
      <c r="O252" s="5" t="n">
        <v>319</v>
      </c>
      <c r="P252" s="5" t="n"/>
      <c r="Q252" s="5" t="n">
        <v>319</v>
      </c>
      <c r="R252" s="5" t="n"/>
      <c r="S252" s="5">
        <f>SUM(F252:I252)+N252</f>
        <v/>
      </c>
      <c r="T252" s="5">
        <f>J252</f>
        <v/>
      </c>
      <c r="U252" s="6">
        <f>YEAR(D252)</f>
        <v/>
      </c>
      <c r="V252" s="5">
        <f>TEXT(D252,"yyyy-mm")</f>
        <v/>
      </c>
    </row>
    <row r="253">
      <c r="A253" s="2" t="inlineStr">
        <is>
          <t>EJ020523.TXT</t>
        </is>
      </c>
      <c r="B253" s="3" t="inlineStr">
        <is>
          <t>004788</t>
        </is>
      </c>
      <c r="C253" s="3" t="inlineStr">
        <is>
          <t>003813</t>
        </is>
      </c>
      <c r="D253" s="4" t="n">
        <v>45019</v>
      </c>
      <c r="E253" s="2" t="inlineStr">
        <is>
          <t>17:36</t>
        </is>
      </c>
      <c r="F253" s="5" t="n">
        <v>531.67</v>
      </c>
      <c r="G253" s="5" t="n"/>
      <c r="H253" s="5" t="n"/>
      <c r="I253" s="5" t="n"/>
      <c r="J253" s="5" t="n">
        <v>106.33</v>
      </c>
      <c r="K253" s="5" t="n"/>
      <c r="L253" s="5" t="n"/>
      <c r="M253" s="5" t="n"/>
      <c r="N253" s="5" t="n"/>
      <c r="O253" s="5" t="n">
        <v>638</v>
      </c>
      <c r="P253" s="5" t="n"/>
      <c r="Q253" s="5" t="n">
        <v>638</v>
      </c>
      <c r="R253" s="5" t="n"/>
      <c r="S253" s="5">
        <f>SUM(F253:I253)+N253</f>
        <v/>
      </c>
      <c r="T253" s="5">
        <f>J253</f>
        <v/>
      </c>
      <c r="U253" s="6">
        <f>YEAR(D253)</f>
        <v/>
      </c>
      <c r="V253" s="5">
        <f>TEXT(D253,"yyyy-mm")</f>
        <v/>
      </c>
    </row>
    <row r="254">
      <c r="A254" s="2" t="inlineStr">
        <is>
          <t>EJ020523.TXT</t>
        </is>
      </c>
      <c r="B254" s="3" t="inlineStr">
        <is>
          <t>004789</t>
        </is>
      </c>
      <c r="C254" s="3" t="inlineStr">
        <is>
          <t>003814</t>
        </is>
      </c>
      <c r="D254" s="4" t="n">
        <v>45019</v>
      </c>
      <c r="E254" s="2" t="inlineStr">
        <is>
          <t>17:36</t>
        </is>
      </c>
      <c r="F254" s="5" t="n">
        <v>797.5</v>
      </c>
      <c r="G254" s="5" t="n"/>
      <c r="H254" s="5" t="n"/>
      <c r="I254" s="5" t="n"/>
      <c r="J254" s="5" t="n">
        <v>159.5</v>
      </c>
      <c r="K254" s="5" t="n"/>
      <c r="L254" s="5" t="n"/>
      <c r="M254" s="5" t="n"/>
      <c r="N254" s="5" t="n"/>
      <c r="O254" s="5" t="n">
        <v>957</v>
      </c>
      <c r="P254" s="5" t="n"/>
      <c r="Q254" s="5" t="n">
        <v>957</v>
      </c>
      <c r="R254" s="5" t="n"/>
      <c r="S254" s="5">
        <f>SUM(F254:I254)+N254</f>
        <v/>
      </c>
      <c r="T254" s="5">
        <f>J254</f>
        <v/>
      </c>
      <c r="U254" s="6">
        <f>YEAR(D254)</f>
        <v/>
      </c>
      <c r="V254" s="5">
        <f>TEXT(D254,"yyyy-mm")</f>
        <v/>
      </c>
    </row>
    <row r="255">
      <c r="A255" s="2" t="inlineStr">
        <is>
          <t>EJ020523.TXT</t>
        </is>
      </c>
      <c r="B255" s="3" t="inlineStr">
        <is>
          <t>004790</t>
        </is>
      </c>
      <c r="C255" s="3" t="inlineStr">
        <is>
          <t>003815</t>
        </is>
      </c>
      <c r="D255" s="4" t="n">
        <v>45019</v>
      </c>
      <c r="E255" s="2" t="inlineStr">
        <is>
          <t>17:37</t>
        </is>
      </c>
      <c r="F255" s="5" t="n">
        <v>265.83</v>
      </c>
      <c r="G255" s="5" t="n"/>
      <c r="H255" s="5" t="n"/>
      <c r="I255" s="5" t="n"/>
      <c r="J255" s="5" t="n">
        <v>53.17</v>
      </c>
      <c r="K255" s="5" t="n"/>
      <c r="L255" s="5" t="n"/>
      <c r="M255" s="5" t="n"/>
      <c r="N255" s="5" t="n"/>
      <c r="O255" s="5" t="n">
        <v>319</v>
      </c>
      <c r="P255" s="5" t="n"/>
      <c r="Q255" s="5" t="n">
        <v>319</v>
      </c>
      <c r="R255" s="5" t="n"/>
      <c r="S255" s="5">
        <f>SUM(F255:I255)+N255</f>
        <v/>
      </c>
      <c r="T255" s="5">
        <f>J255</f>
        <v/>
      </c>
      <c r="U255" s="6">
        <f>YEAR(D255)</f>
        <v/>
      </c>
      <c r="V255" s="5">
        <f>TEXT(D255,"yyyy-mm")</f>
        <v/>
      </c>
    </row>
    <row r="256">
      <c r="A256" s="2" t="inlineStr">
        <is>
          <t>EJ020523.TXT</t>
        </is>
      </c>
      <c r="B256" s="3" t="inlineStr">
        <is>
          <t>004791</t>
        </is>
      </c>
      <c r="C256" s="3" t="inlineStr">
        <is>
          <t>003816</t>
        </is>
      </c>
      <c r="D256" s="4" t="n">
        <v>45019</v>
      </c>
      <c r="E256" s="2" t="inlineStr">
        <is>
          <t>17:37</t>
        </is>
      </c>
      <c r="F256" s="5" t="n">
        <v>531.67</v>
      </c>
      <c r="G256" s="5" t="n"/>
      <c r="H256" s="5" t="n"/>
      <c r="I256" s="5" t="n"/>
      <c r="J256" s="5" t="n">
        <v>106.33</v>
      </c>
      <c r="K256" s="5" t="n"/>
      <c r="L256" s="5" t="n"/>
      <c r="M256" s="5" t="n"/>
      <c r="N256" s="5" t="n"/>
      <c r="O256" s="5" t="n">
        <v>638</v>
      </c>
      <c r="P256" s="5" t="n"/>
      <c r="Q256" s="5" t="n">
        <v>638</v>
      </c>
      <c r="R256" s="5" t="n"/>
      <c r="S256" s="5">
        <f>SUM(F256:I256)+N256</f>
        <v/>
      </c>
      <c r="T256" s="5">
        <f>J256</f>
        <v/>
      </c>
      <c r="U256" s="6">
        <f>YEAR(D256)</f>
        <v/>
      </c>
      <c r="V256" s="5">
        <f>TEXT(D256,"yyyy-mm")</f>
        <v/>
      </c>
    </row>
    <row r="257">
      <c r="A257" s="2" t="inlineStr">
        <is>
          <t>EJ020523.TXT</t>
        </is>
      </c>
      <c r="B257" s="3" t="inlineStr">
        <is>
          <t>004792</t>
        </is>
      </c>
      <c r="C257" s="3" t="inlineStr">
        <is>
          <t>003817</t>
        </is>
      </c>
      <c r="D257" s="4" t="n">
        <v>45019</v>
      </c>
      <c r="E257" s="2" t="inlineStr">
        <is>
          <t>17:37</t>
        </is>
      </c>
      <c r="F257" s="5" t="n">
        <v>531.67</v>
      </c>
      <c r="G257" s="5" t="n"/>
      <c r="H257" s="5" t="n"/>
      <c r="I257" s="5" t="n"/>
      <c r="J257" s="5" t="n">
        <v>106.33</v>
      </c>
      <c r="K257" s="5" t="n"/>
      <c r="L257" s="5" t="n"/>
      <c r="M257" s="5" t="n"/>
      <c r="N257" s="5" t="n"/>
      <c r="O257" s="5" t="n">
        <v>638</v>
      </c>
      <c r="P257" s="5" t="n"/>
      <c r="Q257" s="5" t="n">
        <v>638</v>
      </c>
      <c r="R257" s="5" t="n"/>
      <c r="S257" s="5">
        <f>SUM(F257:I257)+N257</f>
        <v/>
      </c>
      <c r="T257" s="5">
        <f>J257</f>
        <v/>
      </c>
      <c r="U257" s="6">
        <f>YEAR(D257)</f>
        <v/>
      </c>
      <c r="V257" s="5">
        <f>TEXT(D257,"yyyy-mm")</f>
        <v/>
      </c>
    </row>
    <row r="258">
      <c r="A258" s="2" t="inlineStr">
        <is>
          <t>EJ020523.TXT</t>
        </is>
      </c>
      <c r="B258" s="3" t="inlineStr">
        <is>
          <t>004793</t>
        </is>
      </c>
      <c r="C258" s="3" t="inlineStr">
        <is>
          <t>003818</t>
        </is>
      </c>
      <c r="D258" s="4" t="n">
        <v>45019</v>
      </c>
      <c r="E258" s="2" t="inlineStr">
        <is>
          <t>17:38</t>
        </is>
      </c>
      <c r="F258" s="5" t="n">
        <v>797.5</v>
      </c>
      <c r="G258" s="5" t="n"/>
      <c r="H258" s="5" t="n"/>
      <c r="I258" s="5" t="n"/>
      <c r="J258" s="5" t="n">
        <v>159.5</v>
      </c>
      <c r="K258" s="5" t="n"/>
      <c r="L258" s="5" t="n"/>
      <c r="M258" s="5" t="n"/>
      <c r="N258" s="5" t="n"/>
      <c r="O258" s="5" t="n">
        <v>957</v>
      </c>
      <c r="P258" s="5" t="n"/>
      <c r="Q258" s="5" t="n">
        <v>957</v>
      </c>
      <c r="R258" s="5" t="n"/>
      <c r="S258" s="5">
        <f>SUM(F258:I258)+N258</f>
        <v/>
      </c>
      <c r="T258" s="5">
        <f>J258</f>
        <v/>
      </c>
      <c r="U258" s="6">
        <f>YEAR(D258)</f>
        <v/>
      </c>
      <c r="V258" s="5">
        <f>TEXT(D258,"yyyy-mm")</f>
        <v/>
      </c>
    </row>
    <row r="259">
      <c r="A259" s="2" t="inlineStr">
        <is>
          <t>EJ020523.TXT</t>
        </is>
      </c>
      <c r="B259" s="3" t="inlineStr">
        <is>
          <t>004794</t>
        </is>
      </c>
      <c r="C259" s="3" t="inlineStr">
        <is>
          <t>003819</t>
        </is>
      </c>
      <c r="D259" s="4" t="n">
        <v>45019</v>
      </c>
      <c r="E259" s="2" t="inlineStr">
        <is>
          <t>17:38</t>
        </is>
      </c>
      <c r="F259" s="5" t="n">
        <v>265.83</v>
      </c>
      <c r="G259" s="5" t="n"/>
      <c r="H259" s="5" t="n"/>
      <c r="I259" s="5" t="n"/>
      <c r="J259" s="5" t="n">
        <v>53.17</v>
      </c>
      <c r="K259" s="5" t="n"/>
      <c r="L259" s="5" t="n"/>
      <c r="M259" s="5" t="n"/>
      <c r="N259" s="5" t="n"/>
      <c r="O259" s="5" t="n">
        <v>319</v>
      </c>
      <c r="P259" s="5" t="n"/>
      <c r="Q259" s="5" t="n">
        <v>319</v>
      </c>
      <c r="R259" s="5" t="n"/>
      <c r="S259" s="5">
        <f>SUM(F259:I259)+N259</f>
        <v/>
      </c>
      <c r="T259" s="5">
        <f>J259</f>
        <v/>
      </c>
      <c r="U259" s="6">
        <f>YEAR(D259)</f>
        <v/>
      </c>
      <c r="V259" s="5">
        <f>TEXT(D259,"yyyy-mm")</f>
        <v/>
      </c>
    </row>
    <row r="260">
      <c r="A260" s="2" t="inlineStr">
        <is>
          <t>EJ020523.TXT</t>
        </is>
      </c>
      <c r="B260" s="3" t="inlineStr">
        <is>
          <t>004795</t>
        </is>
      </c>
      <c r="C260" s="3" t="inlineStr">
        <is>
          <t>003820</t>
        </is>
      </c>
      <c r="D260" s="4" t="n">
        <v>45019</v>
      </c>
      <c r="E260" s="2" t="inlineStr">
        <is>
          <t>17:39</t>
        </is>
      </c>
      <c r="F260" s="5" t="n">
        <v>265.83</v>
      </c>
      <c r="G260" s="5" t="n"/>
      <c r="H260" s="5" t="n"/>
      <c r="I260" s="5" t="n"/>
      <c r="J260" s="5" t="n">
        <v>53.17</v>
      </c>
      <c r="K260" s="5" t="n"/>
      <c r="L260" s="5" t="n"/>
      <c r="M260" s="5" t="n"/>
      <c r="N260" s="5" t="n"/>
      <c r="O260" s="5" t="n">
        <v>319</v>
      </c>
      <c r="P260" s="5" t="n"/>
      <c r="Q260" s="5" t="n">
        <v>319</v>
      </c>
      <c r="R260" s="5" t="n"/>
      <c r="S260" s="5">
        <f>SUM(F260:I260)+N260</f>
        <v/>
      </c>
      <c r="T260" s="5">
        <f>J260</f>
        <v/>
      </c>
      <c r="U260" s="6">
        <f>YEAR(D260)</f>
        <v/>
      </c>
      <c r="V260" s="5">
        <f>TEXT(D260,"yyyy-mm")</f>
        <v/>
      </c>
    </row>
    <row r="261">
      <c r="A261" s="2" t="inlineStr">
        <is>
          <t>EJ020523.TXT</t>
        </is>
      </c>
      <c r="B261" s="3" t="inlineStr">
        <is>
          <t>004796</t>
        </is>
      </c>
      <c r="C261" s="3" t="inlineStr">
        <is>
          <t>003821</t>
        </is>
      </c>
      <c r="D261" s="4" t="n">
        <v>45020</v>
      </c>
      <c r="E261" s="2" t="inlineStr">
        <is>
          <t>09:08</t>
        </is>
      </c>
      <c r="F261" s="5" t="n">
        <v>797.5</v>
      </c>
      <c r="G261" s="5" t="n"/>
      <c r="H261" s="5" t="n"/>
      <c r="I261" s="5" t="n"/>
      <c r="J261" s="5" t="n">
        <v>159.5</v>
      </c>
      <c r="K261" s="5" t="n"/>
      <c r="L261" s="5" t="n"/>
      <c r="M261" s="5" t="n"/>
      <c r="N261" s="5" t="n"/>
      <c r="O261" s="5" t="n">
        <v>957</v>
      </c>
      <c r="P261" s="5" t="n"/>
      <c r="Q261" s="5" t="n">
        <v>957</v>
      </c>
      <c r="R261" s="5" t="n"/>
      <c r="S261" s="5">
        <f>SUM(F261:I261)+N261</f>
        <v/>
      </c>
      <c r="T261" s="5">
        <f>J261</f>
        <v/>
      </c>
      <c r="U261" s="6">
        <f>YEAR(D261)</f>
        <v/>
      </c>
      <c r="V261" s="5">
        <f>TEXT(D261,"yyyy-mm")</f>
        <v/>
      </c>
    </row>
    <row r="262">
      <c r="A262" s="2" t="inlineStr">
        <is>
          <t>EJ020523.TXT</t>
        </is>
      </c>
      <c r="B262" s="3" t="inlineStr">
        <is>
          <t>004797</t>
        </is>
      </c>
      <c r="C262" s="3" t="inlineStr">
        <is>
          <t>003822</t>
        </is>
      </c>
      <c r="D262" s="4" t="n">
        <v>45020</v>
      </c>
      <c r="E262" s="2" t="inlineStr">
        <is>
          <t>09:08</t>
        </is>
      </c>
      <c r="F262" s="5" t="n">
        <v>797.5</v>
      </c>
      <c r="G262" s="5" t="n"/>
      <c r="H262" s="5" t="n"/>
      <c r="I262" s="5" t="n"/>
      <c r="J262" s="5" t="n">
        <v>159.5</v>
      </c>
      <c r="K262" s="5" t="n"/>
      <c r="L262" s="5" t="n"/>
      <c r="M262" s="5" t="n"/>
      <c r="N262" s="5" t="n"/>
      <c r="O262" s="5" t="n">
        <v>957</v>
      </c>
      <c r="P262" s="5" t="n"/>
      <c r="Q262" s="5" t="n">
        <v>957</v>
      </c>
      <c r="R262" s="5" t="n"/>
      <c r="S262" s="5">
        <f>SUM(F262:I262)+N262</f>
        <v/>
      </c>
      <c r="T262" s="5">
        <f>J262</f>
        <v/>
      </c>
      <c r="U262" s="6">
        <f>YEAR(D262)</f>
        <v/>
      </c>
      <c r="V262" s="5">
        <f>TEXT(D262,"yyyy-mm")</f>
        <v/>
      </c>
    </row>
    <row r="263">
      <c r="A263" s="2" t="inlineStr">
        <is>
          <t>EJ020523.TXT</t>
        </is>
      </c>
      <c r="B263" s="3" t="inlineStr">
        <is>
          <t>004798</t>
        </is>
      </c>
      <c r="C263" s="3" t="inlineStr">
        <is>
          <t>003823</t>
        </is>
      </c>
      <c r="D263" s="4" t="n">
        <v>45020</v>
      </c>
      <c r="E263" s="2" t="inlineStr">
        <is>
          <t>09:13</t>
        </is>
      </c>
      <c r="F263" s="5" t="n">
        <v>307.5</v>
      </c>
      <c r="G263" s="5" t="n"/>
      <c r="H263" s="5" t="n"/>
      <c r="I263" s="5" t="n"/>
      <c r="J263" s="5" t="n">
        <v>61.5</v>
      </c>
      <c r="K263" s="5" t="n"/>
      <c r="L263" s="5" t="n"/>
      <c r="M263" s="5" t="n"/>
      <c r="N263" s="5" t="n"/>
      <c r="O263" s="5" t="n">
        <v>369</v>
      </c>
      <c r="P263" s="5" t="n"/>
      <c r="Q263" s="5" t="n">
        <v>369</v>
      </c>
      <c r="R263" s="5" t="n"/>
      <c r="S263" s="5">
        <f>SUM(F263:I263)+N263</f>
        <v/>
      </c>
      <c r="T263" s="5">
        <f>J263</f>
        <v/>
      </c>
      <c r="U263" s="6">
        <f>YEAR(D263)</f>
        <v/>
      </c>
      <c r="V263" s="5">
        <f>TEXT(D263,"yyyy-mm")</f>
        <v/>
      </c>
    </row>
    <row r="264">
      <c r="A264" s="2" t="inlineStr">
        <is>
          <t>EJ020523.TXT</t>
        </is>
      </c>
      <c r="B264" s="3" t="inlineStr">
        <is>
          <t>004799</t>
        </is>
      </c>
      <c r="C264" s="3" t="inlineStr">
        <is>
          <t>003824</t>
        </is>
      </c>
      <c r="D264" s="4" t="n">
        <v>45020</v>
      </c>
      <c r="E264" s="2" t="inlineStr">
        <is>
          <t>10:50</t>
        </is>
      </c>
      <c r="F264" s="5" t="n">
        <v>822.5</v>
      </c>
      <c r="G264" s="5" t="n"/>
      <c r="H264" s="5" t="n"/>
      <c r="I264" s="5" t="n"/>
      <c r="J264" s="5" t="n">
        <v>164.5</v>
      </c>
      <c r="K264" s="5" t="n"/>
      <c r="L264" s="5" t="n"/>
      <c r="M264" s="5" t="n"/>
      <c r="N264" s="5" t="n"/>
      <c r="O264" s="5" t="n">
        <v>987</v>
      </c>
      <c r="P264" s="5" t="n"/>
      <c r="Q264" s="5" t="n">
        <v>987</v>
      </c>
      <c r="R264" s="5" t="n"/>
      <c r="S264" s="5">
        <f>SUM(F264:I264)+N264</f>
        <v/>
      </c>
      <c r="T264" s="5">
        <f>J264</f>
        <v/>
      </c>
      <c r="U264" s="6">
        <f>YEAR(D264)</f>
        <v/>
      </c>
      <c r="V264" s="5">
        <f>TEXT(D264,"yyyy-mm")</f>
        <v/>
      </c>
    </row>
    <row r="265">
      <c r="A265" s="2" t="inlineStr">
        <is>
          <t>EJ020523.TXT</t>
        </is>
      </c>
      <c r="B265" s="3" t="inlineStr">
        <is>
          <t>004800</t>
        </is>
      </c>
      <c r="C265" s="3" t="inlineStr">
        <is>
          <t>003825</t>
        </is>
      </c>
      <c r="D265" s="4" t="n">
        <v>45020</v>
      </c>
      <c r="E265" s="2" t="inlineStr">
        <is>
          <t>16:48</t>
        </is>
      </c>
      <c r="F265" s="5" t="n">
        <v>49.17</v>
      </c>
      <c r="G265" s="5" t="n"/>
      <c r="H265" s="5" t="n"/>
      <c r="I265" s="5" t="n"/>
      <c r="J265" s="5" t="n">
        <v>9.83</v>
      </c>
      <c r="K265" s="5" t="n"/>
      <c r="L265" s="5" t="n"/>
      <c r="M265" s="5" t="n"/>
      <c r="N265" s="5" t="n"/>
      <c r="O265" s="5" t="n">
        <v>59</v>
      </c>
      <c r="P265" s="5" t="n"/>
      <c r="Q265" s="5" t="n">
        <v>59</v>
      </c>
      <c r="R265" s="5" t="n"/>
      <c r="S265" s="5">
        <f>SUM(F265:I265)+N265</f>
        <v/>
      </c>
      <c r="T265" s="5">
        <f>J265</f>
        <v/>
      </c>
      <c r="U265" s="6">
        <f>YEAR(D265)</f>
        <v/>
      </c>
      <c r="V265" s="5">
        <f>TEXT(D265,"yyyy-mm")</f>
        <v/>
      </c>
    </row>
    <row r="266">
      <c r="A266" s="2" t="inlineStr">
        <is>
          <t>EJ020523.TXT</t>
        </is>
      </c>
      <c r="B266" s="3" t="inlineStr">
        <is>
          <t>004801</t>
        </is>
      </c>
      <c r="C266" s="3" t="inlineStr">
        <is>
          <t>003826</t>
        </is>
      </c>
      <c r="D266" s="4" t="n">
        <v>45020</v>
      </c>
      <c r="E266" s="2" t="inlineStr">
        <is>
          <t>17:05</t>
        </is>
      </c>
      <c r="F266" s="5" t="n">
        <v>240</v>
      </c>
      <c r="G266" s="5" t="n"/>
      <c r="H266" s="5" t="n"/>
      <c r="I266" s="5" t="n"/>
      <c r="J266" s="5" t="n">
        <v>48</v>
      </c>
      <c r="K266" s="5" t="n"/>
      <c r="L266" s="5" t="n"/>
      <c r="M266" s="5" t="n"/>
      <c r="N266" s="5" t="n"/>
      <c r="O266" s="5" t="n">
        <v>288</v>
      </c>
      <c r="P266" s="5" t="n"/>
      <c r="Q266" s="5" t="n">
        <v>288</v>
      </c>
      <c r="R266" s="5" t="n"/>
      <c r="S266" s="5">
        <f>SUM(F266:I266)+N266</f>
        <v/>
      </c>
      <c r="T266" s="5">
        <f>J266</f>
        <v/>
      </c>
      <c r="U266" s="6">
        <f>YEAR(D266)</f>
        <v/>
      </c>
      <c r="V266" s="5">
        <f>TEXT(D266,"yyyy-mm")</f>
        <v/>
      </c>
    </row>
    <row r="267">
      <c r="A267" s="2" t="inlineStr">
        <is>
          <t>EJ020523.TXT</t>
        </is>
      </c>
      <c r="B267" s="3" t="inlineStr">
        <is>
          <t>004802</t>
        </is>
      </c>
      <c r="C267" s="3" t="inlineStr">
        <is>
          <t>003827</t>
        </is>
      </c>
      <c r="D267" s="4" t="n">
        <v>45021</v>
      </c>
      <c r="E267" s="2" t="inlineStr">
        <is>
          <t>11:14</t>
        </is>
      </c>
      <c r="F267" s="5" t="n">
        <v>531.67</v>
      </c>
      <c r="G267" s="5" t="n"/>
      <c r="H267" s="5" t="n"/>
      <c r="I267" s="5" t="n"/>
      <c r="J267" s="5" t="n">
        <v>106.33</v>
      </c>
      <c r="K267" s="5" t="n"/>
      <c r="L267" s="5" t="n"/>
      <c r="M267" s="5" t="n"/>
      <c r="N267" s="5" t="n"/>
      <c r="O267" s="5" t="n">
        <v>638</v>
      </c>
      <c r="P267" s="5" t="n"/>
      <c r="Q267" s="5" t="n">
        <v>638</v>
      </c>
      <c r="R267" s="5" t="n"/>
      <c r="S267" s="5">
        <f>SUM(F267:I267)+N267</f>
        <v/>
      </c>
      <c r="T267" s="5">
        <f>J267</f>
        <v/>
      </c>
      <c r="U267" s="6">
        <f>YEAR(D267)</f>
        <v/>
      </c>
      <c r="V267" s="5">
        <f>TEXT(D267,"yyyy-mm")</f>
        <v/>
      </c>
    </row>
    <row r="268">
      <c r="A268" s="2" t="inlineStr">
        <is>
          <t>EJ020523.TXT</t>
        </is>
      </c>
      <c r="B268" s="3" t="inlineStr">
        <is>
          <t>004803</t>
        </is>
      </c>
      <c r="C268" s="3" t="inlineStr">
        <is>
          <t>003828</t>
        </is>
      </c>
      <c r="D268" s="4" t="n">
        <v>45021</v>
      </c>
      <c r="E268" s="2" t="inlineStr">
        <is>
          <t>11:15</t>
        </is>
      </c>
      <c r="F268" s="5" t="n">
        <v>175</v>
      </c>
      <c r="G268" s="5" t="n"/>
      <c r="H268" s="5" t="n"/>
      <c r="I268" s="5" t="n"/>
      <c r="J268" s="5" t="n">
        <v>35</v>
      </c>
      <c r="K268" s="5" t="n"/>
      <c r="L268" s="5" t="n"/>
      <c r="M268" s="5" t="n"/>
      <c r="N268" s="5" t="n"/>
      <c r="O268" s="5" t="n">
        <v>210</v>
      </c>
      <c r="P268" s="5" t="n"/>
      <c r="Q268" s="5" t="n">
        <v>210</v>
      </c>
      <c r="R268" s="5" t="n"/>
      <c r="S268" s="5">
        <f>SUM(F268:I268)+N268</f>
        <v/>
      </c>
      <c r="T268" s="5">
        <f>J268</f>
        <v/>
      </c>
      <c r="U268" s="6">
        <f>YEAR(D268)</f>
        <v/>
      </c>
      <c r="V268" s="5">
        <f>TEXT(D268,"yyyy-mm")</f>
        <v/>
      </c>
    </row>
    <row r="269">
      <c r="A269" s="2" t="inlineStr">
        <is>
          <t>EJ020523.TXT</t>
        </is>
      </c>
      <c r="B269" s="3" t="inlineStr">
        <is>
          <t>004804</t>
        </is>
      </c>
      <c r="C269" s="3" t="inlineStr">
        <is>
          <t>003829</t>
        </is>
      </c>
      <c r="D269" s="4" t="n">
        <v>45021</v>
      </c>
      <c r="E269" s="2" t="inlineStr">
        <is>
          <t>13:55</t>
        </is>
      </c>
      <c r="F269" s="5" t="n">
        <v>797.5</v>
      </c>
      <c r="G269" s="5" t="n"/>
      <c r="H269" s="5" t="n"/>
      <c r="I269" s="5" t="n"/>
      <c r="J269" s="5" t="n">
        <v>159.5</v>
      </c>
      <c r="K269" s="5" t="n"/>
      <c r="L269" s="5" t="n"/>
      <c r="M269" s="5" t="n"/>
      <c r="N269" s="5" t="n"/>
      <c r="O269" s="5" t="n">
        <v>957</v>
      </c>
      <c r="P269" s="5" t="n"/>
      <c r="Q269" s="5" t="n">
        <v>957</v>
      </c>
      <c r="R269" s="5" t="n"/>
      <c r="S269" s="5">
        <f>SUM(F269:I269)+N269</f>
        <v/>
      </c>
      <c r="T269" s="5">
        <f>J269</f>
        <v/>
      </c>
      <c r="U269" s="6">
        <f>YEAR(D269)</f>
        <v/>
      </c>
      <c r="V269" s="5">
        <f>TEXT(D269,"yyyy-mm")</f>
        <v/>
      </c>
    </row>
    <row r="270">
      <c r="A270" s="2" t="inlineStr">
        <is>
          <t>EJ020523.TXT</t>
        </is>
      </c>
      <c r="B270" s="3" t="inlineStr">
        <is>
          <t>004805</t>
        </is>
      </c>
      <c r="C270" s="3" t="inlineStr">
        <is>
          <t>003830</t>
        </is>
      </c>
      <c r="D270" s="4" t="n">
        <v>45021</v>
      </c>
      <c r="E270" s="2" t="inlineStr">
        <is>
          <t>13:55</t>
        </is>
      </c>
      <c r="F270" s="5" t="n">
        <v>797.5</v>
      </c>
      <c r="G270" s="5" t="n"/>
      <c r="H270" s="5" t="n"/>
      <c r="I270" s="5" t="n"/>
      <c r="J270" s="5" t="n">
        <v>159.5</v>
      </c>
      <c r="K270" s="5" t="n"/>
      <c r="L270" s="5" t="n"/>
      <c r="M270" s="5" t="n"/>
      <c r="N270" s="5" t="n"/>
      <c r="O270" s="5" t="n">
        <v>957</v>
      </c>
      <c r="P270" s="5" t="n"/>
      <c r="Q270" s="5" t="n">
        <v>957</v>
      </c>
      <c r="R270" s="5" t="n"/>
      <c r="S270" s="5">
        <f>SUM(F270:I270)+N270</f>
        <v/>
      </c>
      <c r="T270" s="5">
        <f>J270</f>
        <v/>
      </c>
      <c r="U270" s="6">
        <f>YEAR(D270)</f>
        <v/>
      </c>
      <c r="V270" s="5">
        <f>TEXT(D270,"yyyy-mm")</f>
        <v/>
      </c>
    </row>
    <row r="271">
      <c r="A271" s="2" t="inlineStr">
        <is>
          <t>EJ020523.TXT</t>
        </is>
      </c>
      <c r="B271" s="3" t="inlineStr">
        <is>
          <t>004806</t>
        </is>
      </c>
      <c r="C271" s="3" t="inlineStr">
        <is>
          <t>003831</t>
        </is>
      </c>
      <c r="D271" s="4" t="n">
        <v>45022</v>
      </c>
      <c r="E271" s="2" t="inlineStr">
        <is>
          <t>10:13</t>
        </is>
      </c>
      <c r="F271" s="5" t="n">
        <v>797.5</v>
      </c>
      <c r="G271" s="5" t="n"/>
      <c r="H271" s="5" t="n"/>
      <c r="I271" s="5" t="n"/>
      <c r="J271" s="5" t="n">
        <v>159.5</v>
      </c>
      <c r="K271" s="5" t="n"/>
      <c r="L271" s="5" t="n"/>
      <c r="M271" s="5" t="n"/>
      <c r="N271" s="5" t="n"/>
      <c r="O271" s="5" t="n">
        <v>957</v>
      </c>
      <c r="P271" s="5" t="n"/>
      <c r="Q271" s="5" t="n">
        <v>957</v>
      </c>
      <c r="R271" s="5" t="n"/>
      <c r="S271" s="5">
        <f>SUM(F271:I271)+N271</f>
        <v/>
      </c>
      <c r="T271" s="5">
        <f>J271</f>
        <v/>
      </c>
      <c r="U271" s="6">
        <f>YEAR(D271)</f>
        <v/>
      </c>
      <c r="V271" s="5">
        <f>TEXT(D271,"yyyy-mm")</f>
        <v/>
      </c>
    </row>
    <row r="272">
      <c r="A272" s="2" t="inlineStr">
        <is>
          <t>EJ020523.TXT</t>
        </is>
      </c>
      <c r="B272" s="3" t="inlineStr">
        <is>
          <t>004807</t>
        </is>
      </c>
      <c r="C272" s="3" t="inlineStr">
        <is>
          <t>003832</t>
        </is>
      </c>
      <c r="D272" s="4" t="n">
        <v>45022</v>
      </c>
      <c r="E272" s="2" t="inlineStr">
        <is>
          <t>10:14</t>
        </is>
      </c>
      <c r="F272" s="5" t="n">
        <v>797.5</v>
      </c>
      <c r="G272" s="5" t="n"/>
      <c r="H272" s="5" t="n"/>
      <c r="I272" s="5" t="n"/>
      <c r="J272" s="5" t="n">
        <v>159.5</v>
      </c>
      <c r="K272" s="5" t="n"/>
      <c r="L272" s="5" t="n"/>
      <c r="M272" s="5" t="n"/>
      <c r="N272" s="5" t="n"/>
      <c r="O272" s="5" t="n">
        <v>957</v>
      </c>
      <c r="P272" s="5" t="n"/>
      <c r="Q272" s="5" t="n">
        <v>957</v>
      </c>
      <c r="R272" s="5" t="n"/>
      <c r="S272" s="5">
        <f>SUM(F272:I272)+N272</f>
        <v/>
      </c>
      <c r="T272" s="5">
        <f>J272</f>
        <v/>
      </c>
      <c r="U272" s="6">
        <f>YEAR(D272)</f>
        <v/>
      </c>
      <c r="V272" s="5">
        <f>TEXT(D272,"yyyy-mm")</f>
        <v/>
      </c>
    </row>
    <row r="273">
      <c r="A273" s="2" t="inlineStr">
        <is>
          <t>EJ020523.TXT</t>
        </is>
      </c>
      <c r="B273" s="3" t="inlineStr">
        <is>
          <t>004808</t>
        </is>
      </c>
      <c r="C273" s="3" t="inlineStr">
        <is>
          <t>003833</t>
        </is>
      </c>
      <c r="D273" s="4" t="n">
        <v>45022</v>
      </c>
      <c r="E273" s="2" t="inlineStr">
        <is>
          <t>12:09</t>
        </is>
      </c>
      <c r="F273" s="5" t="n">
        <v>208.33</v>
      </c>
      <c r="G273" s="5" t="n"/>
      <c r="H273" s="5" t="n"/>
      <c r="I273" s="5" t="n"/>
      <c r="J273" s="5" t="n">
        <v>41.67</v>
      </c>
      <c r="K273" s="5" t="n"/>
      <c r="L273" s="5" t="n"/>
      <c r="M273" s="5" t="n"/>
      <c r="N273" s="5" t="n"/>
      <c r="O273" s="5" t="n">
        <v>250</v>
      </c>
      <c r="P273" s="5" t="n"/>
      <c r="Q273" s="5" t="n">
        <v>250</v>
      </c>
      <c r="R273" s="5" t="n"/>
      <c r="S273" s="5">
        <f>SUM(F273:I273)+N273</f>
        <v/>
      </c>
      <c r="T273" s="5">
        <f>J273</f>
        <v/>
      </c>
      <c r="U273" s="6">
        <f>YEAR(D273)</f>
        <v/>
      </c>
      <c r="V273" s="5">
        <f>TEXT(D273,"yyyy-mm")</f>
        <v/>
      </c>
    </row>
    <row r="274">
      <c r="A274" s="2" t="inlineStr">
        <is>
          <t>EJ020523.TXT</t>
        </is>
      </c>
      <c r="B274" s="3" t="inlineStr">
        <is>
          <t>004809</t>
        </is>
      </c>
      <c r="C274" s="3" t="inlineStr">
        <is>
          <t>003834</t>
        </is>
      </c>
      <c r="D274" s="4" t="n">
        <v>45022</v>
      </c>
      <c r="E274" s="2" t="inlineStr">
        <is>
          <t>14:09</t>
        </is>
      </c>
      <c r="F274" s="5" t="n">
        <v>208.33</v>
      </c>
      <c r="G274" s="5" t="n"/>
      <c r="H274" s="5" t="n"/>
      <c r="I274" s="5" t="n"/>
      <c r="J274" s="5" t="n">
        <v>41.67</v>
      </c>
      <c r="K274" s="5" t="n"/>
      <c r="L274" s="5" t="n"/>
      <c r="M274" s="5" t="n"/>
      <c r="N274" s="5" t="n"/>
      <c r="O274" s="5" t="n">
        <v>250</v>
      </c>
      <c r="P274" s="5" t="n"/>
      <c r="Q274" s="5" t="n">
        <v>250</v>
      </c>
      <c r="R274" s="5" t="n"/>
      <c r="S274" s="5">
        <f>SUM(F274:I274)+N274</f>
        <v/>
      </c>
      <c r="T274" s="5">
        <f>J274</f>
        <v/>
      </c>
      <c r="U274" s="6">
        <f>YEAR(D274)</f>
        <v/>
      </c>
      <c r="V274" s="5">
        <f>TEXT(D274,"yyyy-mm")</f>
        <v/>
      </c>
    </row>
    <row r="275">
      <c r="A275" s="2" t="inlineStr">
        <is>
          <t>EJ020523.TXT</t>
        </is>
      </c>
      <c r="B275" s="3" t="inlineStr">
        <is>
          <t>004810</t>
        </is>
      </c>
      <c r="C275" s="3" t="inlineStr">
        <is>
          <t>003835</t>
        </is>
      </c>
      <c r="D275" s="4" t="n">
        <v>45023</v>
      </c>
      <c r="E275" s="2" t="inlineStr">
        <is>
          <t>09:40</t>
        </is>
      </c>
      <c r="F275" s="5" t="n">
        <v>797.5</v>
      </c>
      <c r="G275" s="5" t="n"/>
      <c r="H275" s="5" t="n"/>
      <c r="I275" s="5" t="n"/>
      <c r="J275" s="5" t="n">
        <v>159.5</v>
      </c>
      <c r="K275" s="5" t="n"/>
      <c r="L275" s="5" t="n"/>
      <c r="M275" s="5" t="n"/>
      <c r="N275" s="5" t="n"/>
      <c r="O275" s="5" t="n">
        <v>957</v>
      </c>
      <c r="P275" s="5" t="n"/>
      <c r="Q275" s="5" t="n">
        <v>957</v>
      </c>
      <c r="R275" s="5" t="n"/>
      <c r="S275" s="5">
        <f>SUM(F275:I275)+N275</f>
        <v/>
      </c>
      <c r="T275" s="5">
        <f>J275</f>
        <v/>
      </c>
      <c r="U275" s="6">
        <f>YEAR(D275)</f>
        <v/>
      </c>
      <c r="V275" s="5">
        <f>TEXT(D275,"yyyy-mm")</f>
        <v/>
      </c>
    </row>
    <row r="276">
      <c r="A276" s="2" t="inlineStr">
        <is>
          <t>EJ020523.TXT</t>
        </is>
      </c>
      <c r="B276" s="3" t="inlineStr">
        <is>
          <t>004811</t>
        </is>
      </c>
      <c r="C276" s="3" t="inlineStr">
        <is>
          <t>003836</t>
        </is>
      </c>
      <c r="D276" s="4" t="n">
        <v>45023</v>
      </c>
      <c r="E276" s="2" t="inlineStr">
        <is>
          <t>13:34</t>
        </is>
      </c>
      <c r="F276" s="5" t="n">
        <v>98.33</v>
      </c>
      <c r="G276" s="5" t="n"/>
      <c r="H276" s="5" t="n"/>
      <c r="I276" s="5" t="n"/>
      <c r="J276" s="5" t="n">
        <v>19.67</v>
      </c>
      <c r="K276" s="5" t="n"/>
      <c r="L276" s="5" t="n"/>
      <c r="M276" s="5" t="n"/>
      <c r="N276" s="5" t="n"/>
      <c r="O276" s="5" t="n">
        <v>118</v>
      </c>
      <c r="P276" s="5" t="n">
        <v>118</v>
      </c>
      <c r="Q276" s="5" t="n"/>
      <c r="R276" s="5" t="n"/>
      <c r="S276" s="5">
        <f>SUM(F276:I276)+N276</f>
        <v/>
      </c>
      <c r="T276" s="5">
        <f>J276</f>
        <v/>
      </c>
      <c r="U276" s="6">
        <f>YEAR(D276)</f>
        <v/>
      </c>
      <c r="V276" s="5">
        <f>TEXT(D276,"yyyy-mm")</f>
        <v/>
      </c>
    </row>
    <row r="277">
      <c r="A277" s="2" t="inlineStr">
        <is>
          <t>EJ020523.TXT</t>
        </is>
      </c>
      <c r="B277" s="3" t="inlineStr">
        <is>
          <t>004812</t>
        </is>
      </c>
      <c r="C277" s="3" t="inlineStr">
        <is>
          <t>003837</t>
        </is>
      </c>
      <c r="D277" s="4" t="n">
        <v>45023</v>
      </c>
      <c r="E277" s="2" t="inlineStr">
        <is>
          <t>16:11</t>
        </is>
      </c>
      <c r="F277" s="5" t="n">
        <v>799.17</v>
      </c>
      <c r="G277" s="5" t="n"/>
      <c r="H277" s="5" t="n"/>
      <c r="I277" s="5" t="n"/>
      <c r="J277" s="5" t="n">
        <v>159.83</v>
      </c>
      <c r="K277" s="5" t="n"/>
      <c r="L277" s="5" t="n"/>
      <c r="M277" s="5" t="n"/>
      <c r="N277" s="5" t="n"/>
      <c r="O277" s="5" t="n">
        <v>959</v>
      </c>
      <c r="P277" s="5" t="n"/>
      <c r="Q277" s="5" t="n">
        <v>959</v>
      </c>
      <c r="R277" s="5" t="n"/>
      <c r="S277" s="5">
        <f>SUM(F277:I277)+N277</f>
        <v/>
      </c>
      <c r="T277" s="5">
        <f>J277</f>
        <v/>
      </c>
      <c r="U277" s="6">
        <f>YEAR(D277)</f>
        <v/>
      </c>
      <c r="V277" s="5">
        <f>TEXT(D277,"yyyy-mm")</f>
        <v/>
      </c>
    </row>
    <row r="278">
      <c r="A278" s="2" t="inlineStr">
        <is>
          <t>EJ020523.TXT</t>
        </is>
      </c>
      <c r="B278" s="3" t="inlineStr">
        <is>
          <t>004813</t>
        </is>
      </c>
      <c r="C278" s="3" t="inlineStr">
        <is>
          <t>003838</t>
        </is>
      </c>
      <c r="D278" s="4" t="n">
        <v>45023</v>
      </c>
      <c r="E278" s="2" t="inlineStr">
        <is>
          <t>16:17</t>
        </is>
      </c>
      <c r="F278" s="5" t="n">
        <v>208.33</v>
      </c>
      <c r="G278" s="5" t="n"/>
      <c r="H278" s="5" t="n"/>
      <c r="I278" s="5" t="n"/>
      <c r="J278" s="5" t="n">
        <v>41.67</v>
      </c>
      <c r="K278" s="5" t="n"/>
      <c r="L278" s="5" t="n"/>
      <c r="M278" s="5" t="n"/>
      <c r="N278" s="5" t="n"/>
      <c r="O278" s="5" t="n">
        <v>250</v>
      </c>
      <c r="P278" s="5" t="n"/>
      <c r="Q278" s="5" t="n">
        <v>250</v>
      </c>
      <c r="R278" s="5" t="n"/>
      <c r="S278" s="5">
        <f>SUM(F278:I278)+N278</f>
        <v/>
      </c>
      <c r="T278" s="5">
        <f>J278</f>
        <v/>
      </c>
      <c r="U278" s="6">
        <f>YEAR(D278)</f>
        <v/>
      </c>
      <c r="V278" s="5">
        <f>TEXT(D278,"yyyy-mm")</f>
        <v/>
      </c>
    </row>
    <row r="279">
      <c r="A279" s="2" t="inlineStr">
        <is>
          <t>EJ020523.TXT</t>
        </is>
      </c>
      <c r="B279" s="3" t="inlineStr">
        <is>
          <t>004814</t>
        </is>
      </c>
      <c r="C279" s="3" t="inlineStr">
        <is>
          <t>003839</t>
        </is>
      </c>
      <c r="D279" s="4" t="n">
        <v>45024</v>
      </c>
      <c r="E279" s="2" t="inlineStr">
        <is>
          <t>16:00</t>
        </is>
      </c>
      <c r="F279" s="5" t="n">
        <v>98.33</v>
      </c>
      <c r="G279" s="5" t="n"/>
      <c r="H279" s="5" t="n"/>
      <c r="I279" s="5" t="n"/>
      <c r="J279" s="5" t="n">
        <v>19.67</v>
      </c>
      <c r="K279" s="5" t="n"/>
      <c r="L279" s="5" t="n"/>
      <c r="M279" s="5" t="n"/>
      <c r="N279" s="5" t="n"/>
      <c r="O279" s="5" t="n">
        <v>118</v>
      </c>
      <c r="P279" s="5" t="n">
        <v>118</v>
      </c>
      <c r="Q279" s="5" t="n"/>
      <c r="R279" s="5" t="n"/>
      <c r="S279" s="5">
        <f>SUM(F279:I279)+N279</f>
        <v/>
      </c>
      <c r="T279" s="5">
        <f>J279</f>
        <v/>
      </c>
      <c r="U279" s="6">
        <f>YEAR(D279)</f>
        <v/>
      </c>
      <c r="V279" s="5">
        <f>TEXT(D279,"yyyy-mm")</f>
        <v/>
      </c>
    </row>
    <row r="280">
      <c r="A280" s="2" t="inlineStr">
        <is>
          <t>EJ020523.TXT</t>
        </is>
      </c>
      <c r="B280" s="3" t="inlineStr">
        <is>
          <t>004815</t>
        </is>
      </c>
      <c r="C280" s="3" t="inlineStr">
        <is>
          <t>003840</t>
        </is>
      </c>
      <c r="D280" s="4" t="n">
        <v>45027</v>
      </c>
      <c r="E280" s="2" t="inlineStr">
        <is>
          <t>09:52</t>
        </is>
      </c>
      <c r="F280" s="5" t="n">
        <v>797.5</v>
      </c>
      <c r="G280" s="5" t="n"/>
      <c r="H280" s="5" t="n"/>
      <c r="I280" s="5" t="n"/>
      <c r="J280" s="5" t="n">
        <v>159.5</v>
      </c>
      <c r="K280" s="5" t="n"/>
      <c r="L280" s="5" t="n"/>
      <c r="M280" s="5" t="n"/>
      <c r="N280" s="5" t="n"/>
      <c r="O280" s="5" t="n">
        <v>957</v>
      </c>
      <c r="P280" s="5" t="n"/>
      <c r="Q280" s="5" t="n">
        <v>957</v>
      </c>
      <c r="R280" s="5" t="n"/>
      <c r="S280" s="5">
        <f>SUM(F280:I280)+N280</f>
        <v/>
      </c>
      <c r="T280" s="5">
        <f>J280</f>
        <v/>
      </c>
      <c r="U280" s="6">
        <f>YEAR(D280)</f>
        <v/>
      </c>
      <c r="V280" s="5">
        <f>TEXT(D280,"yyyy-mm")</f>
        <v/>
      </c>
    </row>
    <row r="281">
      <c r="A281" s="2" t="inlineStr">
        <is>
          <t>EJ020523.TXT</t>
        </is>
      </c>
      <c r="B281" s="3" t="inlineStr">
        <is>
          <t>004816</t>
        </is>
      </c>
      <c r="C281" s="3" t="inlineStr">
        <is>
          <t>003841</t>
        </is>
      </c>
      <c r="D281" s="4" t="n">
        <v>45028</v>
      </c>
      <c r="E281" s="2" t="inlineStr">
        <is>
          <t>10:11</t>
        </is>
      </c>
      <c r="F281" s="5" t="n">
        <v>797.5</v>
      </c>
      <c r="G281" s="5" t="n"/>
      <c r="H281" s="5" t="n"/>
      <c r="I281" s="5" t="n"/>
      <c r="J281" s="5" t="n">
        <v>159.5</v>
      </c>
      <c r="K281" s="5" t="n"/>
      <c r="L281" s="5" t="n"/>
      <c r="M281" s="5" t="n"/>
      <c r="N281" s="5" t="n"/>
      <c r="O281" s="5" t="n">
        <v>957</v>
      </c>
      <c r="P281" s="5" t="n"/>
      <c r="Q281" s="5" t="n">
        <v>957</v>
      </c>
      <c r="R281" s="5" t="n"/>
      <c r="S281" s="5">
        <f>SUM(F281:I281)+N281</f>
        <v/>
      </c>
      <c r="T281" s="5">
        <f>J281</f>
        <v/>
      </c>
      <c r="U281" s="6">
        <f>YEAR(D281)</f>
        <v/>
      </c>
      <c r="V281" s="5">
        <f>TEXT(D281,"yyyy-mm")</f>
        <v/>
      </c>
    </row>
    <row r="282">
      <c r="A282" s="2" t="inlineStr">
        <is>
          <t>EJ020523.TXT</t>
        </is>
      </c>
      <c r="B282" s="3" t="inlineStr">
        <is>
          <t>004817</t>
        </is>
      </c>
      <c r="C282" s="3" t="inlineStr">
        <is>
          <t>003842</t>
        </is>
      </c>
      <c r="D282" s="4" t="n">
        <v>45028</v>
      </c>
      <c r="E282" s="2" t="inlineStr">
        <is>
          <t>11:28</t>
        </is>
      </c>
      <c r="F282" s="5" t="n">
        <v>263.33</v>
      </c>
      <c r="G282" s="5" t="n"/>
      <c r="H282" s="5" t="n"/>
      <c r="I282" s="5" t="n"/>
      <c r="J282" s="5" t="n">
        <v>52.67</v>
      </c>
      <c r="K282" s="5" t="n"/>
      <c r="L282" s="5" t="n"/>
      <c r="M282" s="5" t="n"/>
      <c r="N282" s="5" t="n"/>
      <c r="O282" s="5" t="n">
        <v>316</v>
      </c>
      <c r="P282" s="5" t="n">
        <v>316</v>
      </c>
      <c r="Q282" s="5" t="n"/>
      <c r="R282" s="5" t="n"/>
      <c r="S282" s="5">
        <f>SUM(F282:I282)+N282</f>
        <v/>
      </c>
      <c r="T282" s="5">
        <f>J282</f>
        <v/>
      </c>
      <c r="U282" s="6">
        <f>YEAR(D282)</f>
        <v/>
      </c>
      <c r="V282" s="5">
        <f>TEXT(D282,"yyyy-mm")</f>
        <v/>
      </c>
    </row>
    <row r="283">
      <c r="A283" s="2" t="inlineStr">
        <is>
          <t>EJ020523.TXT</t>
        </is>
      </c>
      <c r="B283" s="3" t="inlineStr">
        <is>
          <t>004818</t>
        </is>
      </c>
      <c r="C283" s="3" t="inlineStr">
        <is>
          <t>003843</t>
        </is>
      </c>
      <c r="D283" s="4" t="n">
        <v>45028</v>
      </c>
      <c r="E283" s="2" t="inlineStr">
        <is>
          <t>11:32</t>
        </is>
      </c>
      <c r="F283" s="5" t="n">
        <v>398.33</v>
      </c>
      <c r="G283" s="5" t="n"/>
      <c r="H283" s="5" t="n"/>
      <c r="I283" s="5" t="n"/>
      <c r="J283" s="5" t="n">
        <v>79.67</v>
      </c>
      <c r="K283" s="5" t="n"/>
      <c r="L283" s="5" t="n"/>
      <c r="M283" s="5" t="n"/>
      <c r="N283" s="5" t="n"/>
      <c r="O283" s="5" t="n">
        <v>478</v>
      </c>
      <c r="P283" s="5" t="n">
        <v>478</v>
      </c>
      <c r="Q283" s="5" t="n"/>
      <c r="R283" s="5" t="n"/>
      <c r="S283" s="5">
        <f>SUM(F283:I283)+N283</f>
        <v/>
      </c>
      <c r="T283" s="5">
        <f>J283</f>
        <v/>
      </c>
      <c r="U283" s="6">
        <f>YEAR(D283)</f>
        <v/>
      </c>
      <c r="V283" s="5">
        <f>TEXT(D283,"yyyy-mm")</f>
        <v/>
      </c>
    </row>
    <row r="284">
      <c r="A284" s="2" t="inlineStr">
        <is>
          <t>EJ020523.TXT</t>
        </is>
      </c>
      <c r="B284" s="3" t="inlineStr">
        <is>
          <t>004819</t>
        </is>
      </c>
      <c r="C284" s="3" t="inlineStr">
        <is>
          <t>003844</t>
        </is>
      </c>
      <c r="D284" s="4" t="n">
        <v>45028</v>
      </c>
      <c r="E284" s="2" t="inlineStr">
        <is>
          <t>16:03</t>
        </is>
      </c>
      <c r="F284" s="5" t="n">
        <v>250</v>
      </c>
      <c r="G284" s="5" t="n"/>
      <c r="H284" s="5" t="n"/>
      <c r="I284" s="5" t="n"/>
      <c r="J284" s="5" t="n">
        <v>50</v>
      </c>
      <c r="K284" s="5" t="n"/>
      <c r="L284" s="5" t="n"/>
      <c r="M284" s="5" t="n"/>
      <c r="N284" s="5" t="n"/>
      <c r="O284" s="5" t="n">
        <v>300</v>
      </c>
      <c r="P284" s="5" t="n"/>
      <c r="Q284" s="5" t="n">
        <v>300</v>
      </c>
      <c r="R284" s="5" t="n"/>
      <c r="S284" s="5">
        <f>SUM(F284:I284)+N284</f>
        <v/>
      </c>
      <c r="T284" s="5">
        <f>J284</f>
        <v/>
      </c>
      <c r="U284" s="6">
        <f>YEAR(D284)</f>
        <v/>
      </c>
      <c r="V284" s="5">
        <f>TEXT(D284,"yyyy-mm")</f>
        <v/>
      </c>
    </row>
    <row r="285">
      <c r="A285" s="2" t="inlineStr">
        <is>
          <t>EJ020523.TXT</t>
        </is>
      </c>
      <c r="B285" s="3" t="inlineStr">
        <is>
          <t>004820</t>
        </is>
      </c>
      <c r="C285" s="3" t="inlineStr">
        <is>
          <t>003845</t>
        </is>
      </c>
      <c r="D285" s="4" t="n">
        <v>45028</v>
      </c>
      <c r="E285" s="2" t="inlineStr">
        <is>
          <t>16:03</t>
        </is>
      </c>
      <c r="F285" s="5" t="n">
        <v>298.33</v>
      </c>
      <c r="G285" s="5" t="n"/>
      <c r="H285" s="5" t="n"/>
      <c r="I285" s="5" t="n"/>
      <c r="J285" s="5" t="n">
        <v>59.67</v>
      </c>
      <c r="K285" s="5" t="n"/>
      <c r="L285" s="5" t="n"/>
      <c r="M285" s="5" t="n"/>
      <c r="N285" s="5" t="n"/>
      <c r="O285" s="5" t="n">
        <v>358</v>
      </c>
      <c r="P285" s="5" t="n">
        <v>358</v>
      </c>
      <c r="Q285" s="5" t="n"/>
      <c r="R285" s="5" t="n"/>
      <c r="S285" s="5">
        <f>SUM(F285:I285)+N285</f>
        <v/>
      </c>
      <c r="T285" s="5">
        <f>J285</f>
        <v/>
      </c>
      <c r="U285" s="6">
        <f>YEAR(D285)</f>
        <v/>
      </c>
      <c r="V285" s="5">
        <f>TEXT(D285,"yyyy-mm")</f>
        <v/>
      </c>
    </row>
    <row r="286">
      <c r="A286" s="2" t="inlineStr">
        <is>
          <t>EJ020523.TXT</t>
        </is>
      </c>
      <c r="B286" s="3" t="inlineStr">
        <is>
          <t>004821</t>
        </is>
      </c>
      <c r="C286" s="3" t="inlineStr">
        <is>
          <t>003846</t>
        </is>
      </c>
      <c r="D286" s="4" t="n">
        <v>45029</v>
      </c>
      <c r="E286" s="2" t="inlineStr">
        <is>
          <t>09:52</t>
        </is>
      </c>
      <c r="F286" s="5" t="n">
        <v>797.5</v>
      </c>
      <c r="G286" s="5" t="n"/>
      <c r="H286" s="5" t="n"/>
      <c r="I286" s="5" t="n"/>
      <c r="J286" s="5" t="n">
        <v>159.5</v>
      </c>
      <c r="K286" s="5" t="n"/>
      <c r="L286" s="5" t="n"/>
      <c r="M286" s="5" t="n"/>
      <c r="N286" s="5" t="n"/>
      <c r="O286" s="5" t="n">
        <v>957</v>
      </c>
      <c r="P286" s="5" t="n"/>
      <c r="Q286" s="5" t="n">
        <v>957</v>
      </c>
      <c r="R286" s="5" t="n"/>
      <c r="S286" s="5">
        <f>SUM(F286:I286)+N286</f>
        <v/>
      </c>
      <c r="T286" s="5">
        <f>J286</f>
        <v/>
      </c>
      <c r="U286" s="6">
        <f>YEAR(D286)</f>
        <v/>
      </c>
      <c r="V286" s="5">
        <f>TEXT(D286,"yyyy-mm")</f>
        <v/>
      </c>
    </row>
    <row r="287">
      <c r="A287" s="2" t="inlineStr">
        <is>
          <t>EJ020523.TXT</t>
        </is>
      </c>
      <c r="B287" s="3" t="inlineStr">
        <is>
          <t>004822</t>
        </is>
      </c>
      <c r="C287" s="3" t="inlineStr">
        <is>
          <t>003847</t>
        </is>
      </c>
      <c r="D287" s="4" t="n">
        <v>45029</v>
      </c>
      <c r="E287" s="2" t="inlineStr">
        <is>
          <t>11:02</t>
        </is>
      </c>
      <c r="F287" s="5" t="n">
        <v>797.5</v>
      </c>
      <c r="G287" s="5" t="n"/>
      <c r="H287" s="5" t="n"/>
      <c r="I287" s="5" t="n"/>
      <c r="J287" s="5" t="n">
        <v>159.5</v>
      </c>
      <c r="K287" s="5" t="n"/>
      <c r="L287" s="5" t="n"/>
      <c r="M287" s="5" t="n"/>
      <c r="N287" s="5" t="n"/>
      <c r="O287" s="5" t="n">
        <v>957</v>
      </c>
      <c r="P287" s="5" t="n"/>
      <c r="Q287" s="5" t="n">
        <v>957</v>
      </c>
      <c r="R287" s="5" t="n"/>
      <c r="S287" s="5">
        <f>SUM(F287:I287)+N287</f>
        <v/>
      </c>
      <c r="T287" s="5">
        <f>J287</f>
        <v/>
      </c>
      <c r="U287" s="6">
        <f>YEAR(D287)</f>
        <v/>
      </c>
      <c r="V287" s="5">
        <f>TEXT(D287,"yyyy-mm")</f>
        <v/>
      </c>
    </row>
    <row r="288">
      <c r="A288" s="2" t="inlineStr">
        <is>
          <t>EJ020523.TXT</t>
        </is>
      </c>
      <c r="B288" s="3" t="inlineStr">
        <is>
          <t>004823</t>
        </is>
      </c>
      <c r="C288" s="3" t="inlineStr">
        <is>
          <t>003848</t>
        </is>
      </c>
      <c r="D288" s="4" t="n">
        <v>45031</v>
      </c>
      <c r="E288" s="2" t="inlineStr">
        <is>
          <t>15:38</t>
        </is>
      </c>
      <c r="F288" s="5" t="n">
        <v>582.5</v>
      </c>
      <c r="G288" s="5" t="n"/>
      <c r="H288" s="5" t="n"/>
      <c r="I288" s="5" t="n"/>
      <c r="J288" s="5" t="n">
        <v>116.5</v>
      </c>
      <c r="K288" s="5" t="n"/>
      <c r="L288" s="5" t="n"/>
      <c r="M288" s="5" t="n"/>
      <c r="N288" s="5" t="n"/>
      <c r="O288" s="5" t="n">
        <v>699</v>
      </c>
      <c r="P288" s="5" t="n">
        <v>699</v>
      </c>
      <c r="Q288" s="5" t="n"/>
      <c r="R288" s="5" t="n"/>
      <c r="S288" s="5">
        <f>SUM(F288:I288)+N288</f>
        <v/>
      </c>
      <c r="T288" s="5">
        <f>J288</f>
        <v/>
      </c>
      <c r="U288" s="6">
        <f>YEAR(D288)</f>
        <v/>
      </c>
      <c r="V288" s="5">
        <f>TEXT(D288,"yyyy-mm")</f>
        <v/>
      </c>
    </row>
    <row r="289">
      <c r="A289" s="2" t="inlineStr">
        <is>
          <t>EJ020523.TXT</t>
        </is>
      </c>
      <c r="B289" s="3" t="inlineStr">
        <is>
          <t>004824</t>
        </is>
      </c>
      <c r="C289" s="3" t="inlineStr">
        <is>
          <t>003849</t>
        </is>
      </c>
      <c r="D289" s="4" t="n">
        <v>45031</v>
      </c>
      <c r="E289" s="2" t="inlineStr">
        <is>
          <t>16:43</t>
        </is>
      </c>
      <c r="F289" s="5" t="n">
        <v>49.17</v>
      </c>
      <c r="G289" s="5" t="n"/>
      <c r="H289" s="5" t="n"/>
      <c r="I289" s="5" t="n"/>
      <c r="J289" s="5" t="n">
        <v>9.83</v>
      </c>
      <c r="K289" s="5" t="n"/>
      <c r="L289" s="5" t="n"/>
      <c r="M289" s="5" t="n"/>
      <c r="N289" s="5" t="n"/>
      <c r="O289" s="5" t="n">
        <v>59</v>
      </c>
      <c r="P289" s="5" t="n">
        <v>59</v>
      </c>
      <c r="Q289" s="5" t="n"/>
      <c r="R289" s="5" t="n"/>
      <c r="S289" s="5">
        <f>SUM(F289:I289)+N289</f>
        <v/>
      </c>
      <c r="T289" s="5">
        <f>J289</f>
        <v/>
      </c>
      <c r="U289" s="6">
        <f>YEAR(D289)</f>
        <v/>
      </c>
      <c r="V289" s="5">
        <f>TEXT(D289,"yyyy-mm")</f>
        <v/>
      </c>
    </row>
    <row r="290">
      <c r="A290" s="2" t="inlineStr">
        <is>
          <t>EJ020523.TXT</t>
        </is>
      </c>
      <c r="B290" s="3" t="inlineStr">
        <is>
          <t>004825</t>
        </is>
      </c>
      <c r="C290" s="3" t="inlineStr">
        <is>
          <t>003850</t>
        </is>
      </c>
      <c r="D290" s="4" t="n">
        <v>45033</v>
      </c>
      <c r="E290" s="2" t="inlineStr">
        <is>
          <t>17:37</t>
        </is>
      </c>
      <c r="F290" s="5" t="n">
        <v>582.5</v>
      </c>
      <c r="G290" s="5" t="n"/>
      <c r="H290" s="5" t="n"/>
      <c r="I290" s="5" t="n"/>
      <c r="J290" s="5" t="n">
        <v>116.5</v>
      </c>
      <c r="K290" s="5" t="n"/>
      <c r="L290" s="5" t="n"/>
      <c r="M290" s="5" t="n"/>
      <c r="N290" s="5" t="n"/>
      <c r="O290" s="5" t="n">
        <v>699</v>
      </c>
      <c r="P290" s="5" t="n"/>
      <c r="Q290" s="5" t="n">
        <v>699</v>
      </c>
      <c r="R290" s="5" t="n"/>
      <c r="S290" s="5">
        <f>SUM(F290:I290)+N290</f>
        <v/>
      </c>
      <c r="T290" s="5">
        <f>J290</f>
        <v/>
      </c>
      <c r="U290" s="6">
        <f>YEAR(D290)</f>
        <v/>
      </c>
      <c r="V290" s="5">
        <f>TEXT(D290,"yyyy-mm")</f>
        <v/>
      </c>
    </row>
    <row r="291">
      <c r="A291" s="2" t="inlineStr">
        <is>
          <t>EJ020523.TXT</t>
        </is>
      </c>
      <c r="B291" s="3" t="inlineStr">
        <is>
          <t>004826</t>
        </is>
      </c>
      <c r="C291" s="3" t="inlineStr">
        <is>
          <t>003851</t>
        </is>
      </c>
      <c r="D291" s="4" t="n">
        <v>45034</v>
      </c>
      <c r="E291" s="2" t="inlineStr">
        <is>
          <t>17:18</t>
        </is>
      </c>
      <c r="F291" s="5" t="n">
        <v>274.17</v>
      </c>
      <c r="G291" s="5" t="n"/>
      <c r="H291" s="5" t="n"/>
      <c r="I291" s="5" t="n"/>
      <c r="J291" s="5" t="n">
        <v>54.83</v>
      </c>
      <c r="K291" s="5" t="n"/>
      <c r="L291" s="5" t="n"/>
      <c r="M291" s="5" t="n"/>
      <c r="N291" s="5" t="n"/>
      <c r="O291" s="5" t="n">
        <v>329</v>
      </c>
      <c r="P291" s="5" t="n"/>
      <c r="Q291" s="5" t="n">
        <v>329</v>
      </c>
      <c r="R291" s="5" t="n"/>
      <c r="S291" s="5">
        <f>SUM(F291:I291)+N291</f>
        <v/>
      </c>
      <c r="T291" s="5">
        <f>J291</f>
        <v/>
      </c>
      <c r="U291" s="6">
        <f>YEAR(D291)</f>
        <v/>
      </c>
      <c r="V291" s="5">
        <f>TEXT(D291,"yyyy-mm")</f>
        <v/>
      </c>
    </row>
    <row r="292">
      <c r="A292" s="2" t="inlineStr">
        <is>
          <t>EJ020523.TXT</t>
        </is>
      </c>
      <c r="B292" s="3" t="inlineStr">
        <is>
          <t>004827</t>
        </is>
      </c>
      <c r="C292" s="3" t="inlineStr">
        <is>
          <t>003852</t>
        </is>
      </c>
      <c r="D292" s="4" t="n">
        <v>45035</v>
      </c>
      <c r="E292" s="2" t="inlineStr">
        <is>
          <t>14:47</t>
        </is>
      </c>
      <c r="F292" s="5" t="n">
        <v>83.33</v>
      </c>
      <c r="G292" s="5" t="n"/>
      <c r="H292" s="5" t="n"/>
      <c r="I292" s="5" t="n"/>
      <c r="J292" s="5" t="n">
        <v>16.67</v>
      </c>
      <c r="K292" s="5" t="n"/>
      <c r="L292" s="5" t="n"/>
      <c r="M292" s="5" t="n"/>
      <c r="N292" s="5" t="n"/>
      <c r="O292" s="5" t="n">
        <v>100</v>
      </c>
      <c r="P292" s="5" t="n"/>
      <c r="Q292" s="5" t="n">
        <v>100</v>
      </c>
      <c r="R292" s="5" t="n"/>
      <c r="S292" s="5">
        <f>SUM(F292:I292)+N292</f>
        <v/>
      </c>
      <c r="T292" s="5">
        <f>J292</f>
        <v/>
      </c>
      <c r="U292" s="6">
        <f>YEAR(D292)</f>
        <v/>
      </c>
      <c r="V292" s="5">
        <f>TEXT(D292,"yyyy-mm")</f>
        <v/>
      </c>
    </row>
    <row r="293">
      <c r="A293" s="2" t="inlineStr">
        <is>
          <t>EJ020523.TXT</t>
        </is>
      </c>
      <c r="B293" s="3" t="inlineStr">
        <is>
          <t>004828</t>
        </is>
      </c>
      <c r="C293" s="3" t="inlineStr">
        <is>
          <t>003853</t>
        </is>
      </c>
      <c r="D293" s="4" t="n">
        <v>45035</v>
      </c>
      <c r="E293" s="2" t="inlineStr">
        <is>
          <t>14:47</t>
        </is>
      </c>
      <c r="F293" s="5" t="n">
        <v>25</v>
      </c>
      <c r="G293" s="5" t="n"/>
      <c r="H293" s="5" t="n"/>
      <c r="I293" s="5" t="n"/>
      <c r="J293" s="5" t="n">
        <v>5</v>
      </c>
      <c r="K293" s="5" t="n"/>
      <c r="L293" s="5" t="n"/>
      <c r="M293" s="5" t="n"/>
      <c r="N293" s="5" t="n"/>
      <c r="O293" s="5" t="n">
        <v>30</v>
      </c>
      <c r="P293" s="5" t="n">
        <v>30</v>
      </c>
      <c r="Q293" s="5" t="n"/>
      <c r="R293" s="5" t="n"/>
      <c r="S293" s="5">
        <f>SUM(F293:I293)+N293</f>
        <v/>
      </c>
      <c r="T293" s="5">
        <f>J293</f>
        <v/>
      </c>
      <c r="U293" s="6">
        <f>YEAR(D293)</f>
        <v/>
      </c>
      <c r="V293" s="5">
        <f>TEXT(D293,"yyyy-mm")</f>
        <v/>
      </c>
    </row>
    <row r="294">
      <c r="A294" s="2" t="inlineStr">
        <is>
          <t>EJ020523.TXT</t>
        </is>
      </c>
      <c r="B294" s="3" t="inlineStr">
        <is>
          <t>004829</t>
        </is>
      </c>
      <c r="C294" s="3" t="inlineStr">
        <is>
          <t>003854</t>
        </is>
      </c>
      <c r="D294" s="4" t="n">
        <v>45036</v>
      </c>
      <c r="E294" s="2" t="inlineStr">
        <is>
          <t>13:53</t>
        </is>
      </c>
      <c r="F294" s="5" t="n">
        <v>650</v>
      </c>
      <c r="G294" s="5" t="n"/>
      <c r="H294" s="5" t="n"/>
      <c r="I294" s="5" t="n"/>
      <c r="J294" s="5" t="n">
        <v>130</v>
      </c>
      <c r="K294" s="5" t="n"/>
      <c r="L294" s="5" t="n"/>
      <c r="M294" s="5" t="n"/>
      <c r="N294" s="5" t="n"/>
      <c r="O294" s="5" t="n">
        <v>780</v>
      </c>
      <c r="P294" s="5" t="n"/>
      <c r="Q294" s="5" t="n">
        <v>780</v>
      </c>
      <c r="R294" s="5" t="n"/>
      <c r="S294" s="5">
        <f>SUM(F294:I294)+N294</f>
        <v/>
      </c>
      <c r="T294" s="5">
        <f>J294</f>
        <v/>
      </c>
      <c r="U294" s="6">
        <f>YEAR(D294)</f>
        <v/>
      </c>
      <c r="V294" s="5">
        <f>TEXT(D294,"yyyy-mm")</f>
        <v/>
      </c>
    </row>
    <row r="295">
      <c r="A295" s="2" t="inlineStr">
        <is>
          <t>EJ020523.TXT</t>
        </is>
      </c>
      <c r="B295" s="3" t="inlineStr">
        <is>
          <t>004830</t>
        </is>
      </c>
      <c r="C295" s="3" t="inlineStr">
        <is>
          <t>003855</t>
        </is>
      </c>
      <c r="D295" s="4" t="n">
        <v>45036</v>
      </c>
      <c r="E295" s="2" t="inlineStr">
        <is>
          <t>13:53</t>
        </is>
      </c>
      <c r="F295" s="5" t="n">
        <v>799.17</v>
      </c>
      <c r="G295" s="5" t="n"/>
      <c r="H295" s="5" t="n"/>
      <c r="I295" s="5" t="n"/>
      <c r="J295" s="5" t="n">
        <v>159.83</v>
      </c>
      <c r="K295" s="5" t="n"/>
      <c r="L295" s="5" t="n"/>
      <c r="M295" s="5" t="n"/>
      <c r="N295" s="5" t="n"/>
      <c r="O295" s="5" t="n">
        <v>959</v>
      </c>
      <c r="P295" s="5" t="n"/>
      <c r="Q295" s="5" t="n">
        <v>959</v>
      </c>
      <c r="R295" s="5" t="n"/>
      <c r="S295" s="5">
        <f>SUM(F295:I295)+N295</f>
        <v/>
      </c>
      <c r="T295" s="5">
        <f>J295</f>
        <v/>
      </c>
      <c r="U295" s="6">
        <f>YEAR(D295)</f>
        <v/>
      </c>
      <c r="V295" s="5">
        <f>TEXT(D295,"yyyy-mm")</f>
        <v/>
      </c>
    </row>
    <row r="296">
      <c r="A296" s="2" t="inlineStr">
        <is>
          <t>EJ020523.TXT</t>
        </is>
      </c>
      <c r="B296" s="3" t="inlineStr">
        <is>
          <t>004831</t>
        </is>
      </c>
      <c r="C296" s="3" t="inlineStr">
        <is>
          <t>003856</t>
        </is>
      </c>
      <c r="D296" s="4" t="n">
        <v>45036</v>
      </c>
      <c r="E296" s="2" t="inlineStr">
        <is>
          <t>15:06</t>
        </is>
      </c>
      <c r="F296" s="5" t="n">
        <v>548.33</v>
      </c>
      <c r="G296" s="5" t="n"/>
      <c r="H296" s="5" t="n"/>
      <c r="I296" s="5" t="n"/>
      <c r="J296" s="5" t="n">
        <v>109.67</v>
      </c>
      <c r="K296" s="5" t="n"/>
      <c r="L296" s="5" t="n"/>
      <c r="M296" s="5" t="n"/>
      <c r="N296" s="5" t="n"/>
      <c r="O296" s="5" t="n">
        <v>658</v>
      </c>
      <c r="P296" s="5" t="n">
        <v>658</v>
      </c>
      <c r="Q296" s="5" t="n"/>
      <c r="R296" s="5" t="n"/>
      <c r="S296" s="5">
        <f>SUM(F296:I296)+N296</f>
        <v/>
      </c>
      <c r="T296" s="5">
        <f>J296</f>
        <v/>
      </c>
      <c r="U296" s="6">
        <f>YEAR(D296)</f>
        <v/>
      </c>
      <c r="V296" s="5">
        <f>TEXT(D296,"yyyy-mm")</f>
        <v/>
      </c>
    </row>
    <row r="297">
      <c r="A297" s="2" t="inlineStr">
        <is>
          <t>EJ020523.TXT</t>
        </is>
      </c>
      <c r="B297" s="3" t="inlineStr">
        <is>
          <t>004832</t>
        </is>
      </c>
      <c r="C297" s="3" t="inlineStr">
        <is>
          <t>003857</t>
        </is>
      </c>
      <c r="D297" s="4" t="n">
        <v>45037</v>
      </c>
      <c r="E297" s="2" t="inlineStr">
        <is>
          <t>11:10</t>
        </is>
      </c>
      <c r="F297" s="5" t="n">
        <v>548.33</v>
      </c>
      <c r="G297" s="5" t="n"/>
      <c r="H297" s="5" t="n"/>
      <c r="I297" s="5" t="n"/>
      <c r="J297" s="5" t="n">
        <v>109.67</v>
      </c>
      <c r="K297" s="5" t="n"/>
      <c r="L297" s="5" t="n"/>
      <c r="M297" s="5" t="n"/>
      <c r="N297" s="5" t="n"/>
      <c r="O297" s="5" t="n">
        <v>658</v>
      </c>
      <c r="P297" s="5" t="n"/>
      <c r="Q297" s="5" t="n">
        <v>658</v>
      </c>
      <c r="R297" s="5" t="n"/>
      <c r="S297" s="5">
        <f>SUM(F297:I297)+N297</f>
        <v/>
      </c>
      <c r="T297" s="5">
        <f>J297</f>
        <v/>
      </c>
      <c r="U297" s="6">
        <f>YEAR(D297)</f>
        <v/>
      </c>
      <c r="V297" s="5">
        <f>TEXT(D297,"yyyy-mm")</f>
        <v/>
      </c>
    </row>
    <row r="298">
      <c r="A298" s="2" t="inlineStr">
        <is>
          <t>EJ020523.TXT</t>
        </is>
      </c>
      <c r="B298" s="3" t="inlineStr">
        <is>
          <t>004833</t>
        </is>
      </c>
      <c r="C298" s="3" t="inlineStr">
        <is>
          <t>003858</t>
        </is>
      </c>
      <c r="D298" s="4" t="n">
        <v>45037</v>
      </c>
      <c r="E298" s="2" t="inlineStr">
        <is>
          <t>15:13</t>
        </is>
      </c>
      <c r="F298" s="5" t="n">
        <v>548.33</v>
      </c>
      <c r="G298" s="5" t="n"/>
      <c r="H298" s="5" t="n"/>
      <c r="I298" s="5" t="n"/>
      <c r="J298" s="5" t="n">
        <v>109.67</v>
      </c>
      <c r="K298" s="5" t="n"/>
      <c r="L298" s="5" t="n"/>
      <c r="M298" s="5" t="n"/>
      <c r="N298" s="5" t="n"/>
      <c r="O298" s="5" t="n">
        <v>658</v>
      </c>
      <c r="P298" s="5" t="n">
        <v>658</v>
      </c>
      <c r="Q298" s="5" t="n"/>
      <c r="R298" s="5" t="n"/>
      <c r="S298" s="5">
        <f>SUM(F298:I298)+N298</f>
        <v/>
      </c>
      <c r="T298" s="5">
        <f>J298</f>
        <v/>
      </c>
      <c r="U298" s="6">
        <f>YEAR(D298)</f>
        <v/>
      </c>
      <c r="V298" s="5">
        <f>TEXT(D298,"yyyy-mm")</f>
        <v/>
      </c>
    </row>
    <row r="299">
      <c r="A299" s="2" t="inlineStr">
        <is>
          <t>EJ020523.TXT</t>
        </is>
      </c>
      <c r="B299" s="3" t="inlineStr">
        <is>
          <t>004834</t>
        </is>
      </c>
      <c r="C299" s="3" t="inlineStr">
        <is>
          <t>003859</t>
        </is>
      </c>
      <c r="D299" s="4" t="n">
        <v>45037</v>
      </c>
      <c r="E299" s="2" t="inlineStr">
        <is>
          <t>16:51</t>
        </is>
      </c>
      <c r="F299" s="5" t="n">
        <v>274.17</v>
      </c>
      <c r="G299" s="5" t="n"/>
      <c r="H299" s="5" t="n"/>
      <c r="I299" s="5" t="n"/>
      <c r="J299" s="5" t="n">
        <v>54.83</v>
      </c>
      <c r="K299" s="5" t="n"/>
      <c r="L299" s="5" t="n"/>
      <c r="M299" s="5" t="n"/>
      <c r="N299" s="5" t="n"/>
      <c r="O299" s="5" t="n">
        <v>329</v>
      </c>
      <c r="P299" s="5" t="n">
        <v>329</v>
      </c>
      <c r="Q299" s="5" t="n"/>
      <c r="R299" s="5" t="n"/>
      <c r="S299" s="5">
        <f>SUM(F299:I299)+N299</f>
        <v/>
      </c>
      <c r="T299" s="5">
        <f>J299</f>
        <v/>
      </c>
      <c r="U299" s="6">
        <f>YEAR(D299)</f>
        <v/>
      </c>
      <c r="V299" s="5">
        <f>TEXT(D299,"yyyy-mm")</f>
        <v/>
      </c>
    </row>
    <row r="300">
      <c r="A300" s="2" t="inlineStr">
        <is>
          <t>EJ020523.TXT</t>
        </is>
      </c>
      <c r="B300" s="3" t="inlineStr">
        <is>
          <t>004835</t>
        </is>
      </c>
      <c r="C300" s="3" t="inlineStr">
        <is>
          <t>003860</t>
        </is>
      </c>
      <c r="D300" s="4" t="n">
        <v>45038</v>
      </c>
      <c r="E300" s="2" t="inlineStr">
        <is>
          <t>15:51</t>
        </is>
      </c>
      <c r="F300" s="5" t="n">
        <v>548.33</v>
      </c>
      <c r="G300" s="5" t="n"/>
      <c r="H300" s="5" t="n"/>
      <c r="I300" s="5" t="n"/>
      <c r="J300" s="5" t="n">
        <v>109.67</v>
      </c>
      <c r="K300" s="5" t="n"/>
      <c r="L300" s="5" t="n"/>
      <c r="M300" s="5" t="n"/>
      <c r="N300" s="5" t="n"/>
      <c r="O300" s="5" t="n">
        <v>658</v>
      </c>
      <c r="P300" s="5" t="n">
        <v>658</v>
      </c>
      <c r="Q300" s="5" t="n"/>
      <c r="R300" s="5" t="n"/>
      <c r="S300" s="5">
        <f>SUM(F300:I300)+N300</f>
        <v/>
      </c>
      <c r="T300" s="5">
        <f>J300</f>
        <v/>
      </c>
      <c r="U300" s="6">
        <f>YEAR(D300)</f>
        <v/>
      </c>
      <c r="V300" s="5">
        <f>TEXT(D300,"yyyy-mm")</f>
        <v/>
      </c>
    </row>
    <row r="301">
      <c r="A301" s="2" t="inlineStr">
        <is>
          <t>EJ020523.TXT</t>
        </is>
      </c>
      <c r="B301" s="3" t="inlineStr">
        <is>
          <t>004836</t>
        </is>
      </c>
      <c r="C301" s="3" t="inlineStr">
        <is>
          <t>003861</t>
        </is>
      </c>
      <c r="D301" s="4" t="n">
        <v>45040</v>
      </c>
      <c r="E301" s="2" t="inlineStr">
        <is>
          <t>10:05</t>
        </is>
      </c>
      <c r="F301" s="5" t="n">
        <v>10400</v>
      </c>
      <c r="G301" s="5" t="n"/>
      <c r="H301" s="5" t="n"/>
      <c r="I301" s="5" t="n"/>
      <c r="J301" s="5" t="n">
        <v>2080</v>
      </c>
      <c r="K301" s="5" t="n"/>
      <c r="L301" s="5" t="n"/>
      <c r="M301" s="5" t="n"/>
      <c r="N301" s="5" t="n"/>
      <c r="O301" s="5" t="n">
        <v>12480</v>
      </c>
      <c r="P301" s="5" t="n">
        <v>12480</v>
      </c>
      <c r="Q301" s="5" t="n"/>
      <c r="R301" s="5" t="n"/>
      <c r="S301" s="5">
        <f>SUM(F301:I301)+N301</f>
        <v/>
      </c>
      <c r="T301" s="5">
        <f>J301</f>
        <v/>
      </c>
      <c r="U301" s="6">
        <f>YEAR(D301)</f>
        <v/>
      </c>
      <c r="V301" s="5">
        <f>TEXT(D301,"yyyy-mm")</f>
        <v/>
      </c>
    </row>
    <row r="302">
      <c r="A302" s="2" t="inlineStr">
        <is>
          <t>EJ020523.TXT</t>
        </is>
      </c>
      <c r="B302" s="3" t="inlineStr">
        <is>
          <t>004837</t>
        </is>
      </c>
      <c r="C302" s="3" t="inlineStr">
        <is>
          <t>003862</t>
        </is>
      </c>
      <c r="D302" s="4" t="n">
        <v>45040</v>
      </c>
      <c r="E302" s="2" t="inlineStr">
        <is>
          <t>15:56</t>
        </is>
      </c>
      <c r="F302" s="5" t="n">
        <v>274.17</v>
      </c>
      <c r="G302" s="5" t="n"/>
      <c r="H302" s="5" t="n"/>
      <c r="I302" s="5" t="n"/>
      <c r="J302" s="5" t="n">
        <v>54.83</v>
      </c>
      <c r="K302" s="5" t="n"/>
      <c r="L302" s="5" t="n"/>
      <c r="M302" s="5" t="n"/>
      <c r="N302" s="5" t="n"/>
      <c r="O302" s="5" t="n">
        <v>329</v>
      </c>
      <c r="P302" s="5" t="n">
        <v>329</v>
      </c>
      <c r="Q302" s="5" t="n"/>
      <c r="R302" s="5" t="n"/>
      <c r="S302" s="5">
        <f>SUM(F302:I302)+N302</f>
        <v/>
      </c>
      <c r="T302" s="5">
        <f>J302</f>
        <v/>
      </c>
      <c r="U302" s="6">
        <f>YEAR(D302)</f>
        <v/>
      </c>
      <c r="V302" s="5">
        <f>TEXT(D302,"yyyy-mm")</f>
        <v/>
      </c>
    </row>
    <row r="303">
      <c r="A303" s="2" t="inlineStr">
        <is>
          <t>EJ020523.TXT</t>
        </is>
      </c>
      <c r="B303" s="3" t="inlineStr">
        <is>
          <t>004838</t>
        </is>
      </c>
      <c r="C303" s="3" t="inlineStr">
        <is>
          <t>003863</t>
        </is>
      </c>
      <c r="D303" s="4" t="n">
        <v>45041</v>
      </c>
      <c r="E303" s="2" t="inlineStr">
        <is>
          <t>15:14</t>
        </is>
      </c>
      <c r="F303" s="5" t="n">
        <v>500</v>
      </c>
      <c r="G303" s="5" t="n"/>
      <c r="H303" s="5" t="n"/>
      <c r="I303" s="5" t="n"/>
      <c r="J303" s="5" t="n">
        <v>100</v>
      </c>
      <c r="K303" s="5" t="n"/>
      <c r="L303" s="5" t="n"/>
      <c r="M303" s="5" t="n"/>
      <c r="N303" s="5" t="n"/>
      <c r="O303" s="5" t="n">
        <v>600</v>
      </c>
      <c r="P303" s="5" t="n">
        <v>600</v>
      </c>
      <c r="Q303" s="5" t="n"/>
      <c r="R303" s="5" t="n"/>
      <c r="S303" s="5">
        <f>SUM(F303:I303)+N303</f>
        <v/>
      </c>
      <c r="T303" s="5">
        <f>J303</f>
        <v/>
      </c>
      <c r="U303" s="6">
        <f>YEAR(D303)</f>
        <v/>
      </c>
      <c r="V303" s="5">
        <f>TEXT(D303,"yyyy-mm")</f>
        <v/>
      </c>
    </row>
    <row r="304">
      <c r="A304" s="2" t="inlineStr">
        <is>
          <t>EJ020523.TXT</t>
        </is>
      </c>
      <c r="B304" s="3" t="inlineStr">
        <is>
          <t>004839</t>
        </is>
      </c>
      <c r="C304" s="3" t="inlineStr">
        <is>
          <t>003864</t>
        </is>
      </c>
      <c r="D304" s="4" t="n">
        <v>45041</v>
      </c>
      <c r="E304" s="2" t="inlineStr">
        <is>
          <t>17:15</t>
        </is>
      </c>
      <c r="F304" s="5" t="n">
        <v>548.33</v>
      </c>
      <c r="G304" s="5" t="n"/>
      <c r="H304" s="5" t="n"/>
      <c r="I304" s="5" t="n"/>
      <c r="J304" s="5" t="n">
        <v>109.67</v>
      </c>
      <c r="K304" s="5" t="n"/>
      <c r="L304" s="5" t="n"/>
      <c r="M304" s="5" t="n"/>
      <c r="N304" s="5" t="n"/>
      <c r="O304" s="5" t="n">
        <v>658</v>
      </c>
      <c r="P304" s="5" t="n">
        <v>658</v>
      </c>
      <c r="Q304" s="5" t="n"/>
      <c r="R304" s="5" t="n"/>
      <c r="S304" s="5">
        <f>SUM(F304:I304)+N304</f>
        <v/>
      </c>
      <c r="T304" s="5">
        <f>J304</f>
        <v/>
      </c>
      <c r="U304" s="6">
        <f>YEAR(D304)</f>
        <v/>
      </c>
      <c r="V304" s="5">
        <f>TEXT(D304,"yyyy-mm")</f>
        <v/>
      </c>
    </row>
    <row r="305">
      <c r="A305" s="2" t="inlineStr">
        <is>
          <t>EJ020523.TXT</t>
        </is>
      </c>
      <c r="B305" s="3" t="inlineStr">
        <is>
          <t>004840</t>
        </is>
      </c>
      <c r="C305" s="3" t="inlineStr">
        <is>
          <t>003865</t>
        </is>
      </c>
      <c r="D305" s="4" t="n">
        <v>45042</v>
      </c>
      <c r="E305" s="2" t="inlineStr">
        <is>
          <t>13:46</t>
        </is>
      </c>
      <c r="F305" s="5" t="n">
        <v>615</v>
      </c>
      <c r="G305" s="5" t="n"/>
      <c r="H305" s="5" t="n"/>
      <c r="I305" s="5" t="n"/>
      <c r="J305" s="5" t="n">
        <v>123</v>
      </c>
      <c r="K305" s="5" t="n"/>
      <c r="L305" s="5" t="n"/>
      <c r="M305" s="5" t="n"/>
      <c r="N305" s="5" t="n"/>
      <c r="O305" s="5" t="n">
        <v>738</v>
      </c>
      <c r="P305" s="5" t="n">
        <v>738</v>
      </c>
      <c r="Q305" s="5" t="n"/>
      <c r="R305" s="5" t="n"/>
      <c r="S305" s="5">
        <f>SUM(F305:I305)+N305</f>
        <v/>
      </c>
      <c r="T305" s="5">
        <f>J305</f>
        <v/>
      </c>
      <c r="U305" s="6">
        <f>YEAR(D305)</f>
        <v/>
      </c>
      <c r="V305" s="5">
        <f>TEXT(D305,"yyyy-mm")</f>
        <v/>
      </c>
    </row>
    <row r="306">
      <c r="A306" s="2" t="inlineStr">
        <is>
          <t>EJ020523.TXT</t>
        </is>
      </c>
      <c r="B306" s="3" t="inlineStr">
        <is>
          <t>004841</t>
        </is>
      </c>
      <c r="C306" s="3" t="inlineStr">
        <is>
          <t>003866</t>
        </is>
      </c>
      <c r="D306" s="4" t="n">
        <v>45042</v>
      </c>
      <c r="E306" s="2" t="inlineStr">
        <is>
          <t>15:19</t>
        </is>
      </c>
      <c r="F306" s="5" t="n">
        <v>548.33</v>
      </c>
      <c r="G306" s="5" t="n"/>
      <c r="H306" s="5" t="n"/>
      <c r="I306" s="5" t="n"/>
      <c r="J306" s="5" t="n">
        <v>109.67</v>
      </c>
      <c r="K306" s="5" t="n"/>
      <c r="L306" s="5" t="n"/>
      <c r="M306" s="5" t="n"/>
      <c r="N306" s="5" t="n"/>
      <c r="O306" s="5" t="n">
        <v>658</v>
      </c>
      <c r="P306" s="5" t="n">
        <v>658</v>
      </c>
      <c r="Q306" s="5" t="n"/>
      <c r="R306" s="5" t="n"/>
      <c r="S306" s="5">
        <f>SUM(F306:I306)+N306</f>
        <v/>
      </c>
      <c r="T306" s="5">
        <f>J306</f>
        <v/>
      </c>
      <c r="U306" s="6">
        <f>YEAR(D306)</f>
        <v/>
      </c>
      <c r="V306" s="5">
        <f>TEXT(D306,"yyyy-mm")</f>
        <v/>
      </c>
    </row>
    <row r="307">
      <c r="A307" s="2" t="inlineStr">
        <is>
          <t>EJ020523.TXT</t>
        </is>
      </c>
      <c r="B307" s="3" t="inlineStr">
        <is>
          <t>004842</t>
        </is>
      </c>
      <c r="C307" s="3" t="inlineStr">
        <is>
          <t>003867</t>
        </is>
      </c>
      <c r="D307" s="4" t="n">
        <v>45043</v>
      </c>
      <c r="E307" s="2" t="inlineStr">
        <is>
          <t>14:01</t>
        </is>
      </c>
      <c r="F307" s="5" t="n">
        <v>531.67</v>
      </c>
      <c r="G307" s="5" t="n"/>
      <c r="H307" s="5" t="n"/>
      <c r="I307" s="5" t="n"/>
      <c r="J307" s="5" t="n">
        <v>106.33</v>
      </c>
      <c r="K307" s="5" t="n"/>
      <c r="L307" s="5" t="n"/>
      <c r="M307" s="5" t="n"/>
      <c r="N307" s="5" t="n"/>
      <c r="O307" s="5" t="n">
        <v>638</v>
      </c>
      <c r="P307" s="5" t="n"/>
      <c r="Q307" s="5" t="n">
        <v>638</v>
      </c>
      <c r="R307" s="5" t="n"/>
      <c r="S307" s="5">
        <f>SUM(F307:I307)+N307</f>
        <v/>
      </c>
      <c r="T307" s="5">
        <f>J307</f>
        <v/>
      </c>
      <c r="U307" s="6">
        <f>YEAR(D307)</f>
        <v/>
      </c>
      <c r="V307" s="5">
        <f>TEXT(D307,"yyyy-mm")</f>
        <v/>
      </c>
    </row>
    <row r="308">
      <c r="A308" s="2" t="inlineStr">
        <is>
          <t>EJ020523.TXT</t>
        </is>
      </c>
      <c r="B308" s="3" t="inlineStr">
        <is>
          <t>004843</t>
        </is>
      </c>
      <c r="C308" s="3" t="inlineStr">
        <is>
          <t>003868</t>
        </is>
      </c>
      <c r="D308" s="4" t="n">
        <v>45043</v>
      </c>
      <c r="E308" s="2" t="inlineStr">
        <is>
          <t>14:11</t>
        </is>
      </c>
      <c r="F308" s="5" t="n">
        <v>274.17</v>
      </c>
      <c r="G308" s="5" t="n"/>
      <c r="H308" s="5" t="n"/>
      <c r="I308" s="5" t="n"/>
      <c r="J308" s="5" t="n">
        <v>54.83</v>
      </c>
      <c r="K308" s="5" t="n"/>
      <c r="L308" s="5" t="n"/>
      <c r="M308" s="5" t="n"/>
      <c r="N308" s="5" t="n"/>
      <c r="O308" s="5" t="n">
        <v>329</v>
      </c>
      <c r="P308" s="5" t="n">
        <v>329</v>
      </c>
      <c r="Q308" s="5" t="n"/>
      <c r="R308" s="5" t="n"/>
      <c r="S308" s="5">
        <f>SUM(F308:I308)+N308</f>
        <v/>
      </c>
      <c r="T308" s="5">
        <f>J308</f>
        <v/>
      </c>
      <c r="U308" s="6">
        <f>YEAR(D308)</f>
        <v/>
      </c>
      <c r="V308" s="5">
        <f>TEXT(D308,"yyyy-mm")</f>
        <v/>
      </c>
    </row>
    <row r="309">
      <c r="A309" s="2" t="inlineStr">
        <is>
          <t>EJ020523.TXT</t>
        </is>
      </c>
      <c r="B309" s="3" t="inlineStr">
        <is>
          <t>004844</t>
        </is>
      </c>
      <c r="C309" s="3" t="inlineStr">
        <is>
          <t>003869</t>
        </is>
      </c>
      <c r="D309" s="4" t="n">
        <v>45043</v>
      </c>
      <c r="E309" s="2" t="inlineStr">
        <is>
          <t>15:33</t>
        </is>
      </c>
      <c r="F309" s="5" t="n">
        <v>305</v>
      </c>
      <c r="G309" s="5" t="n"/>
      <c r="H309" s="5" t="n"/>
      <c r="I309" s="5" t="n"/>
      <c r="J309" s="5" t="n">
        <v>61</v>
      </c>
      <c r="K309" s="5" t="n"/>
      <c r="L309" s="5" t="n"/>
      <c r="M309" s="5" t="n"/>
      <c r="N309" s="5" t="n"/>
      <c r="O309" s="5" t="n">
        <v>366</v>
      </c>
      <c r="P309" s="5" t="n"/>
      <c r="Q309" s="5" t="n">
        <v>366</v>
      </c>
      <c r="R309" s="5" t="n"/>
      <c r="S309" s="5">
        <f>SUM(F309:I309)+N309</f>
        <v/>
      </c>
      <c r="T309" s="5">
        <f>J309</f>
        <v/>
      </c>
      <c r="U309" s="6">
        <f>YEAR(D309)</f>
        <v/>
      </c>
      <c r="V309" s="5">
        <f>TEXT(D309,"yyyy-mm")</f>
        <v/>
      </c>
    </row>
    <row r="310">
      <c r="A310" s="2" t="inlineStr">
        <is>
          <t>EJ020523.TXT</t>
        </is>
      </c>
      <c r="B310" s="3" t="inlineStr">
        <is>
          <t>004845</t>
        </is>
      </c>
      <c r="C310" s="3" t="inlineStr">
        <is>
          <t>003870</t>
        </is>
      </c>
      <c r="D310" s="4" t="n">
        <v>45044</v>
      </c>
      <c r="E310" s="2" t="inlineStr">
        <is>
          <t>10:40</t>
        </is>
      </c>
      <c r="F310" s="5" t="n">
        <v>822.5</v>
      </c>
      <c r="G310" s="5" t="n"/>
      <c r="H310" s="5" t="n"/>
      <c r="I310" s="5" t="n"/>
      <c r="J310" s="5" t="n">
        <v>164.5</v>
      </c>
      <c r="K310" s="5" t="n"/>
      <c r="L310" s="5" t="n"/>
      <c r="M310" s="5" t="n"/>
      <c r="N310" s="5" t="n"/>
      <c r="O310" s="5" t="n">
        <v>987</v>
      </c>
      <c r="P310" s="5" t="n"/>
      <c r="Q310" s="5" t="n">
        <v>987</v>
      </c>
      <c r="R310" s="5" t="n"/>
      <c r="S310" s="5">
        <f>SUM(F310:I310)+N310</f>
        <v/>
      </c>
      <c r="T310" s="5">
        <f>J310</f>
        <v/>
      </c>
      <c r="U310" s="6">
        <f>YEAR(D310)</f>
        <v/>
      </c>
      <c r="V310" s="5">
        <f>TEXT(D310,"yyyy-mm")</f>
        <v/>
      </c>
    </row>
    <row r="311">
      <c r="A311" s="2" t="inlineStr">
        <is>
          <t>EJ020523.TXT</t>
        </is>
      </c>
      <c r="B311" s="3" t="inlineStr">
        <is>
          <t>004846</t>
        </is>
      </c>
      <c r="C311" s="3" t="inlineStr">
        <is>
          <t>003871</t>
        </is>
      </c>
      <c r="D311" s="4" t="n">
        <v>45044</v>
      </c>
      <c r="E311" s="2" t="inlineStr">
        <is>
          <t>10:40</t>
        </is>
      </c>
      <c r="F311" s="5" t="n">
        <v>822.5</v>
      </c>
      <c r="G311" s="5" t="n"/>
      <c r="H311" s="5" t="n"/>
      <c r="I311" s="5" t="n"/>
      <c r="J311" s="5" t="n">
        <v>164.5</v>
      </c>
      <c r="K311" s="5" t="n"/>
      <c r="L311" s="5" t="n"/>
      <c r="M311" s="5" t="n"/>
      <c r="N311" s="5" t="n"/>
      <c r="O311" s="5" t="n">
        <v>987</v>
      </c>
      <c r="P311" s="5" t="n"/>
      <c r="Q311" s="5" t="n">
        <v>987</v>
      </c>
      <c r="R311" s="5" t="n"/>
      <c r="S311" s="5">
        <f>SUM(F311:I311)+N311</f>
        <v/>
      </c>
      <c r="T311" s="5">
        <f>J311</f>
        <v/>
      </c>
      <c r="U311" s="6">
        <f>YEAR(D311)</f>
        <v/>
      </c>
      <c r="V311" s="5">
        <f>TEXT(D311,"yyyy-mm")</f>
        <v/>
      </c>
    </row>
    <row r="312">
      <c r="A312" s="2" t="inlineStr">
        <is>
          <t>EJ020523.TXT</t>
        </is>
      </c>
      <c r="B312" s="3" t="inlineStr">
        <is>
          <t>004847</t>
        </is>
      </c>
      <c r="C312" s="3" t="inlineStr">
        <is>
          <t>003872</t>
        </is>
      </c>
      <c r="D312" s="4" t="n">
        <v>45044</v>
      </c>
      <c r="E312" s="2" t="inlineStr">
        <is>
          <t>14:42</t>
        </is>
      </c>
      <c r="F312" s="5" t="n">
        <v>582.5</v>
      </c>
      <c r="G312" s="5" t="n"/>
      <c r="H312" s="5" t="n"/>
      <c r="I312" s="5" t="n"/>
      <c r="J312" s="5" t="n">
        <v>116.5</v>
      </c>
      <c r="K312" s="5" t="n"/>
      <c r="L312" s="5" t="n"/>
      <c r="M312" s="5" t="n"/>
      <c r="N312" s="5" t="n"/>
      <c r="O312" s="5" t="n">
        <v>699</v>
      </c>
      <c r="P312" s="5" t="n"/>
      <c r="Q312" s="5" t="n">
        <v>699</v>
      </c>
      <c r="R312" s="5" t="n"/>
      <c r="S312" s="5">
        <f>SUM(F312:I312)+N312</f>
        <v/>
      </c>
      <c r="T312" s="5">
        <f>J312</f>
        <v/>
      </c>
      <c r="U312" s="6">
        <f>YEAR(D312)</f>
        <v/>
      </c>
      <c r="V312" s="5">
        <f>TEXT(D312,"yyyy-mm")</f>
        <v/>
      </c>
    </row>
    <row r="313">
      <c r="A313" s="2" t="inlineStr">
        <is>
          <t>EJ020523.TXT</t>
        </is>
      </c>
      <c r="B313" s="3" t="inlineStr">
        <is>
          <t>004848</t>
        </is>
      </c>
      <c r="C313" s="3" t="inlineStr">
        <is>
          <t>003873</t>
        </is>
      </c>
      <c r="D313" s="4" t="n">
        <v>45044</v>
      </c>
      <c r="E313" s="2" t="inlineStr">
        <is>
          <t>14:42</t>
        </is>
      </c>
      <c r="F313" s="5" t="n">
        <v>582.5</v>
      </c>
      <c r="G313" s="5" t="n"/>
      <c r="H313" s="5" t="n"/>
      <c r="I313" s="5" t="n"/>
      <c r="J313" s="5" t="n">
        <v>116.5</v>
      </c>
      <c r="K313" s="5" t="n"/>
      <c r="L313" s="5" t="n"/>
      <c r="M313" s="5" t="n"/>
      <c r="N313" s="5" t="n"/>
      <c r="O313" s="5" t="n">
        <v>699</v>
      </c>
      <c r="P313" s="5" t="n"/>
      <c r="Q313" s="5" t="n">
        <v>699</v>
      </c>
      <c r="R313" s="5" t="n"/>
      <c r="S313" s="5">
        <f>SUM(F313:I313)+N313</f>
        <v/>
      </c>
      <c r="T313" s="5">
        <f>J313</f>
        <v/>
      </c>
      <c r="U313" s="6">
        <f>YEAR(D313)</f>
        <v/>
      </c>
      <c r="V313" s="5">
        <f>TEXT(D313,"yyyy-mm")</f>
        <v/>
      </c>
    </row>
    <row r="314">
      <c r="A314" s="2" t="inlineStr">
        <is>
          <t>EJ020523.TXT</t>
        </is>
      </c>
      <c r="B314" s="3" t="inlineStr">
        <is>
          <t>004849</t>
        </is>
      </c>
      <c r="C314" s="3" t="inlineStr">
        <is>
          <t>003874</t>
        </is>
      </c>
      <c r="D314" s="4" t="n">
        <v>45044</v>
      </c>
      <c r="E314" s="2" t="inlineStr">
        <is>
          <t>14:42</t>
        </is>
      </c>
      <c r="F314" s="5" t="n">
        <v>650</v>
      </c>
      <c r="G314" s="5" t="n"/>
      <c r="H314" s="5" t="n"/>
      <c r="I314" s="5" t="n"/>
      <c r="J314" s="5" t="n">
        <v>130</v>
      </c>
      <c r="K314" s="5" t="n"/>
      <c r="L314" s="5" t="n"/>
      <c r="M314" s="5" t="n"/>
      <c r="N314" s="5" t="n"/>
      <c r="O314" s="5" t="n">
        <v>780</v>
      </c>
      <c r="P314" s="5" t="n"/>
      <c r="Q314" s="5" t="n">
        <v>780</v>
      </c>
      <c r="R314" s="5" t="n"/>
      <c r="S314" s="5">
        <f>SUM(F314:I314)+N314</f>
        <v/>
      </c>
      <c r="T314" s="5">
        <f>J314</f>
        <v/>
      </c>
      <c r="U314" s="6">
        <f>YEAR(D314)</f>
        <v/>
      </c>
      <c r="V314" s="5">
        <f>TEXT(D314,"yyyy-mm")</f>
        <v/>
      </c>
    </row>
    <row r="315">
      <c r="A315" s="2" t="inlineStr">
        <is>
          <t>EJ020523.TXT</t>
        </is>
      </c>
      <c r="B315" s="3" t="inlineStr">
        <is>
          <t>004850</t>
        </is>
      </c>
      <c r="C315" s="3" t="inlineStr">
        <is>
          <t>003875</t>
        </is>
      </c>
      <c r="D315" s="4" t="n">
        <v>45045</v>
      </c>
      <c r="E315" s="2" t="inlineStr">
        <is>
          <t>11:03</t>
        </is>
      </c>
      <c r="F315" s="5" t="n">
        <v>715.83</v>
      </c>
      <c r="G315" s="5" t="n"/>
      <c r="H315" s="5" t="n"/>
      <c r="I315" s="5" t="n"/>
      <c r="J315" s="5" t="n">
        <v>143.17</v>
      </c>
      <c r="K315" s="5" t="n"/>
      <c r="L315" s="5" t="n"/>
      <c r="M315" s="5" t="n"/>
      <c r="N315" s="5" t="n"/>
      <c r="O315" s="5" t="n">
        <v>859</v>
      </c>
      <c r="P315" s="5" t="n"/>
      <c r="Q315" s="5" t="n">
        <v>859</v>
      </c>
      <c r="R315" s="5" t="n"/>
      <c r="S315" s="5">
        <f>SUM(F315:I315)+N315</f>
        <v/>
      </c>
      <c r="T315" s="5">
        <f>J315</f>
        <v/>
      </c>
      <c r="U315" s="6">
        <f>YEAR(D315)</f>
        <v/>
      </c>
      <c r="V315" s="5">
        <f>TEXT(D315,"yyyy-mm")</f>
        <v/>
      </c>
    </row>
    <row r="316">
      <c r="A316" s="2" t="inlineStr">
        <is>
          <t>EJ020523.TXT</t>
        </is>
      </c>
      <c r="B316" s="3" t="inlineStr">
        <is>
          <t>004851</t>
        </is>
      </c>
      <c r="C316" s="3" t="inlineStr">
        <is>
          <t>003876</t>
        </is>
      </c>
      <c r="D316" s="4" t="n">
        <v>45045</v>
      </c>
      <c r="E316" s="2" t="inlineStr">
        <is>
          <t>11:04</t>
        </is>
      </c>
      <c r="F316" s="5" t="n">
        <v>650</v>
      </c>
      <c r="G316" s="5" t="n"/>
      <c r="H316" s="5" t="n"/>
      <c r="I316" s="5" t="n"/>
      <c r="J316" s="5" t="n">
        <v>130</v>
      </c>
      <c r="K316" s="5" t="n"/>
      <c r="L316" s="5" t="n"/>
      <c r="M316" s="5" t="n"/>
      <c r="N316" s="5" t="n"/>
      <c r="O316" s="5" t="n">
        <v>780</v>
      </c>
      <c r="P316" s="5" t="n"/>
      <c r="Q316" s="5" t="n">
        <v>780</v>
      </c>
      <c r="R316" s="5" t="n"/>
      <c r="S316" s="5">
        <f>SUM(F316:I316)+N316</f>
        <v/>
      </c>
      <c r="T316" s="5">
        <f>J316</f>
        <v/>
      </c>
      <c r="U316" s="6">
        <f>YEAR(D316)</f>
        <v/>
      </c>
      <c r="V316" s="5">
        <f>TEXT(D316,"yyyy-mm")</f>
        <v/>
      </c>
    </row>
    <row r="317">
      <c r="A317" s="2" t="inlineStr">
        <is>
          <t>EJ020523.TXT</t>
        </is>
      </c>
      <c r="B317" s="3" t="inlineStr">
        <is>
          <t>004852</t>
        </is>
      </c>
      <c r="C317" s="3" t="inlineStr">
        <is>
          <t>003877</t>
        </is>
      </c>
      <c r="D317" s="4" t="n">
        <v>45045</v>
      </c>
      <c r="E317" s="2" t="inlineStr">
        <is>
          <t>11:05</t>
        </is>
      </c>
      <c r="F317" s="5" t="n">
        <v>715.83</v>
      </c>
      <c r="G317" s="5" t="n"/>
      <c r="H317" s="5" t="n"/>
      <c r="I317" s="5" t="n"/>
      <c r="J317" s="5" t="n">
        <v>143.17</v>
      </c>
      <c r="K317" s="5" t="n"/>
      <c r="L317" s="5" t="n"/>
      <c r="M317" s="5" t="n"/>
      <c r="N317" s="5" t="n"/>
      <c r="O317" s="5" t="n">
        <v>859</v>
      </c>
      <c r="P317" s="5" t="n"/>
      <c r="Q317" s="5" t="n">
        <v>859</v>
      </c>
      <c r="R317" s="5" t="n"/>
      <c r="S317" s="5">
        <f>SUM(F317:I317)+N317</f>
        <v/>
      </c>
      <c r="T317" s="5">
        <f>J317</f>
        <v/>
      </c>
      <c r="U317" s="6">
        <f>YEAR(D317)</f>
        <v/>
      </c>
      <c r="V317" s="5">
        <f>TEXT(D317,"yyyy-mm")</f>
        <v/>
      </c>
    </row>
    <row r="318">
      <c r="A318" s="2" t="inlineStr">
        <is>
          <t>EJ020523.TXT</t>
        </is>
      </c>
      <c r="B318" s="3" t="inlineStr">
        <is>
          <t>004853</t>
        </is>
      </c>
      <c r="C318" s="3" t="inlineStr">
        <is>
          <t>003878</t>
        </is>
      </c>
      <c r="D318" s="4" t="n">
        <v>45045</v>
      </c>
      <c r="E318" s="2" t="inlineStr">
        <is>
          <t>16:36</t>
        </is>
      </c>
      <c r="F318" s="5" t="n">
        <v>655.83</v>
      </c>
      <c r="G318" s="5" t="n"/>
      <c r="H318" s="5" t="n"/>
      <c r="I318" s="5" t="n"/>
      <c r="J318" s="5" t="n">
        <v>131.17</v>
      </c>
      <c r="K318" s="5" t="n"/>
      <c r="L318" s="5" t="n"/>
      <c r="M318" s="5" t="n"/>
      <c r="N318" s="5" t="n"/>
      <c r="O318" s="5" t="n">
        <v>787</v>
      </c>
      <c r="P318" s="5" t="n"/>
      <c r="Q318" s="5" t="n">
        <v>787</v>
      </c>
      <c r="R318" s="5" t="n"/>
      <c r="S318" s="5">
        <f>SUM(F318:I318)+N318</f>
        <v/>
      </c>
      <c r="T318" s="5">
        <f>J318</f>
        <v/>
      </c>
      <c r="U318" s="6">
        <f>YEAR(D318)</f>
        <v/>
      </c>
      <c r="V318" s="5">
        <f>TEXT(D318,"yyyy-mm")</f>
        <v/>
      </c>
    </row>
    <row r="319">
      <c r="A319" s="2" t="inlineStr">
        <is>
          <t>EJ020523.TXT</t>
        </is>
      </c>
      <c r="B319" s="3" t="inlineStr">
        <is>
          <t>004854</t>
        </is>
      </c>
      <c r="C319" s="3" t="inlineStr">
        <is>
          <t>003879</t>
        </is>
      </c>
      <c r="D319" s="4" t="n">
        <v>45045</v>
      </c>
      <c r="E319" s="2" t="inlineStr">
        <is>
          <t>16:37</t>
        </is>
      </c>
      <c r="F319" s="5" t="n">
        <v>739.17</v>
      </c>
      <c r="G319" s="5" t="n"/>
      <c r="H319" s="5" t="n"/>
      <c r="I319" s="5" t="n"/>
      <c r="J319" s="5" t="n">
        <v>147.83</v>
      </c>
      <c r="K319" s="5" t="n"/>
      <c r="L319" s="5" t="n"/>
      <c r="M319" s="5" t="n"/>
      <c r="N319" s="5" t="n"/>
      <c r="O319" s="5" t="n">
        <v>887</v>
      </c>
      <c r="P319" s="5" t="n"/>
      <c r="Q319" s="5" t="n">
        <v>887</v>
      </c>
      <c r="R319" s="5" t="n"/>
      <c r="S319" s="5">
        <f>SUM(F319:I319)+N319</f>
        <v/>
      </c>
      <c r="T319" s="5">
        <f>J319</f>
        <v/>
      </c>
      <c r="U319" s="6">
        <f>YEAR(D319)</f>
        <v/>
      </c>
      <c r="V319" s="5">
        <f>TEXT(D319,"yyyy-mm")</f>
        <v/>
      </c>
    </row>
    <row r="320">
      <c r="A320" s="2" t="inlineStr">
        <is>
          <t>EJ010623.TXT</t>
        </is>
      </c>
      <c r="B320" s="3" t="inlineStr">
        <is>
          <t>004862</t>
        </is>
      </c>
      <c r="C320" s="3" t="inlineStr">
        <is>
          <t>003880</t>
        </is>
      </c>
      <c r="D320" s="4" t="n">
        <v>45048</v>
      </c>
      <c r="E320" s="2" t="inlineStr">
        <is>
          <t>14:20</t>
        </is>
      </c>
      <c r="F320" s="5" t="n">
        <v>3190</v>
      </c>
      <c r="G320" s="5" t="n"/>
      <c r="H320" s="5" t="n"/>
      <c r="I320" s="5" t="n"/>
      <c r="J320" s="5" t="n">
        <v>638</v>
      </c>
      <c r="K320" s="5" t="n"/>
      <c r="L320" s="5" t="n"/>
      <c r="M320" s="5" t="n"/>
      <c r="N320" s="5" t="n"/>
      <c r="O320" s="5" t="n">
        <v>3828</v>
      </c>
      <c r="P320" s="5" t="n">
        <v>3828</v>
      </c>
      <c r="Q320" s="5" t="n"/>
      <c r="R320" s="5" t="n"/>
      <c r="S320" s="5">
        <f>SUM(F320:I320)+N320</f>
        <v/>
      </c>
      <c r="T320" s="5">
        <f>J320</f>
        <v/>
      </c>
      <c r="U320" s="6">
        <f>YEAR(D320)</f>
        <v/>
      </c>
      <c r="V320" s="5">
        <f>TEXT(D320,"yyyy-mm")</f>
        <v/>
      </c>
    </row>
    <row r="321">
      <c r="A321" s="2" t="inlineStr">
        <is>
          <t>EJ010623.TXT</t>
        </is>
      </c>
      <c r="B321" s="3" t="inlineStr">
        <is>
          <t>004863</t>
        </is>
      </c>
      <c r="C321" s="3" t="inlineStr">
        <is>
          <t>003881</t>
        </is>
      </c>
      <c r="D321" s="4" t="n">
        <v>45048</v>
      </c>
      <c r="E321" s="2" t="inlineStr">
        <is>
          <t>14:22</t>
        </is>
      </c>
      <c r="F321" s="5" t="n">
        <v>822.5</v>
      </c>
      <c r="G321" s="5" t="n"/>
      <c r="H321" s="5" t="n"/>
      <c r="I321" s="5" t="n"/>
      <c r="J321" s="5" t="n">
        <v>164.5</v>
      </c>
      <c r="K321" s="5" t="n"/>
      <c r="L321" s="5" t="n"/>
      <c r="M321" s="5" t="n"/>
      <c r="N321" s="5" t="n"/>
      <c r="O321" s="5" t="n">
        <v>987</v>
      </c>
      <c r="P321" s="5" t="n"/>
      <c r="Q321" s="5" t="n">
        <v>987</v>
      </c>
      <c r="R321" s="5" t="n"/>
      <c r="S321" s="5">
        <f>SUM(F321:I321)+N321</f>
        <v/>
      </c>
      <c r="T321" s="5">
        <f>J321</f>
        <v/>
      </c>
      <c r="U321" s="6">
        <f>YEAR(D321)</f>
        <v/>
      </c>
      <c r="V321" s="5">
        <f>TEXT(D321,"yyyy-mm")</f>
        <v/>
      </c>
    </row>
    <row r="322">
      <c r="A322" s="2" t="inlineStr">
        <is>
          <t>EJ010623.TXT</t>
        </is>
      </c>
      <c r="B322" s="3" t="inlineStr">
        <is>
          <t>004864</t>
        </is>
      </c>
      <c r="C322" s="3" t="inlineStr">
        <is>
          <t>003882</t>
        </is>
      </c>
      <c r="D322" s="4" t="n">
        <v>45048</v>
      </c>
      <c r="E322" s="2" t="inlineStr">
        <is>
          <t>14:23</t>
        </is>
      </c>
      <c r="F322" s="5" t="n">
        <v>822.5</v>
      </c>
      <c r="G322" s="5" t="n"/>
      <c r="H322" s="5" t="n"/>
      <c r="I322" s="5" t="n"/>
      <c r="J322" s="5" t="n">
        <v>164.5</v>
      </c>
      <c r="K322" s="5" t="n"/>
      <c r="L322" s="5" t="n"/>
      <c r="M322" s="5" t="n"/>
      <c r="N322" s="5" t="n"/>
      <c r="O322" s="5" t="n">
        <v>987</v>
      </c>
      <c r="P322" s="5" t="n"/>
      <c r="Q322" s="5" t="n">
        <v>987</v>
      </c>
      <c r="R322" s="5" t="n"/>
      <c r="S322" s="5">
        <f>SUM(F322:I322)+N322</f>
        <v/>
      </c>
      <c r="T322" s="5">
        <f>J322</f>
        <v/>
      </c>
      <c r="U322" s="6">
        <f>YEAR(D322)</f>
        <v/>
      </c>
      <c r="V322" s="5">
        <f>TEXT(D322,"yyyy-mm")</f>
        <v/>
      </c>
    </row>
    <row r="323">
      <c r="A323" s="2" t="inlineStr">
        <is>
          <t>EJ010623.TXT</t>
        </is>
      </c>
      <c r="B323" s="3" t="inlineStr">
        <is>
          <t>004865</t>
        </is>
      </c>
      <c r="C323" s="3" t="inlineStr">
        <is>
          <t>003883</t>
        </is>
      </c>
      <c r="D323" s="4" t="n">
        <v>45048</v>
      </c>
      <c r="E323" s="2" t="inlineStr">
        <is>
          <t>15:25</t>
        </is>
      </c>
      <c r="F323" s="5" t="n">
        <v>822.5</v>
      </c>
      <c r="G323" s="5" t="n"/>
      <c r="H323" s="5" t="n"/>
      <c r="I323" s="5" t="n"/>
      <c r="J323" s="5" t="n">
        <v>164.5</v>
      </c>
      <c r="K323" s="5" t="n"/>
      <c r="L323" s="5" t="n"/>
      <c r="M323" s="5" t="n"/>
      <c r="N323" s="5" t="n"/>
      <c r="O323" s="5" t="n">
        <v>987</v>
      </c>
      <c r="P323" s="5" t="n"/>
      <c r="Q323" s="5" t="n">
        <v>987</v>
      </c>
      <c r="R323" s="5" t="n"/>
      <c r="S323" s="5">
        <f>SUM(F323:I323)+N323</f>
        <v/>
      </c>
      <c r="T323" s="5">
        <f>J323</f>
        <v/>
      </c>
      <c r="U323" s="6">
        <f>YEAR(D323)</f>
        <v/>
      </c>
      <c r="V323" s="5">
        <f>TEXT(D323,"yyyy-mm")</f>
        <v/>
      </c>
    </row>
    <row r="324">
      <c r="A324" s="2" t="inlineStr">
        <is>
          <t>EJ010623.TXT</t>
        </is>
      </c>
      <c r="B324" s="3" t="inlineStr">
        <is>
          <t>004866</t>
        </is>
      </c>
      <c r="C324" s="3" t="inlineStr">
        <is>
          <t>003884</t>
        </is>
      </c>
      <c r="D324" s="4" t="n">
        <v>45048</v>
      </c>
      <c r="E324" s="2" t="inlineStr">
        <is>
          <t>15:27</t>
        </is>
      </c>
      <c r="F324" s="5" t="n">
        <v>822.5</v>
      </c>
      <c r="G324" s="5" t="n"/>
      <c r="H324" s="5" t="n"/>
      <c r="I324" s="5" t="n"/>
      <c r="J324" s="5" t="n">
        <v>164.5</v>
      </c>
      <c r="K324" s="5" t="n"/>
      <c r="L324" s="5" t="n"/>
      <c r="M324" s="5" t="n"/>
      <c r="N324" s="5" t="n"/>
      <c r="O324" s="5" t="n">
        <v>987</v>
      </c>
      <c r="P324" s="5" t="n"/>
      <c r="Q324" s="5" t="n">
        <v>987</v>
      </c>
      <c r="R324" s="5" t="n"/>
      <c r="S324" s="5">
        <f>SUM(F324:I324)+N324</f>
        <v/>
      </c>
      <c r="T324" s="5">
        <f>J324</f>
        <v/>
      </c>
      <c r="U324" s="6">
        <f>YEAR(D324)</f>
        <v/>
      </c>
      <c r="V324" s="5">
        <f>TEXT(D324,"yyyy-mm")</f>
        <v/>
      </c>
    </row>
    <row r="325">
      <c r="A325" s="2" t="inlineStr">
        <is>
          <t>EJ010623.TXT</t>
        </is>
      </c>
      <c r="B325" s="3" t="inlineStr">
        <is>
          <t>004867</t>
        </is>
      </c>
      <c r="C325" s="3" t="inlineStr">
        <is>
          <t>003885</t>
        </is>
      </c>
      <c r="D325" s="4" t="n">
        <v>45048</v>
      </c>
      <c r="E325" s="2" t="inlineStr">
        <is>
          <t>17:20</t>
        </is>
      </c>
      <c r="F325" s="5" t="n">
        <v>83.33</v>
      </c>
      <c r="G325" s="5" t="n"/>
      <c r="H325" s="5" t="n"/>
      <c r="I325" s="5" t="n"/>
      <c r="J325" s="5" t="n">
        <v>16.67</v>
      </c>
      <c r="K325" s="5" t="n"/>
      <c r="L325" s="5" t="n"/>
      <c r="M325" s="5" t="n"/>
      <c r="N325" s="5" t="n"/>
      <c r="O325" s="5" t="n">
        <v>100</v>
      </c>
      <c r="P325" s="5" t="n">
        <v>100</v>
      </c>
      <c r="Q325" s="5" t="n"/>
      <c r="R325" s="5" t="n"/>
      <c r="S325" s="5">
        <f>SUM(F325:I325)+N325</f>
        <v/>
      </c>
      <c r="T325" s="5">
        <f>J325</f>
        <v/>
      </c>
      <c r="U325" s="6">
        <f>YEAR(D325)</f>
        <v/>
      </c>
      <c r="V325" s="5">
        <f>TEXT(D325,"yyyy-mm")</f>
        <v/>
      </c>
    </row>
    <row r="326">
      <c r="A326" s="2" t="inlineStr">
        <is>
          <t>EJ010623.TXT</t>
        </is>
      </c>
      <c r="B326" s="3" t="inlineStr">
        <is>
          <t>004868</t>
        </is>
      </c>
      <c r="C326" s="3" t="inlineStr">
        <is>
          <t>003886</t>
        </is>
      </c>
      <c r="D326" s="4" t="n">
        <v>45051</v>
      </c>
      <c r="E326" s="2" t="inlineStr">
        <is>
          <t>10:55</t>
        </is>
      </c>
      <c r="F326" s="5" t="n">
        <v>822.5</v>
      </c>
      <c r="G326" s="5" t="n"/>
      <c r="H326" s="5" t="n"/>
      <c r="I326" s="5" t="n"/>
      <c r="J326" s="5" t="n">
        <v>164.5</v>
      </c>
      <c r="K326" s="5" t="n"/>
      <c r="L326" s="5" t="n"/>
      <c r="M326" s="5" t="n"/>
      <c r="N326" s="5" t="n"/>
      <c r="O326" s="5" t="n">
        <v>987</v>
      </c>
      <c r="P326" s="5" t="n">
        <v>987</v>
      </c>
      <c r="Q326" s="5" t="n"/>
      <c r="R326" s="5" t="n"/>
      <c r="S326" s="5">
        <f>SUM(F326:I326)+N326</f>
        <v/>
      </c>
      <c r="T326" s="5">
        <f>J326</f>
        <v/>
      </c>
      <c r="U326" s="6">
        <f>YEAR(D326)</f>
        <v/>
      </c>
      <c r="V326" s="5">
        <f>TEXT(D326,"yyyy-mm")</f>
        <v/>
      </c>
    </row>
    <row r="327">
      <c r="A327" s="2" t="inlineStr">
        <is>
          <t>EJ010623.TXT</t>
        </is>
      </c>
      <c r="B327" s="3" t="inlineStr">
        <is>
          <t>004869</t>
        </is>
      </c>
      <c r="C327" s="3" t="inlineStr">
        <is>
          <t>003887</t>
        </is>
      </c>
      <c r="D327" s="4" t="n">
        <v>45051</v>
      </c>
      <c r="E327" s="2" t="inlineStr">
        <is>
          <t>15:45</t>
        </is>
      </c>
      <c r="F327" s="5" t="n">
        <v>265.83</v>
      </c>
      <c r="G327" s="5" t="n"/>
      <c r="H327" s="5" t="n"/>
      <c r="I327" s="5" t="n"/>
      <c r="J327" s="5" t="n">
        <v>53.17</v>
      </c>
      <c r="K327" s="5" t="n"/>
      <c r="L327" s="5" t="n"/>
      <c r="M327" s="5" t="n"/>
      <c r="N327" s="5" t="n"/>
      <c r="O327" s="5" t="n">
        <v>319</v>
      </c>
      <c r="P327" s="5" t="n"/>
      <c r="Q327" s="5" t="n">
        <v>319</v>
      </c>
      <c r="R327" s="5" t="n"/>
      <c r="S327" s="5">
        <f>SUM(F327:I327)+N327</f>
        <v/>
      </c>
      <c r="T327" s="5">
        <f>J327</f>
        <v/>
      </c>
      <c r="U327" s="6">
        <f>YEAR(D327)</f>
        <v/>
      </c>
      <c r="V327" s="5">
        <f>TEXT(D327,"yyyy-mm")</f>
        <v/>
      </c>
    </row>
    <row r="328">
      <c r="A328" s="2" t="inlineStr">
        <is>
          <t>EJ010623.TXT</t>
        </is>
      </c>
      <c r="B328" s="3" t="inlineStr">
        <is>
          <t>004870</t>
        </is>
      </c>
      <c r="C328" s="3" t="inlineStr">
        <is>
          <t>003888</t>
        </is>
      </c>
      <c r="D328" s="4" t="n">
        <v>45052</v>
      </c>
      <c r="E328" s="2" t="inlineStr">
        <is>
          <t>16:48</t>
        </is>
      </c>
      <c r="F328" s="5" t="n">
        <v>274.17</v>
      </c>
      <c r="G328" s="5" t="n"/>
      <c r="H328" s="5" t="n"/>
      <c r="I328" s="5" t="n"/>
      <c r="J328" s="5" t="n">
        <v>54.83</v>
      </c>
      <c r="K328" s="5" t="n"/>
      <c r="L328" s="5" t="n"/>
      <c r="M328" s="5" t="n"/>
      <c r="N328" s="5" t="n"/>
      <c r="O328" s="5" t="n">
        <v>329</v>
      </c>
      <c r="P328" s="5" t="n"/>
      <c r="Q328" s="5" t="n">
        <v>329</v>
      </c>
      <c r="R328" s="5" t="n"/>
      <c r="S328" s="5">
        <f>SUM(F328:I328)+N328</f>
        <v/>
      </c>
      <c r="T328" s="5">
        <f>J328</f>
        <v/>
      </c>
      <c r="U328" s="6">
        <f>YEAR(D328)</f>
        <v/>
      </c>
      <c r="V328" s="5">
        <f>TEXT(D328,"yyyy-mm")</f>
        <v/>
      </c>
    </row>
    <row r="329">
      <c r="A329" s="2" t="inlineStr">
        <is>
          <t>EJ010623.TXT</t>
        </is>
      </c>
      <c r="B329" s="3" t="inlineStr">
        <is>
          <t>004871</t>
        </is>
      </c>
      <c r="C329" s="3" t="inlineStr">
        <is>
          <t>003889</t>
        </is>
      </c>
      <c r="D329" s="4" t="n">
        <v>45055</v>
      </c>
      <c r="E329" s="2" t="inlineStr">
        <is>
          <t>11:11</t>
        </is>
      </c>
      <c r="F329" s="5" t="n">
        <v>822.5</v>
      </c>
      <c r="G329" s="5" t="n"/>
      <c r="H329" s="5" t="n"/>
      <c r="I329" s="5" t="n"/>
      <c r="J329" s="5" t="n">
        <v>164.5</v>
      </c>
      <c r="K329" s="5" t="n"/>
      <c r="L329" s="5" t="n"/>
      <c r="M329" s="5" t="n"/>
      <c r="N329" s="5" t="n"/>
      <c r="O329" s="5" t="n">
        <v>987</v>
      </c>
      <c r="P329" s="5" t="n"/>
      <c r="Q329" s="5" t="n">
        <v>987</v>
      </c>
      <c r="R329" s="5" t="n"/>
      <c r="S329" s="5">
        <f>SUM(F329:I329)+N329</f>
        <v/>
      </c>
      <c r="T329" s="5">
        <f>J329</f>
        <v/>
      </c>
      <c r="U329" s="6">
        <f>YEAR(D329)</f>
        <v/>
      </c>
      <c r="V329" s="5">
        <f>TEXT(D329,"yyyy-mm")</f>
        <v/>
      </c>
    </row>
    <row r="330">
      <c r="A330" s="2" t="inlineStr">
        <is>
          <t>EJ010623.TXT</t>
        </is>
      </c>
      <c r="B330" s="3" t="inlineStr">
        <is>
          <t>004872</t>
        </is>
      </c>
      <c r="C330" s="3" t="inlineStr">
        <is>
          <t>003890</t>
        </is>
      </c>
      <c r="D330" s="4" t="n">
        <v>45055</v>
      </c>
      <c r="E330" s="2" t="inlineStr">
        <is>
          <t>16:33</t>
        </is>
      </c>
      <c r="F330" s="5" t="n">
        <v>175</v>
      </c>
      <c r="G330" s="5" t="n"/>
      <c r="H330" s="5" t="n"/>
      <c r="I330" s="5" t="n"/>
      <c r="J330" s="5" t="n">
        <v>35</v>
      </c>
      <c r="K330" s="5" t="n"/>
      <c r="L330" s="5" t="n"/>
      <c r="M330" s="5" t="n"/>
      <c r="N330" s="5" t="n"/>
      <c r="O330" s="5" t="n">
        <v>210</v>
      </c>
      <c r="P330" s="5" t="n"/>
      <c r="Q330" s="5" t="n">
        <v>210</v>
      </c>
      <c r="R330" s="5" t="n"/>
      <c r="S330" s="5">
        <f>SUM(F330:I330)+N330</f>
        <v/>
      </c>
      <c r="T330" s="5">
        <f>J330</f>
        <v/>
      </c>
      <c r="U330" s="6">
        <f>YEAR(D330)</f>
        <v/>
      </c>
      <c r="V330" s="5">
        <f>TEXT(D330,"yyyy-mm")</f>
        <v/>
      </c>
    </row>
    <row r="331">
      <c r="A331" s="2" t="inlineStr">
        <is>
          <t>EJ010623.TXT</t>
        </is>
      </c>
      <c r="B331" s="3" t="inlineStr">
        <is>
          <t>004873</t>
        </is>
      </c>
      <c r="C331" s="3" t="inlineStr">
        <is>
          <t>003891</t>
        </is>
      </c>
      <c r="D331" s="4" t="n">
        <v>45056</v>
      </c>
      <c r="E331" s="2" t="inlineStr">
        <is>
          <t>13:39</t>
        </is>
      </c>
      <c r="F331" s="5" t="n">
        <v>1845</v>
      </c>
      <c r="G331" s="5" t="n"/>
      <c r="H331" s="5" t="n"/>
      <c r="I331" s="5" t="n"/>
      <c r="J331" s="5" t="n">
        <v>369</v>
      </c>
      <c r="K331" s="5" t="n"/>
      <c r="L331" s="5" t="n"/>
      <c r="M331" s="5" t="n"/>
      <c r="N331" s="5" t="n"/>
      <c r="O331" s="5" t="n">
        <v>2214</v>
      </c>
      <c r="P331" s="5" t="n">
        <v>2214</v>
      </c>
      <c r="Q331" s="5" t="n"/>
      <c r="R331" s="5" t="n"/>
      <c r="S331" s="5">
        <f>SUM(F331:I331)+N331</f>
        <v/>
      </c>
      <c r="T331" s="5">
        <f>J331</f>
        <v/>
      </c>
      <c r="U331" s="6">
        <f>YEAR(D331)</f>
        <v/>
      </c>
      <c r="V331" s="5">
        <f>TEXT(D331,"yyyy-mm")</f>
        <v/>
      </c>
    </row>
    <row r="332">
      <c r="A332" s="2" t="inlineStr">
        <is>
          <t>EJ010623.TXT</t>
        </is>
      </c>
      <c r="B332" s="3" t="inlineStr">
        <is>
          <t>004874</t>
        </is>
      </c>
      <c r="C332" s="3" t="inlineStr">
        <is>
          <t>003892</t>
        </is>
      </c>
      <c r="D332" s="4" t="n">
        <v>45056</v>
      </c>
      <c r="E332" s="2" t="inlineStr">
        <is>
          <t>15:57</t>
        </is>
      </c>
      <c r="F332" s="5" t="n">
        <v>208.33</v>
      </c>
      <c r="G332" s="5" t="n"/>
      <c r="H332" s="5" t="n"/>
      <c r="I332" s="5" t="n"/>
      <c r="J332" s="5" t="n">
        <v>41.67</v>
      </c>
      <c r="K332" s="5" t="n"/>
      <c r="L332" s="5" t="n"/>
      <c r="M332" s="5" t="n"/>
      <c r="N332" s="5" t="n"/>
      <c r="O332" s="5" t="n">
        <v>250</v>
      </c>
      <c r="P332" s="5" t="n"/>
      <c r="Q332" s="5" t="n">
        <v>250</v>
      </c>
      <c r="R332" s="5" t="n"/>
      <c r="S332" s="5">
        <f>SUM(F332:I332)+N332</f>
        <v/>
      </c>
      <c r="T332" s="5">
        <f>J332</f>
        <v/>
      </c>
      <c r="U332" s="6">
        <f>YEAR(D332)</f>
        <v/>
      </c>
      <c r="V332" s="5">
        <f>TEXT(D332,"yyyy-mm")</f>
        <v/>
      </c>
    </row>
    <row r="333">
      <c r="A333" s="2" t="inlineStr">
        <is>
          <t>EJ010623.TXT</t>
        </is>
      </c>
      <c r="B333" s="3" t="inlineStr">
        <is>
          <t>004875</t>
        </is>
      </c>
      <c r="C333" s="3" t="inlineStr">
        <is>
          <t>003893</t>
        </is>
      </c>
      <c r="D333" s="4" t="n">
        <v>45057</v>
      </c>
      <c r="E333" s="2" t="inlineStr">
        <is>
          <t>14:08</t>
        </is>
      </c>
      <c r="F333" s="5" t="n">
        <v>797.5</v>
      </c>
      <c r="G333" s="5" t="n"/>
      <c r="H333" s="5" t="n"/>
      <c r="I333" s="5" t="n"/>
      <c r="J333" s="5" t="n">
        <v>159.5</v>
      </c>
      <c r="K333" s="5" t="n"/>
      <c r="L333" s="5" t="n"/>
      <c r="M333" s="5" t="n"/>
      <c r="N333" s="5" t="n"/>
      <c r="O333" s="5" t="n">
        <v>957</v>
      </c>
      <c r="P333" s="5" t="n"/>
      <c r="Q333" s="5" t="n">
        <v>957</v>
      </c>
      <c r="R333" s="5" t="n"/>
      <c r="S333" s="5">
        <f>SUM(F333:I333)+N333</f>
        <v/>
      </c>
      <c r="T333" s="5">
        <f>J333</f>
        <v/>
      </c>
      <c r="U333" s="6">
        <f>YEAR(D333)</f>
        <v/>
      </c>
      <c r="V333" s="5">
        <f>TEXT(D333,"yyyy-mm")</f>
        <v/>
      </c>
    </row>
    <row r="334">
      <c r="A334" s="2" t="inlineStr">
        <is>
          <t>EJ010623.TXT</t>
        </is>
      </c>
      <c r="B334" s="3" t="inlineStr">
        <is>
          <t>004876</t>
        </is>
      </c>
      <c r="C334" s="3" t="inlineStr">
        <is>
          <t>003894</t>
        </is>
      </c>
      <c r="D334" s="4" t="n">
        <v>45057</v>
      </c>
      <c r="E334" s="2" t="inlineStr">
        <is>
          <t>14:11</t>
        </is>
      </c>
      <c r="F334" s="5" t="n">
        <v>797.5</v>
      </c>
      <c r="G334" s="5" t="n"/>
      <c r="H334" s="5" t="n"/>
      <c r="I334" s="5" t="n"/>
      <c r="J334" s="5" t="n">
        <v>159.5</v>
      </c>
      <c r="K334" s="5" t="n"/>
      <c r="L334" s="5" t="n"/>
      <c r="M334" s="5" t="n"/>
      <c r="N334" s="5" t="n"/>
      <c r="O334" s="5" t="n">
        <v>957</v>
      </c>
      <c r="P334" s="5" t="n"/>
      <c r="Q334" s="5" t="n">
        <v>957</v>
      </c>
      <c r="R334" s="5" t="n"/>
      <c r="S334" s="5">
        <f>SUM(F334:I334)+N334</f>
        <v/>
      </c>
      <c r="T334" s="5">
        <f>J334</f>
        <v/>
      </c>
      <c r="U334" s="6">
        <f>YEAR(D334)</f>
        <v/>
      </c>
      <c r="V334" s="5">
        <f>TEXT(D334,"yyyy-mm")</f>
        <v/>
      </c>
    </row>
    <row r="335">
      <c r="A335" s="2" t="inlineStr">
        <is>
          <t>EJ010623.TXT</t>
        </is>
      </c>
      <c r="B335" s="3" t="inlineStr">
        <is>
          <t>004877</t>
        </is>
      </c>
      <c r="C335" s="3" t="inlineStr">
        <is>
          <t>003895</t>
        </is>
      </c>
      <c r="D335" s="4" t="n">
        <v>45057</v>
      </c>
      <c r="E335" s="2" t="inlineStr">
        <is>
          <t>14:53</t>
        </is>
      </c>
      <c r="F335" s="5" t="n">
        <v>199.17</v>
      </c>
      <c r="G335" s="5" t="n"/>
      <c r="H335" s="5" t="n"/>
      <c r="I335" s="5" t="n"/>
      <c r="J335" s="5" t="n">
        <v>39.83</v>
      </c>
      <c r="K335" s="5" t="n"/>
      <c r="L335" s="5" t="n"/>
      <c r="M335" s="5" t="n"/>
      <c r="N335" s="5" t="n"/>
      <c r="O335" s="5" t="n">
        <v>239</v>
      </c>
      <c r="P335" s="5" t="n">
        <v>239</v>
      </c>
      <c r="Q335" s="5" t="n"/>
      <c r="R335" s="5" t="n"/>
      <c r="S335" s="5">
        <f>SUM(F335:I335)+N335</f>
        <v/>
      </c>
      <c r="T335" s="5">
        <f>J335</f>
        <v/>
      </c>
      <c r="U335" s="6">
        <f>YEAR(D335)</f>
        <v/>
      </c>
      <c r="V335" s="5">
        <f>TEXT(D335,"yyyy-mm")</f>
        <v/>
      </c>
    </row>
    <row r="336">
      <c r="A336" s="2" t="inlineStr">
        <is>
          <t>EJ010623.TXT</t>
        </is>
      </c>
      <c r="B336" s="3" t="inlineStr">
        <is>
          <t>004878</t>
        </is>
      </c>
      <c r="C336" s="3" t="inlineStr">
        <is>
          <t>003896</t>
        </is>
      </c>
      <c r="D336" s="4" t="n">
        <v>45058</v>
      </c>
      <c r="E336" s="2" t="inlineStr">
        <is>
          <t>13:40</t>
        </is>
      </c>
      <c r="F336" s="5" t="n">
        <v>1645</v>
      </c>
      <c r="G336" s="5" t="n"/>
      <c r="H336" s="5" t="n"/>
      <c r="I336" s="5" t="n"/>
      <c r="J336" s="5" t="n">
        <v>329</v>
      </c>
      <c r="K336" s="5" t="n"/>
      <c r="L336" s="5" t="n"/>
      <c r="M336" s="5" t="n"/>
      <c r="N336" s="5" t="n"/>
      <c r="O336" s="5" t="n">
        <v>1974</v>
      </c>
      <c r="P336" s="5" t="n">
        <v>1974</v>
      </c>
      <c r="Q336" s="5" t="n"/>
      <c r="R336" s="5" t="n"/>
      <c r="S336" s="5">
        <f>SUM(F336:I336)+N336</f>
        <v/>
      </c>
      <c r="T336" s="5">
        <f>J336</f>
        <v/>
      </c>
      <c r="U336" s="6">
        <f>YEAR(D336)</f>
        <v/>
      </c>
      <c r="V336" s="5">
        <f>TEXT(D336,"yyyy-mm")</f>
        <v/>
      </c>
    </row>
    <row r="337">
      <c r="A337" s="2" t="inlineStr">
        <is>
          <t>EJ010623.TXT</t>
        </is>
      </c>
      <c r="B337" s="3" t="inlineStr">
        <is>
          <t>004879</t>
        </is>
      </c>
      <c r="C337" s="3" t="inlineStr">
        <is>
          <t>003897</t>
        </is>
      </c>
      <c r="D337" s="4" t="n">
        <v>45058</v>
      </c>
      <c r="E337" s="2" t="inlineStr">
        <is>
          <t>15:50</t>
        </is>
      </c>
      <c r="F337" s="5" t="n">
        <v>307.5</v>
      </c>
      <c r="G337" s="5" t="n"/>
      <c r="H337" s="5" t="n"/>
      <c r="I337" s="5" t="n"/>
      <c r="J337" s="5" t="n">
        <v>61.5</v>
      </c>
      <c r="K337" s="5" t="n"/>
      <c r="L337" s="5" t="n"/>
      <c r="M337" s="5" t="n"/>
      <c r="N337" s="5" t="n"/>
      <c r="O337" s="5" t="n">
        <v>369</v>
      </c>
      <c r="P337" s="5" t="n"/>
      <c r="Q337" s="5" t="n">
        <v>369</v>
      </c>
      <c r="R337" s="5" t="n"/>
      <c r="S337" s="5">
        <f>SUM(F337:I337)+N337</f>
        <v/>
      </c>
      <c r="T337" s="5">
        <f>J337</f>
        <v/>
      </c>
      <c r="U337" s="6">
        <f>YEAR(D337)</f>
        <v/>
      </c>
      <c r="V337" s="5">
        <f>TEXT(D337,"yyyy-mm")</f>
        <v/>
      </c>
    </row>
    <row r="338">
      <c r="A338" s="2" t="inlineStr">
        <is>
          <t>EJ010623.TXT</t>
        </is>
      </c>
      <c r="B338" s="3" t="inlineStr">
        <is>
          <t>004880</t>
        </is>
      </c>
      <c r="C338" s="3" t="inlineStr">
        <is>
          <t>003898</t>
        </is>
      </c>
      <c r="D338" s="4" t="n">
        <v>45059</v>
      </c>
      <c r="E338" s="2" t="inlineStr">
        <is>
          <t>14:10</t>
        </is>
      </c>
      <c r="F338" s="5" t="n">
        <v>274.17</v>
      </c>
      <c r="G338" s="5" t="n"/>
      <c r="H338" s="5" t="n"/>
      <c r="I338" s="5" t="n"/>
      <c r="J338" s="5" t="n">
        <v>54.83</v>
      </c>
      <c r="K338" s="5" t="n"/>
      <c r="L338" s="5" t="n"/>
      <c r="M338" s="5" t="n"/>
      <c r="N338" s="5" t="n"/>
      <c r="O338" s="5" t="n">
        <v>329</v>
      </c>
      <c r="P338" s="5" t="n"/>
      <c r="Q338" s="5" t="n">
        <v>329</v>
      </c>
      <c r="R338" s="5" t="n"/>
      <c r="S338" s="5">
        <f>SUM(F338:I338)+N338</f>
        <v/>
      </c>
      <c r="T338" s="5">
        <f>J338</f>
        <v/>
      </c>
      <c r="U338" s="6">
        <f>YEAR(D338)</f>
        <v/>
      </c>
      <c r="V338" s="5">
        <f>TEXT(D338,"yyyy-mm")</f>
        <v/>
      </c>
    </row>
    <row r="339">
      <c r="A339" s="2" t="inlineStr">
        <is>
          <t>EJ010623.TXT</t>
        </is>
      </c>
      <c r="B339" s="3" t="inlineStr">
        <is>
          <t>004881</t>
        </is>
      </c>
      <c r="C339" s="3" t="inlineStr">
        <is>
          <t>003899</t>
        </is>
      </c>
      <c r="D339" s="4" t="n">
        <v>45059</v>
      </c>
      <c r="E339" s="2" t="inlineStr">
        <is>
          <t>15:44</t>
        </is>
      </c>
      <c r="F339" s="5" t="n">
        <v>3240</v>
      </c>
      <c r="G339" s="5" t="n"/>
      <c r="H339" s="5" t="n"/>
      <c r="I339" s="5" t="n"/>
      <c r="J339" s="5" t="n">
        <v>648</v>
      </c>
      <c r="K339" s="5" t="n"/>
      <c r="L339" s="5" t="n"/>
      <c r="M339" s="5" t="n"/>
      <c r="N339" s="5" t="n"/>
      <c r="O339" s="5" t="n">
        <v>3888</v>
      </c>
      <c r="P339" s="5" t="n">
        <v>3888</v>
      </c>
      <c r="Q339" s="5" t="n"/>
      <c r="R339" s="5" t="n"/>
      <c r="S339" s="5">
        <f>SUM(F339:I339)+N339</f>
        <v/>
      </c>
      <c r="T339" s="5">
        <f>J339</f>
        <v/>
      </c>
      <c r="U339" s="6">
        <f>YEAR(D339)</f>
        <v/>
      </c>
      <c r="V339" s="5">
        <f>TEXT(D339,"yyyy-mm")</f>
        <v/>
      </c>
    </row>
    <row r="340">
      <c r="A340" s="2" t="inlineStr">
        <is>
          <t>EJ010623.TXT</t>
        </is>
      </c>
      <c r="B340" s="3" t="inlineStr">
        <is>
          <t>004882</t>
        </is>
      </c>
      <c r="C340" s="3" t="inlineStr">
        <is>
          <t>003900</t>
        </is>
      </c>
      <c r="D340" s="4" t="n">
        <v>45059</v>
      </c>
      <c r="E340" s="2" t="inlineStr">
        <is>
          <t>16:20</t>
        </is>
      </c>
      <c r="F340" s="5" t="n">
        <v>597.5</v>
      </c>
      <c r="G340" s="5" t="n"/>
      <c r="H340" s="5" t="n"/>
      <c r="I340" s="5" t="n"/>
      <c r="J340" s="5" t="n">
        <v>119.5</v>
      </c>
      <c r="K340" s="5" t="n"/>
      <c r="L340" s="5" t="n"/>
      <c r="M340" s="5" t="n"/>
      <c r="N340" s="5" t="n"/>
      <c r="O340" s="5" t="n">
        <v>717</v>
      </c>
      <c r="P340" s="5" t="n">
        <v>717</v>
      </c>
      <c r="Q340" s="5" t="n"/>
      <c r="R340" s="5" t="n"/>
      <c r="S340" s="5">
        <f>SUM(F340:I340)+N340</f>
        <v/>
      </c>
      <c r="T340" s="5">
        <f>J340</f>
        <v/>
      </c>
      <c r="U340" s="6">
        <f>YEAR(D340)</f>
        <v/>
      </c>
      <c r="V340" s="5">
        <f>TEXT(D340,"yyyy-mm")</f>
        <v/>
      </c>
    </row>
    <row r="341">
      <c r="A341" s="2" t="inlineStr">
        <is>
          <t>EJ010623.TXT</t>
        </is>
      </c>
      <c r="B341" s="3" t="inlineStr">
        <is>
          <t>004883</t>
        </is>
      </c>
      <c r="C341" s="3" t="inlineStr">
        <is>
          <t>003901</t>
        </is>
      </c>
      <c r="D341" s="4" t="n">
        <v>45061</v>
      </c>
      <c r="E341" s="2" t="inlineStr">
        <is>
          <t>09:23</t>
        </is>
      </c>
      <c r="F341" s="5" t="n">
        <v>548.33</v>
      </c>
      <c r="G341" s="5" t="n"/>
      <c r="H341" s="5" t="n"/>
      <c r="I341" s="5" t="n"/>
      <c r="J341" s="5" t="n">
        <v>109.67</v>
      </c>
      <c r="K341" s="5" t="n"/>
      <c r="L341" s="5" t="n"/>
      <c r="M341" s="5" t="n"/>
      <c r="N341" s="5" t="n"/>
      <c r="O341" s="5" t="n">
        <v>658</v>
      </c>
      <c r="P341" s="5" t="n">
        <v>658</v>
      </c>
      <c r="Q341" s="5" t="n"/>
      <c r="R341" s="5" t="n"/>
      <c r="S341" s="5">
        <f>SUM(F341:I341)+N341</f>
        <v/>
      </c>
      <c r="T341" s="5">
        <f>J341</f>
        <v/>
      </c>
      <c r="U341" s="6">
        <f>YEAR(D341)</f>
        <v/>
      </c>
      <c r="V341" s="5">
        <f>TEXT(D341,"yyyy-mm")</f>
        <v/>
      </c>
    </row>
    <row r="342">
      <c r="A342" s="2" t="inlineStr">
        <is>
          <t>EJ010623.TXT</t>
        </is>
      </c>
      <c r="B342" s="3" t="inlineStr">
        <is>
          <t>004884</t>
        </is>
      </c>
      <c r="C342" s="3" t="inlineStr">
        <is>
          <t>003902</t>
        </is>
      </c>
      <c r="D342" s="4" t="n">
        <v>45062</v>
      </c>
      <c r="E342" s="2" t="inlineStr">
        <is>
          <t>13:55</t>
        </is>
      </c>
      <c r="F342" s="5" t="n">
        <v>208.33</v>
      </c>
      <c r="G342" s="5" t="n"/>
      <c r="H342" s="5" t="n"/>
      <c r="I342" s="5" t="n"/>
      <c r="J342" s="5" t="n">
        <v>41.67</v>
      </c>
      <c r="K342" s="5" t="n"/>
      <c r="L342" s="5" t="n"/>
      <c r="M342" s="5" t="n"/>
      <c r="N342" s="5" t="n"/>
      <c r="O342" s="5" t="n">
        <v>250</v>
      </c>
      <c r="P342" s="5" t="n"/>
      <c r="Q342" s="5" t="n">
        <v>250</v>
      </c>
      <c r="R342" s="5" t="n"/>
      <c r="S342" s="5">
        <f>SUM(F342:I342)+N342</f>
        <v/>
      </c>
      <c r="T342" s="5">
        <f>J342</f>
        <v/>
      </c>
      <c r="U342" s="6">
        <f>YEAR(D342)</f>
        <v/>
      </c>
      <c r="V342" s="5">
        <f>TEXT(D342,"yyyy-mm")</f>
        <v/>
      </c>
    </row>
    <row r="343">
      <c r="A343" s="2" t="inlineStr">
        <is>
          <t>EJ010623.TXT</t>
        </is>
      </c>
      <c r="B343" s="3" t="inlineStr">
        <is>
          <t>004885</t>
        </is>
      </c>
      <c r="C343" s="3" t="inlineStr">
        <is>
          <t>003903</t>
        </is>
      </c>
      <c r="D343" s="4" t="n">
        <v>45065</v>
      </c>
      <c r="E343" s="2" t="inlineStr">
        <is>
          <t>11:05</t>
        </is>
      </c>
      <c r="F343" s="5" t="n">
        <v>24.17</v>
      </c>
      <c r="G343" s="5" t="n"/>
      <c r="H343" s="5" t="n"/>
      <c r="I343" s="5" t="n"/>
      <c r="J343" s="5" t="n">
        <v>4.83</v>
      </c>
      <c r="K343" s="5" t="n"/>
      <c r="L343" s="5" t="n"/>
      <c r="M343" s="5" t="n"/>
      <c r="N343" s="5" t="n"/>
      <c r="O343" s="5" t="n">
        <v>29</v>
      </c>
      <c r="P343" s="5" t="n">
        <v>29</v>
      </c>
      <c r="Q343" s="5" t="n"/>
      <c r="R343" s="5" t="n"/>
      <c r="S343" s="5">
        <f>SUM(F343:I343)+N343</f>
        <v/>
      </c>
      <c r="T343" s="5">
        <f>J343</f>
        <v/>
      </c>
      <c r="U343" s="6">
        <f>YEAR(D343)</f>
        <v/>
      </c>
      <c r="V343" s="5">
        <f>TEXT(D343,"yyyy-mm")</f>
        <v/>
      </c>
    </row>
    <row r="344">
      <c r="A344" s="2" t="inlineStr">
        <is>
          <t>EJ010623.TXT</t>
        </is>
      </c>
      <c r="B344" s="3" t="inlineStr">
        <is>
          <t>004886</t>
        </is>
      </c>
      <c r="C344" s="3" t="inlineStr">
        <is>
          <t>003904</t>
        </is>
      </c>
      <c r="D344" s="4" t="n">
        <v>45065</v>
      </c>
      <c r="E344" s="2" t="inlineStr">
        <is>
          <t>11:05</t>
        </is>
      </c>
      <c r="F344" s="5" t="n">
        <v>166.67</v>
      </c>
      <c r="G344" s="5" t="n"/>
      <c r="H344" s="5" t="n"/>
      <c r="I344" s="5" t="n"/>
      <c r="J344" s="5" t="n">
        <v>33.33</v>
      </c>
      <c r="K344" s="5" t="n"/>
      <c r="L344" s="5" t="n"/>
      <c r="M344" s="5" t="n"/>
      <c r="N344" s="5" t="n"/>
      <c r="O344" s="5" t="n">
        <v>200</v>
      </c>
      <c r="P344" s="5" t="n">
        <v>200</v>
      </c>
      <c r="Q344" s="5" t="n"/>
      <c r="R344" s="5" t="n"/>
      <c r="S344" s="5">
        <f>SUM(F344:I344)+N344</f>
        <v/>
      </c>
      <c r="T344" s="5">
        <f>J344</f>
        <v/>
      </c>
      <c r="U344" s="6">
        <f>YEAR(D344)</f>
        <v/>
      </c>
      <c r="V344" s="5">
        <f>TEXT(D344,"yyyy-mm")</f>
        <v/>
      </c>
    </row>
    <row r="345">
      <c r="A345" s="2" t="inlineStr">
        <is>
          <t>EJ010623.TXT</t>
        </is>
      </c>
      <c r="B345" s="3" t="inlineStr">
        <is>
          <t>004887</t>
        </is>
      </c>
      <c r="C345" s="3" t="inlineStr">
        <is>
          <t>003905</t>
        </is>
      </c>
      <c r="D345" s="4" t="n">
        <v>45065</v>
      </c>
      <c r="E345" s="2" t="inlineStr">
        <is>
          <t>16:50</t>
        </is>
      </c>
      <c r="F345" s="5" t="n">
        <v>165</v>
      </c>
      <c r="G345" s="5" t="n"/>
      <c r="H345" s="5" t="n"/>
      <c r="I345" s="5" t="n"/>
      <c r="J345" s="5" t="n">
        <v>33</v>
      </c>
      <c r="K345" s="5" t="n"/>
      <c r="L345" s="5" t="n"/>
      <c r="M345" s="5" t="n"/>
      <c r="N345" s="5" t="n"/>
      <c r="O345" s="5" t="n">
        <v>198</v>
      </c>
      <c r="P345" s="5" t="n"/>
      <c r="Q345" s="5" t="n">
        <v>198</v>
      </c>
      <c r="R345" s="5" t="n"/>
      <c r="S345" s="5">
        <f>SUM(F345:I345)+N345</f>
        <v/>
      </c>
      <c r="T345" s="5">
        <f>J345</f>
        <v/>
      </c>
      <c r="U345" s="6">
        <f>YEAR(D345)</f>
        <v/>
      </c>
      <c r="V345" s="5">
        <f>TEXT(D345,"yyyy-mm")</f>
        <v/>
      </c>
    </row>
    <row r="346">
      <c r="A346" s="2" t="inlineStr">
        <is>
          <t>EJ010623.TXT</t>
        </is>
      </c>
      <c r="B346" s="3" t="inlineStr">
        <is>
          <t>004888</t>
        </is>
      </c>
      <c r="C346" s="3" t="inlineStr">
        <is>
          <t>003906</t>
        </is>
      </c>
      <c r="D346" s="4" t="n">
        <v>45065</v>
      </c>
      <c r="E346" s="2" t="inlineStr">
        <is>
          <t>17:23</t>
        </is>
      </c>
      <c r="F346" s="5" t="n">
        <v>531.67</v>
      </c>
      <c r="G346" s="5" t="n"/>
      <c r="H346" s="5" t="n"/>
      <c r="I346" s="5" t="n"/>
      <c r="J346" s="5" t="n">
        <v>106.33</v>
      </c>
      <c r="K346" s="5" t="n"/>
      <c r="L346" s="5" t="n"/>
      <c r="M346" s="5" t="n"/>
      <c r="N346" s="5" t="n"/>
      <c r="O346" s="5" t="n">
        <v>638</v>
      </c>
      <c r="P346" s="5" t="n"/>
      <c r="Q346" s="5" t="n">
        <v>638</v>
      </c>
      <c r="R346" s="5" t="n"/>
      <c r="S346" s="5">
        <f>SUM(F346:I346)+N346</f>
        <v/>
      </c>
      <c r="T346" s="5">
        <f>J346</f>
        <v/>
      </c>
      <c r="U346" s="6">
        <f>YEAR(D346)</f>
        <v/>
      </c>
      <c r="V346" s="5">
        <f>TEXT(D346,"yyyy-mm")</f>
        <v/>
      </c>
    </row>
    <row r="347">
      <c r="A347" s="2" t="inlineStr">
        <is>
          <t>EJ010623.TXT</t>
        </is>
      </c>
      <c r="B347" s="3" t="inlineStr">
        <is>
          <t>004889</t>
        </is>
      </c>
      <c r="C347" s="3" t="inlineStr">
        <is>
          <t>003907</t>
        </is>
      </c>
      <c r="D347" s="4" t="n">
        <v>45066</v>
      </c>
      <c r="E347" s="2" t="inlineStr">
        <is>
          <t>14:27</t>
        </is>
      </c>
      <c r="F347" s="5" t="n">
        <v>797.5</v>
      </c>
      <c r="G347" s="5" t="n"/>
      <c r="H347" s="5" t="n"/>
      <c r="I347" s="5" t="n"/>
      <c r="J347" s="5" t="n">
        <v>159.5</v>
      </c>
      <c r="K347" s="5" t="n"/>
      <c r="L347" s="5" t="n"/>
      <c r="M347" s="5" t="n"/>
      <c r="N347" s="5" t="n"/>
      <c r="O347" s="5" t="n">
        <v>957</v>
      </c>
      <c r="P347" s="5" t="n"/>
      <c r="Q347" s="5" t="n">
        <v>957</v>
      </c>
      <c r="R347" s="5" t="n"/>
      <c r="S347" s="5">
        <f>SUM(F347:I347)+N347</f>
        <v/>
      </c>
      <c r="T347" s="5">
        <f>J347</f>
        <v/>
      </c>
      <c r="U347" s="6">
        <f>YEAR(D347)</f>
        <v/>
      </c>
      <c r="V347" s="5">
        <f>TEXT(D347,"yyyy-mm")</f>
        <v/>
      </c>
    </row>
    <row r="348">
      <c r="A348" s="2" t="inlineStr">
        <is>
          <t>EJ010623.TXT</t>
        </is>
      </c>
      <c r="B348" s="3" t="inlineStr">
        <is>
          <t>004890</t>
        </is>
      </c>
      <c r="C348" s="3" t="inlineStr">
        <is>
          <t>003908</t>
        </is>
      </c>
      <c r="D348" s="4" t="n">
        <v>45066</v>
      </c>
      <c r="E348" s="2" t="inlineStr">
        <is>
          <t>14:27</t>
        </is>
      </c>
      <c r="F348" s="5" t="n">
        <v>797.5</v>
      </c>
      <c r="G348" s="5" t="n"/>
      <c r="H348" s="5" t="n"/>
      <c r="I348" s="5" t="n"/>
      <c r="J348" s="5" t="n">
        <v>159.5</v>
      </c>
      <c r="K348" s="5" t="n"/>
      <c r="L348" s="5" t="n"/>
      <c r="M348" s="5" t="n"/>
      <c r="N348" s="5" t="n"/>
      <c r="O348" s="5" t="n">
        <v>957</v>
      </c>
      <c r="P348" s="5" t="n"/>
      <c r="Q348" s="5" t="n">
        <v>957</v>
      </c>
      <c r="R348" s="5" t="n"/>
      <c r="S348" s="5">
        <f>SUM(F348:I348)+N348</f>
        <v/>
      </c>
      <c r="T348" s="5">
        <f>J348</f>
        <v/>
      </c>
      <c r="U348" s="6">
        <f>YEAR(D348)</f>
        <v/>
      </c>
      <c r="V348" s="5">
        <f>TEXT(D348,"yyyy-mm")</f>
        <v/>
      </c>
    </row>
    <row r="349">
      <c r="A349" s="2" t="inlineStr">
        <is>
          <t>EJ010623.TXT</t>
        </is>
      </c>
      <c r="B349" s="3" t="inlineStr">
        <is>
          <t>004891</t>
        </is>
      </c>
      <c r="C349" s="3" t="inlineStr">
        <is>
          <t>003909</t>
        </is>
      </c>
      <c r="D349" s="4" t="n">
        <v>45066</v>
      </c>
      <c r="E349" s="2" t="inlineStr">
        <is>
          <t>14:28</t>
        </is>
      </c>
      <c r="F349" s="5" t="n">
        <v>531.67</v>
      </c>
      <c r="G349" s="5" t="n"/>
      <c r="H349" s="5" t="n"/>
      <c r="I349" s="5" t="n"/>
      <c r="J349" s="5" t="n">
        <v>106.33</v>
      </c>
      <c r="K349" s="5" t="n"/>
      <c r="L349" s="5" t="n"/>
      <c r="M349" s="5" t="n"/>
      <c r="N349" s="5" t="n"/>
      <c r="O349" s="5" t="n">
        <v>638</v>
      </c>
      <c r="P349" s="5" t="n">
        <v>638</v>
      </c>
      <c r="Q349" s="5" t="n"/>
      <c r="R349" s="5" t="n"/>
      <c r="S349" s="5">
        <f>SUM(F349:I349)+N349</f>
        <v/>
      </c>
      <c r="T349" s="5">
        <f>J349</f>
        <v/>
      </c>
      <c r="U349" s="6">
        <f>YEAR(D349)</f>
        <v/>
      </c>
      <c r="V349" s="5">
        <f>TEXT(D349,"yyyy-mm")</f>
        <v/>
      </c>
    </row>
    <row r="350">
      <c r="A350" s="2" t="inlineStr">
        <is>
          <t>EJ010623.TXT</t>
        </is>
      </c>
      <c r="B350" s="3" t="inlineStr">
        <is>
          <t>004892</t>
        </is>
      </c>
      <c r="C350" s="3" t="inlineStr">
        <is>
          <t>003910</t>
        </is>
      </c>
      <c r="D350" s="4" t="n">
        <v>45066</v>
      </c>
      <c r="E350" s="2" t="inlineStr">
        <is>
          <t>14:50</t>
        </is>
      </c>
      <c r="F350" s="5" t="n">
        <v>582.5</v>
      </c>
      <c r="G350" s="5" t="n"/>
      <c r="H350" s="5" t="n"/>
      <c r="I350" s="5" t="n"/>
      <c r="J350" s="5" t="n">
        <v>116.5</v>
      </c>
      <c r="K350" s="5" t="n"/>
      <c r="L350" s="5" t="n"/>
      <c r="M350" s="5" t="n"/>
      <c r="N350" s="5" t="n"/>
      <c r="O350" s="5" t="n">
        <v>699</v>
      </c>
      <c r="P350" s="5" t="n"/>
      <c r="Q350" s="5" t="n">
        <v>699</v>
      </c>
      <c r="R350" s="5" t="n"/>
      <c r="S350" s="5">
        <f>SUM(F350:I350)+N350</f>
        <v/>
      </c>
      <c r="T350" s="5">
        <f>J350</f>
        <v/>
      </c>
      <c r="U350" s="6">
        <f>YEAR(D350)</f>
        <v/>
      </c>
      <c r="V350" s="5">
        <f>TEXT(D350,"yyyy-mm")</f>
        <v/>
      </c>
    </row>
    <row r="351">
      <c r="A351" s="2" t="inlineStr">
        <is>
          <t>EJ010623.TXT</t>
        </is>
      </c>
      <c r="B351" s="3" t="inlineStr">
        <is>
          <t>004893</t>
        </is>
      </c>
      <c r="C351" s="3" t="inlineStr">
        <is>
          <t>003911</t>
        </is>
      </c>
      <c r="D351" s="4" t="n">
        <v>45066</v>
      </c>
      <c r="E351" s="2" t="inlineStr">
        <is>
          <t>14:51</t>
        </is>
      </c>
      <c r="F351" s="5" t="n">
        <v>3495</v>
      </c>
      <c r="G351" s="5" t="n"/>
      <c r="H351" s="5" t="n"/>
      <c r="I351" s="5" t="n"/>
      <c r="J351" s="5" t="n">
        <v>699</v>
      </c>
      <c r="K351" s="5" t="n"/>
      <c r="L351" s="5" t="n"/>
      <c r="M351" s="5" t="n"/>
      <c r="N351" s="5" t="n"/>
      <c r="O351" s="5" t="n">
        <v>4194</v>
      </c>
      <c r="P351" s="5" t="n">
        <v>4194</v>
      </c>
      <c r="Q351" s="5" t="n"/>
      <c r="R351" s="5" t="n"/>
      <c r="S351" s="5">
        <f>SUM(F351:I351)+N351</f>
        <v/>
      </c>
      <c r="T351" s="5">
        <f>J351</f>
        <v/>
      </c>
      <c r="U351" s="6">
        <f>YEAR(D351)</f>
        <v/>
      </c>
      <c r="V351" s="5">
        <f>TEXT(D351,"yyyy-mm")</f>
        <v/>
      </c>
    </row>
    <row r="352">
      <c r="A352" s="2" t="inlineStr">
        <is>
          <t>EJ010623.TXT</t>
        </is>
      </c>
      <c r="B352" s="3" t="inlineStr">
        <is>
          <t>004894</t>
        </is>
      </c>
      <c r="C352" s="3" t="inlineStr">
        <is>
          <t>003912</t>
        </is>
      </c>
      <c r="D352" s="4" t="n">
        <v>45066</v>
      </c>
      <c r="E352" s="2" t="inlineStr">
        <is>
          <t>14:52</t>
        </is>
      </c>
      <c r="F352" s="5" t="n">
        <v>582.5</v>
      </c>
      <c r="G352" s="5" t="n"/>
      <c r="H352" s="5" t="n"/>
      <c r="I352" s="5" t="n"/>
      <c r="J352" s="5" t="n">
        <v>116.5</v>
      </c>
      <c r="K352" s="5" t="n"/>
      <c r="L352" s="5" t="n"/>
      <c r="M352" s="5" t="n"/>
      <c r="N352" s="5" t="n"/>
      <c r="O352" s="5" t="n">
        <v>699</v>
      </c>
      <c r="P352" s="5" t="n"/>
      <c r="Q352" s="5" t="n">
        <v>699</v>
      </c>
      <c r="R352" s="5" t="n"/>
      <c r="S352" s="5">
        <f>SUM(F352:I352)+N352</f>
        <v/>
      </c>
      <c r="T352" s="5">
        <f>J352</f>
        <v/>
      </c>
      <c r="U352" s="6">
        <f>YEAR(D352)</f>
        <v/>
      </c>
      <c r="V352" s="5">
        <f>TEXT(D352,"yyyy-mm")</f>
        <v/>
      </c>
    </row>
    <row r="353">
      <c r="A353" s="2" t="inlineStr">
        <is>
          <t>EJ010623.TXT</t>
        </is>
      </c>
      <c r="B353" s="3" t="inlineStr">
        <is>
          <t>004895</t>
        </is>
      </c>
      <c r="C353" s="3" t="inlineStr">
        <is>
          <t>003913</t>
        </is>
      </c>
      <c r="D353" s="4" t="n">
        <v>45066</v>
      </c>
      <c r="E353" s="2" t="inlineStr">
        <is>
          <t>14:59</t>
        </is>
      </c>
      <c r="F353" s="5" t="n">
        <v>548.33</v>
      </c>
      <c r="G353" s="5" t="n"/>
      <c r="H353" s="5" t="n"/>
      <c r="I353" s="5" t="n"/>
      <c r="J353" s="5" t="n">
        <v>109.67</v>
      </c>
      <c r="K353" s="5" t="n"/>
      <c r="L353" s="5" t="n"/>
      <c r="M353" s="5" t="n"/>
      <c r="N353" s="5" t="n"/>
      <c r="O353" s="5" t="n">
        <v>658</v>
      </c>
      <c r="P353" s="5" t="n">
        <v>658</v>
      </c>
      <c r="Q353" s="5" t="n"/>
      <c r="R353" s="5" t="n"/>
      <c r="S353" s="5">
        <f>SUM(F353:I353)+N353</f>
        <v/>
      </c>
      <c r="T353" s="5">
        <f>J353</f>
        <v/>
      </c>
      <c r="U353" s="6">
        <f>YEAR(D353)</f>
        <v/>
      </c>
      <c r="V353" s="5">
        <f>TEXT(D353,"yyyy-mm")</f>
        <v/>
      </c>
    </row>
    <row r="354">
      <c r="A354" s="2" t="inlineStr">
        <is>
          <t>EJ010623.TXT</t>
        </is>
      </c>
      <c r="B354" s="3" t="inlineStr">
        <is>
          <t>004896</t>
        </is>
      </c>
      <c r="C354" s="3" t="inlineStr">
        <is>
          <t>003914</t>
        </is>
      </c>
      <c r="D354" s="4" t="n">
        <v>45069</v>
      </c>
      <c r="E354" s="2" t="inlineStr">
        <is>
          <t>15:25</t>
        </is>
      </c>
      <c r="F354" s="5" t="n">
        <v>548.33</v>
      </c>
      <c r="G354" s="5" t="n"/>
      <c r="H354" s="5" t="n"/>
      <c r="I354" s="5" t="n"/>
      <c r="J354" s="5" t="n">
        <v>109.67</v>
      </c>
      <c r="K354" s="5" t="n"/>
      <c r="L354" s="5" t="n"/>
      <c r="M354" s="5" t="n"/>
      <c r="N354" s="5" t="n"/>
      <c r="O354" s="5" t="n">
        <v>658</v>
      </c>
      <c r="P354" s="5" t="n"/>
      <c r="Q354" s="5" t="n">
        <v>658</v>
      </c>
      <c r="R354" s="5" t="n"/>
      <c r="S354" s="5">
        <f>SUM(F354:I354)+N354</f>
        <v/>
      </c>
      <c r="T354" s="5">
        <f>J354</f>
        <v/>
      </c>
      <c r="U354" s="6">
        <f>YEAR(D354)</f>
        <v/>
      </c>
      <c r="V354" s="5">
        <f>TEXT(D354,"yyyy-mm")</f>
        <v/>
      </c>
    </row>
    <row r="355">
      <c r="A355" s="2" t="inlineStr">
        <is>
          <t>EJ010623.TXT</t>
        </is>
      </c>
      <c r="B355" s="3" t="inlineStr">
        <is>
          <t>004897</t>
        </is>
      </c>
      <c r="C355" s="3" t="inlineStr">
        <is>
          <t>003915</t>
        </is>
      </c>
      <c r="D355" s="4" t="n">
        <v>45070</v>
      </c>
      <c r="E355" s="2" t="inlineStr">
        <is>
          <t>10:19</t>
        </is>
      </c>
      <c r="F355" s="5" t="n">
        <v>822.5</v>
      </c>
      <c r="G355" s="5" t="n"/>
      <c r="H355" s="5" t="n"/>
      <c r="I355" s="5" t="n"/>
      <c r="J355" s="5" t="n">
        <v>164.5</v>
      </c>
      <c r="K355" s="5" t="n"/>
      <c r="L355" s="5" t="n"/>
      <c r="M355" s="5" t="n"/>
      <c r="N355" s="5" t="n"/>
      <c r="O355" s="5" t="n">
        <v>987</v>
      </c>
      <c r="P355" s="5" t="n"/>
      <c r="Q355" s="5" t="n">
        <v>987</v>
      </c>
      <c r="R355" s="5" t="n"/>
      <c r="S355" s="5">
        <f>SUM(F355:I355)+N355</f>
        <v/>
      </c>
      <c r="T355" s="5">
        <f>J355</f>
        <v/>
      </c>
      <c r="U355" s="6">
        <f>YEAR(D355)</f>
        <v/>
      </c>
      <c r="V355" s="5">
        <f>TEXT(D355,"yyyy-mm")</f>
        <v/>
      </c>
    </row>
    <row r="356">
      <c r="A356" s="2" t="inlineStr">
        <is>
          <t>EJ010623.TXT</t>
        </is>
      </c>
      <c r="B356" s="3" t="inlineStr">
        <is>
          <t>004898</t>
        </is>
      </c>
      <c r="C356" s="3" t="inlineStr">
        <is>
          <t>003916</t>
        </is>
      </c>
      <c r="D356" s="4" t="n">
        <v>45070</v>
      </c>
      <c r="E356" s="2" t="inlineStr">
        <is>
          <t>10:40</t>
        </is>
      </c>
      <c r="F356" s="5" t="n">
        <v>190.83</v>
      </c>
      <c r="G356" s="5" t="n"/>
      <c r="H356" s="5" t="n"/>
      <c r="I356" s="5" t="n"/>
      <c r="J356" s="5" t="n">
        <v>38.17</v>
      </c>
      <c r="K356" s="5" t="n"/>
      <c r="L356" s="5" t="n"/>
      <c r="M356" s="5" t="n"/>
      <c r="N356" s="5" t="n"/>
      <c r="O356" s="5" t="n">
        <v>229</v>
      </c>
      <c r="P356" s="5" t="n"/>
      <c r="Q356" s="5" t="n">
        <v>229</v>
      </c>
      <c r="R356" s="5" t="n"/>
      <c r="S356" s="5">
        <f>SUM(F356:I356)+N356</f>
        <v/>
      </c>
      <c r="T356" s="5">
        <f>J356</f>
        <v/>
      </c>
      <c r="U356" s="6">
        <f>YEAR(D356)</f>
        <v/>
      </c>
      <c r="V356" s="5">
        <f>TEXT(D356,"yyyy-mm")</f>
        <v/>
      </c>
    </row>
    <row r="357">
      <c r="A357" s="2" t="inlineStr">
        <is>
          <t>EJ010623.TXT</t>
        </is>
      </c>
      <c r="B357" s="3" t="inlineStr">
        <is>
          <t>004899</t>
        </is>
      </c>
      <c r="C357" s="3" t="inlineStr">
        <is>
          <t>003917</t>
        </is>
      </c>
      <c r="D357" s="4" t="n">
        <v>45070</v>
      </c>
      <c r="E357" s="2" t="inlineStr">
        <is>
          <t>11:38</t>
        </is>
      </c>
      <c r="F357" s="5" t="n">
        <v>73.33</v>
      </c>
      <c r="G357" s="5" t="n"/>
      <c r="H357" s="5" t="n"/>
      <c r="I357" s="5" t="n"/>
      <c r="J357" s="5" t="n">
        <v>14.67</v>
      </c>
      <c r="K357" s="5" t="n"/>
      <c r="L357" s="5" t="n"/>
      <c r="M357" s="5" t="n"/>
      <c r="N357" s="5" t="n"/>
      <c r="O357" s="5" t="n">
        <v>88</v>
      </c>
      <c r="P357" s="5" t="n">
        <v>88</v>
      </c>
      <c r="Q357" s="5" t="n"/>
      <c r="R357" s="5" t="n"/>
      <c r="S357" s="5">
        <f>SUM(F357:I357)+N357</f>
        <v/>
      </c>
      <c r="T357" s="5">
        <f>J357</f>
        <v/>
      </c>
      <c r="U357" s="6">
        <f>YEAR(D357)</f>
        <v/>
      </c>
      <c r="V357" s="5">
        <f>TEXT(D357,"yyyy-mm")</f>
        <v/>
      </c>
    </row>
    <row r="358">
      <c r="A358" s="2" t="inlineStr">
        <is>
          <t>EJ010623.TXT</t>
        </is>
      </c>
      <c r="B358" s="3" t="inlineStr">
        <is>
          <t>004900</t>
        </is>
      </c>
      <c r="C358" s="3" t="inlineStr">
        <is>
          <t>003918</t>
        </is>
      </c>
      <c r="D358" s="4" t="n">
        <v>45071</v>
      </c>
      <c r="E358" s="2" t="inlineStr">
        <is>
          <t>09:11</t>
        </is>
      </c>
      <c r="F358" s="5" t="n">
        <v>274.17</v>
      </c>
      <c r="G358" s="5" t="n"/>
      <c r="H358" s="5" t="n"/>
      <c r="I358" s="5" t="n"/>
      <c r="J358" s="5" t="n">
        <v>54.83</v>
      </c>
      <c r="K358" s="5" t="n"/>
      <c r="L358" s="5" t="n"/>
      <c r="M358" s="5" t="n"/>
      <c r="N358" s="5" t="n"/>
      <c r="O358" s="5" t="n">
        <v>329</v>
      </c>
      <c r="P358" s="5" t="n">
        <v>329</v>
      </c>
      <c r="Q358" s="5" t="n"/>
      <c r="R358" s="5" t="n"/>
      <c r="S358" s="5">
        <f>SUM(F358:I358)+N358</f>
        <v/>
      </c>
      <c r="T358" s="5">
        <f>J358</f>
        <v/>
      </c>
      <c r="U358" s="6">
        <f>YEAR(D358)</f>
        <v/>
      </c>
      <c r="V358" s="5">
        <f>TEXT(D358,"yyyy-mm")</f>
        <v/>
      </c>
    </row>
    <row r="359">
      <c r="A359" s="2" t="inlineStr">
        <is>
          <t>EJ010623.TXT</t>
        </is>
      </c>
      <c r="B359" s="3" t="inlineStr">
        <is>
          <t>004901</t>
        </is>
      </c>
      <c r="C359" s="3" t="inlineStr">
        <is>
          <t>003919</t>
        </is>
      </c>
      <c r="D359" s="4" t="n">
        <v>45071</v>
      </c>
      <c r="E359" s="2" t="inlineStr">
        <is>
          <t>15:56</t>
        </is>
      </c>
      <c r="F359" s="5" t="n">
        <v>548.33</v>
      </c>
      <c r="G359" s="5" t="n"/>
      <c r="H359" s="5" t="n"/>
      <c r="I359" s="5" t="n"/>
      <c r="J359" s="5" t="n">
        <v>109.67</v>
      </c>
      <c r="K359" s="5" t="n"/>
      <c r="L359" s="5" t="n"/>
      <c r="M359" s="5" t="n"/>
      <c r="N359" s="5" t="n"/>
      <c r="O359" s="5" t="n">
        <v>658</v>
      </c>
      <c r="P359" s="5" t="n"/>
      <c r="Q359" s="5" t="n">
        <v>658</v>
      </c>
      <c r="R359" s="5" t="n"/>
      <c r="S359" s="5">
        <f>SUM(F359:I359)+N359</f>
        <v/>
      </c>
      <c r="T359" s="5">
        <f>J359</f>
        <v/>
      </c>
      <c r="U359" s="6">
        <f>YEAR(D359)</f>
        <v/>
      </c>
      <c r="V359" s="5">
        <f>TEXT(D359,"yyyy-mm")</f>
        <v/>
      </c>
    </row>
    <row r="360">
      <c r="A360" s="2" t="inlineStr">
        <is>
          <t>EJ010623.TXT</t>
        </is>
      </c>
      <c r="B360" s="3" t="inlineStr">
        <is>
          <t>004902</t>
        </is>
      </c>
      <c r="C360" s="3" t="inlineStr">
        <is>
          <t>003920</t>
        </is>
      </c>
      <c r="D360" s="4" t="n">
        <v>45072</v>
      </c>
      <c r="E360" s="2" t="inlineStr">
        <is>
          <t>09:13</t>
        </is>
      </c>
      <c r="F360" s="5" t="n">
        <v>548.33</v>
      </c>
      <c r="G360" s="5" t="n"/>
      <c r="H360" s="5" t="n"/>
      <c r="I360" s="5" t="n"/>
      <c r="J360" s="5" t="n">
        <v>109.67</v>
      </c>
      <c r="K360" s="5" t="n"/>
      <c r="L360" s="5" t="n"/>
      <c r="M360" s="5" t="n"/>
      <c r="N360" s="5" t="n"/>
      <c r="O360" s="5" t="n">
        <v>658</v>
      </c>
      <c r="P360" s="5" t="n">
        <v>658</v>
      </c>
      <c r="Q360" s="5" t="n"/>
      <c r="R360" s="5" t="n"/>
      <c r="S360" s="5">
        <f>SUM(F360:I360)+N360</f>
        <v/>
      </c>
      <c r="T360" s="5">
        <f>J360</f>
        <v/>
      </c>
      <c r="U360" s="6">
        <f>YEAR(D360)</f>
        <v/>
      </c>
      <c r="V360" s="5">
        <f>TEXT(D360,"yyyy-mm")</f>
        <v/>
      </c>
    </row>
    <row r="361">
      <c r="A361" s="2" t="inlineStr">
        <is>
          <t>EJ010623.TXT</t>
        </is>
      </c>
      <c r="B361" s="3" t="inlineStr">
        <is>
          <t>004903</t>
        </is>
      </c>
      <c r="C361" s="3" t="inlineStr">
        <is>
          <t>003921</t>
        </is>
      </c>
      <c r="D361" s="4" t="n">
        <v>45072</v>
      </c>
      <c r="E361" s="2" t="inlineStr">
        <is>
          <t>10:11</t>
        </is>
      </c>
      <c r="F361" s="5" t="n">
        <v>350</v>
      </c>
      <c r="G361" s="5" t="n"/>
      <c r="H361" s="5" t="n"/>
      <c r="I361" s="5" t="n"/>
      <c r="J361" s="5" t="n">
        <v>70</v>
      </c>
      <c r="K361" s="5" t="n"/>
      <c r="L361" s="5" t="n"/>
      <c r="M361" s="5" t="n"/>
      <c r="N361" s="5" t="n"/>
      <c r="O361" s="5" t="n">
        <v>420</v>
      </c>
      <c r="P361" s="5" t="n"/>
      <c r="Q361" s="5" t="n">
        <v>420</v>
      </c>
      <c r="R361" s="5" t="n"/>
      <c r="S361" s="5">
        <f>SUM(F361:I361)+N361</f>
        <v/>
      </c>
      <c r="T361" s="5">
        <f>J361</f>
        <v/>
      </c>
      <c r="U361" s="6">
        <f>YEAR(D361)</f>
        <v/>
      </c>
      <c r="V361" s="5">
        <f>TEXT(D361,"yyyy-mm")</f>
        <v/>
      </c>
    </row>
    <row r="362">
      <c r="A362" s="2" t="inlineStr">
        <is>
          <t>EJ010623.TXT</t>
        </is>
      </c>
      <c r="B362" s="3" t="inlineStr">
        <is>
          <t>004904</t>
        </is>
      </c>
      <c r="C362" s="3" t="inlineStr">
        <is>
          <t>003922</t>
        </is>
      </c>
      <c r="D362" s="4" t="n">
        <v>45073</v>
      </c>
      <c r="E362" s="2" t="inlineStr">
        <is>
          <t>14:23</t>
        </is>
      </c>
      <c r="F362" s="5" t="n">
        <v>98.33</v>
      </c>
      <c r="G362" s="5" t="n"/>
      <c r="H362" s="5" t="n"/>
      <c r="I362" s="5" t="n"/>
      <c r="J362" s="5" t="n">
        <v>19.67</v>
      </c>
      <c r="K362" s="5" t="n"/>
      <c r="L362" s="5" t="n"/>
      <c r="M362" s="5" t="n"/>
      <c r="N362" s="5" t="n"/>
      <c r="O362" s="5" t="n">
        <v>118</v>
      </c>
      <c r="P362" s="5" t="n"/>
      <c r="Q362" s="5" t="n">
        <v>118</v>
      </c>
      <c r="R362" s="5" t="n"/>
      <c r="S362" s="5">
        <f>SUM(F362:I362)+N362</f>
        <v/>
      </c>
      <c r="T362" s="5">
        <f>J362</f>
        <v/>
      </c>
      <c r="U362" s="6">
        <f>YEAR(D362)</f>
        <v/>
      </c>
      <c r="V362" s="5">
        <f>TEXT(D362,"yyyy-mm")</f>
        <v/>
      </c>
    </row>
    <row r="363">
      <c r="A363" s="2" t="inlineStr">
        <is>
          <t>EJ010623.TXT</t>
        </is>
      </c>
      <c r="B363" s="3" t="inlineStr">
        <is>
          <t>004905</t>
        </is>
      </c>
      <c r="C363" s="3" t="inlineStr">
        <is>
          <t>003923</t>
        </is>
      </c>
      <c r="D363" s="4" t="n">
        <v>45073</v>
      </c>
      <c r="E363" s="2" t="inlineStr">
        <is>
          <t>17:42</t>
        </is>
      </c>
      <c r="F363" s="5" t="n">
        <v>274.17</v>
      </c>
      <c r="G363" s="5" t="n"/>
      <c r="H363" s="5" t="n"/>
      <c r="I363" s="5" t="n"/>
      <c r="J363" s="5" t="n">
        <v>54.83</v>
      </c>
      <c r="K363" s="5" t="n"/>
      <c r="L363" s="5" t="n"/>
      <c r="M363" s="5" t="n"/>
      <c r="N363" s="5" t="n"/>
      <c r="O363" s="5" t="n">
        <v>329</v>
      </c>
      <c r="P363" s="5" t="n"/>
      <c r="Q363" s="5" t="n">
        <v>329</v>
      </c>
      <c r="R363" s="5" t="n"/>
      <c r="S363" s="5">
        <f>SUM(F363:I363)+N363</f>
        <v/>
      </c>
      <c r="T363" s="5">
        <f>J363</f>
        <v/>
      </c>
      <c r="U363" s="6">
        <f>YEAR(D363)</f>
        <v/>
      </c>
      <c r="V363" s="5">
        <f>TEXT(D363,"yyyy-mm")</f>
        <v/>
      </c>
    </row>
    <row r="364">
      <c r="A364" s="2" t="inlineStr">
        <is>
          <t>EJ010623.TXT</t>
        </is>
      </c>
      <c r="B364" s="3" t="inlineStr">
        <is>
          <t>004906</t>
        </is>
      </c>
      <c r="C364" s="3" t="inlineStr">
        <is>
          <t>003924</t>
        </is>
      </c>
      <c r="D364" s="4" t="n">
        <v>45075</v>
      </c>
      <c r="E364" s="2" t="inlineStr">
        <is>
          <t>15:18</t>
        </is>
      </c>
      <c r="F364" s="5" t="n">
        <v>381.67</v>
      </c>
      <c r="G364" s="5" t="n"/>
      <c r="H364" s="5" t="n"/>
      <c r="I364" s="5" t="n"/>
      <c r="J364" s="5" t="n">
        <v>76.33</v>
      </c>
      <c r="K364" s="5" t="n"/>
      <c r="L364" s="5" t="n"/>
      <c r="M364" s="5" t="n"/>
      <c r="N364" s="5" t="n"/>
      <c r="O364" s="5" t="n">
        <v>458</v>
      </c>
      <c r="P364" s="5" t="n"/>
      <c r="Q364" s="5" t="n">
        <v>458</v>
      </c>
      <c r="R364" s="5" t="n"/>
      <c r="S364" s="5">
        <f>SUM(F364:I364)+N364</f>
        <v/>
      </c>
      <c r="T364" s="5">
        <f>J364</f>
        <v/>
      </c>
      <c r="U364" s="6">
        <f>YEAR(D364)</f>
        <v/>
      </c>
      <c r="V364" s="5">
        <f>TEXT(D364,"yyyy-mm")</f>
        <v/>
      </c>
    </row>
    <row r="365">
      <c r="A365" s="2" t="inlineStr">
        <is>
          <t>EJ010623.TXT</t>
        </is>
      </c>
      <c r="B365" s="3" t="inlineStr">
        <is>
          <t>004907</t>
        </is>
      </c>
      <c r="C365" s="3" t="inlineStr">
        <is>
          <t>003925</t>
        </is>
      </c>
      <c r="D365" s="4" t="n">
        <v>45075</v>
      </c>
      <c r="E365" s="2" t="inlineStr">
        <is>
          <t>16:05</t>
        </is>
      </c>
      <c r="F365" s="5" t="n">
        <v>65.83</v>
      </c>
      <c r="G365" s="5" t="n"/>
      <c r="H365" s="5" t="n"/>
      <c r="I365" s="5" t="n"/>
      <c r="J365" s="5" t="n">
        <v>13.17</v>
      </c>
      <c r="K365" s="5" t="n"/>
      <c r="L365" s="5" t="n"/>
      <c r="M365" s="5" t="n"/>
      <c r="N365" s="5" t="n"/>
      <c r="O365" s="5" t="n">
        <v>79</v>
      </c>
      <c r="P365" s="5" t="n">
        <v>79</v>
      </c>
      <c r="Q365" s="5" t="n"/>
      <c r="R365" s="5" t="n"/>
      <c r="S365" s="5">
        <f>SUM(F365:I365)+N365</f>
        <v/>
      </c>
      <c r="T365" s="5">
        <f>J365</f>
        <v/>
      </c>
      <c r="U365" s="6">
        <f>YEAR(D365)</f>
        <v/>
      </c>
      <c r="V365" s="5">
        <f>TEXT(D365,"yyyy-mm")</f>
        <v/>
      </c>
    </row>
    <row r="366">
      <c r="A366" s="2" t="inlineStr">
        <is>
          <t>EJ010623.TXT</t>
        </is>
      </c>
      <c r="B366" s="3" t="inlineStr">
        <is>
          <t>004908</t>
        </is>
      </c>
      <c r="C366" s="3" t="inlineStr">
        <is>
          <t>003926</t>
        </is>
      </c>
      <c r="D366" s="4" t="n">
        <v>45077</v>
      </c>
      <c r="E366" s="2" t="inlineStr">
        <is>
          <t>11:07</t>
        </is>
      </c>
      <c r="F366" s="5" t="n">
        <v>1645</v>
      </c>
      <c r="G366" s="5" t="n"/>
      <c r="H366" s="5" t="n"/>
      <c r="I366" s="5" t="n"/>
      <c r="J366" s="5" t="n">
        <v>329</v>
      </c>
      <c r="K366" s="5" t="n"/>
      <c r="L366" s="5" t="n"/>
      <c r="M366" s="5" t="n"/>
      <c r="N366" s="5" t="n"/>
      <c r="O366" s="5" t="n">
        <v>1974</v>
      </c>
      <c r="P366" s="5" t="n">
        <v>1974</v>
      </c>
      <c r="Q366" s="5" t="n"/>
      <c r="R366" s="5" t="n"/>
      <c r="S366" s="5">
        <f>SUM(F366:I366)+N366</f>
        <v/>
      </c>
      <c r="T366" s="5">
        <f>J366</f>
        <v/>
      </c>
      <c r="U366" s="6">
        <f>YEAR(D366)</f>
        <v/>
      </c>
      <c r="V366" s="5">
        <f>TEXT(D366,"yyyy-mm")</f>
        <v/>
      </c>
    </row>
    <row r="367">
      <c r="A367" s="2" t="inlineStr">
        <is>
          <t>EJ010723.TXT</t>
        </is>
      </c>
      <c r="B367" s="3" t="inlineStr">
        <is>
          <t>004916</t>
        </is>
      </c>
      <c r="C367" s="3" t="inlineStr">
        <is>
          <t>003927</t>
        </is>
      </c>
      <c r="D367" s="4" t="n">
        <v>45078</v>
      </c>
      <c r="E367" s="2" t="inlineStr">
        <is>
          <t>10:44</t>
        </is>
      </c>
      <c r="F367" s="5" t="n">
        <v>822.5</v>
      </c>
      <c r="G367" s="5" t="n"/>
      <c r="H367" s="5" t="n"/>
      <c r="I367" s="5" t="n"/>
      <c r="J367" s="5" t="n">
        <v>164.5</v>
      </c>
      <c r="K367" s="5" t="n"/>
      <c r="L367" s="5" t="n"/>
      <c r="M367" s="5" t="n"/>
      <c r="N367" s="5" t="n"/>
      <c r="O367" s="5" t="n">
        <v>987</v>
      </c>
      <c r="P367" s="5" t="n"/>
      <c r="Q367" s="5" t="n">
        <v>987</v>
      </c>
      <c r="R367" s="5" t="n"/>
      <c r="S367" s="5">
        <f>SUM(F367:I367)+N367</f>
        <v/>
      </c>
      <c r="T367" s="5">
        <f>J367</f>
        <v/>
      </c>
      <c r="U367" s="6">
        <f>YEAR(D367)</f>
        <v/>
      </c>
      <c r="V367" s="5">
        <f>TEXT(D367,"yyyy-mm")</f>
        <v/>
      </c>
    </row>
    <row r="368">
      <c r="A368" s="2" t="inlineStr">
        <is>
          <t>EJ010723.TXT</t>
        </is>
      </c>
      <c r="B368" s="3" t="inlineStr">
        <is>
          <t>004917</t>
        </is>
      </c>
      <c r="C368" s="3" t="inlineStr">
        <is>
          <t>003928</t>
        </is>
      </c>
      <c r="D368" s="4" t="n">
        <v>45078</v>
      </c>
      <c r="E368" s="2" t="inlineStr">
        <is>
          <t>10:44</t>
        </is>
      </c>
      <c r="F368" s="5" t="n">
        <v>548.33</v>
      </c>
      <c r="G368" s="5" t="n"/>
      <c r="H368" s="5" t="n"/>
      <c r="I368" s="5" t="n"/>
      <c r="J368" s="5" t="n">
        <v>109.67</v>
      </c>
      <c r="K368" s="5" t="n"/>
      <c r="L368" s="5" t="n"/>
      <c r="M368" s="5" t="n"/>
      <c r="N368" s="5" t="n"/>
      <c r="O368" s="5" t="n">
        <v>658</v>
      </c>
      <c r="P368" s="5" t="n"/>
      <c r="Q368" s="5" t="n">
        <v>658</v>
      </c>
      <c r="R368" s="5" t="n"/>
      <c r="S368" s="5">
        <f>SUM(F368:I368)+N368</f>
        <v/>
      </c>
      <c r="T368" s="5">
        <f>J368</f>
        <v/>
      </c>
      <c r="U368" s="6">
        <f>YEAR(D368)</f>
        <v/>
      </c>
      <c r="V368" s="5">
        <f>TEXT(D368,"yyyy-mm")</f>
        <v/>
      </c>
    </row>
    <row r="369">
      <c r="A369" s="2" t="inlineStr">
        <is>
          <t>EJ010723.TXT</t>
        </is>
      </c>
      <c r="B369" s="3" t="inlineStr">
        <is>
          <t>004918</t>
        </is>
      </c>
      <c r="C369" s="3" t="inlineStr">
        <is>
          <t>003929</t>
        </is>
      </c>
      <c r="D369" s="4" t="n">
        <v>45078</v>
      </c>
      <c r="E369" s="2" t="inlineStr">
        <is>
          <t>10:48</t>
        </is>
      </c>
      <c r="F369" s="5" t="n">
        <v>131.67</v>
      </c>
      <c r="G369" s="5" t="n"/>
      <c r="H369" s="5" t="n"/>
      <c r="I369" s="5" t="n"/>
      <c r="J369" s="5" t="n">
        <v>26.33</v>
      </c>
      <c r="K369" s="5" t="n"/>
      <c r="L369" s="5" t="n"/>
      <c r="M369" s="5" t="n"/>
      <c r="N369" s="5" t="n"/>
      <c r="O369" s="5" t="n">
        <v>158</v>
      </c>
      <c r="P369" s="5" t="n"/>
      <c r="Q369" s="5" t="n">
        <v>158</v>
      </c>
      <c r="R369" s="5" t="n"/>
      <c r="S369" s="5">
        <f>SUM(F369:I369)+N369</f>
        <v/>
      </c>
      <c r="T369" s="5">
        <f>J369</f>
        <v/>
      </c>
      <c r="U369" s="6">
        <f>YEAR(D369)</f>
        <v/>
      </c>
      <c r="V369" s="5">
        <f>TEXT(D369,"yyyy-mm")</f>
        <v/>
      </c>
    </row>
    <row r="370">
      <c r="A370" s="2" t="inlineStr">
        <is>
          <t>EJ010723.TXT</t>
        </is>
      </c>
      <c r="B370" s="3" t="inlineStr">
        <is>
          <t>004919</t>
        </is>
      </c>
      <c r="C370" s="3" t="inlineStr">
        <is>
          <t>003930</t>
        </is>
      </c>
      <c r="D370" s="4" t="n">
        <v>45078</v>
      </c>
      <c r="E370" s="2" t="inlineStr">
        <is>
          <t>15:15</t>
        </is>
      </c>
      <c r="F370" s="5" t="n">
        <v>208.33</v>
      </c>
      <c r="G370" s="5" t="n"/>
      <c r="H370" s="5" t="n"/>
      <c r="I370" s="5" t="n"/>
      <c r="J370" s="5" t="n">
        <v>41.67</v>
      </c>
      <c r="K370" s="5" t="n"/>
      <c r="L370" s="5" t="n"/>
      <c r="M370" s="5" t="n"/>
      <c r="N370" s="5" t="n"/>
      <c r="O370" s="5" t="n">
        <v>250</v>
      </c>
      <c r="P370" s="5" t="n"/>
      <c r="Q370" s="5" t="n">
        <v>250</v>
      </c>
      <c r="R370" s="5" t="n"/>
      <c r="S370" s="5">
        <f>SUM(F370:I370)+N370</f>
        <v/>
      </c>
      <c r="T370" s="5">
        <f>J370</f>
        <v/>
      </c>
      <c r="U370" s="6">
        <f>YEAR(D370)</f>
        <v/>
      </c>
      <c r="V370" s="5">
        <f>TEXT(D370,"yyyy-mm")</f>
        <v/>
      </c>
    </row>
    <row r="371">
      <c r="A371" s="2" t="inlineStr">
        <is>
          <t>EJ010723.TXT</t>
        </is>
      </c>
      <c r="B371" s="3" t="inlineStr">
        <is>
          <t>004920</t>
        </is>
      </c>
      <c r="C371" s="3" t="inlineStr">
        <is>
          <t>003931</t>
        </is>
      </c>
      <c r="D371" s="4" t="n">
        <v>45080</v>
      </c>
      <c r="E371" s="2" t="inlineStr">
        <is>
          <t>14:59</t>
        </is>
      </c>
      <c r="F371" s="5" t="n">
        <v>274.17</v>
      </c>
      <c r="G371" s="5" t="n"/>
      <c r="H371" s="5" t="n"/>
      <c r="I371" s="5" t="n"/>
      <c r="J371" s="5" t="n">
        <v>54.83</v>
      </c>
      <c r="K371" s="5" t="n"/>
      <c r="L371" s="5" t="n"/>
      <c r="M371" s="5" t="n"/>
      <c r="N371" s="5" t="n"/>
      <c r="O371" s="5" t="n">
        <v>329</v>
      </c>
      <c r="P371" s="5" t="n"/>
      <c r="Q371" s="5" t="n">
        <v>329</v>
      </c>
      <c r="R371" s="5" t="n"/>
      <c r="S371" s="5">
        <f>SUM(F371:I371)+N371</f>
        <v/>
      </c>
      <c r="T371" s="5">
        <f>J371</f>
        <v/>
      </c>
      <c r="U371" s="6">
        <f>YEAR(D371)</f>
        <v/>
      </c>
      <c r="V371" s="5">
        <f>TEXT(D371,"yyyy-mm")</f>
        <v/>
      </c>
    </row>
    <row r="372">
      <c r="A372" s="2" t="inlineStr">
        <is>
          <t>EJ010723.TXT</t>
        </is>
      </c>
      <c r="B372" s="3" t="inlineStr">
        <is>
          <t>004921</t>
        </is>
      </c>
      <c r="C372" s="3" t="inlineStr">
        <is>
          <t>003932</t>
        </is>
      </c>
      <c r="D372" s="4" t="n">
        <v>45080</v>
      </c>
      <c r="E372" s="2" t="inlineStr">
        <is>
          <t>15:54</t>
        </is>
      </c>
      <c r="F372" s="5" t="n">
        <v>190.83</v>
      </c>
      <c r="G372" s="5" t="n"/>
      <c r="H372" s="5" t="n"/>
      <c r="I372" s="5" t="n"/>
      <c r="J372" s="5" t="n">
        <v>38.17</v>
      </c>
      <c r="K372" s="5" t="n"/>
      <c r="L372" s="5" t="n"/>
      <c r="M372" s="5" t="n"/>
      <c r="N372" s="5" t="n"/>
      <c r="O372" s="5" t="n">
        <v>229</v>
      </c>
      <c r="P372" s="5" t="n">
        <v>229</v>
      </c>
      <c r="Q372" s="5" t="n"/>
      <c r="R372" s="5" t="n"/>
      <c r="S372" s="5">
        <f>SUM(F372:I372)+N372</f>
        <v/>
      </c>
      <c r="T372" s="5">
        <f>J372</f>
        <v/>
      </c>
      <c r="U372" s="6">
        <f>YEAR(D372)</f>
        <v/>
      </c>
      <c r="V372" s="5">
        <f>TEXT(D372,"yyyy-mm")</f>
        <v/>
      </c>
    </row>
    <row r="373">
      <c r="A373" s="2" t="inlineStr">
        <is>
          <t>EJ010723.TXT</t>
        </is>
      </c>
      <c r="B373" s="3" t="inlineStr">
        <is>
          <t>004922</t>
        </is>
      </c>
      <c r="C373" s="3" t="inlineStr">
        <is>
          <t>003933</t>
        </is>
      </c>
      <c r="D373" s="4" t="n">
        <v>45080</v>
      </c>
      <c r="E373" s="2" t="inlineStr">
        <is>
          <t>16:42</t>
        </is>
      </c>
      <c r="F373" s="5" t="n">
        <v>822.5</v>
      </c>
      <c r="G373" s="5" t="n"/>
      <c r="H373" s="5" t="n"/>
      <c r="I373" s="5" t="n"/>
      <c r="J373" s="5" t="n">
        <v>164.5</v>
      </c>
      <c r="K373" s="5" t="n"/>
      <c r="L373" s="5" t="n"/>
      <c r="M373" s="5" t="n"/>
      <c r="N373" s="5" t="n"/>
      <c r="O373" s="5" t="n">
        <v>987</v>
      </c>
      <c r="P373" s="5" t="n"/>
      <c r="Q373" s="5" t="n">
        <v>987</v>
      </c>
      <c r="R373" s="5" t="n"/>
      <c r="S373" s="5">
        <f>SUM(F373:I373)+N373</f>
        <v/>
      </c>
      <c r="T373" s="5">
        <f>J373</f>
        <v/>
      </c>
      <c r="U373" s="6">
        <f>YEAR(D373)</f>
        <v/>
      </c>
      <c r="V373" s="5">
        <f>TEXT(D373,"yyyy-mm")</f>
        <v/>
      </c>
    </row>
    <row r="374">
      <c r="A374" s="2" t="inlineStr">
        <is>
          <t>EJ010723.TXT</t>
        </is>
      </c>
      <c r="B374" s="3" t="inlineStr">
        <is>
          <t>004923</t>
        </is>
      </c>
      <c r="C374" s="3" t="inlineStr">
        <is>
          <t>003934</t>
        </is>
      </c>
      <c r="D374" s="4" t="n">
        <v>45080</v>
      </c>
      <c r="E374" s="2" t="inlineStr">
        <is>
          <t>16:42</t>
        </is>
      </c>
      <c r="F374" s="5" t="n">
        <v>667.5</v>
      </c>
      <c r="G374" s="5" t="n"/>
      <c r="H374" s="5" t="n"/>
      <c r="I374" s="5" t="n"/>
      <c r="J374" s="5" t="n">
        <v>133.5</v>
      </c>
      <c r="K374" s="5" t="n"/>
      <c r="L374" s="5" t="n"/>
      <c r="M374" s="5" t="n"/>
      <c r="N374" s="5" t="n"/>
      <c r="O374" s="5" t="n">
        <v>801</v>
      </c>
      <c r="P374" s="5" t="n"/>
      <c r="Q374" s="5" t="n">
        <v>801</v>
      </c>
      <c r="R374" s="5" t="n"/>
      <c r="S374" s="5">
        <f>SUM(F374:I374)+N374</f>
        <v/>
      </c>
      <c r="T374" s="5">
        <f>J374</f>
        <v/>
      </c>
      <c r="U374" s="6">
        <f>YEAR(D374)</f>
        <v/>
      </c>
      <c r="V374" s="5">
        <f>TEXT(D374,"yyyy-mm")</f>
        <v/>
      </c>
    </row>
    <row r="375">
      <c r="A375" s="2" t="inlineStr">
        <is>
          <t>EJ010723.TXT</t>
        </is>
      </c>
      <c r="B375" s="3" t="inlineStr">
        <is>
          <t>004924</t>
        </is>
      </c>
      <c r="C375" s="3" t="inlineStr">
        <is>
          <t>003935</t>
        </is>
      </c>
      <c r="D375" s="4" t="n">
        <v>45080</v>
      </c>
      <c r="E375" s="2" t="inlineStr">
        <is>
          <t>16:52</t>
        </is>
      </c>
      <c r="F375" s="5" t="n">
        <v>274.17</v>
      </c>
      <c r="G375" s="5" t="n"/>
      <c r="H375" s="5" t="n"/>
      <c r="I375" s="5" t="n"/>
      <c r="J375" s="5" t="n">
        <v>54.83</v>
      </c>
      <c r="K375" s="5" t="n"/>
      <c r="L375" s="5" t="n"/>
      <c r="M375" s="5" t="n"/>
      <c r="N375" s="5" t="n"/>
      <c r="O375" s="5" t="n">
        <v>329</v>
      </c>
      <c r="P375" s="5" t="n"/>
      <c r="Q375" s="5" t="n">
        <v>329</v>
      </c>
      <c r="R375" s="5" t="n"/>
      <c r="S375" s="5">
        <f>SUM(F375:I375)+N375</f>
        <v/>
      </c>
      <c r="T375" s="5">
        <f>J375</f>
        <v/>
      </c>
      <c r="U375" s="6">
        <f>YEAR(D375)</f>
        <v/>
      </c>
      <c r="V375" s="5">
        <f>TEXT(D375,"yyyy-mm")</f>
        <v/>
      </c>
    </row>
    <row r="376">
      <c r="A376" s="2" t="inlineStr">
        <is>
          <t>EJ010723.TXT</t>
        </is>
      </c>
      <c r="B376" s="3" t="inlineStr">
        <is>
          <t>004925</t>
        </is>
      </c>
      <c r="C376" s="3" t="inlineStr">
        <is>
          <t>003936</t>
        </is>
      </c>
      <c r="D376" s="4" t="n">
        <v>45080</v>
      </c>
      <c r="E376" s="2" t="inlineStr">
        <is>
          <t>18:06</t>
        </is>
      </c>
      <c r="F376" s="5" t="n">
        <v>465</v>
      </c>
      <c r="G376" s="5" t="n"/>
      <c r="H376" s="5" t="n"/>
      <c r="I376" s="5" t="n"/>
      <c r="J376" s="5" t="n">
        <v>93</v>
      </c>
      <c r="K376" s="5" t="n"/>
      <c r="L376" s="5" t="n"/>
      <c r="M376" s="5" t="n"/>
      <c r="N376" s="5" t="n"/>
      <c r="O376" s="5" t="n">
        <v>558</v>
      </c>
      <c r="P376" s="5" t="n">
        <v>558</v>
      </c>
      <c r="Q376" s="5" t="n"/>
      <c r="R376" s="5" t="n"/>
      <c r="S376" s="5">
        <f>SUM(F376:I376)+N376</f>
        <v/>
      </c>
      <c r="T376" s="5">
        <f>J376</f>
        <v/>
      </c>
      <c r="U376" s="6">
        <f>YEAR(D376)</f>
        <v/>
      </c>
      <c r="V376" s="5">
        <f>TEXT(D376,"yyyy-mm")</f>
        <v/>
      </c>
    </row>
    <row r="377">
      <c r="A377" s="2" t="inlineStr">
        <is>
          <t>EJ010723.TXT</t>
        </is>
      </c>
      <c r="B377" s="3" t="inlineStr">
        <is>
          <t>004926</t>
        </is>
      </c>
      <c r="C377" s="3" t="inlineStr">
        <is>
          <t>003937</t>
        </is>
      </c>
      <c r="D377" s="4" t="n">
        <v>45082</v>
      </c>
      <c r="E377" s="2" t="inlineStr">
        <is>
          <t>15:27</t>
        </is>
      </c>
      <c r="F377" s="5" t="n">
        <v>822.5</v>
      </c>
      <c r="G377" s="5" t="n"/>
      <c r="H377" s="5" t="n"/>
      <c r="I377" s="5" t="n"/>
      <c r="J377" s="5" t="n">
        <v>164.5</v>
      </c>
      <c r="K377" s="5" t="n"/>
      <c r="L377" s="5" t="n"/>
      <c r="M377" s="5" t="n"/>
      <c r="N377" s="5" t="n"/>
      <c r="O377" s="5" t="n">
        <v>987</v>
      </c>
      <c r="P377" s="5" t="n"/>
      <c r="Q377" s="5" t="n">
        <v>987</v>
      </c>
      <c r="R377" s="5" t="n"/>
      <c r="S377" s="5">
        <f>SUM(F377:I377)+N377</f>
        <v/>
      </c>
      <c r="T377" s="5">
        <f>J377</f>
        <v/>
      </c>
      <c r="U377" s="6">
        <f>YEAR(D377)</f>
        <v/>
      </c>
      <c r="V377" s="5">
        <f>TEXT(D377,"yyyy-mm")</f>
        <v/>
      </c>
    </row>
    <row r="378">
      <c r="A378" s="2" t="inlineStr">
        <is>
          <t>EJ010723.TXT</t>
        </is>
      </c>
      <c r="B378" s="3" t="inlineStr">
        <is>
          <t>004927</t>
        </is>
      </c>
      <c r="C378" s="3" t="inlineStr">
        <is>
          <t>003938</t>
        </is>
      </c>
      <c r="D378" s="4" t="n">
        <v>45082</v>
      </c>
      <c r="E378" s="2" t="inlineStr">
        <is>
          <t>15:31</t>
        </is>
      </c>
      <c r="F378" s="5" t="n">
        <v>175</v>
      </c>
      <c r="G378" s="5" t="n"/>
      <c r="H378" s="5" t="n"/>
      <c r="I378" s="5" t="n"/>
      <c r="J378" s="5" t="n">
        <v>35</v>
      </c>
      <c r="K378" s="5" t="n"/>
      <c r="L378" s="5" t="n"/>
      <c r="M378" s="5" t="n"/>
      <c r="N378" s="5" t="n"/>
      <c r="O378" s="5" t="n">
        <v>210</v>
      </c>
      <c r="P378" s="5" t="n"/>
      <c r="Q378" s="5" t="n">
        <v>210</v>
      </c>
      <c r="R378" s="5" t="n"/>
      <c r="S378" s="5">
        <f>SUM(F378:I378)+N378</f>
        <v/>
      </c>
      <c r="T378" s="5">
        <f>J378</f>
        <v/>
      </c>
      <c r="U378" s="6">
        <f>YEAR(D378)</f>
        <v/>
      </c>
      <c r="V378" s="5">
        <f>TEXT(D378,"yyyy-mm")</f>
        <v/>
      </c>
    </row>
    <row r="379">
      <c r="A379" s="2" t="inlineStr">
        <is>
          <t>EJ010723.TXT</t>
        </is>
      </c>
      <c r="B379" s="3" t="inlineStr">
        <is>
          <t>004928</t>
        </is>
      </c>
      <c r="C379" s="3" t="inlineStr">
        <is>
          <t>003939</t>
        </is>
      </c>
      <c r="D379" s="4" t="n">
        <v>45083</v>
      </c>
      <c r="E379" s="2" t="inlineStr">
        <is>
          <t>10:02</t>
        </is>
      </c>
      <c r="F379" s="5" t="n">
        <v>274.17</v>
      </c>
      <c r="G379" s="5" t="n"/>
      <c r="H379" s="5" t="n"/>
      <c r="I379" s="5" t="n"/>
      <c r="J379" s="5" t="n">
        <v>54.83</v>
      </c>
      <c r="K379" s="5" t="n"/>
      <c r="L379" s="5" t="n"/>
      <c r="M379" s="5" t="n"/>
      <c r="N379" s="5" t="n"/>
      <c r="O379" s="5" t="n">
        <v>329</v>
      </c>
      <c r="P379" s="5" t="n">
        <v>329</v>
      </c>
      <c r="Q379" s="5" t="n"/>
      <c r="R379" s="5" t="n"/>
      <c r="S379" s="5">
        <f>SUM(F379:I379)+N379</f>
        <v/>
      </c>
      <c r="T379" s="5">
        <f>J379</f>
        <v/>
      </c>
      <c r="U379" s="6">
        <f>YEAR(D379)</f>
        <v/>
      </c>
      <c r="V379" s="5">
        <f>TEXT(D379,"yyyy-mm")</f>
        <v/>
      </c>
    </row>
    <row r="380">
      <c r="A380" s="2" t="inlineStr">
        <is>
          <t>EJ010723.TXT</t>
        </is>
      </c>
      <c r="B380" s="3" t="inlineStr">
        <is>
          <t>004929</t>
        </is>
      </c>
      <c r="C380" s="3" t="inlineStr">
        <is>
          <t>003940</t>
        </is>
      </c>
      <c r="D380" s="4" t="n">
        <v>45083</v>
      </c>
      <c r="E380" s="2" t="inlineStr">
        <is>
          <t>17:43</t>
        </is>
      </c>
      <c r="F380" s="5" t="n">
        <v>548.33</v>
      </c>
      <c r="G380" s="5" t="n"/>
      <c r="H380" s="5" t="n"/>
      <c r="I380" s="5" t="n"/>
      <c r="J380" s="5" t="n">
        <v>109.67</v>
      </c>
      <c r="K380" s="5" t="n"/>
      <c r="L380" s="5" t="n"/>
      <c r="M380" s="5" t="n"/>
      <c r="N380" s="5" t="n"/>
      <c r="O380" s="5" t="n">
        <v>658</v>
      </c>
      <c r="P380" s="5" t="n">
        <v>658</v>
      </c>
      <c r="Q380" s="5" t="n"/>
      <c r="R380" s="5" t="n"/>
      <c r="S380" s="5">
        <f>SUM(F380:I380)+N380</f>
        <v/>
      </c>
      <c r="T380" s="5">
        <f>J380</f>
        <v/>
      </c>
      <c r="U380" s="6">
        <f>YEAR(D380)</f>
        <v/>
      </c>
      <c r="V380" s="5">
        <f>TEXT(D380,"yyyy-mm")</f>
        <v/>
      </c>
    </row>
    <row r="381">
      <c r="A381" s="2" t="inlineStr">
        <is>
          <t>EJ010723.TXT</t>
        </is>
      </c>
      <c r="B381" s="3" t="inlineStr">
        <is>
          <t>004930</t>
        </is>
      </c>
      <c r="C381" s="3" t="inlineStr">
        <is>
          <t>003941</t>
        </is>
      </c>
      <c r="D381" s="4" t="n">
        <v>45084</v>
      </c>
      <c r="E381" s="2" t="inlineStr">
        <is>
          <t>10:00</t>
        </is>
      </c>
      <c r="F381" s="5" t="n">
        <v>797.5</v>
      </c>
      <c r="G381" s="5" t="n"/>
      <c r="H381" s="5" t="n"/>
      <c r="I381" s="5" t="n"/>
      <c r="J381" s="5" t="n">
        <v>159.5</v>
      </c>
      <c r="K381" s="5" t="n"/>
      <c r="L381" s="5" t="n"/>
      <c r="M381" s="5" t="n"/>
      <c r="N381" s="5" t="n"/>
      <c r="O381" s="5" t="n">
        <v>957</v>
      </c>
      <c r="P381" s="5" t="n"/>
      <c r="Q381" s="5" t="n">
        <v>957</v>
      </c>
      <c r="R381" s="5" t="n"/>
      <c r="S381" s="5">
        <f>SUM(F381:I381)+N381</f>
        <v/>
      </c>
      <c r="T381" s="5">
        <f>J381</f>
        <v/>
      </c>
      <c r="U381" s="6">
        <f>YEAR(D381)</f>
        <v/>
      </c>
      <c r="V381" s="5">
        <f>TEXT(D381,"yyyy-mm")</f>
        <v/>
      </c>
    </row>
    <row r="382">
      <c r="A382" s="2" t="inlineStr">
        <is>
          <t>EJ010723.TXT</t>
        </is>
      </c>
      <c r="B382" s="3" t="inlineStr">
        <is>
          <t>004931</t>
        </is>
      </c>
      <c r="C382" s="3" t="inlineStr">
        <is>
          <t>003942</t>
        </is>
      </c>
      <c r="D382" s="4" t="n">
        <v>45084</v>
      </c>
      <c r="E382" s="2" t="inlineStr">
        <is>
          <t>10:00</t>
        </is>
      </c>
      <c r="F382" s="5" t="n">
        <v>797.5</v>
      </c>
      <c r="G382" s="5" t="n"/>
      <c r="H382" s="5" t="n"/>
      <c r="I382" s="5" t="n"/>
      <c r="J382" s="5" t="n">
        <v>159.5</v>
      </c>
      <c r="K382" s="5" t="n"/>
      <c r="L382" s="5" t="n"/>
      <c r="M382" s="5" t="n"/>
      <c r="N382" s="5" t="n"/>
      <c r="O382" s="5" t="n">
        <v>957</v>
      </c>
      <c r="P382" s="5" t="n"/>
      <c r="Q382" s="5" t="n">
        <v>957</v>
      </c>
      <c r="R382" s="5" t="n"/>
      <c r="S382" s="5">
        <f>SUM(F382:I382)+N382</f>
        <v/>
      </c>
      <c r="T382" s="5">
        <f>J382</f>
        <v/>
      </c>
      <c r="U382" s="6">
        <f>YEAR(D382)</f>
        <v/>
      </c>
      <c r="V382" s="5">
        <f>TEXT(D382,"yyyy-mm")</f>
        <v/>
      </c>
    </row>
    <row r="383">
      <c r="A383" s="2" t="inlineStr">
        <is>
          <t>EJ010723.TXT</t>
        </is>
      </c>
      <c r="B383" s="3" t="inlineStr">
        <is>
          <t>004932</t>
        </is>
      </c>
      <c r="C383" s="3" t="inlineStr">
        <is>
          <t>003943</t>
        </is>
      </c>
      <c r="D383" s="4" t="n">
        <v>45090</v>
      </c>
      <c r="E383" s="2" t="inlineStr">
        <is>
          <t>14:33</t>
        </is>
      </c>
      <c r="F383" s="5" t="n">
        <v>548.33</v>
      </c>
      <c r="G383" s="5" t="n"/>
      <c r="H383" s="5" t="n"/>
      <c r="I383" s="5" t="n"/>
      <c r="J383" s="5" t="n">
        <v>109.67</v>
      </c>
      <c r="K383" s="5" t="n"/>
      <c r="L383" s="5" t="n"/>
      <c r="M383" s="5" t="n"/>
      <c r="N383" s="5" t="n"/>
      <c r="O383" s="5" t="n">
        <v>658</v>
      </c>
      <c r="P383" s="5" t="n"/>
      <c r="Q383" s="5" t="n">
        <v>658</v>
      </c>
      <c r="R383" s="5" t="n"/>
      <c r="S383" s="5">
        <f>SUM(F383:I383)+N383</f>
        <v/>
      </c>
      <c r="T383" s="5">
        <f>J383</f>
        <v/>
      </c>
      <c r="U383" s="6">
        <f>YEAR(D383)</f>
        <v/>
      </c>
      <c r="V383" s="5">
        <f>TEXT(D383,"yyyy-mm")</f>
        <v/>
      </c>
    </row>
    <row r="384">
      <c r="A384" s="2" t="inlineStr">
        <is>
          <t>EJ010723.TXT</t>
        </is>
      </c>
      <c r="B384" s="3" t="inlineStr">
        <is>
          <t>004933</t>
        </is>
      </c>
      <c r="C384" s="3" t="inlineStr">
        <is>
          <t>003944</t>
        </is>
      </c>
      <c r="D384" s="4" t="n">
        <v>45091</v>
      </c>
      <c r="E384" s="2" t="inlineStr">
        <is>
          <t>15:01</t>
        </is>
      </c>
      <c r="F384" s="5" t="n">
        <v>548.33</v>
      </c>
      <c r="G384" s="5" t="n"/>
      <c r="H384" s="5" t="n"/>
      <c r="I384" s="5" t="n"/>
      <c r="J384" s="5" t="n">
        <v>109.67</v>
      </c>
      <c r="K384" s="5" t="n"/>
      <c r="L384" s="5" t="n"/>
      <c r="M384" s="5" t="n"/>
      <c r="N384" s="5" t="n"/>
      <c r="O384" s="5" t="n">
        <v>658</v>
      </c>
      <c r="P384" s="5" t="n">
        <v>658</v>
      </c>
      <c r="Q384" s="5" t="n"/>
      <c r="R384" s="5" t="n"/>
      <c r="S384" s="5">
        <f>SUM(F384:I384)+N384</f>
        <v/>
      </c>
      <c r="T384" s="5">
        <f>J384</f>
        <v/>
      </c>
      <c r="U384" s="6">
        <f>YEAR(D384)</f>
        <v/>
      </c>
      <c r="V384" s="5">
        <f>TEXT(D384,"yyyy-mm")</f>
        <v/>
      </c>
    </row>
    <row r="385">
      <c r="A385" s="2" t="inlineStr">
        <is>
          <t>EJ010723.TXT</t>
        </is>
      </c>
      <c r="B385" s="3" t="inlineStr">
        <is>
          <t>004934</t>
        </is>
      </c>
      <c r="C385" s="3" t="inlineStr">
        <is>
          <t>003945</t>
        </is>
      </c>
      <c r="D385" s="4" t="n">
        <v>45094</v>
      </c>
      <c r="E385" s="2" t="inlineStr">
        <is>
          <t>16:58</t>
        </is>
      </c>
      <c r="F385" s="5" t="n">
        <v>548.33</v>
      </c>
      <c r="G385" s="5" t="n"/>
      <c r="H385" s="5" t="n"/>
      <c r="I385" s="5" t="n"/>
      <c r="J385" s="5" t="n">
        <v>109.67</v>
      </c>
      <c r="K385" s="5" t="n"/>
      <c r="L385" s="5" t="n"/>
      <c r="M385" s="5" t="n"/>
      <c r="N385" s="5" t="n"/>
      <c r="O385" s="5" t="n">
        <v>658</v>
      </c>
      <c r="P385" s="5" t="n">
        <v>658</v>
      </c>
      <c r="Q385" s="5" t="n"/>
      <c r="R385" s="5" t="n"/>
      <c r="S385" s="5">
        <f>SUM(F385:I385)+N385</f>
        <v/>
      </c>
      <c r="T385" s="5">
        <f>J385</f>
        <v/>
      </c>
      <c r="U385" s="6">
        <f>YEAR(D385)</f>
        <v/>
      </c>
      <c r="V385" s="5">
        <f>TEXT(D385,"yyyy-mm")</f>
        <v/>
      </c>
    </row>
    <row r="386">
      <c r="A386" s="2" t="inlineStr">
        <is>
          <t>EJ010723.TXT</t>
        </is>
      </c>
      <c r="B386" s="3" t="inlineStr">
        <is>
          <t>004935</t>
        </is>
      </c>
      <c r="C386" s="3" t="inlineStr">
        <is>
          <t>003946</t>
        </is>
      </c>
      <c r="D386" s="4" t="n">
        <v>45096</v>
      </c>
      <c r="E386" s="2" t="inlineStr">
        <is>
          <t>12:41</t>
        </is>
      </c>
      <c r="F386" s="5" t="n">
        <v>822.5</v>
      </c>
      <c r="G386" s="5" t="n"/>
      <c r="H386" s="5" t="n"/>
      <c r="I386" s="5" t="n"/>
      <c r="J386" s="5" t="n">
        <v>164.5</v>
      </c>
      <c r="K386" s="5" t="n"/>
      <c r="L386" s="5" t="n"/>
      <c r="M386" s="5" t="n"/>
      <c r="N386" s="5" t="n"/>
      <c r="O386" s="5" t="n">
        <v>987</v>
      </c>
      <c r="P386" s="5" t="n"/>
      <c r="Q386" s="5" t="n">
        <v>987</v>
      </c>
      <c r="R386" s="5" t="n"/>
      <c r="S386" s="5">
        <f>SUM(F386:I386)+N386</f>
        <v/>
      </c>
      <c r="T386" s="5">
        <f>J386</f>
        <v/>
      </c>
      <c r="U386" s="6">
        <f>YEAR(D386)</f>
        <v/>
      </c>
      <c r="V386" s="5">
        <f>TEXT(D386,"yyyy-mm")</f>
        <v/>
      </c>
    </row>
    <row r="387">
      <c r="A387" s="2" t="inlineStr">
        <is>
          <t>EJ010723.TXT</t>
        </is>
      </c>
      <c r="B387" s="3" t="inlineStr">
        <is>
          <t>004936</t>
        </is>
      </c>
      <c r="C387" s="3" t="inlineStr">
        <is>
          <t>003947</t>
        </is>
      </c>
      <c r="D387" s="4" t="n">
        <v>45096</v>
      </c>
      <c r="E387" s="2" t="inlineStr">
        <is>
          <t>12:41</t>
        </is>
      </c>
      <c r="F387" s="5" t="n">
        <v>548.33</v>
      </c>
      <c r="G387" s="5" t="n"/>
      <c r="H387" s="5" t="n"/>
      <c r="I387" s="5" t="n"/>
      <c r="J387" s="5" t="n">
        <v>109.67</v>
      </c>
      <c r="K387" s="5" t="n"/>
      <c r="L387" s="5" t="n"/>
      <c r="M387" s="5" t="n"/>
      <c r="N387" s="5" t="n"/>
      <c r="O387" s="5" t="n">
        <v>658</v>
      </c>
      <c r="P387" s="5" t="n"/>
      <c r="Q387" s="5" t="n">
        <v>658</v>
      </c>
      <c r="R387" s="5" t="n"/>
      <c r="S387" s="5">
        <f>SUM(F387:I387)+N387</f>
        <v/>
      </c>
      <c r="T387" s="5">
        <f>J387</f>
        <v/>
      </c>
      <c r="U387" s="6">
        <f>YEAR(D387)</f>
        <v/>
      </c>
      <c r="V387" s="5">
        <f>TEXT(D387,"yyyy-mm")</f>
        <v/>
      </c>
    </row>
    <row r="388">
      <c r="A388" s="2" t="inlineStr">
        <is>
          <t>EJ010723.TXT</t>
        </is>
      </c>
      <c r="B388" s="3" t="inlineStr">
        <is>
          <t>004937</t>
        </is>
      </c>
      <c r="C388" s="3" t="inlineStr">
        <is>
          <t>003948</t>
        </is>
      </c>
      <c r="D388" s="4" t="n">
        <v>45096</v>
      </c>
      <c r="E388" s="2" t="inlineStr">
        <is>
          <t>12:42</t>
        </is>
      </c>
      <c r="F388" s="5" t="n">
        <v>274.17</v>
      </c>
      <c r="G388" s="5" t="n"/>
      <c r="H388" s="5" t="n"/>
      <c r="I388" s="5" t="n"/>
      <c r="J388" s="5" t="n">
        <v>54.83</v>
      </c>
      <c r="K388" s="5" t="n"/>
      <c r="L388" s="5" t="n"/>
      <c r="M388" s="5" t="n"/>
      <c r="N388" s="5" t="n"/>
      <c r="O388" s="5" t="n">
        <v>329</v>
      </c>
      <c r="P388" s="5" t="n"/>
      <c r="Q388" s="5" t="n">
        <v>329</v>
      </c>
      <c r="R388" s="5" t="n"/>
      <c r="S388" s="5">
        <f>SUM(F388:I388)+N388</f>
        <v/>
      </c>
      <c r="T388" s="5">
        <f>J388</f>
        <v/>
      </c>
      <c r="U388" s="6">
        <f>YEAR(D388)</f>
        <v/>
      </c>
      <c r="V388" s="5">
        <f>TEXT(D388,"yyyy-mm")</f>
        <v/>
      </c>
    </row>
    <row r="389">
      <c r="A389" s="2" t="inlineStr">
        <is>
          <t>EJ010723.TXT</t>
        </is>
      </c>
      <c r="B389" s="3" t="inlineStr">
        <is>
          <t>004938</t>
        </is>
      </c>
      <c r="C389" s="3" t="inlineStr">
        <is>
          <t>003949</t>
        </is>
      </c>
      <c r="D389" s="4" t="n">
        <v>45096</v>
      </c>
      <c r="E389" s="2" t="inlineStr">
        <is>
          <t>12:42</t>
        </is>
      </c>
      <c r="F389" s="5" t="n">
        <v>548.33</v>
      </c>
      <c r="G389" s="5" t="n"/>
      <c r="H389" s="5" t="n"/>
      <c r="I389" s="5" t="n"/>
      <c r="J389" s="5" t="n">
        <v>109.67</v>
      </c>
      <c r="K389" s="5" t="n"/>
      <c r="L389" s="5" t="n"/>
      <c r="M389" s="5" t="n"/>
      <c r="N389" s="5" t="n"/>
      <c r="O389" s="5" t="n">
        <v>658</v>
      </c>
      <c r="P389" s="5" t="n"/>
      <c r="Q389" s="5" t="n">
        <v>658</v>
      </c>
      <c r="R389" s="5" t="n"/>
      <c r="S389" s="5">
        <f>SUM(F389:I389)+N389</f>
        <v/>
      </c>
      <c r="T389" s="5">
        <f>J389</f>
        <v/>
      </c>
      <c r="U389" s="6">
        <f>YEAR(D389)</f>
        <v/>
      </c>
      <c r="V389" s="5">
        <f>TEXT(D389,"yyyy-mm")</f>
        <v/>
      </c>
    </row>
    <row r="390">
      <c r="A390" s="2" t="inlineStr">
        <is>
          <t>EJ010723.TXT</t>
        </is>
      </c>
      <c r="B390" s="3" t="inlineStr">
        <is>
          <t>004939</t>
        </is>
      </c>
      <c r="C390" s="3" t="inlineStr">
        <is>
          <t>003950</t>
        </is>
      </c>
      <c r="D390" s="4" t="n">
        <v>45096</v>
      </c>
      <c r="E390" s="2" t="inlineStr">
        <is>
          <t>12:42</t>
        </is>
      </c>
      <c r="F390" s="5" t="n">
        <v>274.17</v>
      </c>
      <c r="G390" s="5" t="n"/>
      <c r="H390" s="5" t="n"/>
      <c r="I390" s="5" t="n"/>
      <c r="J390" s="5" t="n">
        <v>54.83</v>
      </c>
      <c r="K390" s="5" t="n"/>
      <c r="L390" s="5" t="n"/>
      <c r="M390" s="5" t="n"/>
      <c r="N390" s="5" t="n"/>
      <c r="O390" s="5" t="n">
        <v>329</v>
      </c>
      <c r="P390" s="5" t="n"/>
      <c r="Q390" s="5" t="n">
        <v>329</v>
      </c>
      <c r="R390" s="5" t="n"/>
      <c r="S390" s="5">
        <f>SUM(F390:I390)+N390</f>
        <v/>
      </c>
      <c r="T390" s="5">
        <f>J390</f>
        <v/>
      </c>
      <c r="U390" s="6">
        <f>YEAR(D390)</f>
        <v/>
      </c>
      <c r="V390" s="5">
        <f>TEXT(D390,"yyyy-mm")</f>
        <v/>
      </c>
    </row>
    <row r="391">
      <c r="A391" s="2" t="inlineStr">
        <is>
          <t>EJ010723.TXT</t>
        </is>
      </c>
      <c r="B391" s="3" t="inlineStr">
        <is>
          <t>004940</t>
        </is>
      </c>
      <c r="C391" s="3" t="inlineStr">
        <is>
          <t>003951</t>
        </is>
      </c>
      <c r="D391" s="4" t="n">
        <v>45096</v>
      </c>
      <c r="E391" s="2" t="inlineStr">
        <is>
          <t>12:42</t>
        </is>
      </c>
      <c r="F391" s="5" t="n">
        <v>822.5</v>
      </c>
      <c r="G391" s="5" t="n"/>
      <c r="H391" s="5" t="n"/>
      <c r="I391" s="5" t="n"/>
      <c r="J391" s="5" t="n">
        <v>164.5</v>
      </c>
      <c r="K391" s="5" t="n"/>
      <c r="L391" s="5" t="n"/>
      <c r="M391" s="5" t="n"/>
      <c r="N391" s="5" t="n"/>
      <c r="O391" s="5" t="n">
        <v>987</v>
      </c>
      <c r="P391" s="5" t="n"/>
      <c r="Q391" s="5" t="n">
        <v>987</v>
      </c>
      <c r="R391" s="5" t="n"/>
      <c r="S391" s="5">
        <f>SUM(F391:I391)+N391</f>
        <v/>
      </c>
      <c r="T391" s="5">
        <f>J391</f>
        <v/>
      </c>
      <c r="U391" s="6">
        <f>YEAR(D391)</f>
        <v/>
      </c>
      <c r="V391" s="5">
        <f>TEXT(D391,"yyyy-mm")</f>
        <v/>
      </c>
    </row>
    <row r="392">
      <c r="A392" s="2" t="inlineStr">
        <is>
          <t>EJ010723.TXT</t>
        </is>
      </c>
      <c r="B392" s="3" t="inlineStr">
        <is>
          <t>004941</t>
        </is>
      </c>
      <c r="C392" s="3" t="inlineStr">
        <is>
          <t>003952</t>
        </is>
      </c>
      <c r="D392" s="4" t="n">
        <v>45096</v>
      </c>
      <c r="E392" s="2" t="inlineStr">
        <is>
          <t>16:23</t>
        </is>
      </c>
      <c r="F392" s="5" t="n">
        <v>190.83</v>
      </c>
      <c r="G392" s="5" t="n"/>
      <c r="H392" s="5" t="n"/>
      <c r="I392" s="5" t="n"/>
      <c r="J392" s="5" t="n">
        <v>38.17</v>
      </c>
      <c r="K392" s="5" t="n"/>
      <c r="L392" s="5" t="n"/>
      <c r="M392" s="5" t="n"/>
      <c r="N392" s="5" t="n"/>
      <c r="O392" s="5" t="n">
        <v>229</v>
      </c>
      <c r="P392" s="5" t="n">
        <v>229</v>
      </c>
      <c r="Q392" s="5" t="n"/>
      <c r="R392" s="5" t="n"/>
      <c r="S392" s="5">
        <f>SUM(F392:I392)+N392</f>
        <v/>
      </c>
      <c r="T392" s="5">
        <f>J392</f>
        <v/>
      </c>
      <c r="U392" s="6">
        <f>YEAR(D392)</f>
        <v/>
      </c>
      <c r="V392" s="5">
        <f>TEXT(D392,"yyyy-mm")</f>
        <v/>
      </c>
    </row>
    <row r="393">
      <c r="A393" s="2" t="inlineStr">
        <is>
          <t>EJ010723.TXT</t>
        </is>
      </c>
      <c r="B393" s="3" t="inlineStr">
        <is>
          <t>004942</t>
        </is>
      </c>
      <c r="C393" s="3" t="inlineStr">
        <is>
          <t>003953</t>
        </is>
      </c>
      <c r="D393" s="4" t="n">
        <v>45096</v>
      </c>
      <c r="E393" s="2" t="inlineStr">
        <is>
          <t>16:25</t>
        </is>
      </c>
      <c r="F393" s="5" t="n">
        <v>307.5</v>
      </c>
      <c r="G393" s="5" t="n"/>
      <c r="H393" s="5" t="n"/>
      <c r="I393" s="5" t="n"/>
      <c r="J393" s="5" t="n">
        <v>61.5</v>
      </c>
      <c r="K393" s="5" t="n"/>
      <c r="L393" s="5" t="n"/>
      <c r="M393" s="5" t="n"/>
      <c r="N393" s="5" t="n"/>
      <c r="O393" s="5" t="n">
        <v>369</v>
      </c>
      <c r="P393" s="5" t="n">
        <v>369</v>
      </c>
      <c r="Q393" s="5" t="n"/>
      <c r="R393" s="5" t="n"/>
      <c r="S393" s="5">
        <f>SUM(F393:I393)+N393</f>
        <v/>
      </c>
      <c r="T393" s="5">
        <f>J393</f>
        <v/>
      </c>
      <c r="U393" s="6">
        <f>YEAR(D393)</f>
        <v/>
      </c>
      <c r="V393" s="5">
        <f>TEXT(D393,"yyyy-mm")</f>
        <v/>
      </c>
    </row>
    <row r="394">
      <c r="A394" s="2" t="inlineStr">
        <is>
          <t>EJ010723.TXT</t>
        </is>
      </c>
      <c r="B394" s="3" t="inlineStr">
        <is>
          <t>004943</t>
        </is>
      </c>
      <c r="C394" s="3" t="inlineStr">
        <is>
          <t>003954</t>
        </is>
      </c>
      <c r="D394" s="4" t="n">
        <v>45097</v>
      </c>
      <c r="E394" s="2" t="inlineStr">
        <is>
          <t>09:50</t>
        </is>
      </c>
      <c r="F394" s="5" t="n">
        <v>797.5</v>
      </c>
      <c r="G394" s="5" t="n"/>
      <c r="H394" s="5" t="n"/>
      <c r="I394" s="5" t="n"/>
      <c r="J394" s="5" t="n">
        <v>159.5</v>
      </c>
      <c r="K394" s="5" t="n"/>
      <c r="L394" s="5" t="n"/>
      <c r="M394" s="5" t="n"/>
      <c r="N394" s="5" t="n"/>
      <c r="O394" s="5" t="n">
        <v>957</v>
      </c>
      <c r="P394" s="5" t="n"/>
      <c r="Q394" s="5" t="n">
        <v>957</v>
      </c>
      <c r="R394" s="5" t="n"/>
      <c r="S394" s="5">
        <f>SUM(F394:I394)+N394</f>
        <v/>
      </c>
      <c r="T394" s="5">
        <f>J394</f>
        <v/>
      </c>
      <c r="U394" s="6">
        <f>YEAR(D394)</f>
        <v/>
      </c>
      <c r="V394" s="5">
        <f>TEXT(D394,"yyyy-mm")</f>
        <v/>
      </c>
    </row>
    <row r="395">
      <c r="A395" s="2" t="inlineStr">
        <is>
          <t>EJ010723.TXT</t>
        </is>
      </c>
      <c r="B395" s="3" t="inlineStr">
        <is>
          <t>004944</t>
        </is>
      </c>
      <c r="C395" s="3" t="inlineStr">
        <is>
          <t>003955</t>
        </is>
      </c>
      <c r="D395" s="4" t="n">
        <v>45097</v>
      </c>
      <c r="E395" s="2" t="inlineStr">
        <is>
          <t>14:24</t>
        </is>
      </c>
      <c r="F395" s="5" t="n">
        <v>274.17</v>
      </c>
      <c r="G395" s="5" t="n"/>
      <c r="H395" s="5" t="n"/>
      <c r="I395" s="5" t="n"/>
      <c r="J395" s="5" t="n">
        <v>54.83</v>
      </c>
      <c r="K395" s="5" t="n"/>
      <c r="L395" s="5" t="n"/>
      <c r="M395" s="5" t="n"/>
      <c r="N395" s="5" t="n"/>
      <c r="O395" s="5" t="n">
        <v>329</v>
      </c>
      <c r="P395" s="5" t="n">
        <v>329</v>
      </c>
      <c r="Q395" s="5" t="n"/>
      <c r="R395" s="5" t="n"/>
      <c r="S395" s="5">
        <f>SUM(F395:I395)+N395</f>
        <v/>
      </c>
      <c r="T395" s="5">
        <f>J395</f>
        <v/>
      </c>
      <c r="U395" s="6">
        <f>YEAR(D395)</f>
        <v/>
      </c>
      <c r="V395" s="5">
        <f>TEXT(D395,"yyyy-mm")</f>
        <v/>
      </c>
    </row>
    <row r="396">
      <c r="A396" s="2" t="inlineStr">
        <is>
          <t>EJ010723.TXT</t>
        </is>
      </c>
      <c r="B396" s="3" t="inlineStr">
        <is>
          <t>004945</t>
        </is>
      </c>
      <c r="C396" s="3" t="inlineStr">
        <is>
          <t>003956</t>
        </is>
      </c>
      <c r="D396" s="4" t="n">
        <v>45097</v>
      </c>
      <c r="E396" s="2" t="inlineStr">
        <is>
          <t>15:04</t>
        </is>
      </c>
      <c r="F396" s="5" t="n">
        <v>65.83</v>
      </c>
      <c r="G396" s="5" t="n"/>
      <c r="H396" s="5" t="n"/>
      <c r="I396" s="5" t="n"/>
      <c r="J396" s="5" t="n">
        <v>13.17</v>
      </c>
      <c r="K396" s="5" t="n"/>
      <c r="L396" s="5" t="n"/>
      <c r="M396" s="5" t="n"/>
      <c r="N396" s="5" t="n"/>
      <c r="O396" s="5" t="n">
        <v>79</v>
      </c>
      <c r="P396" s="5" t="n">
        <v>79</v>
      </c>
      <c r="Q396" s="5" t="n"/>
      <c r="R396" s="5" t="n"/>
      <c r="S396" s="5">
        <f>SUM(F396:I396)+N396</f>
        <v/>
      </c>
      <c r="T396" s="5">
        <f>J396</f>
        <v/>
      </c>
      <c r="U396" s="6">
        <f>YEAR(D396)</f>
        <v/>
      </c>
      <c r="V396" s="5">
        <f>TEXT(D396,"yyyy-mm")</f>
        <v/>
      </c>
    </row>
    <row r="397">
      <c r="A397" s="2" t="inlineStr">
        <is>
          <t>EJ010723.TXT</t>
        </is>
      </c>
      <c r="B397" s="3" t="inlineStr">
        <is>
          <t>004946</t>
        </is>
      </c>
      <c r="C397" s="3" t="inlineStr">
        <is>
          <t>003957</t>
        </is>
      </c>
      <c r="D397" s="4" t="n">
        <v>45098</v>
      </c>
      <c r="E397" s="2" t="inlineStr">
        <is>
          <t>09:24</t>
        </is>
      </c>
      <c r="F397" s="5" t="n">
        <v>208.33</v>
      </c>
      <c r="G397" s="5" t="n"/>
      <c r="H397" s="5" t="n"/>
      <c r="I397" s="5" t="n"/>
      <c r="J397" s="5" t="n">
        <v>41.67</v>
      </c>
      <c r="K397" s="5" t="n"/>
      <c r="L397" s="5" t="n"/>
      <c r="M397" s="5" t="n"/>
      <c r="N397" s="5" t="n"/>
      <c r="O397" s="5" t="n">
        <v>250</v>
      </c>
      <c r="P397" s="5" t="n"/>
      <c r="Q397" s="5" t="n">
        <v>250</v>
      </c>
      <c r="R397" s="5" t="n"/>
      <c r="S397" s="5">
        <f>SUM(F397:I397)+N397</f>
        <v/>
      </c>
      <c r="T397" s="5">
        <f>J397</f>
        <v/>
      </c>
      <c r="U397" s="6">
        <f>YEAR(D397)</f>
        <v/>
      </c>
      <c r="V397" s="5">
        <f>TEXT(D397,"yyyy-mm")</f>
        <v/>
      </c>
    </row>
    <row r="398">
      <c r="A398" s="2" t="inlineStr">
        <is>
          <t>EJ010723.TXT</t>
        </is>
      </c>
      <c r="B398" s="3" t="inlineStr">
        <is>
          <t>004947</t>
        </is>
      </c>
      <c r="C398" s="3" t="inlineStr">
        <is>
          <t>003958</t>
        </is>
      </c>
      <c r="D398" s="4" t="n">
        <v>45098</v>
      </c>
      <c r="E398" s="2" t="inlineStr">
        <is>
          <t>10:16</t>
        </is>
      </c>
      <c r="F398" s="5" t="n">
        <v>125</v>
      </c>
      <c r="G398" s="5" t="n"/>
      <c r="H398" s="5" t="n"/>
      <c r="I398" s="5" t="n"/>
      <c r="J398" s="5" t="n">
        <v>25</v>
      </c>
      <c r="K398" s="5" t="n"/>
      <c r="L398" s="5" t="n"/>
      <c r="M398" s="5" t="n"/>
      <c r="N398" s="5" t="n"/>
      <c r="O398" s="5" t="n">
        <v>150</v>
      </c>
      <c r="P398" s="5" t="n"/>
      <c r="Q398" s="5" t="n">
        <v>150</v>
      </c>
      <c r="R398" s="5" t="n"/>
      <c r="S398" s="5">
        <f>SUM(F398:I398)+N398</f>
        <v/>
      </c>
      <c r="T398" s="5">
        <f>J398</f>
        <v/>
      </c>
      <c r="U398" s="6">
        <f>YEAR(D398)</f>
        <v/>
      </c>
      <c r="V398" s="5">
        <f>TEXT(D398,"yyyy-mm")</f>
        <v/>
      </c>
    </row>
    <row r="399">
      <c r="A399" s="2" t="inlineStr">
        <is>
          <t>EJ010723.TXT</t>
        </is>
      </c>
      <c r="B399" s="3" t="inlineStr">
        <is>
          <t>004948</t>
        </is>
      </c>
      <c r="C399" s="3" t="inlineStr">
        <is>
          <t>003959</t>
        </is>
      </c>
      <c r="D399" s="4" t="n">
        <v>45098</v>
      </c>
      <c r="E399" s="2" t="inlineStr">
        <is>
          <t>10:17</t>
        </is>
      </c>
      <c r="F399" s="5" t="n">
        <v>65.83</v>
      </c>
      <c r="G399" s="5" t="n"/>
      <c r="H399" s="5" t="n"/>
      <c r="I399" s="5" t="n"/>
      <c r="J399" s="5" t="n">
        <v>13.17</v>
      </c>
      <c r="K399" s="5" t="n"/>
      <c r="L399" s="5" t="n"/>
      <c r="M399" s="5" t="n"/>
      <c r="N399" s="5" t="n"/>
      <c r="O399" s="5" t="n">
        <v>79</v>
      </c>
      <c r="P399" s="5" t="n">
        <v>79</v>
      </c>
      <c r="Q399" s="5" t="n"/>
      <c r="R399" s="5" t="n"/>
      <c r="S399" s="5">
        <f>SUM(F399:I399)+N399</f>
        <v/>
      </c>
      <c r="T399" s="5">
        <f>J399</f>
        <v/>
      </c>
      <c r="U399" s="6">
        <f>YEAR(D399)</f>
        <v/>
      </c>
      <c r="V399" s="5">
        <f>TEXT(D399,"yyyy-mm")</f>
        <v/>
      </c>
    </row>
    <row r="400">
      <c r="A400" s="2" t="inlineStr">
        <is>
          <t>EJ010723.TXT</t>
        </is>
      </c>
      <c r="B400" s="3" t="inlineStr">
        <is>
          <t>004949</t>
        </is>
      </c>
      <c r="C400" s="3" t="inlineStr">
        <is>
          <t>003960</t>
        </is>
      </c>
      <c r="D400" s="4" t="n">
        <v>45098</v>
      </c>
      <c r="E400" s="2" t="inlineStr">
        <is>
          <t>12:06</t>
        </is>
      </c>
      <c r="F400" s="5" t="n">
        <v>500</v>
      </c>
      <c r="G400" s="5" t="n"/>
      <c r="H400" s="5" t="n"/>
      <c r="I400" s="5" t="n"/>
      <c r="J400" s="5" t="n">
        <v>100</v>
      </c>
      <c r="K400" s="5" t="n"/>
      <c r="L400" s="5" t="n"/>
      <c r="M400" s="5" t="n"/>
      <c r="N400" s="5" t="n"/>
      <c r="O400" s="5" t="n">
        <v>600</v>
      </c>
      <c r="P400" s="5" t="n">
        <v>600</v>
      </c>
      <c r="Q400" s="5" t="n"/>
      <c r="R400" s="5" t="n"/>
      <c r="S400" s="5">
        <f>SUM(F400:I400)+N400</f>
        <v/>
      </c>
      <c r="T400" s="5">
        <f>J400</f>
        <v/>
      </c>
      <c r="U400" s="6">
        <f>YEAR(D400)</f>
        <v/>
      </c>
      <c r="V400" s="5">
        <f>TEXT(D400,"yyyy-mm")</f>
        <v/>
      </c>
    </row>
    <row r="401">
      <c r="A401" s="2" t="inlineStr">
        <is>
          <t>EJ010723.TXT</t>
        </is>
      </c>
      <c r="B401" s="3" t="inlineStr">
        <is>
          <t>004950</t>
        </is>
      </c>
      <c r="C401" s="3" t="inlineStr">
        <is>
          <t>003961</t>
        </is>
      </c>
      <c r="D401" s="4" t="n">
        <v>45099</v>
      </c>
      <c r="E401" s="2" t="inlineStr">
        <is>
          <t>09:51</t>
        </is>
      </c>
      <c r="F401" s="5" t="n">
        <v>65.83</v>
      </c>
      <c r="G401" s="5" t="n"/>
      <c r="H401" s="5" t="n"/>
      <c r="I401" s="5" t="n"/>
      <c r="J401" s="5" t="n">
        <v>13.17</v>
      </c>
      <c r="K401" s="5" t="n"/>
      <c r="L401" s="5" t="n"/>
      <c r="M401" s="5" t="n"/>
      <c r="N401" s="5" t="n"/>
      <c r="O401" s="5" t="n">
        <v>79</v>
      </c>
      <c r="P401" s="5" t="n">
        <v>79</v>
      </c>
      <c r="Q401" s="5" t="n"/>
      <c r="R401" s="5" t="n"/>
      <c r="S401" s="5">
        <f>SUM(F401:I401)+N401</f>
        <v/>
      </c>
      <c r="T401" s="5">
        <f>J401</f>
        <v/>
      </c>
      <c r="U401" s="6">
        <f>YEAR(D401)</f>
        <v/>
      </c>
      <c r="V401" s="5">
        <f>TEXT(D401,"yyyy-mm")</f>
        <v/>
      </c>
    </row>
    <row r="402">
      <c r="A402" s="2" t="inlineStr">
        <is>
          <t>EJ010723.TXT</t>
        </is>
      </c>
      <c r="B402" s="3" t="inlineStr">
        <is>
          <t>004951</t>
        </is>
      </c>
      <c r="C402" s="3" t="inlineStr">
        <is>
          <t>003962</t>
        </is>
      </c>
      <c r="D402" s="4" t="n">
        <v>45103</v>
      </c>
      <c r="E402" s="2" t="inlineStr">
        <is>
          <t>11:49</t>
        </is>
      </c>
      <c r="F402" s="5" t="n">
        <v>548.33</v>
      </c>
      <c r="G402" s="5" t="n"/>
      <c r="H402" s="5" t="n"/>
      <c r="I402" s="5" t="n"/>
      <c r="J402" s="5" t="n">
        <v>109.67</v>
      </c>
      <c r="K402" s="5" t="n"/>
      <c r="L402" s="5" t="n"/>
      <c r="M402" s="5" t="n"/>
      <c r="N402" s="5" t="n"/>
      <c r="O402" s="5" t="n">
        <v>658</v>
      </c>
      <c r="P402" s="5" t="n">
        <v>658</v>
      </c>
      <c r="Q402" s="5" t="n"/>
      <c r="R402" s="5" t="n"/>
      <c r="S402" s="5">
        <f>SUM(F402:I402)+N402</f>
        <v/>
      </c>
      <c r="T402" s="5">
        <f>J402</f>
        <v/>
      </c>
      <c r="U402" s="6">
        <f>YEAR(D402)</f>
        <v/>
      </c>
      <c r="V402" s="5">
        <f>TEXT(D402,"yyyy-mm")</f>
        <v/>
      </c>
    </row>
    <row r="403">
      <c r="A403" s="2" t="inlineStr">
        <is>
          <t>EJ010723.TXT</t>
        </is>
      </c>
      <c r="B403" s="3" t="inlineStr">
        <is>
          <t>004952</t>
        </is>
      </c>
      <c r="C403" s="3" t="inlineStr">
        <is>
          <t>003963</t>
        </is>
      </c>
      <c r="D403" s="4" t="n">
        <v>45104</v>
      </c>
      <c r="E403" s="2" t="inlineStr">
        <is>
          <t>10:14</t>
        </is>
      </c>
      <c r="F403" s="5" t="n">
        <v>548.33</v>
      </c>
      <c r="G403" s="5" t="n"/>
      <c r="H403" s="5" t="n"/>
      <c r="I403" s="5" t="n"/>
      <c r="J403" s="5" t="n">
        <v>109.67</v>
      </c>
      <c r="K403" s="5" t="n"/>
      <c r="L403" s="5" t="n"/>
      <c r="M403" s="5" t="n"/>
      <c r="N403" s="5" t="n"/>
      <c r="O403" s="5" t="n">
        <v>658</v>
      </c>
      <c r="P403" s="5" t="n"/>
      <c r="Q403" s="5" t="n">
        <v>658</v>
      </c>
      <c r="R403" s="5" t="n"/>
      <c r="S403" s="5">
        <f>SUM(F403:I403)+N403</f>
        <v/>
      </c>
      <c r="T403" s="5">
        <f>J403</f>
        <v/>
      </c>
      <c r="U403" s="6">
        <f>YEAR(D403)</f>
        <v/>
      </c>
      <c r="V403" s="5">
        <f>TEXT(D403,"yyyy-mm")</f>
        <v/>
      </c>
    </row>
    <row r="404">
      <c r="A404" s="2" t="inlineStr">
        <is>
          <t>EJ010723.TXT</t>
        </is>
      </c>
      <c r="B404" s="3" t="inlineStr">
        <is>
          <t>004953</t>
        </is>
      </c>
      <c r="C404" s="3" t="inlineStr">
        <is>
          <t>003964</t>
        </is>
      </c>
      <c r="D404" s="4" t="n">
        <v>45104</v>
      </c>
      <c r="E404" s="2" t="inlineStr">
        <is>
          <t>10:15</t>
        </is>
      </c>
      <c r="F404" s="5" t="n">
        <v>548.33</v>
      </c>
      <c r="G404" s="5" t="n"/>
      <c r="H404" s="5" t="n"/>
      <c r="I404" s="5" t="n"/>
      <c r="J404" s="5" t="n">
        <v>109.67</v>
      </c>
      <c r="K404" s="5" t="n"/>
      <c r="L404" s="5" t="n"/>
      <c r="M404" s="5" t="n"/>
      <c r="N404" s="5" t="n"/>
      <c r="O404" s="5" t="n">
        <v>658</v>
      </c>
      <c r="P404" s="5" t="n"/>
      <c r="Q404" s="5" t="n">
        <v>658</v>
      </c>
      <c r="R404" s="5" t="n"/>
      <c r="S404" s="5">
        <f>SUM(F404:I404)+N404</f>
        <v/>
      </c>
      <c r="T404" s="5">
        <f>J404</f>
        <v/>
      </c>
      <c r="U404" s="6">
        <f>YEAR(D404)</f>
        <v/>
      </c>
      <c r="V404" s="5">
        <f>TEXT(D404,"yyyy-mm")</f>
        <v/>
      </c>
    </row>
    <row r="405">
      <c r="A405" s="2" t="inlineStr">
        <is>
          <t>EJ010723.TXT</t>
        </is>
      </c>
      <c r="B405" s="3" t="inlineStr">
        <is>
          <t>004954</t>
        </is>
      </c>
      <c r="C405" s="3" t="inlineStr">
        <is>
          <t>003965</t>
        </is>
      </c>
      <c r="D405" s="4" t="n">
        <v>45104</v>
      </c>
      <c r="E405" s="2" t="inlineStr">
        <is>
          <t>10:56</t>
        </is>
      </c>
      <c r="F405" s="5" t="n">
        <v>822.5</v>
      </c>
      <c r="G405" s="5" t="n"/>
      <c r="H405" s="5" t="n"/>
      <c r="I405" s="5" t="n"/>
      <c r="J405" s="5" t="n">
        <v>164.5</v>
      </c>
      <c r="K405" s="5" t="n"/>
      <c r="L405" s="5" t="n"/>
      <c r="M405" s="5" t="n"/>
      <c r="N405" s="5" t="n"/>
      <c r="O405" s="5" t="n">
        <v>987</v>
      </c>
      <c r="P405" s="5" t="n"/>
      <c r="Q405" s="5" t="n">
        <v>987</v>
      </c>
      <c r="R405" s="5" t="n"/>
      <c r="S405" s="5">
        <f>SUM(F405:I405)+N405</f>
        <v/>
      </c>
      <c r="T405" s="5">
        <f>J405</f>
        <v/>
      </c>
      <c r="U405" s="6">
        <f>YEAR(D405)</f>
        <v/>
      </c>
      <c r="V405" s="5">
        <f>TEXT(D405,"yyyy-mm")</f>
        <v/>
      </c>
    </row>
    <row r="406">
      <c r="A406" s="2" t="inlineStr">
        <is>
          <t>EJ010723.TXT</t>
        </is>
      </c>
      <c r="B406" s="3" t="inlineStr">
        <is>
          <t>004955</t>
        </is>
      </c>
      <c r="C406" s="3" t="inlineStr">
        <is>
          <t>003966</t>
        </is>
      </c>
      <c r="D406" s="4" t="n">
        <v>45104</v>
      </c>
      <c r="E406" s="2" t="inlineStr">
        <is>
          <t>11:04</t>
        </is>
      </c>
      <c r="F406" s="5" t="n">
        <v>822.5</v>
      </c>
      <c r="G406" s="5" t="n"/>
      <c r="H406" s="5" t="n"/>
      <c r="I406" s="5" t="n"/>
      <c r="J406" s="5" t="n">
        <v>164.5</v>
      </c>
      <c r="K406" s="5" t="n"/>
      <c r="L406" s="5" t="n"/>
      <c r="M406" s="5" t="n"/>
      <c r="N406" s="5" t="n"/>
      <c r="O406" s="5" t="n">
        <v>987</v>
      </c>
      <c r="P406" s="5" t="n"/>
      <c r="Q406" s="5" t="n">
        <v>987</v>
      </c>
      <c r="R406" s="5" t="n"/>
      <c r="S406" s="5">
        <f>SUM(F406:I406)+N406</f>
        <v/>
      </c>
      <c r="T406" s="5">
        <f>J406</f>
        <v/>
      </c>
      <c r="U406" s="6">
        <f>YEAR(D406)</f>
        <v/>
      </c>
      <c r="V406" s="5">
        <f>TEXT(D406,"yyyy-mm")</f>
        <v/>
      </c>
    </row>
    <row r="407">
      <c r="A407" s="2" t="inlineStr">
        <is>
          <t>EJ010723.TXT</t>
        </is>
      </c>
      <c r="B407" s="3" t="inlineStr">
        <is>
          <t>004956</t>
        </is>
      </c>
      <c r="C407" s="3" t="inlineStr">
        <is>
          <t>003967</t>
        </is>
      </c>
      <c r="D407" s="4" t="n">
        <v>45104</v>
      </c>
      <c r="E407" s="2" t="inlineStr">
        <is>
          <t>11:04</t>
        </is>
      </c>
      <c r="F407" s="5" t="n">
        <v>822.5</v>
      </c>
      <c r="G407" s="5" t="n"/>
      <c r="H407" s="5" t="n"/>
      <c r="I407" s="5" t="n"/>
      <c r="J407" s="5" t="n">
        <v>164.5</v>
      </c>
      <c r="K407" s="5" t="n"/>
      <c r="L407" s="5" t="n"/>
      <c r="M407" s="5" t="n"/>
      <c r="N407" s="5" t="n"/>
      <c r="O407" s="5" t="n">
        <v>987</v>
      </c>
      <c r="P407" s="5" t="n"/>
      <c r="Q407" s="5" t="n">
        <v>987</v>
      </c>
      <c r="R407" s="5" t="n"/>
      <c r="S407" s="5">
        <f>SUM(F407:I407)+N407</f>
        <v/>
      </c>
      <c r="T407" s="5">
        <f>J407</f>
        <v/>
      </c>
      <c r="U407" s="6">
        <f>YEAR(D407)</f>
        <v/>
      </c>
      <c r="V407" s="5">
        <f>TEXT(D407,"yyyy-mm")</f>
        <v/>
      </c>
    </row>
    <row r="408">
      <c r="A408" s="2" t="inlineStr">
        <is>
          <t>EJ010723.TXT</t>
        </is>
      </c>
      <c r="B408" s="3" t="inlineStr">
        <is>
          <t>004957</t>
        </is>
      </c>
      <c r="C408" s="3" t="inlineStr">
        <is>
          <t>003968</t>
        </is>
      </c>
      <c r="D408" s="4" t="n">
        <v>45104</v>
      </c>
      <c r="E408" s="2" t="inlineStr">
        <is>
          <t>11:05</t>
        </is>
      </c>
      <c r="F408" s="5" t="n">
        <v>822.5</v>
      </c>
      <c r="G408" s="5" t="n"/>
      <c r="H408" s="5" t="n"/>
      <c r="I408" s="5" t="n"/>
      <c r="J408" s="5" t="n">
        <v>164.5</v>
      </c>
      <c r="K408" s="5" t="n"/>
      <c r="L408" s="5" t="n"/>
      <c r="M408" s="5" t="n"/>
      <c r="N408" s="5" t="n"/>
      <c r="O408" s="5" t="n">
        <v>987</v>
      </c>
      <c r="P408" s="5" t="n"/>
      <c r="Q408" s="5" t="n">
        <v>987</v>
      </c>
      <c r="R408" s="5" t="n"/>
      <c r="S408" s="5">
        <f>SUM(F408:I408)+N408</f>
        <v/>
      </c>
      <c r="T408" s="5">
        <f>J408</f>
        <v/>
      </c>
      <c r="U408" s="6">
        <f>YEAR(D408)</f>
        <v/>
      </c>
      <c r="V408" s="5">
        <f>TEXT(D408,"yyyy-mm")</f>
        <v/>
      </c>
    </row>
    <row r="409">
      <c r="A409" s="2" t="inlineStr">
        <is>
          <t>EJ010723.TXT</t>
        </is>
      </c>
      <c r="B409" s="3" t="inlineStr">
        <is>
          <t>004958</t>
        </is>
      </c>
      <c r="C409" s="3" t="inlineStr">
        <is>
          <t>003969</t>
        </is>
      </c>
      <c r="D409" s="4" t="n">
        <v>45104</v>
      </c>
      <c r="E409" s="2" t="inlineStr">
        <is>
          <t>11:05</t>
        </is>
      </c>
      <c r="F409" s="5" t="n">
        <v>822.5</v>
      </c>
      <c r="G409" s="5" t="n"/>
      <c r="H409" s="5" t="n"/>
      <c r="I409" s="5" t="n"/>
      <c r="J409" s="5" t="n">
        <v>164.5</v>
      </c>
      <c r="K409" s="5" t="n"/>
      <c r="L409" s="5" t="n"/>
      <c r="M409" s="5" t="n"/>
      <c r="N409" s="5" t="n"/>
      <c r="O409" s="5" t="n">
        <v>987</v>
      </c>
      <c r="P409" s="5" t="n"/>
      <c r="Q409" s="5" t="n">
        <v>987</v>
      </c>
      <c r="R409" s="5" t="n"/>
      <c r="S409" s="5">
        <f>SUM(F409:I409)+N409</f>
        <v/>
      </c>
      <c r="T409" s="5">
        <f>J409</f>
        <v/>
      </c>
      <c r="U409" s="6">
        <f>YEAR(D409)</f>
        <v/>
      </c>
      <c r="V409" s="5">
        <f>TEXT(D409,"yyyy-mm")</f>
        <v/>
      </c>
    </row>
    <row r="410">
      <c r="A410" s="2" t="inlineStr">
        <is>
          <t>EJ010723.TXT</t>
        </is>
      </c>
      <c r="B410" s="3" t="inlineStr">
        <is>
          <t>004959</t>
        </is>
      </c>
      <c r="C410" s="3" t="inlineStr">
        <is>
          <t>003970</t>
        </is>
      </c>
      <c r="D410" s="4" t="n">
        <v>45104</v>
      </c>
      <c r="E410" s="2" t="inlineStr">
        <is>
          <t>11:12</t>
        </is>
      </c>
      <c r="F410" s="5" t="n">
        <v>208.33</v>
      </c>
      <c r="G410" s="5" t="n"/>
      <c r="H410" s="5" t="n"/>
      <c r="I410" s="5" t="n"/>
      <c r="J410" s="5" t="n">
        <v>41.67</v>
      </c>
      <c r="K410" s="5" t="n"/>
      <c r="L410" s="5" t="n"/>
      <c r="M410" s="5" t="n"/>
      <c r="N410" s="5" t="n"/>
      <c r="O410" s="5" t="n">
        <v>250</v>
      </c>
      <c r="P410" s="5" t="n"/>
      <c r="Q410" s="5" t="n">
        <v>250</v>
      </c>
      <c r="R410" s="5" t="n"/>
      <c r="S410" s="5">
        <f>SUM(F410:I410)+N410</f>
        <v/>
      </c>
      <c r="T410" s="5">
        <f>J410</f>
        <v/>
      </c>
      <c r="U410" s="6">
        <f>YEAR(D410)</f>
        <v/>
      </c>
      <c r="V410" s="5">
        <f>TEXT(D410,"yyyy-mm")</f>
        <v/>
      </c>
    </row>
    <row r="411">
      <c r="A411" s="2" t="inlineStr">
        <is>
          <t>EJ010723.TXT</t>
        </is>
      </c>
      <c r="B411" s="3" t="inlineStr">
        <is>
          <t>004960</t>
        </is>
      </c>
      <c r="C411" s="3" t="inlineStr">
        <is>
          <t>003971</t>
        </is>
      </c>
      <c r="D411" s="4" t="n">
        <v>45107</v>
      </c>
      <c r="E411" s="2" t="inlineStr">
        <is>
          <t>13:37</t>
        </is>
      </c>
      <c r="F411" s="5" t="n">
        <v>49.17</v>
      </c>
      <c r="G411" s="5" t="n"/>
      <c r="H411" s="5" t="n"/>
      <c r="I411" s="5" t="n"/>
      <c r="J411" s="5" t="n">
        <v>9.83</v>
      </c>
      <c r="K411" s="5" t="n"/>
      <c r="L411" s="5" t="n"/>
      <c r="M411" s="5" t="n"/>
      <c r="N411" s="5" t="n"/>
      <c r="O411" s="5" t="n">
        <v>59</v>
      </c>
      <c r="P411" s="5" t="n"/>
      <c r="Q411" s="5" t="n">
        <v>59</v>
      </c>
      <c r="R411" s="5" t="n"/>
      <c r="S411" s="5">
        <f>SUM(F411:I411)+N411</f>
        <v/>
      </c>
      <c r="T411" s="5">
        <f>J411</f>
        <v/>
      </c>
      <c r="U411" s="6">
        <f>YEAR(D411)</f>
        <v/>
      </c>
      <c r="V411" s="5">
        <f>TEXT(D411,"yyyy-mm")</f>
        <v/>
      </c>
    </row>
    <row r="412">
      <c r="A412" s="2" t="inlineStr">
        <is>
          <t>EJ010723.TXT</t>
        </is>
      </c>
      <c r="B412" s="3" t="inlineStr">
        <is>
          <t>004961</t>
        </is>
      </c>
      <c r="C412" s="3" t="inlineStr">
        <is>
          <t>003972</t>
        </is>
      </c>
      <c r="D412" s="4" t="n">
        <v>45107</v>
      </c>
      <c r="E412" s="2" t="inlineStr">
        <is>
          <t>13:38</t>
        </is>
      </c>
      <c r="F412" s="5" t="n">
        <v>49.17</v>
      </c>
      <c r="G412" s="5" t="n"/>
      <c r="H412" s="5" t="n"/>
      <c r="I412" s="5" t="n"/>
      <c r="J412" s="5" t="n">
        <v>9.83</v>
      </c>
      <c r="K412" s="5" t="n"/>
      <c r="L412" s="5" t="n"/>
      <c r="M412" s="5" t="n"/>
      <c r="N412" s="5" t="n"/>
      <c r="O412" s="5" t="n">
        <v>59</v>
      </c>
      <c r="P412" s="5" t="n"/>
      <c r="Q412" s="5" t="n">
        <v>59</v>
      </c>
      <c r="R412" s="5" t="n"/>
      <c r="S412" s="5">
        <f>SUM(F412:I412)+N412</f>
        <v/>
      </c>
      <c r="T412" s="5">
        <f>J412</f>
        <v/>
      </c>
      <c r="U412" s="6">
        <f>YEAR(D412)</f>
        <v/>
      </c>
      <c r="V412" s="5">
        <f>TEXT(D412,"yyyy-mm")</f>
        <v/>
      </c>
    </row>
    <row r="413">
      <c r="A413" s="2" t="inlineStr">
        <is>
          <t>EJ010723.TXT</t>
        </is>
      </c>
      <c r="B413" s="3" t="inlineStr">
        <is>
          <t>004962</t>
        </is>
      </c>
      <c r="C413" s="3" t="inlineStr">
        <is>
          <t>003973</t>
        </is>
      </c>
      <c r="D413" s="4" t="n">
        <v>45108</v>
      </c>
      <c r="E413" s="2" t="inlineStr">
        <is>
          <t>14:46</t>
        </is>
      </c>
      <c r="F413" s="5" t="n">
        <v>822.5</v>
      </c>
      <c r="G413" s="5" t="n"/>
      <c r="H413" s="5" t="n"/>
      <c r="I413" s="5" t="n"/>
      <c r="J413" s="5" t="n">
        <v>164.5</v>
      </c>
      <c r="K413" s="5" t="n"/>
      <c r="L413" s="5" t="n"/>
      <c r="M413" s="5" t="n"/>
      <c r="N413" s="5" t="n"/>
      <c r="O413" s="5" t="n">
        <v>987</v>
      </c>
      <c r="P413" s="5" t="n">
        <v>987</v>
      </c>
      <c r="Q413" s="5" t="n"/>
      <c r="R413" s="5" t="n"/>
      <c r="S413" s="5">
        <f>SUM(F413:I413)+N413</f>
        <v/>
      </c>
      <c r="T413" s="5">
        <f>J413</f>
        <v/>
      </c>
      <c r="U413" s="6">
        <f>YEAR(D413)</f>
        <v/>
      </c>
      <c r="V413" s="5">
        <f>TEXT(D413,"yyyy-mm")</f>
        <v/>
      </c>
    </row>
    <row r="414">
      <c r="A414" s="2" t="inlineStr">
        <is>
          <t>EJ010823.TXT</t>
        </is>
      </c>
      <c r="B414" s="3" t="inlineStr">
        <is>
          <t>004970</t>
        </is>
      </c>
      <c r="C414" s="3" t="inlineStr">
        <is>
          <t>003974</t>
        </is>
      </c>
      <c r="D414" s="4" t="n">
        <v>45108</v>
      </c>
      <c r="E414" s="2" t="inlineStr">
        <is>
          <t>16:34</t>
        </is>
      </c>
      <c r="F414" s="5" t="n">
        <v>822.5</v>
      </c>
      <c r="G414" s="5" t="n"/>
      <c r="H414" s="5" t="n"/>
      <c r="I414" s="5" t="n"/>
      <c r="J414" s="5" t="n">
        <v>164.5</v>
      </c>
      <c r="K414" s="5" t="n"/>
      <c r="L414" s="5" t="n"/>
      <c r="M414" s="5" t="n"/>
      <c r="N414" s="5" t="n"/>
      <c r="O414" s="5" t="n">
        <v>987</v>
      </c>
      <c r="P414" s="5" t="n">
        <v>987</v>
      </c>
      <c r="Q414" s="5" t="n"/>
      <c r="R414" s="5" t="n"/>
      <c r="S414" s="5">
        <f>SUM(F414:I414)+N414</f>
        <v/>
      </c>
      <c r="T414" s="5">
        <f>J414</f>
        <v/>
      </c>
      <c r="U414" s="6">
        <f>YEAR(D414)</f>
        <v/>
      </c>
      <c r="V414" s="5">
        <f>TEXT(D414,"yyyy-mm")</f>
        <v/>
      </c>
    </row>
    <row r="415">
      <c r="A415" s="2" t="inlineStr">
        <is>
          <t>EJ010823.TXT</t>
        </is>
      </c>
      <c r="B415" s="3" t="inlineStr">
        <is>
          <t>004971</t>
        </is>
      </c>
      <c r="C415" s="3" t="inlineStr">
        <is>
          <t>003975</t>
        </is>
      </c>
      <c r="D415" s="4" t="n">
        <v>45110</v>
      </c>
      <c r="E415" s="2" t="inlineStr">
        <is>
          <t>15:51</t>
        </is>
      </c>
      <c r="F415" s="5" t="n">
        <v>274.17</v>
      </c>
      <c r="G415" s="5" t="n"/>
      <c r="H415" s="5" t="n"/>
      <c r="I415" s="5" t="n"/>
      <c r="J415" s="5" t="n">
        <v>54.83</v>
      </c>
      <c r="K415" s="5" t="n"/>
      <c r="L415" s="5" t="n"/>
      <c r="M415" s="5" t="n"/>
      <c r="N415" s="5" t="n"/>
      <c r="O415" s="5" t="n">
        <v>329</v>
      </c>
      <c r="P415" s="5" t="n"/>
      <c r="Q415" s="5" t="n">
        <v>329</v>
      </c>
      <c r="R415" s="5" t="n"/>
      <c r="S415" s="5">
        <f>SUM(F415:I415)+N415</f>
        <v/>
      </c>
      <c r="T415" s="5">
        <f>J415</f>
        <v/>
      </c>
      <c r="U415" s="6">
        <f>YEAR(D415)</f>
        <v/>
      </c>
      <c r="V415" s="5">
        <f>TEXT(D415,"yyyy-mm")</f>
        <v/>
      </c>
    </row>
    <row r="416">
      <c r="A416" s="2" t="inlineStr">
        <is>
          <t>EJ010823.TXT</t>
        </is>
      </c>
      <c r="B416" s="3" t="inlineStr">
        <is>
          <t>004972</t>
        </is>
      </c>
      <c r="C416" s="3" t="inlineStr">
        <is>
          <t>003976</t>
        </is>
      </c>
      <c r="D416" s="4" t="n">
        <v>45111</v>
      </c>
      <c r="E416" s="2" t="inlineStr">
        <is>
          <t>15:19</t>
        </is>
      </c>
      <c r="F416" s="5" t="n">
        <v>822.5</v>
      </c>
      <c r="G416" s="5" t="n"/>
      <c r="H416" s="5" t="n"/>
      <c r="I416" s="5" t="n"/>
      <c r="J416" s="5" t="n">
        <v>164.5</v>
      </c>
      <c r="K416" s="5" t="n"/>
      <c r="L416" s="5" t="n"/>
      <c r="M416" s="5" t="n"/>
      <c r="N416" s="5" t="n"/>
      <c r="O416" s="5" t="n">
        <v>987</v>
      </c>
      <c r="P416" s="5" t="n"/>
      <c r="Q416" s="5" t="n">
        <v>987</v>
      </c>
      <c r="R416" s="5" t="n"/>
      <c r="S416" s="5">
        <f>SUM(F416:I416)+N416</f>
        <v/>
      </c>
      <c r="T416" s="5">
        <f>J416</f>
        <v/>
      </c>
      <c r="U416" s="6">
        <f>YEAR(D416)</f>
        <v/>
      </c>
      <c r="V416" s="5">
        <f>TEXT(D416,"yyyy-mm")</f>
        <v/>
      </c>
    </row>
    <row r="417">
      <c r="A417" s="2" t="inlineStr">
        <is>
          <t>EJ010823.TXT</t>
        </is>
      </c>
      <c r="B417" s="3" t="inlineStr">
        <is>
          <t>004973</t>
        </is>
      </c>
      <c r="C417" s="3" t="inlineStr">
        <is>
          <t>003977</t>
        </is>
      </c>
      <c r="D417" s="4" t="n">
        <v>45113</v>
      </c>
      <c r="E417" s="2" t="inlineStr">
        <is>
          <t>10:21</t>
        </is>
      </c>
      <c r="F417" s="5" t="n">
        <v>739.17</v>
      </c>
      <c r="G417" s="5" t="n"/>
      <c r="H417" s="5" t="n"/>
      <c r="I417" s="5" t="n"/>
      <c r="J417" s="5" t="n">
        <v>147.83</v>
      </c>
      <c r="K417" s="5" t="n"/>
      <c r="L417" s="5" t="n"/>
      <c r="M417" s="5" t="n"/>
      <c r="N417" s="5" t="n"/>
      <c r="O417" s="5" t="n">
        <v>887</v>
      </c>
      <c r="P417" s="5" t="n">
        <v>887</v>
      </c>
      <c r="Q417" s="5" t="n"/>
      <c r="R417" s="5" t="n"/>
      <c r="S417" s="5">
        <f>SUM(F417:I417)+N417</f>
        <v/>
      </c>
      <c r="T417" s="5">
        <f>J417</f>
        <v/>
      </c>
      <c r="U417" s="6">
        <f>YEAR(D417)</f>
        <v/>
      </c>
      <c r="V417" s="5">
        <f>TEXT(D417,"yyyy-mm")</f>
        <v/>
      </c>
    </row>
    <row r="418">
      <c r="A418" s="2" t="inlineStr">
        <is>
          <t>EJ010823.TXT</t>
        </is>
      </c>
      <c r="B418" s="3" t="inlineStr">
        <is>
          <t>004974</t>
        </is>
      </c>
      <c r="C418" s="3" t="inlineStr">
        <is>
          <t>003978</t>
        </is>
      </c>
      <c r="D418" s="4" t="n">
        <v>45113</v>
      </c>
      <c r="E418" s="2" t="inlineStr">
        <is>
          <t>12:21</t>
        </is>
      </c>
      <c r="F418" s="5" t="n">
        <v>274.17</v>
      </c>
      <c r="G418" s="5" t="n"/>
      <c r="H418" s="5" t="n"/>
      <c r="I418" s="5" t="n"/>
      <c r="J418" s="5" t="n">
        <v>54.83</v>
      </c>
      <c r="K418" s="5" t="n"/>
      <c r="L418" s="5" t="n"/>
      <c r="M418" s="5" t="n"/>
      <c r="N418" s="5" t="n"/>
      <c r="O418" s="5" t="n">
        <v>329</v>
      </c>
      <c r="P418" s="5" t="n"/>
      <c r="Q418" s="5" t="n">
        <v>329</v>
      </c>
      <c r="R418" s="5" t="n"/>
      <c r="S418" s="5">
        <f>SUM(F418:I418)+N418</f>
        <v/>
      </c>
      <c r="T418" s="5">
        <f>J418</f>
        <v/>
      </c>
      <c r="U418" s="6">
        <f>YEAR(D418)</f>
        <v/>
      </c>
      <c r="V418" s="5">
        <f>TEXT(D418,"yyyy-mm")</f>
        <v/>
      </c>
    </row>
    <row r="419">
      <c r="A419" s="2" t="inlineStr">
        <is>
          <t>EJ010823.TXT</t>
        </is>
      </c>
      <c r="B419" s="3" t="inlineStr">
        <is>
          <t>004975</t>
        </is>
      </c>
      <c r="C419" s="3" t="inlineStr">
        <is>
          <t>003979</t>
        </is>
      </c>
      <c r="D419" s="4" t="n">
        <v>45113</v>
      </c>
      <c r="E419" s="2" t="inlineStr">
        <is>
          <t>16:59</t>
        </is>
      </c>
      <c r="F419" s="5" t="n">
        <v>208.33</v>
      </c>
      <c r="G419" s="5" t="n"/>
      <c r="H419" s="5" t="n"/>
      <c r="I419" s="5" t="n"/>
      <c r="J419" s="5" t="n">
        <v>41.67</v>
      </c>
      <c r="K419" s="5" t="n"/>
      <c r="L419" s="5" t="n"/>
      <c r="M419" s="5" t="n"/>
      <c r="N419" s="5" t="n"/>
      <c r="O419" s="5" t="n">
        <v>250</v>
      </c>
      <c r="P419" s="5" t="n"/>
      <c r="Q419" s="5" t="n">
        <v>250</v>
      </c>
      <c r="R419" s="5" t="n"/>
      <c r="S419" s="5">
        <f>SUM(F419:I419)+N419</f>
        <v/>
      </c>
      <c r="T419" s="5">
        <f>J419</f>
        <v/>
      </c>
      <c r="U419" s="6">
        <f>YEAR(D419)</f>
        <v/>
      </c>
      <c r="V419" s="5">
        <f>TEXT(D419,"yyyy-mm")</f>
        <v/>
      </c>
    </row>
    <row r="420">
      <c r="A420" s="2" t="inlineStr">
        <is>
          <t>EJ010823.TXT</t>
        </is>
      </c>
      <c r="B420" s="3" t="inlineStr">
        <is>
          <t>004976</t>
        </is>
      </c>
      <c r="C420" s="3" t="inlineStr">
        <is>
          <t>003980</t>
        </is>
      </c>
      <c r="D420" s="4" t="n">
        <v>45114</v>
      </c>
      <c r="E420" s="2" t="inlineStr">
        <is>
          <t>13:41</t>
        </is>
      </c>
      <c r="F420" s="5" t="n">
        <v>822.5</v>
      </c>
      <c r="G420" s="5" t="n"/>
      <c r="H420" s="5" t="n"/>
      <c r="I420" s="5" t="n"/>
      <c r="J420" s="5" t="n">
        <v>164.5</v>
      </c>
      <c r="K420" s="5" t="n"/>
      <c r="L420" s="5" t="n"/>
      <c r="M420" s="5" t="n"/>
      <c r="N420" s="5" t="n"/>
      <c r="O420" s="5" t="n">
        <v>987</v>
      </c>
      <c r="P420" s="5" t="n">
        <v>987</v>
      </c>
      <c r="Q420" s="5" t="n"/>
      <c r="R420" s="5" t="n"/>
      <c r="S420" s="5">
        <f>SUM(F420:I420)+N420</f>
        <v/>
      </c>
      <c r="T420" s="5">
        <f>J420</f>
        <v/>
      </c>
      <c r="U420" s="6">
        <f>YEAR(D420)</f>
        <v/>
      </c>
      <c r="V420" s="5">
        <f>TEXT(D420,"yyyy-mm")</f>
        <v/>
      </c>
    </row>
    <row r="421">
      <c r="A421" s="2" t="inlineStr">
        <is>
          <t>EJ010823.TXT</t>
        </is>
      </c>
      <c r="B421" s="3" t="inlineStr">
        <is>
          <t>004977</t>
        </is>
      </c>
      <c r="C421" s="3" t="inlineStr">
        <is>
          <t>003981</t>
        </is>
      </c>
      <c r="D421" s="4" t="n">
        <v>45115</v>
      </c>
      <c r="E421" s="2" t="inlineStr">
        <is>
          <t>15:51</t>
        </is>
      </c>
      <c r="F421" s="5" t="n">
        <v>1063.33</v>
      </c>
      <c r="G421" s="5" t="n"/>
      <c r="H421" s="5" t="n"/>
      <c r="I421" s="5" t="n"/>
      <c r="J421" s="5" t="n">
        <v>212.67</v>
      </c>
      <c r="K421" s="5" t="n"/>
      <c r="L421" s="5" t="n"/>
      <c r="M421" s="5" t="n"/>
      <c r="N421" s="5" t="n"/>
      <c r="O421" s="5" t="n">
        <v>1276</v>
      </c>
      <c r="P421" s="5" t="n">
        <v>1276</v>
      </c>
      <c r="Q421" s="5" t="n"/>
      <c r="R421" s="5" t="n"/>
      <c r="S421" s="5">
        <f>SUM(F421:I421)+N421</f>
        <v/>
      </c>
      <c r="T421" s="5">
        <f>J421</f>
        <v/>
      </c>
      <c r="U421" s="6">
        <f>YEAR(D421)</f>
        <v/>
      </c>
      <c r="V421" s="5">
        <f>TEXT(D421,"yyyy-mm")</f>
        <v/>
      </c>
    </row>
    <row r="422">
      <c r="A422" s="2" t="inlineStr">
        <is>
          <t>EJ010823.TXT</t>
        </is>
      </c>
      <c r="B422" s="3" t="inlineStr">
        <is>
          <t>004978</t>
        </is>
      </c>
      <c r="C422" s="3" t="inlineStr">
        <is>
          <t>003982</t>
        </is>
      </c>
      <c r="D422" s="4" t="n">
        <v>45117</v>
      </c>
      <c r="E422" s="2" t="inlineStr">
        <is>
          <t>09:45</t>
        </is>
      </c>
      <c r="F422" s="5" t="n">
        <v>548.33</v>
      </c>
      <c r="G422" s="5" t="n"/>
      <c r="H422" s="5" t="n"/>
      <c r="I422" s="5" t="n"/>
      <c r="J422" s="5" t="n">
        <v>109.67</v>
      </c>
      <c r="K422" s="5" t="n"/>
      <c r="L422" s="5" t="n"/>
      <c r="M422" s="5" t="n"/>
      <c r="N422" s="5" t="n"/>
      <c r="O422" s="5" t="n">
        <v>658</v>
      </c>
      <c r="P422" s="5" t="n"/>
      <c r="Q422" s="5" t="n">
        <v>658</v>
      </c>
      <c r="R422" s="5" t="n"/>
      <c r="S422" s="5">
        <f>SUM(F422:I422)+N422</f>
        <v/>
      </c>
      <c r="T422" s="5">
        <f>J422</f>
        <v/>
      </c>
      <c r="U422" s="6">
        <f>YEAR(D422)</f>
        <v/>
      </c>
      <c r="V422" s="5">
        <f>TEXT(D422,"yyyy-mm")</f>
        <v/>
      </c>
    </row>
    <row r="423">
      <c r="A423" s="2" t="inlineStr">
        <is>
          <t>EJ010823.TXT</t>
        </is>
      </c>
      <c r="B423" s="3" t="inlineStr">
        <is>
          <t>004979</t>
        </is>
      </c>
      <c r="C423" s="3" t="inlineStr">
        <is>
          <t>003983</t>
        </is>
      </c>
      <c r="D423" s="4" t="n">
        <v>45117</v>
      </c>
      <c r="E423" s="2" t="inlineStr">
        <is>
          <t>11:59</t>
        </is>
      </c>
      <c r="F423" s="5" t="n">
        <v>548.33</v>
      </c>
      <c r="G423" s="5" t="n"/>
      <c r="H423" s="5" t="n"/>
      <c r="I423" s="5" t="n"/>
      <c r="J423" s="5" t="n">
        <v>109.67</v>
      </c>
      <c r="K423" s="5" t="n"/>
      <c r="L423" s="5" t="n"/>
      <c r="M423" s="5" t="n"/>
      <c r="N423" s="5" t="n"/>
      <c r="O423" s="5" t="n">
        <v>658</v>
      </c>
      <c r="P423" s="5" t="n">
        <v>658</v>
      </c>
      <c r="Q423" s="5" t="n"/>
      <c r="R423" s="5" t="n"/>
      <c r="S423" s="5">
        <f>SUM(F423:I423)+N423</f>
        <v/>
      </c>
      <c r="T423" s="5">
        <f>J423</f>
        <v/>
      </c>
      <c r="U423" s="6">
        <f>YEAR(D423)</f>
        <v/>
      </c>
      <c r="V423" s="5">
        <f>TEXT(D423,"yyyy-mm")</f>
        <v/>
      </c>
    </row>
    <row r="424">
      <c r="A424" s="2" t="inlineStr">
        <is>
          <t>EJ010823.TXT</t>
        </is>
      </c>
      <c r="B424" s="3" t="inlineStr">
        <is>
          <t>004980</t>
        </is>
      </c>
      <c r="C424" s="3" t="inlineStr">
        <is>
          <t>003984</t>
        </is>
      </c>
      <c r="D424" s="4" t="n">
        <v>45117</v>
      </c>
      <c r="E424" s="2" t="inlineStr">
        <is>
          <t>14:42</t>
        </is>
      </c>
      <c r="F424" s="5" t="n">
        <v>274.17</v>
      </c>
      <c r="G424" s="5" t="n"/>
      <c r="H424" s="5" t="n"/>
      <c r="I424" s="5" t="n"/>
      <c r="J424" s="5" t="n">
        <v>54.83</v>
      </c>
      <c r="K424" s="5" t="n"/>
      <c r="L424" s="5" t="n"/>
      <c r="M424" s="5" t="n"/>
      <c r="N424" s="5" t="n"/>
      <c r="O424" s="5" t="n">
        <v>329</v>
      </c>
      <c r="P424" s="5" t="n">
        <v>329</v>
      </c>
      <c r="Q424" s="5" t="n"/>
      <c r="R424" s="5" t="n"/>
      <c r="S424" s="5">
        <f>SUM(F424:I424)+N424</f>
        <v/>
      </c>
      <c r="T424" s="5">
        <f>J424</f>
        <v/>
      </c>
      <c r="U424" s="6">
        <f>YEAR(D424)</f>
        <v/>
      </c>
      <c r="V424" s="5">
        <f>TEXT(D424,"yyyy-mm")</f>
        <v/>
      </c>
    </row>
    <row r="425">
      <c r="A425" s="2" t="inlineStr">
        <is>
          <t>EJ010823.TXT</t>
        </is>
      </c>
      <c r="B425" s="3" t="inlineStr">
        <is>
          <t>004981</t>
        </is>
      </c>
      <c r="C425" s="3" t="inlineStr">
        <is>
          <t>003985</t>
        </is>
      </c>
      <c r="D425" s="4" t="n">
        <v>45117</v>
      </c>
      <c r="E425" s="2" t="inlineStr">
        <is>
          <t>15:00</t>
        </is>
      </c>
      <c r="F425" s="5" t="n">
        <v>723.33</v>
      </c>
      <c r="G425" s="5" t="n"/>
      <c r="H425" s="5" t="n"/>
      <c r="I425" s="5" t="n"/>
      <c r="J425" s="5" t="n">
        <v>144.67</v>
      </c>
      <c r="K425" s="5" t="n"/>
      <c r="L425" s="5" t="n"/>
      <c r="M425" s="5" t="n"/>
      <c r="N425" s="5" t="n"/>
      <c r="O425" s="5" t="n">
        <v>868</v>
      </c>
      <c r="P425" s="5" t="n"/>
      <c r="Q425" s="5" t="n">
        <v>868</v>
      </c>
      <c r="R425" s="5" t="n"/>
      <c r="S425" s="5">
        <f>SUM(F425:I425)+N425</f>
        <v/>
      </c>
      <c r="T425" s="5">
        <f>J425</f>
        <v/>
      </c>
      <c r="U425" s="6">
        <f>YEAR(D425)</f>
        <v/>
      </c>
      <c r="V425" s="5">
        <f>TEXT(D425,"yyyy-mm")</f>
        <v/>
      </c>
    </row>
    <row r="426">
      <c r="A426" s="2" t="inlineStr">
        <is>
          <t>EJ010823.TXT</t>
        </is>
      </c>
      <c r="B426" s="3" t="inlineStr">
        <is>
          <t>004982</t>
        </is>
      </c>
      <c r="C426" s="3" t="inlineStr">
        <is>
          <t>003986</t>
        </is>
      </c>
      <c r="D426" s="4" t="n">
        <v>45124</v>
      </c>
      <c r="E426" s="2" t="inlineStr">
        <is>
          <t>15:20</t>
        </is>
      </c>
      <c r="F426" s="5" t="n">
        <v>822.5</v>
      </c>
      <c r="G426" s="5" t="n"/>
      <c r="H426" s="5" t="n"/>
      <c r="I426" s="5" t="n"/>
      <c r="J426" s="5" t="n">
        <v>164.5</v>
      </c>
      <c r="K426" s="5" t="n"/>
      <c r="L426" s="5" t="n"/>
      <c r="M426" s="5" t="n"/>
      <c r="N426" s="5" t="n"/>
      <c r="O426" s="5" t="n">
        <v>987</v>
      </c>
      <c r="P426" s="5" t="n"/>
      <c r="Q426" s="5" t="n">
        <v>987</v>
      </c>
      <c r="R426" s="5" t="n"/>
      <c r="S426" s="5">
        <f>SUM(F426:I426)+N426</f>
        <v/>
      </c>
      <c r="T426" s="5">
        <f>J426</f>
        <v/>
      </c>
      <c r="U426" s="6">
        <f>YEAR(D426)</f>
        <v/>
      </c>
      <c r="V426" s="5">
        <f>TEXT(D426,"yyyy-mm")</f>
        <v/>
      </c>
    </row>
    <row r="427">
      <c r="A427" s="2" t="inlineStr">
        <is>
          <t>EJ010823.TXT</t>
        </is>
      </c>
      <c r="B427" s="3" t="inlineStr">
        <is>
          <t>004983</t>
        </is>
      </c>
      <c r="C427" s="3" t="inlineStr">
        <is>
          <t>003987</t>
        </is>
      </c>
      <c r="D427" s="4" t="n">
        <v>45125</v>
      </c>
      <c r="E427" s="2" t="inlineStr">
        <is>
          <t>16:07</t>
        </is>
      </c>
      <c r="F427" s="5" t="n">
        <v>822.5</v>
      </c>
      <c r="G427" s="5" t="n"/>
      <c r="H427" s="5" t="n"/>
      <c r="I427" s="5" t="n"/>
      <c r="J427" s="5" t="n">
        <v>164.5</v>
      </c>
      <c r="K427" s="5" t="n"/>
      <c r="L427" s="5" t="n"/>
      <c r="M427" s="5" t="n"/>
      <c r="N427" s="5" t="n"/>
      <c r="O427" s="5" t="n">
        <v>987</v>
      </c>
      <c r="P427" s="5" t="n"/>
      <c r="Q427" s="5" t="n">
        <v>987</v>
      </c>
      <c r="R427" s="5" t="n"/>
      <c r="S427" s="5">
        <f>SUM(F427:I427)+N427</f>
        <v/>
      </c>
      <c r="T427" s="5">
        <f>J427</f>
        <v/>
      </c>
      <c r="U427" s="6">
        <f>YEAR(D427)</f>
        <v/>
      </c>
      <c r="V427" s="5">
        <f>TEXT(D427,"yyyy-mm")</f>
        <v/>
      </c>
    </row>
    <row r="428">
      <c r="A428" s="2" t="inlineStr">
        <is>
          <t>EJ010823.TXT</t>
        </is>
      </c>
      <c r="B428" s="3" t="inlineStr">
        <is>
          <t>004984</t>
        </is>
      </c>
      <c r="C428" s="3" t="inlineStr">
        <is>
          <t>003988</t>
        </is>
      </c>
      <c r="D428" s="4" t="n">
        <v>45125</v>
      </c>
      <c r="E428" s="2" t="inlineStr">
        <is>
          <t>16:07</t>
        </is>
      </c>
      <c r="F428" s="5" t="n">
        <v>822.5</v>
      </c>
      <c r="G428" s="5" t="n"/>
      <c r="H428" s="5" t="n"/>
      <c r="I428" s="5" t="n"/>
      <c r="J428" s="5" t="n">
        <v>164.5</v>
      </c>
      <c r="K428" s="5" t="n"/>
      <c r="L428" s="5" t="n"/>
      <c r="M428" s="5" t="n"/>
      <c r="N428" s="5" t="n"/>
      <c r="O428" s="5" t="n">
        <v>987</v>
      </c>
      <c r="P428" s="5" t="n"/>
      <c r="Q428" s="5" t="n">
        <v>987</v>
      </c>
      <c r="R428" s="5" t="n"/>
      <c r="S428" s="5">
        <f>SUM(F428:I428)+N428</f>
        <v/>
      </c>
      <c r="T428" s="5">
        <f>J428</f>
        <v/>
      </c>
      <c r="U428" s="6">
        <f>YEAR(D428)</f>
        <v/>
      </c>
      <c r="V428" s="5">
        <f>TEXT(D428,"yyyy-mm")</f>
        <v/>
      </c>
    </row>
    <row r="429">
      <c r="A429" s="2" t="inlineStr">
        <is>
          <t>EJ010823.TXT</t>
        </is>
      </c>
      <c r="B429" s="3" t="inlineStr">
        <is>
          <t>004985</t>
        </is>
      </c>
      <c r="C429" s="3" t="inlineStr">
        <is>
          <t>003989</t>
        </is>
      </c>
      <c r="D429" s="4" t="n">
        <v>45126</v>
      </c>
      <c r="E429" s="2" t="inlineStr">
        <is>
          <t>10:33</t>
        </is>
      </c>
      <c r="F429" s="5" t="n">
        <v>548.33</v>
      </c>
      <c r="G429" s="5" t="n"/>
      <c r="H429" s="5" t="n"/>
      <c r="I429" s="5" t="n"/>
      <c r="J429" s="5" t="n">
        <v>109.67</v>
      </c>
      <c r="K429" s="5" t="n"/>
      <c r="L429" s="5" t="n"/>
      <c r="M429" s="5" t="n"/>
      <c r="N429" s="5" t="n"/>
      <c r="O429" s="5" t="n">
        <v>658</v>
      </c>
      <c r="P429" s="5" t="n"/>
      <c r="Q429" s="5" t="n">
        <v>658</v>
      </c>
      <c r="R429" s="5" t="n"/>
      <c r="S429" s="5">
        <f>SUM(F429:I429)+N429</f>
        <v/>
      </c>
      <c r="T429" s="5">
        <f>J429</f>
        <v/>
      </c>
      <c r="U429" s="6">
        <f>YEAR(D429)</f>
        <v/>
      </c>
      <c r="V429" s="5">
        <f>TEXT(D429,"yyyy-mm")</f>
        <v/>
      </c>
    </row>
    <row r="430">
      <c r="A430" s="2" t="inlineStr">
        <is>
          <t>EJ010823.TXT</t>
        </is>
      </c>
      <c r="B430" s="3" t="inlineStr">
        <is>
          <t>004986</t>
        </is>
      </c>
      <c r="C430" s="3" t="inlineStr">
        <is>
          <t>003990</t>
        </is>
      </c>
      <c r="D430" s="4" t="n">
        <v>45126</v>
      </c>
      <c r="E430" s="2" t="inlineStr">
        <is>
          <t>11:23</t>
        </is>
      </c>
      <c r="F430" s="5" t="n">
        <v>822.5</v>
      </c>
      <c r="G430" s="5" t="n"/>
      <c r="H430" s="5" t="n"/>
      <c r="I430" s="5" t="n"/>
      <c r="J430" s="5" t="n">
        <v>164.5</v>
      </c>
      <c r="K430" s="5" t="n"/>
      <c r="L430" s="5" t="n"/>
      <c r="M430" s="5" t="n"/>
      <c r="N430" s="5" t="n"/>
      <c r="O430" s="5" t="n">
        <v>987</v>
      </c>
      <c r="P430" s="5" t="n"/>
      <c r="Q430" s="5" t="n">
        <v>987</v>
      </c>
      <c r="R430" s="5" t="n"/>
      <c r="S430" s="5">
        <f>SUM(F430:I430)+N430</f>
        <v/>
      </c>
      <c r="T430" s="5">
        <f>J430</f>
        <v/>
      </c>
      <c r="U430" s="6">
        <f>YEAR(D430)</f>
        <v/>
      </c>
      <c r="V430" s="5">
        <f>TEXT(D430,"yyyy-mm")</f>
        <v/>
      </c>
    </row>
    <row r="431">
      <c r="A431" s="2" t="inlineStr">
        <is>
          <t>EJ010823.TXT</t>
        </is>
      </c>
      <c r="B431" s="3" t="inlineStr">
        <is>
          <t>004987</t>
        </is>
      </c>
      <c r="C431" s="3" t="inlineStr">
        <is>
          <t>003991</t>
        </is>
      </c>
      <c r="D431" s="4" t="n">
        <v>45126</v>
      </c>
      <c r="E431" s="2" t="inlineStr">
        <is>
          <t>11:23</t>
        </is>
      </c>
      <c r="F431" s="5" t="n">
        <v>822.5</v>
      </c>
      <c r="G431" s="5" t="n"/>
      <c r="H431" s="5" t="n"/>
      <c r="I431" s="5" t="n"/>
      <c r="J431" s="5" t="n">
        <v>164.5</v>
      </c>
      <c r="K431" s="5" t="n"/>
      <c r="L431" s="5" t="n"/>
      <c r="M431" s="5" t="n"/>
      <c r="N431" s="5" t="n"/>
      <c r="O431" s="5" t="n">
        <v>987</v>
      </c>
      <c r="P431" s="5" t="n"/>
      <c r="Q431" s="5" t="n">
        <v>987</v>
      </c>
      <c r="R431" s="5" t="n"/>
      <c r="S431" s="5">
        <f>SUM(F431:I431)+N431</f>
        <v/>
      </c>
      <c r="T431" s="5">
        <f>J431</f>
        <v/>
      </c>
      <c r="U431" s="6">
        <f>YEAR(D431)</f>
        <v/>
      </c>
      <c r="V431" s="5">
        <f>TEXT(D431,"yyyy-mm")</f>
        <v/>
      </c>
    </row>
    <row r="432">
      <c r="A432" s="2" t="inlineStr">
        <is>
          <t>EJ010823.TXT</t>
        </is>
      </c>
      <c r="B432" s="3" t="inlineStr">
        <is>
          <t>004988</t>
        </is>
      </c>
      <c r="C432" s="3" t="inlineStr">
        <is>
          <t>003992</t>
        </is>
      </c>
      <c r="D432" s="4" t="n">
        <v>45126</v>
      </c>
      <c r="E432" s="2" t="inlineStr">
        <is>
          <t>13:53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  <c r="S432" s="5">
        <f>SUM(F432:I432)+N432</f>
        <v/>
      </c>
      <c r="T432" s="5">
        <f>J432</f>
        <v/>
      </c>
      <c r="U432" s="6">
        <f>YEAR(D432)</f>
        <v/>
      </c>
      <c r="V432" s="5">
        <f>TEXT(D432,"yyyy-mm")</f>
        <v/>
      </c>
    </row>
    <row r="433">
      <c r="A433" s="2" t="inlineStr">
        <is>
          <t>EJ010823.TXT</t>
        </is>
      </c>
      <c r="B433" s="3" t="inlineStr">
        <is>
          <t>004989</t>
        </is>
      </c>
      <c r="C433" s="3" t="inlineStr">
        <is>
          <t>003993</t>
        </is>
      </c>
      <c r="D433" s="4" t="n">
        <v>45128</v>
      </c>
      <c r="E433" s="2" t="inlineStr">
        <is>
          <t>15:09</t>
        </is>
      </c>
      <c r="F433" s="5" t="n">
        <v>825</v>
      </c>
      <c r="G433" s="5" t="n"/>
      <c r="H433" s="5" t="n"/>
      <c r="I433" s="5" t="n"/>
      <c r="J433" s="5" t="n">
        <v>165</v>
      </c>
      <c r="K433" s="5" t="n"/>
      <c r="L433" s="5" t="n"/>
      <c r="M433" s="5" t="n"/>
      <c r="N433" s="5" t="n"/>
      <c r="O433" s="5" t="n">
        <v>990</v>
      </c>
      <c r="P433" s="5" t="n"/>
      <c r="Q433" s="5" t="n">
        <v>990</v>
      </c>
      <c r="R433" s="5" t="n"/>
      <c r="S433" s="5">
        <f>SUM(F433:I433)+N433</f>
        <v/>
      </c>
      <c r="T433" s="5">
        <f>J433</f>
        <v/>
      </c>
      <c r="U433" s="6">
        <f>YEAR(D433)</f>
        <v/>
      </c>
      <c r="V433" s="5">
        <f>TEXT(D433,"yyyy-mm")</f>
        <v/>
      </c>
    </row>
    <row r="434">
      <c r="A434" s="2" t="inlineStr">
        <is>
          <t>EJ010823.TXT</t>
        </is>
      </c>
      <c r="B434" s="3" t="inlineStr">
        <is>
          <t>004990</t>
        </is>
      </c>
      <c r="C434" s="3" t="inlineStr">
        <is>
          <t>003994</t>
        </is>
      </c>
      <c r="D434" s="4" t="n">
        <v>45128</v>
      </c>
      <c r="E434" s="2" t="inlineStr">
        <is>
          <t>15:15</t>
        </is>
      </c>
      <c r="F434" s="5" t="n">
        <v>548.33</v>
      </c>
      <c r="G434" s="5" t="n"/>
      <c r="H434" s="5" t="n"/>
      <c r="I434" s="5" t="n"/>
      <c r="J434" s="5" t="n">
        <v>109.67</v>
      </c>
      <c r="K434" s="5" t="n"/>
      <c r="L434" s="5" t="n"/>
      <c r="M434" s="5" t="n"/>
      <c r="N434" s="5" t="n"/>
      <c r="O434" s="5" t="n">
        <v>658</v>
      </c>
      <c r="P434" s="5" t="n"/>
      <c r="Q434" s="5" t="n">
        <v>658</v>
      </c>
      <c r="R434" s="5" t="n"/>
      <c r="S434" s="5">
        <f>SUM(F434:I434)+N434</f>
        <v/>
      </c>
      <c r="T434" s="5">
        <f>J434</f>
        <v/>
      </c>
      <c r="U434" s="6">
        <f>YEAR(D434)</f>
        <v/>
      </c>
      <c r="V434" s="5">
        <f>TEXT(D434,"yyyy-mm")</f>
        <v/>
      </c>
    </row>
    <row r="435">
      <c r="A435" s="2" t="inlineStr">
        <is>
          <t>EJ010823.TXT</t>
        </is>
      </c>
      <c r="B435" s="3" t="inlineStr">
        <is>
          <t>004991</t>
        </is>
      </c>
      <c r="C435" s="3" t="inlineStr">
        <is>
          <t>003995</t>
        </is>
      </c>
      <c r="D435" s="4" t="n">
        <v>45131</v>
      </c>
      <c r="E435" s="2" t="inlineStr">
        <is>
          <t>09:30</t>
        </is>
      </c>
      <c r="F435" s="5" t="n">
        <v>548.33</v>
      </c>
      <c r="G435" s="5" t="n"/>
      <c r="H435" s="5" t="n"/>
      <c r="I435" s="5" t="n"/>
      <c r="J435" s="5" t="n">
        <v>109.67</v>
      </c>
      <c r="K435" s="5" t="n"/>
      <c r="L435" s="5" t="n"/>
      <c r="M435" s="5" t="n"/>
      <c r="N435" s="5" t="n"/>
      <c r="O435" s="5" t="n">
        <v>658</v>
      </c>
      <c r="P435" s="5" t="n"/>
      <c r="Q435" s="5" t="n">
        <v>658</v>
      </c>
      <c r="R435" s="5" t="n"/>
      <c r="S435" s="5">
        <f>SUM(F435:I435)+N435</f>
        <v/>
      </c>
      <c r="T435" s="5">
        <f>J435</f>
        <v/>
      </c>
      <c r="U435" s="6">
        <f>YEAR(D435)</f>
        <v/>
      </c>
      <c r="V435" s="5">
        <f>TEXT(D435,"yyyy-mm")</f>
        <v/>
      </c>
    </row>
    <row r="436">
      <c r="A436" s="2" t="inlineStr">
        <is>
          <t>EJ010823.TXT</t>
        </is>
      </c>
      <c r="B436" s="3" t="inlineStr">
        <is>
          <t>004992</t>
        </is>
      </c>
      <c r="C436" s="3" t="inlineStr">
        <is>
          <t>003996</t>
        </is>
      </c>
      <c r="D436" s="4" t="n">
        <v>45131</v>
      </c>
      <c r="E436" s="2" t="inlineStr">
        <is>
          <t>17:10</t>
        </is>
      </c>
      <c r="F436" s="5" t="n">
        <v>2261.67</v>
      </c>
      <c r="G436" s="5" t="n"/>
      <c r="H436" s="5" t="n"/>
      <c r="I436" s="5" t="n"/>
      <c r="J436" s="5" t="n">
        <v>452.33</v>
      </c>
      <c r="K436" s="5" t="n"/>
      <c r="L436" s="5" t="n"/>
      <c r="M436" s="5" t="n"/>
      <c r="N436" s="5" t="n"/>
      <c r="O436" s="5" t="n">
        <v>2714</v>
      </c>
      <c r="P436" s="5" t="n">
        <v>2714</v>
      </c>
      <c r="Q436" s="5" t="n"/>
      <c r="R436" s="5" t="n"/>
      <c r="S436" s="5">
        <f>SUM(F436:I436)+N436</f>
        <v/>
      </c>
      <c r="T436" s="5">
        <f>J436</f>
        <v/>
      </c>
      <c r="U436" s="6">
        <f>YEAR(D436)</f>
        <v/>
      </c>
      <c r="V436" s="5">
        <f>TEXT(D436,"yyyy-mm")</f>
        <v/>
      </c>
    </row>
    <row r="437">
      <c r="A437" s="2" t="inlineStr">
        <is>
          <t>EJ010823.TXT</t>
        </is>
      </c>
      <c r="B437" s="3" t="inlineStr">
        <is>
          <t>004993</t>
        </is>
      </c>
      <c r="C437" s="3" t="inlineStr">
        <is>
          <t>003997</t>
        </is>
      </c>
      <c r="D437" s="4" t="n">
        <v>45132</v>
      </c>
      <c r="E437" s="2" t="inlineStr">
        <is>
          <t>11:14</t>
        </is>
      </c>
      <c r="F437" s="5" t="n">
        <v>208.33</v>
      </c>
      <c r="G437" s="5" t="n"/>
      <c r="H437" s="5" t="n"/>
      <c r="I437" s="5" t="n"/>
      <c r="J437" s="5" t="n">
        <v>41.67</v>
      </c>
      <c r="K437" s="5" t="n"/>
      <c r="L437" s="5" t="n"/>
      <c r="M437" s="5" t="n"/>
      <c r="N437" s="5" t="n"/>
      <c r="O437" s="5" t="n">
        <v>250</v>
      </c>
      <c r="P437" s="5" t="n"/>
      <c r="Q437" s="5" t="n">
        <v>250</v>
      </c>
      <c r="R437" s="5" t="n"/>
      <c r="S437" s="5">
        <f>SUM(F437:I437)+N437</f>
        <v/>
      </c>
      <c r="T437" s="5">
        <f>J437</f>
        <v/>
      </c>
      <c r="U437" s="6">
        <f>YEAR(D437)</f>
        <v/>
      </c>
      <c r="V437" s="5">
        <f>TEXT(D437,"yyyy-mm")</f>
        <v/>
      </c>
    </row>
    <row r="438">
      <c r="A438" s="2" t="inlineStr">
        <is>
          <t>EJ010823.TXT</t>
        </is>
      </c>
      <c r="B438" s="3" t="inlineStr">
        <is>
          <t>004994</t>
        </is>
      </c>
      <c r="C438" s="3" t="inlineStr">
        <is>
          <t>003998</t>
        </is>
      </c>
      <c r="D438" s="4" t="n">
        <v>45132</v>
      </c>
      <c r="E438" s="2" t="inlineStr">
        <is>
          <t>15:16</t>
        </is>
      </c>
      <c r="F438" s="5" t="n">
        <v>208.33</v>
      </c>
      <c r="G438" s="5" t="n"/>
      <c r="H438" s="5" t="n"/>
      <c r="I438" s="5" t="n"/>
      <c r="J438" s="5" t="n">
        <v>41.67</v>
      </c>
      <c r="K438" s="5" t="n"/>
      <c r="L438" s="5" t="n"/>
      <c r="M438" s="5" t="n"/>
      <c r="N438" s="5" t="n"/>
      <c r="O438" s="5" t="n">
        <v>250</v>
      </c>
      <c r="P438" s="5" t="n"/>
      <c r="Q438" s="5" t="n">
        <v>250</v>
      </c>
      <c r="R438" s="5" t="n"/>
      <c r="S438" s="5">
        <f>SUM(F438:I438)+N438</f>
        <v/>
      </c>
      <c r="T438" s="5">
        <f>J438</f>
        <v/>
      </c>
      <c r="U438" s="6">
        <f>YEAR(D438)</f>
        <v/>
      </c>
      <c r="V438" s="5">
        <f>TEXT(D438,"yyyy-mm")</f>
        <v/>
      </c>
    </row>
    <row r="439">
      <c r="A439" s="2" t="inlineStr">
        <is>
          <t>EJ010823.TXT</t>
        </is>
      </c>
      <c r="B439" s="3" t="inlineStr">
        <is>
          <t>004995</t>
        </is>
      </c>
      <c r="C439" s="3" t="inlineStr">
        <is>
          <t>003999</t>
        </is>
      </c>
      <c r="D439" s="4" t="n">
        <v>45134</v>
      </c>
      <c r="E439" s="2" t="inlineStr">
        <is>
          <t>14:18</t>
        </is>
      </c>
      <c r="F439" s="5" t="n">
        <v>822.5</v>
      </c>
      <c r="G439" s="5" t="n"/>
      <c r="H439" s="5" t="n"/>
      <c r="I439" s="5" t="n"/>
      <c r="J439" s="5" t="n">
        <v>164.5</v>
      </c>
      <c r="K439" s="5" t="n"/>
      <c r="L439" s="5" t="n"/>
      <c r="M439" s="5" t="n"/>
      <c r="N439" s="5" t="n"/>
      <c r="O439" s="5" t="n">
        <v>987</v>
      </c>
      <c r="P439" s="5" t="n"/>
      <c r="Q439" s="5" t="n">
        <v>987</v>
      </c>
      <c r="R439" s="5" t="n"/>
      <c r="S439" s="5">
        <f>SUM(F439:I439)+N439</f>
        <v/>
      </c>
      <c r="T439" s="5">
        <f>J439</f>
        <v/>
      </c>
      <c r="U439" s="6">
        <f>YEAR(D439)</f>
        <v/>
      </c>
      <c r="V439" s="5">
        <f>TEXT(D439,"yyyy-mm")</f>
        <v/>
      </c>
    </row>
    <row r="440">
      <c r="A440" s="2" t="inlineStr">
        <is>
          <t>EJ010823.TXT</t>
        </is>
      </c>
      <c r="B440" s="3" t="inlineStr">
        <is>
          <t>004996</t>
        </is>
      </c>
      <c r="C440" s="3" t="inlineStr">
        <is>
          <t>004000</t>
        </is>
      </c>
      <c r="D440" s="4" t="n">
        <v>45134</v>
      </c>
      <c r="E440" s="2" t="inlineStr">
        <is>
          <t>14:20</t>
        </is>
      </c>
      <c r="F440" s="5" t="n">
        <v>797.5</v>
      </c>
      <c r="G440" s="5" t="n"/>
      <c r="H440" s="5" t="n"/>
      <c r="I440" s="5" t="n"/>
      <c r="J440" s="5" t="n">
        <v>159.5</v>
      </c>
      <c r="K440" s="5" t="n"/>
      <c r="L440" s="5" t="n"/>
      <c r="M440" s="5" t="n"/>
      <c r="N440" s="5" t="n"/>
      <c r="O440" s="5" t="n">
        <v>957</v>
      </c>
      <c r="P440" s="5" t="n"/>
      <c r="Q440" s="5" t="n">
        <v>957</v>
      </c>
      <c r="R440" s="5" t="n"/>
      <c r="S440" s="5">
        <f>SUM(F440:I440)+N440</f>
        <v/>
      </c>
      <c r="T440" s="5">
        <f>J440</f>
        <v/>
      </c>
      <c r="U440" s="6">
        <f>YEAR(D440)</f>
        <v/>
      </c>
      <c r="V440" s="5">
        <f>TEXT(D440,"yyyy-mm")</f>
        <v/>
      </c>
    </row>
    <row r="441">
      <c r="A441" s="2" t="inlineStr">
        <is>
          <t>EJ010823.TXT</t>
        </is>
      </c>
      <c r="B441" s="3" t="inlineStr">
        <is>
          <t>004997</t>
        </is>
      </c>
      <c r="C441" s="3" t="inlineStr">
        <is>
          <t>004001</t>
        </is>
      </c>
      <c r="D441" s="4" t="n">
        <v>45134</v>
      </c>
      <c r="E441" s="2" t="inlineStr">
        <is>
          <t>14:21</t>
        </is>
      </c>
      <c r="F441" s="5" t="n">
        <v>797.5</v>
      </c>
      <c r="G441" s="5" t="n"/>
      <c r="H441" s="5" t="n"/>
      <c r="I441" s="5" t="n"/>
      <c r="J441" s="5" t="n">
        <v>159.5</v>
      </c>
      <c r="K441" s="5" t="n"/>
      <c r="L441" s="5" t="n"/>
      <c r="M441" s="5" t="n"/>
      <c r="N441" s="5" t="n"/>
      <c r="O441" s="5" t="n">
        <v>957</v>
      </c>
      <c r="P441" s="5" t="n"/>
      <c r="Q441" s="5" t="n">
        <v>957</v>
      </c>
      <c r="R441" s="5" t="n"/>
      <c r="S441" s="5">
        <f>SUM(F441:I441)+N441</f>
        <v/>
      </c>
      <c r="T441" s="5">
        <f>J441</f>
        <v/>
      </c>
      <c r="U441" s="6">
        <f>YEAR(D441)</f>
        <v/>
      </c>
      <c r="V441" s="5">
        <f>TEXT(D441,"yyyy-mm")</f>
        <v/>
      </c>
    </row>
    <row r="442">
      <c r="A442" s="2" t="inlineStr">
        <is>
          <t>EJ010823.TXT</t>
        </is>
      </c>
      <c r="B442" s="3" t="inlineStr">
        <is>
          <t>004998</t>
        </is>
      </c>
      <c r="C442" s="3" t="inlineStr">
        <is>
          <t>004002</t>
        </is>
      </c>
      <c r="D442" s="4" t="n">
        <v>45134</v>
      </c>
      <c r="E442" s="2" t="inlineStr">
        <is>
          <t>15:42</t>
        </is>
      </c>
      <c r="F442" s="5" t="n">
        <v>1096.67</v>
      </c>
      <c r="G442" s="5" t="n"/>
      <c r="H442" s="5" t="n"/>
      <c r="I442" s="5" t="n"/>
      <c r="J442" s="5" t="n">
        <v>219.33</v>
      </c>
      <c r="K442" s="5" t="n"/>
      <c r="L442" s="5" t="n"/>
      <c r="M442" s="5" t="n"/>
      <c r="N442" s="5" t="n"/>
      <c r="O442" s="5" t="n">
        <v>1316</v>
      </c>
      <c r="P442" s="5" t="n">
        <v>1316</v>
      </c>
      <c r="Q442" s="5" t="n"/>
      <c r="R442" s="5" t="n"/>
      <c r="S442" s="5">
        <f>SUM(F442:I442)+N442</f>
        <v/>
      </c>
      <c r="T442" s="5">
        <f>J442</f>
        <v/>
      </c>
      <c r="U442" s="6">
        <f>YEAR(D442)</f>
        <v/>
      </c>
      <c r="V442" s="5">
        <f>TEXT(D442,"yyyy-mm")</f>
        <v/>
      </c>
    </row>
    <row r="443">
      <c r="A443" s="2" t="inlineStr">
        <is>
          <t>EJ010823.TXT</t>
        </is>
      </c>
      <c r="B443" s="3" t="inlineStr">
        <is>
          <t>004999</t>
        </is>
      </c>
      <c r="C443" s="3" t="inlineStr">
        <is>
          <t>004003</t>
        </is>
      </c>
      <c r="D443" s="4" t="n">
        <v>45136</v>
      </c>
      <c r="E443" s="2" t="inlineStr">
        <is>
          <t>11:01</t>
        </is>
      </c>
      <c r="F443" s="5" t="n">
        <v>649.17</v>
      </c>
      <c r="G443" s="5" t="n"/>
      <c r="H443" s="5" t="n"/>
      <c r="I443" s="5" t="n"/>
      <c r="J443" s="5" t="n">
        <v>129.83</v>
      </c>
      <c r="K443" s="5" t="n"/>
      <c r="L443" s="5" t="n"/>
      <c r="M443" s="5" t="n"/>
      <c r="N443" s="5" t="n"/>
      <c r="O443" s="5" t="n">
        <v>779</v>
      </c>
      <c r="P443" s="5" t="n"/>
      <c r="Q443" s="5" t="n">
        <v>779</v>
      </c>
      <c r="R443" s="5" t="n"/>
      <c r="S443" s="5">
        <f>SUM(F443:I443)+N443</f>
        <v/>
      </c>
      <c r="T443" s="5">
        <f>J443</f>
        <v/>
      </c>
      <c r="U443" s="6">
        <f>YEAR(D443)</f>
        <v/>
      </c>
      <c r="V443" s="5">
        <f>TEXT(D443,"yyyy-mm")</f>
        <v/>
      </c>
    </row>
    <row r="444">
      <c r="A444" s="2" t="inlineStr">
        <is>
          <t>EJ010823.TXT</t>
        </is>
      </c>
      <c r="B444" s="3" t="inlineStr">
        <is>
          <t>005000</t>
        </is>
      </c>
      <c r="C444" s="3" t="inlineStr">
        <is>
          <t>004004</t>
        </is>
      </c>
      <c r="D444" s="4" t="n">
        <v>45136</v>
      </c>
      <c r="E444" s="2" t="inlineStr">
        <is>
          <t>11:04</t>
        </is>
      </c>
      <c r="F444" s="5" t="n">
        <v>797.5</v>
      </c>
      <c r="G444" s="5" t="n"/>
      <c r="H444" s="5" t="n"/>
      <c r="I444" s="5" t="n"/>
      <c r="J444" s="5" t="n">
        <v>159.5</v>
      </c>
      <c r="K444" s="5" t="n"/>
      <c r="L444" s="5" t="n"/>
      <c r="M444" s="5" t="n"/>
      <c r="N444" s="5" t="n"/>
      <c r="O444" s="5" t="n">
        <v>957</v>
      </c>
      <c r="P444" s="5" t="n"/>
      <c r="Q444" s="5" t="n">
        <v>957</v>
      </c>
      <c r="R444" s="5" t="n"/>
      <c r="S444" s="5">
        <f>SUM(F444:I444)+N444</f>
        <v/>
      </c>
      <c r="T444" s="5">
        <f>J444</f>
        <v/>
      </c>
      <c r="U444" s="6">
        <f>YEAR(D444)</f>
        <v/>
      </c>
      <c r="V444" s="5">
        <f>TEXT(D444,"yyyy-mm")</f>
        <v/>
      </c>
    </row>
    <row r="445">
      <c r="A445" s="2" t="inlineStr">
        <is>
          <t>EJ010823.TXT</t>
        </is>
      </c>
      <c r="B445" s="3" t="inlineStr">
        <is>
          <t>005001</t>
        </is>
      </c>
      <c r="C445" s="3" t="inlineStr">
        <is>
          <t>004005</t>
        </is>
      </c>
      <c r="D445" s="4" t="n">
        <v>45136</v>
      </c>
      <c r="E445" s="2" t="inlineStr">
        <is>
          <t>11:05</t>
        </is>
      </c>
      <c r="F445" s="5" t="n">
        <v>797.5</v>
      </c>
      <c r="G445" s="5" t="n"/>
      <c r="H445" s="5" t="n"/>
      <c r="I445" s="5" t="n"/>
      <c r="J445" s="5" t="n">
        <v>159.5</v>
      </c>
      <c r="K445" s="5" t="n"/>
      <c r="L445" s="5" t="n"/>
      <c r="M445" s="5" t="n"/>
      <c r="N445" s="5" t="n"/>
      <c r="O445" s="5" t="n">
        <v>957</v>
      </c>
      <c r="P445" s="5" t="n"/>
      <c r="Q445" s="5" t="n">
        <v>957</v>
      </c>
      <c r="R445" s="5" t="n"/>
      <c r="S445" s="5">
        <f>SUM(F445:I445)+N445</f>
        <v/>
      </c>
      <c r="T445" s="5">
        <f>J445</f>
        <v/>
      </c>
      <c r="U445" s="6">
        <f>YEAR(D445)</f>
        <v/>
      </c>
      <c r="V445" s="5">
        <f>TEXT(D445,"yyyy-mm")</f>
        <v/>
      </c>
    </row>
    <row r="446">
      <c r="A446" s="2" t="inlineStr">
        <is>
          <t>EJ010823.TXT</t>
        </is>
      </c>
      <c r="B446" s="3" t="inlineStr">
        <is>
          <t>005002</t>
        </is>
      </c>
      <c r="C446" s="3" t="inlineStr">
        <is>
          <t>004006</t>
        </is>
      </c>
      <c r="D446" s="4" t="n">
        <v>45136</v>
      </c>
      <c r="E446" s="2" t="inlineStr">
        <is>
          <t>11:23</t>
        </is>
      </c>
      <c r="F446" s="5" t="n">
        <v>1096.67</v>
      </c>
      <c r="G446" s="5" t="n"/>
      <c r="H446" s="5" t="n"/>
      <c r="I446" s="5" t="n"/>
      <c r="J446" s="5" t="n">
        <v>219.33</v>
      </c>
      <c r="K446" s="5" t="n"/>
      <c r="L446" s="5" t="n"/>
      <c r="M446" s="5" t="n"/>
      <c r="N446" s="5" t="n"/>
      <c r="O446" s="5" t="n">
        <v>1316</v>
      </c>
      <c r="P446" s="5" t="n">
        <v>1316</v>
      </c>
      <c r="Q446" s="5" t="n"/>
      <c r="R446" s="5" t="n"/>
      <c r="S446" s="5">
        <f>SUM(F446:I446)+N446</f>
        <v/>
      </c>
      <c r="T446" s="5">
        <f>J446</f>
        <v/>
      </c>
      <c r="U446" s="6">
        <f>YEAR(D446)</f>
        <v/>
      </c>
      <c r="V446" s="5">
        <f>TEXT(D446,"yyyy-mm")</f>
        <v/>
      </c>
    </row>
    <row r="447">
      <c r="A447" s="2" t="inlineStr">
        <is>
          <t>EJ010823.TXT</t>
        </is>
      </c>
      <c r="B447" s="3" t="inlineStr">
        <is>
          <t>005003</t>
        </is>
      </c>
      <c r="C447" s="3" t="inlineStr">
        <is>
          <t>004007</t>
        </is>
      </c>
      <c r="D447" s="4" t="n">
        <v>45136</v>
      </c>
      <c r="E447" s="2" t="inlineStr">
        <is>
          <t>11:24</t>
        </is>
      </c>
      <c r="F447" s="5" t="n">
        <v>1096.67</v>
      </c>
      <c r="G447" s="5" t="n"/>
      <c r="H447" s="5" t="n"/>
      <c r="I447" s="5" t="n"/>
      <c r="J447" s="5" t="n">
        <v>219.33</v>
      </c>
      <c r="K447" s="5" t="n"/>
      <c r="L447" s="5" t="n"/>
      <c r="M447" s="5" t="n"/>
      <c r="N447" s="5" t="n"/>
      <c r="O447" s="5" t="n">
        <v>1316</v>
      </c>
      <c r="P447" s="5" t="n">
        <v>1316</v>
      </c>
      <c r="Q447" s="5" t="n"/>
      <c r="R447" s="5" t="n"/>
      <c r="S447" s="5">
        <f>SUM(F447:I447)+N447</f>
        <v/>
      </c>
      <c r="T447" s="5">
        <f>J447</f>
        <v/>
      </c>
      <c r="U447" s="6">
        <f>YEAR(D447)</f>
        <v/>
      </c>
      <c r="V447" s="5">
        <f>TEXT(D447,"yyyy-mm")</f>
        <v/>
      </c>
    </row>
    <row r="448">
      <c r="A448" s="2" t="inlineStr">
        <is>
          <t>EJ010823.TXT</t>
        </is>
      </c>
      <c r="B448" s="3" t="inlineStr">
        <is>
          <t>005004</t>
        </is>
      </c>
      <c r="C448" s="3" t="inlineStr">
        <is>
          <t>004008</t>
        </is>
      </c>
      <c r="D448" s="4" t="n">
        <v>45136</v>
      </c>
      <c r="E448" s="2" t="inlineStr">
        <is>
          <t>16:15</t>
        </is>
      </c>
      <c r="F448" s="5" t="n">
        <v>274.17</v>
      </c>
      <c r="G448" s="5" t="n"/>
      <c r="H448" s="5" t="n"/>
      <c r="I448" s="5" t="n"/>
      <c r="J448" s="5" t="n">
        <v>54.83</v>
      </c>
      <c r="K448" s="5" t="n"/>
      <c r="L448" s="5" t="n"/>
      <c r="M448" s="5" t="n"/>
      <c r="N448" s="5" t="n"/>
      <c r="O448" s="5" t="n">
        <v>329</v>
      </c>
      <c r="P448" s="5" t="n">
        <v>329</v>
      </c>
      <c r="Q448" s="5" t="n"/>
      <c r="R448" s="5" t="n"/>
      <c r="S448" s="5">
        <f>SUM(F448:I448)+N448</f>
        <v/>
      </c>
      <c r="T448" s="5">
        <f>J448</f>
        <v/>
      </c>
      <c r="U448" s="6">
        <f>YEAR(D448)</f>
        <v/>
      </c>
      <c r="V448" s="5">
        <f>TEXT(D448,"yyyy-mm")</f>
        <v/>
      </c>
    </row>
    <row r="449">
      <c r="A449" s="2" t="inlineStr">
        <is>
          <t>EJ010823.TXT</t>
        </is>
      </c>
      <c r="B449" s="3" t="inlineStr">
        <is>
          <t>005005</t>
        </is>
      </c>
      <c r="C449" s="3" t="inlineStr">
        <is>
          <t>004009</t>
        </is>
      </c>
      <c r="D449" s="4" t="n">
        <v>45136</v>
      </c>
      <c r="E449" s="2" t="inlineStr">
        <is>
          <t>17:17</t>
        </is>
      </c>
      <c r="F449" s="5" t="n">
        <v>274.17</v>
      </c>
      <c r="G449" s="5" t="n"/>
      <c r="H449" s="5" t="n"/>
      <c r="I449" s="5" t="n"/>
      <c r="J449" s="5" t="n">
        <v>54.83</v>
      </c>
      <c r="K449" s="5" t="n"/>
      <c r="L449" s="5" t="n"/>
      <c r="M449" s="5" t="n"/>
      <c r="N449" s="5" t="n"/>
      <c r="O449" s="5" t="n">
        <v>329</v>
      </c>
      <c r="P449" s="5" t="n"/>
      <c r="Q449" s="5" t="n">
        <v>329</v>
      </c>
      <c r="R449" s="5" t="n"/>
      <c r="S449" s="5">
        <f>SUM(F449:I449)+N449</f>
        <v/>
      </c>
      <c r="T449" s="5">
        <f>J449</f>
        <v/>
      </c>
      <c r="U449" s="6">
        <f>YEAR(D449)</f>
        <v/>
      </c>
      <c r="V449" s="5">
        <f>TEXT(D449,"yyyy-mm")</f>
        <v/>
      </c>
    </row>
    <row r="450">
      <c r="A450" s="2" t="inlineStr">
        <is>
          <t>EJ010823.TXT</t>
        </is>
      </c>
      <c r="B450" s="3" t="inlineStr">
        <is>
          <t>005006</t>
        </is>
      </c>
      <c r="C450" s="3" t="inlineStr">
        <is>
          <t>004010</t>
        </is>
      </c>
      <c r="D450" s="4" t="n">
        <v>45138</v>
      </c>
      <c r="E450" s="2" t="inlineStr">
        <is>
          <t>15:27</t>
        </is>
      </c>
      <c r="F450" s="5" t="n">
        <v>381.67</v>
      </c>
      <c r="G450" s="5" t="n"/>
      <c r="H450" s="5" t="n"/>
      <c r="I450" s="5" t="n"/>
      <c r="J450" s="5" t="n">
        <v>76.33</v>
      </c>
      <c r="K450" s="5" t="n"/>
      <c r="L450" s="5" t="n"/>
      <c r="M450" s="5" t="n"/>
      <c r="N450" s="5" t="n"/>
      <c r="O450" s="5" t="n">
        <v>458</v>
      </c>
      <c r="P450" s="5" t="n"/>
      <c r="Q450" s="5" t="n">
        <v>458</v>
      </c>
      <c r="R450" s="5" t="n"/>
      <c r="S450" s="5">
        <f>SUM(F450:I450)+N450</f>
        <v/>
      </c>
      <c r="T450" s="5">
        <f>J450</f>
        <v/>
      </c>
      <c r="U450" s="6">
        <f>YEAR(D450)</f>
        <v/>
      </c>
      <c r="V450" s="5">
        <f>TEXT(D450,"yyyy-mm")</f>
        <v/>
      </c>
    </row>
    <row r="451">
      <c r="A451" s="2" t="inlineStr">
        <is>
          <t>EJ010823.TXT</t>
        </is>
      </c>
      <c r="B451" s="3" t="inlineStr">
        <is>
          <t>005007</t>
        </is>
      </c>
      <c r="C451" s="3" t="inlineStr">
        <is>
          <t>004011</t>
        </is>
      </c>
      <c r="D451" s="4" t="n">
        <v>45138</v>
      </c>
      <c r="E451" s="2" t="inlineStr">
        <is>
          <t>15:28</t>
        </is>
      </c>
      <c r="F451" s="5" t="n">
        <v>381.67</v>
      </c>
      <c r="G451" s="5" t="n"/>
      <c r="H451" s="5" t="n"/>
      <c r="I451" s="5" t="n"/>
      <c r="J451" s="5" t="n">
        <v>76.33</v>
      </c>
      <c r="K451" s="5" t="n"/>
      <c r="L451" s="5" t="n"/>
      <c r="M451" s="5" t="n"/>
      <c r="N451" s="5" t="n"/>
      <c r="O451" s="5" t="n">
        <v>458</v>
      </c>
      <c r="P451" s="5" t="n"/>
      <c r="Q451" s="5" t="n">
        <v>458</v>
      </c>
      <c r="R451" s="5" t="n"/>
      <c r="S451" s="5">
        <f>SUM(F451:I451)+N451</f>
        <v/>
      </c>
      <c r="T451" s="5">
        <f>J451</f>
        <v/>
      </c>
      <c r="U451" s="6">
        <f>YEAR(D451)</f>
        <v/>
      </c>
      <c r="V451" s="5">
        <f>TEXT(D451,"yyyy-mm")</f>
        <v/>
      </c>
    </row>
    <row r="452">
      <c r="A452" s="2" t="inlineStr">
        <is>
          <t>EJ010923.TXT</t>
        </is>
      </c>
      <c r="B452" s="3" t="inlineStr">
        <is>
          <t>005015</t>
        </is>
      </c>
      <c r="C452" s="3" t="inlineStr">
        <is>
          <t>004012</t>
        </is>
      </c>
      <c r="D452" s="4" t="n">
        <v>45140</v>
      </c>
      <c r="E452" s="2" t="inlineStr">
        <is>
          <t>13:41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/>
      <c r="Q452" s="5" t="n">
        <v>658</v>
      </c>
      <c r="R452" s="5" t="n"/>
      <c r="S452" s="5">
        <f>SUM(F452:I452)+N452</f>
        <v/>
      </c>
      <c r="T452" s="5">
        <f>J452</f>
        <v/>
      </c>
      <c r="U452" s="6">
        <f>YEAR(D452)</f>
        <v/>
      </c>
      <c r="V452" s="5">
        <f>TEXT(D452,"yyyy-mm")</f>
        <v/>
      </c>
    </row>
    <row r="453">
      <c r="A453" s="2" t="inlineStr">
        <is>
          <t>EJ010923.TXT</t>
        </is>
      </c>
      <c r="B453" s="3" t="inlineStr">
        <is>
          <t>005016</t>
        </is>
      </c>
      <c r="C453" s="3" t="inlineStr">
        <is>
          <t>004013</t>
        </is>
      </c>
      <c r="D453" s="4" t="n">
        <v>45142</v>
      </c>
      <c r="E453" s="2" t="inlineStr">
        <is>
          <t>16:38</t>
        </is>
      </c>
      <c r="F453" s="5" t="n">
        <v>740</v>
      </c>
      <c r="G453" s="5" t="n"/>
      <c r="H453" s="5" t="n"/>
      <c r="I453" s="5" t="n"/>
      <c r="J453" s="5" t="n">
        <v>148</v>
      </c>
      <c r="K453" s="5" t="n"/>
      <c r="L453" s="5" t="n"/>
      <c r="M453" s="5" t="n"/>
      <c r="N453" s="5" t="n"/>
      <c r="O453" s="5" t="n">
        <v>888</v>
      </c>
      <c r="P453" s="5" t="n"/>
      <c r="Q453" s="5" t="n">
        <v>888</v>
      </c>
      <c r="R453" s="5" t="n"/>
      <c r="S453" s="5">
        <f>SUM(F453:I453)+N453</f>
        <v/>
      </c>
      <c r="T453" s="5">
        <f>J453</f>
        <v/>
      </c>
      <c r="U453" s="6">
        <f>YEAR(D453)</f>
        <v/>
      </c>
      <c r="V453" s="5">
        <f>TEXT(D453,"yyyy-mm")</f>
        <v/>
      </c>
    </row>
    <row r="454">
      <c r="A454" s="2" t="inlineStr">
        <is>
          <t>EJ010923.TXT</t>
        </is>
      </c>
      <c r="B454" s="3" t="inlineStr">
        <is>
          <t>005017</t>
        </is>
      </c>
      <c r="C454" s="3" t="inlineStr">
        <is>
          <t>004014</t>
        </is>
      </c>
      <c r="D454" s="4" t="n">
        <v>45142</v>
      </c>
      <c r="E454" s="2" t="inlineStr">
        <is>
          <t>16:38</t>
        </is>
      </c>
      <c r="F454" s="5" t="n">
        <v>816.67</v>
      </c>
      <c r="G454" s="5" t="n"/>
      <c r="H454" s="5" t="n"/>
      <c r="I454" s="5" t="n"/>
      <c r="J454" s="5" t="n">
        <v>163.33</v>
      </c>
      <c r="K454" s="5" t="n"/>
      <c r="L454" s="5" t="n"/>
      <c r="M454" s="5" t="n"/>
      <c r="N454" s="5" t="n"/>
      <c r="O454" s="5" t="n">
        <v>980</v>
      </c>
      <c r="P454" s="5" t="n"/>
      <c r="Q454" s="5" t="n">
        <v>980</v>
      </c>
      <c r="R454" s="5" t="n"/>
      <c r="S454" s="5">
        <f>SUM(F454:I454)+N454</f>
        <v/>
      </c>
      <c r="T454" s="5">
        <f>J454</f>
        <v/>
      </c>
      <c r="U454" s="6">
        <f>YEAR(D454)</f>
        <v/>
      </c>
      <c r="V454" s="5">
        <f>TEXT(D454,"yyyy-mm")</f>
        <v/>
      </c>
    </row>
    <row r="455">
      <c r="A455" s="2" t="inlineStr">
        <is>
          <t>EJ010923.TXT</t>
        </is>
      </c>
      <c r="B455" s="3" t="inlineStr">
        <is>
          <t>005018</t>
        </is>
      </c>
      <c r="C455" s="3" t="inlineStr">
        <is>
          <t>004015</t>
        </is>
      </c>
      <c r="D455" s="4" t="n">
        <v>45142</v>
      </c>
      <c r="E455" s="2" t="inlineStr">
        <is>
          <t>16:38</t>
        </is>
      </c>
      <c r="F455" s="5" t="n">
        <v>574.17</v>
      </c>
      <c r="G455" s="5" t="n"/>
      <c r="H455" s="5" t="n"/>
      <c r="I455" s="5" t="n"/>
      <c r="J455" s="5" t="n">
        <v>114.83</v>
      </c>
      <c r="K455" s="5" t="n"/>
      <c r="L455" s="5" t="n"/>
      <c r="M455" s="5" t="n"/>
      <c r="N455" s="5" t="n"/>
      <c r="O455" s="5" t="n">
        <v>689</v>
      </c>
      <c r="P455" s="5" t="n"/>
      <c r="Q455" s="5" t="n">
        <v>689</v>
      </c>
      <c r="R455" s="5" t="n"/>
      <c r="S455" s="5">
        <f>SUM(F455:I455)+N455</f>
        <v/>
      </c>
      <c r="T455" s="5">
        <f>J455</f>
        <v/>
      </c>
      <c r="U455" s="6">
        <f>YEAR(D455)</f>
        <v/>
      </c>
      <c r="V455" s="5">
        <f>TEXT(D455,"yyyy-mm")</f>
        <v/>
      </c>
    </row>
    <row r="456">
      <c r="A456" s="2" t="inlineStr">
        <is>
          <t>EJ010923.TXT</t>
        </is>
      </c>
      <c r="B456" s="3" t="inlineStr">
        <is>
          <t>005019</t>
        </is>
      </c>
      <c r="C456" s="3" t="inlineStr">
        <is>
          <t>004016</t>
        </is>
      </c>
      <c r="D456" s="4" t="n">
        <v>45143</v>
      </c>
      <c r="E456" s="2" t="inlineStr">
        <is>
          <t>15:09</t>
        </is>
      </c>
      <c r="F456" s="5" t="n">
        <v>208.33</v>
      </c>
      <c r="G456" s="5" t="n"/>
      <c r="H456" s="5" t="n"/>
      <c r="I456" s="5" t="n"/>
      <c r="J456" s="5" t="n">
        <v>41.67</v>
      </c>
      <c r="K456" s="5" t="n"/>
      <c r="L456" s="5" t="n"/>
      <c r="M456" s="5" t="n"/>
      <c r="N456" s="5" t="n"/>
      <c r="O456" s="5" t="n">
        <v>250</v>
      </c>
      <c r="P456" s="5" t="n"/>
      <c r="Q456" s="5" t="n">
        <v>250</v>
      </c>
      <c r="R456" s="5" t="n"/>
      <c r="S456" s="5">
        <f>SUM(F456:I456)+N456</f>
        <v/>
      </c>
      <c r="T456" s="5">
        <f>J456</f>
        <v/>
      </c>
      <c r="U456" s="6">
        <f>YEAR(D456)</f>
        <v/>
      </c>
      <c r="V456" s="5">
        <f>TEXT(D456,"yyyy-mm")</f>
        <v/>
      </c>
    </row>
    <row r="457">
      <c r="A457" s="2" t="inlineStr">
        <is>
          <t>EJ010923.TXT</t>
        </is>
      </c>
      <c r="B457" s="3" t="inlineStr">
        <is>
          <t>005020</t>
        </is>
      </c>
      <c r="C457" s="3" t="inlineStr">
        <is>
          <t>004017</t>
        </is>
      </c>
      <c r="D457" s="4" t="n">
        <v>45143</v>
      </c>
      <c r="E457" s="2" t="inlineStr">
        <is>
          <t>16:10</t>
        </is>
      </c>
      <c r="F457" s="5" t="n">
        <v>548.33</v>
      </c>
      <c r="G457" s="5" t="n"/>
      <c r="H457" s="5" t="n"/>
      <c r="I457" s="5" t="n"/>
      <c r="J457" s="5" t="n">
        <v>109.67</v>
      </c>
      <c r="K457" s="5" t="n"/>
      <c r="L457" s="5" t="n"/>
      <c r="M457" s="5" t="n"/>
      <c r="N457" s="5" t="n"/>
      <c r="O457" s="5" t="n">
        <v>658</v>
      </c>
      <c r="P457" s="5" t="n"/>
      <c r="Q457" s="5" t="n">
        <v>658</v>
      </c>
      <c r="R457" s="5" t="n"/>
      <c r="S457" s="5">
        <f>SUM(F457:I457)+N457</f>
        <v/>
      </c>
      <c r="T457" s="5">
        <f>J457</f>
        <v/>
      </c>
      <c r="U457" s="6">
        <f>YEAR(D457)</f>
        <v/>
      </c>
      <c r="V457" s="5">
        <f>TEXT(D457,"yyyy-mm")</f>
        <v/>
      </c>
    </row>
    <row r="458">
      <c r="A458" s="2" t="inlineStr">
        <is>
          <t>EJ010923.TXT</t>
        </is>
      </c>
      <c r="B458" s="3" t="inlineStr">
        <is>
          <t>005021</t>
        </is>
      </c>
      <c r="C458" s="3" t="inlineStr">
        <is>
          <t>004018</t>
        </is>
      </c>
      <c r="D458" s="4" t="n">
        <v>45146</v>
      </c>
      <c r="E458" s="2" t="inlineStr">
        <is>
          <t>13:43</t>
        </is>
      </c>
      <c r="F458" s="5" t="n">
        <v>548.33</v>
      </c>
      <c r="G458" s="5" t="n"/>
      <c r="H458" s="5" t="n"/>
      <c r="I458" s="5" t="n"/>
      <c r="J458" s="5" t="n">
        <v>109.67</v>
      </c>
      <c r="K458" s="5" t="n"/>
      <c r="L458" s="5" t="n"/>
      <c r="M458" s="5" t="n"/>
      <c r="N458" s="5" t="n"/>
      <c r="O458" s="5" t="n">
        <v>658</v>
      </c>
      <c r="P458" s="5" t="n"/>
      <c r="Q458" s="5" t="n">
        <v>658</v>
      </c>
      <c r="R458" s="5" t="n"/>
      <c r="S458" s="5">
        <f>SUM(F458:I458)+N458</f>
        <v/>
      </c>
      <c r="T458" s="5">
        <f>J458</f>
        <v/>
      </c>
      <c r="U458" s="6">
        <f>YEAR(D458)</f>
        <v/>
      </c>
      <c r="V458" s="5">
        <f>TEXT(D458,"yyyy-mm")</f>
        <v/>
      </c>
    </row>
    <row r="459">
      <c r="A459" s="2" t="inlineStr">
        <is>
          <t>EJ010923.TXT</t>
        </is>
      </c>
      <c r="B459" s="3" t="inlineStr">
        <is>
          <t>005022</t>
        </is>
      </c>
      <c r="C459" s="3" t="inlineStr">
        <is>
          <t>004019</t>
        </is>
      </c>
      <c r="D459" s="4" t="n">
        <v>45147</v>
      </c>
      <c r="E459" s="2" t="inlineStr">
        <is>
          <t>10:47</t>
        </is>
      </c>
      <c r="F459" s="5" t="n">
        <v>208.33</v>
      </c>
      <c r="G459" s="5" t="n"/>
      <c r="H459" s="5" t="n"/>
      <c r="I459" s="5" t="n"/>
      <c r="J459" s="5" t="n">
        <v>41.67</v>
      </c>
      <c r="K459" s="5" t="n"/>
      <c r="L459" s="5" t="n"/>
      <c r="M459" s="5" t="n"/>
      <c r="N459" s="5" t="n"/>
      <c r="O459" s="5" t="n">
        <v>250</v>
      </c>
      <c r="P459" s="5" t="n"/>
      <c r="Q459" s="5" t="n">
        <v>250</v>
      </c>
      <c r="R459" s="5" t="n"/>
      <c r="S459" s="5">
        <f>SUM(F459:I459)+N459</f>
        <v/>
      </c>
      <c r="T459" s="5">
        <f>J459</f>
        <v/>
      </c>
      <c r="U459" s="6">
        <f>YEAR(D459)</f>
        <v/>
      </c>
      <c r="V459" s="5">
        <f>TEXT(D459,"yyyy-mm")</f>
        <v/>
      </c>
    </row>
    <row r="460">
      <c r="A460" s="2" t="inlineStr">
        <is>
          <t>EJ010923.TXT</t>
        </is>
      </c>
      <c r="B460" s="3" t="inlineStr">
        <is>
          <t>005023</t>
        </is>
      </c>
      <c r="C460" s="3" t="inlineStr">
        <is>
          <t>004020</t>
        </is>
      </c>
      <c r="D460" s="4" t="n">
        <v>45148</v>
      </c>
      <c r="E460" s="2" t="inlineStr">
        <is>
          <t>12:05</t>
        </is>
      </c>
      <c r="F460" s="5" t="n">
        <v>822.5</v>
      </c>
      <c r="G460" s="5" t="n"/>
      <c r="H460" s="5" t="n"/>
      <c r="I460" s="5" t="n"/>
      <c r="J460" s="5" t="n">
        <v>164.5</v>
      </c>
      <c r="K460" s="5" t="n"/>
      <c r="L460" s="5" t="n"/>
      <c r="M460" s="5" t="n"/>
      <c r="N460" s="5" t="n"/>
      <c r="O460" s="5" t="n">
        <v>987</v>
      </c>
      <c r="P460" s="5" t="n"/>
      <c r="Q460" s="5" t="n">
        <v>987</v>
      </c>
      <c r="R460" s="5" t="n"/>
      <c r="S460" s="5">
        <f>SUM(F460:I460)+N460</f>
        <v/>
      </c>
      <c r="T460" s="5">
        <f>J460</f>
        <v/>
      </c>
      <c r="U460" s="6">
        <f>YEAR(D460)</f>
        <v/>
      </c>
      <c r="V460" s="5">
        <f>TEXT(D460,"yyyy-mm")</f>
        <v/>
      </c>
    </row>
    <row r="461">
      <c r="A461" s="2" t="inlineStr">
        <is>
          <t>EJ010923.TXT</t>
        </is>
      </c>
      <c r="B461" s="3" t="inlineStr">
        <is>
          <t>005024</t>
        </is>
      </c>
      <c r="C461" s="3" t="inlineStr">
        <is>
          <t>004021</t>
        </is>
      </c>
      <c r="D461" s="4" t="n">
        <v>45148</v>
      </c>
      <c r="E461" s="2" t="inlineStr">
        <is>
          <t>12:05</t>
        </is>
      </c>
      <c r="F461" s="5" t="n">
        <v>822.5</v>
      </c>
      <c r="G461" s="5" t="n"/>
      <c r="H461" s="5" t="n"/>
      <c r="I461" s="5" t="n"/>
      <c r="J461" s="5" t="n">
        <v>164.5</v>
      </c>
      <c r="K461" s="5" t="n"/>
      <c r="L461" s="5" t="n"/>
      <c r="M461" s="5" t="n"/>
      <c r="N461" s="5" t="n"/>
      <c r="O461" s="5" t="n">
        <v>987</v>
      </c>
      <c r="P461" s="5" t="n"/>
      <c r="Q461" s="5" t="n">
        <v>987</v>
      </c>
      <c r="R461" s="5" t="n"/>
      <c r="S461" s="5">
        <f>SUM(F461:I461)+N461</f>
        <v/>
      </c>
      <c r="T461" s="5">
        <f>J461</f>
        <v/>
      </c>
      <c r="U461" s="6">
        <f>YEAR(D461)</f>
        <v/>
      </c>
      <c r="V461" s="5">
        <f>TEXT(D461,"yyyy-mm")</f>
        <v/>
      </c>
    </row>
    <row r="462">
      <c r="A462" s="2" t="inlineStr">
        <is>
          <t>EJ010923.TXT</t>
        </is>
      </c>
      <c r="B462" s="3" t="inlineStr">
        <is>
          <t>005025</t>
        </is>
      </c>
      <c r="C462" s="3" t="inlineStr">
        <is>
          <t>004022</t>
        </is>
      </c>
      <c r="D462" s="4" t="n">
        <v>45150</v>
      </c>
      <c r="E462" s="2" t="inlineStr">
        <is>
          <t>16:34</t>
        </is>
      </c>
      <c r="F462" s="5" t="n">
        <v>548.33</v>
      </c>
      <c r="G462" s="5" t="n"/>
      <c r="H462" s="5" t="n"/>
      <c r="I462" s="5" t="n"/>
      <c r="J462" s="5" t="n">
        <v>109.67</v>
      </c>
      <c r="K462" s="5" t="n"/>
      <c r="L462" s="5" t="n"/>
      <c r="M462" s="5" t="n"/>
      <c r="N462" s="5" t="n"/>
      <c r="O462" s="5" t="n">
        <v>658</v>
      </c>
      <c r="P462" s="5" t="n">
        <v>658</v>
      </c>
      <c r="Q462" s="5" t="n"/>
      <c r="R462" s="5" t="n"/>
      <c r="S462" s="5">
        <f>SUM(F462:I462)+N462</f>
        <v/>
      </c>
      <c r="T462" s="5">
        <f>J462</f>
        <v/>
      </c>
      <c r="U462" s="6">
        <f>YEAR(D462)</f>
        <v/>
      </c>
      <c r="V462" s="5">
        <f>TEXT(D462,"yyyy-mm")</f>
        <v/>
      </c>
    </row>
    <row r="463">
      <c r="A463" s="2" t="inlineStr">
        <is>
          <t>EJ010923.TXT</t>
        </is>
      </c>
      <c r="B463" s="3" t="inlineStr">
        <is>
          <t>005026</t>
        </is>
      </c>
      <c r="C463" s="3" t="inlineStr">
        <is>
          <t>004023</t>
        </is>
      </c>
      <c r="D463" s="4" t="n">
        <v>45152</v>
      </c>
      <c r="E463" s="2" t="inlineStr">
        <is>
          <t>15:37</t>
        </is>
      </c>
      <c r="F463" s="5" t="n">
        <v>274.17</v>
      </c>
      <c r="G463" s="5" t="n"/>
      <c r="H463" s="5" t="n"/>
      <c r="I463" s="5" t="n"/>
      <c r="J463" s="5" t="n">
        <v>54.83</v>
      </c>
      <c r="K463" s="5" t="n"/>
      <c r="L463" s="5" t="n"/>
      <c r="M463" s="5" t="n"/>
      <c r="N463" s="5" t="n"/>
      <c r="O463" s="5" t="n">
        <v>329</v>
      </c>
      <c r="P463" s="5" t="n"/>
      <c r="Q463" s="5" t="n">
        <v>329</v>
      </c>
      <c r="R463" s="5" t="n"/>
      <c r="S463" s="5">
        <f>SUM(F463:I463)+N463</f>
        <v/>
      </c>
      <c r="T463" s="5">
        <f>J463</f>
        <v/>
      </c>
      <c r="U463" s="6">
        <f>YEAR(D463)</f>
        <v/>
      </c>
      <c r="V463" s="5">
        <f>TEXT(D463,"yyyy-mm")</f>
        <v/>
      </c>
    </row>
    <row r="464">
      <c r="A464" s="2" t="inlineStr">
        <is>
          <t>EJ010923.TXT</t>
        </is>
      </c>
      <c r="B464" s="3" t="inlineStr">
        <is>
          <t>005027</t>
        </is>
      </c>
      <c r="C464" s="3" t="inlineStr">
        <is>
          <t>004024</t>
        </is>
      </c>
      <c r="D464" s="4" t="n">
        <v>45154</v>
      </c>
      <c r="E464" s="2" t="inlineStr">
        <is>
          <t>11:32</t>
        </is>
      </c>
      <c r="F464" s="5" t="n">
        <v>148.33</v>
      </c>
      <c r="G464" s="5" t="n"/>
      <c r="H464" s="5" t="n"/>
      <c r="I464" s="5" t="n"/>
      <c r="J464" s="5" t="n">
        <v>29.67</v>
      </c>
      <c r="K464" s="5" t="n"/>
      <c r="L464" s="5" t="n"/>
      <c r="M464" s="5" t="n"/>
      <c r="N464" s="5" t="n"/>
      <c r="O464" s="5" t="n">
        <v>178</v>
      </c>
      <c r="P464" s="5" t="n">
        <v>178</v>
      </c>
      <c r="Q464" s="5" t="n"/>
      <c r="R464" s="5" t="n"/>
      <c r="S464" s="5">
        <f>SUM(F464:I464)+N464</f>
        <v/>
      </c>
      <c r="T464" s="5">
        <f>J464</f>
        <v/>
      </c>
      <c r="U464" s="6">
        <f>YEAR(D464)</f>
        <v/>
      </c>
      <c r="V464" s="5">
        <f>TEXT(D464,"yyyy-mm")</f>
        <v/>
      </c>
    </row>
    <row r="465">
      <c r="A465" s="2" t="inlineStr">
        <is>
          <t>EJ010923.TXT</t>
        </is>
      </c>
      <c r="B465" s="3" t="inlineStr">
        <is>
          <t>005028</t>
        </is>
      </c>
      <c r="C465" s="3" t="inlineStr">
        <is>
          <t>004025</t>
        </is>
      </c>
      <c r="D465" s="4" t="n">
        <v>45154</v>
      </c>
      <c r="E465" s="2" t="inlineStr">
        <is>
          <t>17:21</t>
        </is>
      </c>
      <c r="F465" s="5" t="n">
        <v>156.67</v>
      </c>
      <c r="G465" s="5" t="n"/>
      <c r="H465" s="5" t="n"/>
      <c r="I465" s="5" t="n"/>
      <c r="J465" s="5" t="n">
        <v>31.33</v>
      </c>
      <c r="K465" s="5" t="n"/>
      <c r="L465" s="5" t="n"/>
      <c r="M465" s="5" t="n"/>
      <c r="N465" s="5" t="n"/>
      <c r="O465" s="5" t="n">
        <v>188</v>
      </c>
      <c r="P465" s="5" t="n"/>
      <c r="Q465" s="5" t="n">
        <v>188</v>
      </c>
      <c r="R465" s="5" t="n"/>
      <c r="S465" s="5">
        <f>SUM(F465:I465)+N465</f>
        <v/>
      </c>
      <c r="T465" s="5">
        <f>J465</f>
        <v/>
      </c>
      <c r="U465" s="6">
        <f>YEAR(D465)</f>
        <v/>
      </c>
      <c r="V465" s="5">
        <f>TEXT(D465,"yyyy-mm")</f>
        <v/>
      </c>
    </row>
    <row r="466">
      <c r="A466" s="2" t="inlineStr">
        <is>
          <t>EJ010923.TXT</t>
        </is>
      </c>
      <c r="B466" s="3" t="inlineStr">
        <is>
          <t>005029</t>
        </is>
      </c>
      <c r="C466" s="3" t="inlineStr">
        <is>
          <t>004026</t>
        </is>
      </c>
      <c r="D466" s="4" t="n">
        <v>45156</v>
      </c>
      <c r="E466" s="2" t="inlineStr">
        <is>
          <t>14:19</t>
        </is>
      </c>
      <c r="F466" s="5" t="n">
        <v>274.17</v>
      </c>
      <c r="G466" s="5" t="n"/>
      <c r="H466" s="5" t="n"/>
      <c r="I466" s="5" t="n"/>
      <c r="J466" s="5" t="n">
        <v>54.83</v>
      </c>
      <c r="K466" s="5" t="n"/>
      <c r="L466" s="5" t="n"/>
      <c r="M466" s="5" t="n"/>
      <c r="N466" s="5" t="n"/>
      <c r="O466" s="5" t="n">
        <v>329</v>
      </c>
      <c r="P466" s="5" t="n">
        <v>329</v>
      </c>
      <c r="Q466" s="5" t="n"/>
      <c r="R466" s="5" t="n"/>
      <c r="S466" s="5">
        <f>SUM(F466:I466)+N466</f>
        <v/>
      </c>
      <c r="T466" s="5">
        <f>J466</f>
        <v/>
      </c>
      <c r="U466" s="6">
        <f>YEAR(D466)</f>
        <v/>
      </c>
      <c r="V466" s="5">
        <f>TEXT(D466,"yyyy-mm")</f>
        <v/>
      </c>
    </row>
    <row r="467">
      <c r="A467" s="2" t="inlineStr">
        <is>
          <t>EJ010923.TXT</t>
        </is>
      </c>
      <c r="B467" s="3" t="inlineStr">
        <is>
          <t>005030</t>
        </is>
      </c>
      <c r="C467" s="3" t="inlineStr">
        <is>
          <t>004027</t>
        </is>
      </c>
      <c r="D467" s="4" t="n">
        <v>45159</v>
      </c>
      <c r="E467" s="2" t="inlineStr">
        <is>
          <t>10:03</t>
        </is>
      </c>
      <c r="F467" s="5" t="n">
        <v>1645</v>
      </c>
      <c r="G467" s="5" t="n"/>
      <c r="H467" s="5" t="n"/>
      <c r="I467" s="5" t="n"/>
      <c r="J467" s="5" t="n">
        <v>329</v>
      </c>
      <c r="K467" s="5" t="n"/>
      <c r="L467" s="5" t="n"/>
      <c r="M467" s="5" t="n"/>
      <c r="N467" s="5" t="n"/>
      <c r="O467" s="5" t="n">
        <v>1974</v>
      </c>
      <c r="P467" s="5" t="n">
        <v>1974</v>
      </c>
      <c r="Q467" s="5" t="n"/>
      <c r="R467" s="5" t="n"/>
      <c r="S467" s="5">
        <f>SUM(F467:I467)+N467</f>
        <v/>
      </c>
      <c r="T467" s="5">
        <f>J467</f>
        <v/>
      </c>
      <c r="U467" s="6">
        <f>YEAR(D467)</f>
        <v/>
      </c>
      <c r="V467" s="5">
        <f>TEXT(D467,"yyyy-mm")</f>
        <v/>
      </c>
    </row>
    <row r="468">
      <c r="A468" s="2" t="inlineStr">
        <is>
          <t>EJ010923.TXT</t>
        </is>
      </c>
      <c r="B468" s="3" t="inlineStr">
        <is>
          <t>005031</t>
        </is>
      </c>
      <c r="C468" s="3" t="inlineStr">
        <is>
          <t>004028</t>
        </is>
      </c>
      <c r="D468" s="4" t="n">
        <v>45160</v>
      </c>
      <c r="E468" s="2" t="inlineStr">
        <is>
          <t>16:54</t>
        </is>
      </c>
      <c r="F468" s="5" t="n">
        <v>733.33</v>
      </c>
      <c r="G468" s="5" t="n"/>
      <c r="H468" s="5" t="n"/>
      <c r="I468" s="5" t="n"/>
      <c r="J468" s="5" t="n">
        <v>146.67</v>
      </c>
      <c r="K468" s="5" t="n"/>
      <c r="L468" s="5" t="n"/>
      <c r="M468" s="5" t="n"/>
      <c r="N468" s="5" t="n"/>
      <c r="O468" s="5" t="n">
        <v>880</v>
      </c>
      <c r="P468" s="5" t="n"/>
      <c r="Q468" s="5" t="n">
        <v>880</v>
      </c>
      <c r="R468" s="5" t="n"/>
      <c r="S468" s="5">
        <f>SUM(F468:I468)+N468</f>
        <v/>
      </c>
      <c r="T468" s="5">
        <f>J468</f>
        <v/>
      </c>
      <c r="U468" s="6">
        <f>YEAR(D468)</f>
        <v/>
      </c>
      <c r="V468" s="5">
        <f>TEXT(D468,"yyyy-mm")</f>
        <v/>
      </c>
    </row>
    <row r="469">
      <c r="A469" s="2" t="inlineStr">
        <is>
          <t>EJ010923.TXT</t>
        </is>
      </c>
      <c r="B469" s="3" t="inlineStr">
        <is>
          <t>005032</t>
        </is>
      </c>
      <c r="C469" s="3" t="inlineStr">
        <is>
          <t>004029</t>
        </is>
      </c>
      <c r="D469" s="4" t="n">
        <v>45160</v>
      </c>
      <c r="E469" s="2" t="inlineStr">
        <is>
          <t>16:55</t>
        </is>
      </c>
      <c r="F469" s="5" t="n">
        <v>832.5</v>
      </c>
      <c r="G469" s="5" t="n"/>
      <c r="H469" s="5" t="n"/>
      <c r="I469" s="5" t="n"/>
      <c r="J469" s="5" t="n">
        <v>166.5</v>
      </c>
      <c r="K469" s="5" t="n"/>
      <c r="L469" s="5" t="n"/>
      <c r="M469" s="5" t="n"/>
      <c r="N469" s="5" t="n"/>
      <c r="O469" s="5" t="n">
        <v>999</v>
      </c>
      <c r="P469" s="5" t="n"/>
      <c r="Q469" s="5" t="n">
        <v>999</v>
      </c>
      <c r="R469" s="5" t="n"/>
      <c r="S469" s="5">
        <f>SUM(F469:I469)+N469</f>
        <v/>
      </c>
      <c r="T469" s="5">
        <f>J469</f>
        <v/>
      </c>
      <c r="U469" s="6">
        <f>YEAR(D469)</f>
        <v/>
      </c>
      <c r="V469" s="5">
        <f>TEXT(D469,"yyyy-mm")</f>
        <v/>
      </c>
    </row>
    <row r="470">
      <c r="A470" s="2" t="inlineStr">
        <is>
          <t>EJ010923.TXT</t>
        </is>
      </c>
      <c r="B470" s="3" t="inlineStr">
        <is>
          <t>005033</t>
        </is>
      </c>
      <c r="C470" s="3" t="inlineStr">
        <is>
          <t>004030</t>
        </is>
      </c>
      <c r="D470" s="4" t="n">
        <v>45161</v>
      </c>
      <c r="E470" s="2" t="inlineStr">
        <is>
          <t>10:16</t>
        </is>
      </c>
      <c r="F470" s="5" t="n">
        <v>648.33</v>
      </c>
      <c r="G470" s="5" t="n"/>
      <c r="H470" s="5" t="n"/>
      <c r="I470" s="5" t="n"/>
      <c r="J470" s="5" t="n">
        <v>129.67</v>
      </c>
      <c r="K470" s="5" t="n"/>
      <c r="L470" s="5" t="n"/>
      <c r="M470" s="5" t="n"/>
      <c r="N470" s="5" t="n"/>
      <c r="O470" s="5" t="n">
        <v>778</v>
      </c>
      <c r="P470" s="5" t="n"/>
      <c r="Q470" s="5" t="n">
        <v>778</v>
      </c>
      <c r="R470" s="5" t="n"/>
      <c r="S470" s="5">
        <f>SUM(F470:I470)+N470</f>
        <v/>
      </c>
      <c r="T470" s="5">
        <f>J470</f>
        <v/>
      </c>
      <c r="U470" s="6">
        <f>YEAR(D470)</f>
        <v/>
      </c>
      <c r="V470" s="5">
        <f>TEXT(D470,"yyyy-mm")</f>
        <v/>
      </c>
    </row>
    <row r="471">
      <c r="A471" s="2" t="inlineStr">
        <is>
          <t>EJ010923.TXT</t>
        </is>
      </c>
      <c r="B471" s="3" t="inlineStr">
        <is>
          <t>005034</t>
        </is>
      </c>
      <c r="C471" s="3" t="inlineStr">
        <is>
          <t>004031</t>
        </is>
      </c>
      <c r="D471" s="4" t="n">
        <v>45161</v>
      </c>
      <c r="E471" s="2" t="inlineStr">
        <is>
          <t>16:41</t>
        </is>
      </c>
      <c r="F471" s="5" t="n">
        <v>274.17</v>
      </c>
      <c r="G471" s="5" t="n"/>
      <c r="H471" s="5" t="n"/>
      <c r="I471" s="5" t="n"/>
      <c r="J471" s="5" t="n">
        <v>54.83</v>
      </c>
      <c r="K471" s="5" t="n"/>
      <c r="L471" s="5" t="n"/>
      <c r="M471" s="5" t="n"/>
      <c r="N471" s="5" t="n"/>
      <c r="O471" s="5" t="n">
        <v>329</v>
      </c>
      <c r="P471" s="5" t="n"/>
      <c r="Q471" s="5" t="n">
        <v>329</v>
      </c>
      <c r="R471" s="5" t="n"/>
      <c r="S471" s="5">
        <f>SUM(F471:I471)+N471</f>
        <v/>
      </c>
      <c r="T471" s="5">
        <f>J471</f>
        <v/>
      </c>
      <c r="U471" s="6">
        <f>YEAR(D471)</f>
        <v/>
      </c>
      <c r="V471" s="5">
        <f>TEXT(D471,"yyyy-mm")</f>
        <v/>
      </c>
    </row>
    <row r="472">
      <c r="A472" s="2" t="inlineStr">
        <is>
          <t>EJ010923.TXT</t>
        </is>
      </c>
      <c r="B472" s="3" t="inlineStr">
        <is>
          <t>005035</t>
        </is>
      </c>
      <c r="C472" s="3" t="inlineStr">
        <is>
          <t>004032</t>
        </is>
      </c>
      <c r="D472" s="4" t="n">
        <v>45163</v>
      </c>
      <c r="E472" s="2" t="inlineStr">
        <is>
          <t>14:40</t>
        </is>
      </c>
      <c r="F472" s="5" t="n">
        <v>208.33</v>
      </c>
      <c r="G472" s="5" t="n"/>
      <c r="H472" s="5" t="n"/>
      <c r="I472" s="5" t="n"/>
      <c r="J472" s="5" t="n">
        <v>41.67</v>
      </c>
      <c r="K472" s="5" t="n"/>
      <c r="L472" s="5" t="n"/>
      <c r="M472" s="5" t="n"/>
      <c r="N472" s="5" t="n"/>
      <c r="O472" s="5" t="n">
        <v>250</v>
      </c>
      <c r="P472" s="5" t="n"/>
      <c r="Q472" s="5" t="n">
        <v>250</v>
      </c>
      <c r="R472" s="5" t="n"/>
      <c r="S472" s="5">
        <f>SUM(F472:I472)+N472</f>
        <v/>
      </c>
      <c r="T472" s="5">
        <f>J472</f>
        <v/>
      </c>
      <c r="U472" s="6">
        <f>YEAR(D472)</f>
        <v/>
      </c>
      <c r="V472" s="5">
        <f>TEXT(D472,"yyyy-mm")</f>
        <v/>
      </c>
    </row>
    <row r="473">
      <c r="A473" s="2" t="inlineStr">
        <is>
          <t>EJ010923.TXT</t>
        </is>
      </c>
      <c r="B473" s="3" t="inlineStr">
        <is>
          <t>005036</t>
        </is>
      </c>
      <c r="C473" s="3" t="inlineStr">
        <is>
          <t>004033</t>
        </is>
      </c>
      <c r="D473" s="4" t="n">
        <v>45163</v>
      </c>
      <c r="E473" s="2" t="inlineStr">
        <is>
          <t>16:32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>
        <v>658</v>
      </c>
      <c r="Q473" s="5" t="n"/>
      <c r="R473" s="5" t="n"/>
      <c r="S473" s="5">
        <f>SUM(F473:I473)+N473</f>
        <v/>
      </c>
      <c r="T473" s="5">
        <f>J473</f>
        <v/>
      </c>
      <c r="U473" s="6">
        <f>YEAR(D473)</f>
        <v/>
      </c>
      <c r="V473" s="5">
        <f>TEXT(D473,"yyyy-mm")</f>
        <v/>
      </c>
    </row>
    <row r="474">
      <c r="A474" s="2" t="inlineStr">
        <is>
          <t>EJ010923.TXT</t>
        </is>
      </c>
      <c r="B474" s="3" t="inlineStr">
        <is>
          <t>005037</t>
        </is>
      </c>
      <c r="C474" s="3" t="inlineStr">
        <is>
          <t>004034</t>
        </is>
      </c>
      <c r="D474" s="4" t="n">
        <v>45166</v>
      </c>
      <c r="E474" s="2" t="inlineStr">
        <is>
          <t>11:45</t>
        </is>
      </c>
      <c r="F474" s="5" t="n">
        <v>398.33</v>
      </c>
      <c r="G474" s="5" t="n"/>
      <c r="H474" s="5" t="n"/>
      <c r="I474" s="5" t="n"/>
      <c r="J474" s="5" t="n">
        <v>79.67</v>
      </c>
      <c r="K474" s="5" t="n"/>
      <c r="L474" s="5" t="n"/>
      <c r="M474" s="5" t="n"/>
      <c r="N474" s="5" t="n"/>
      <c r="O474" s="5" t="n">
        <v>478</v>
      </c>
      <c r="P474" s="5" t="n">
        <v>478</v>
      </c>
      <c r="Q474" s="5" t="n"/>
      <c r="R474" s="5" t="n"/>
      <c r="S474" s="5">
        <f>SUM(F474:I474)+N474</f>
        <v/>
      </c>
      <c r="T474" s="5">
        <f>J474</f>
        <v/>
      </c>
      <c r="U474" s="6">
        <f>YEAR(D474)</f>
        <v/>
      </c>
      <c r="V474" s="5">
        <f>TEXT(D474,"yyyy-mm")</f>
        <v/>
      </c>
    </row>
    <row r="475">
      <c r="A475" s="2" t="inlineStr">
        <is>
          <t>EJ010923.TXT</t>
        </is>
      </c>
      <c r="B475" s="3" t="inlineStr">
        <is>
          <t>005038</t>
        </is>
      </c>
      <c r="C475" s="3" t="inlineStr">
        <is>
          <t>004035</t>
        </is>
      </c>
      <c r="D475" s="4" t="n">
        <v>45167</v>
      </c>
      <c r="E475" s="2" t="inlineStr">
        <is>
          <t>14:18</t>
        </is>
      </c>
      <c r="F475" s="5" t="n">
        <v>208.33</v>
      </c>
      <c r="G475" s="5" t="n"/>
      <c r="H475" s="5" t="n"/>
      <c r="I475" s="5" t="n"/>
      <c r="J475" s="5" t="n">
        <v>41.67</v>
      </c>
      <c r="K475" s="5" t="n"/>
      <c r="L475" s="5" t="n"/>
      <c r="M475" s="5" t="n"/>
      <c r="N475" s="5" t="n"/>
      <c r="O475" s="5" t="n">
        <v>250</v>
      </c>
      <c r="P475" s="5" t="n"/>
      <c r="Q475" s="5" t="n">
        <v>250</v>
      </c>
      <c r="R475" s="5" t="n"/>
      <c r="S475" s="5">
        <f>SUM(F475:I475)+N475</f>
        <v/>
      </c>
      <c r="T475" s="5">
        <f>J475</f>
        <v/>
      </c>
      <c r="U475" s="6">
        <f>YEAR(D475)</f>
        <v/>
      </c>
      <c r="V475" s="5">
        <f>TEXT(D475,"yyyy-mm")</f>
        <v/>
      </c>
    </row>
    <row r="476">
      <c r="A476" s="2" t="inlineStr">
        <is>
          <t>EJ010923.TXT</t>
        </is>
      </c>
      <c r="B476" s="3" t="inlineStr">
        <is>
          <t>005039</t>
        </is>
      </c>
      <c r="C476" s="3" t="inlineStr">
        <is>
          <t>004036</t>
        </is>
      </c>
      <c r="D476" s="4" t="n">
        <v>45167</v>
      </c>
      <c r="E476" s="2" t="inlineStr">
        <is>
          <t>14:45</t>
        </is>
      </c>
      <c r="F476" s="5" t="n">
        <v>581.67</v>
      </c>
      <c r="G476" s="5" t="n"/>
      <c r="H476" s="5" t="n"/>
      <c r="I476" s="5" t="n"/>
      <c r="J476" s="5" t="n">
        <v>116.33</v>
      </c>
      <c r="K476" s="5" t="n"/>
      <c r="L476" s="5" t="n"/>
      <c r="M476" s="5" t="n"/>
      <c r="N476" s="5" t="n"/>
      <c r="O476" s="5" t="n">
        <v>698</v>
      </c>
      <c r="P476" s="5" t="n"/>
      <c r="Q476" s="5" t="n">
        <v>698</v>
      </c>
      <c r="R476" s="5" t="n"/>
      <c r="S476" s="5">
        <f>SUM(F476:I476)+N476</f>
        <v/>
      </c>
      <c r="T476" s="5">
        <f>J476</f>
        <v/>
      </c>
      <c r="U476" s="6">
        <f>YEAR(D476)</f>
        <v/>
      </c>
      <c r="V476" s="5">
        <f>TEXT(D476,"yyyy-mm")</f>
        <v/>
      </c>
    </row>
    <row r="477">
      <c r="A477" s="2" t="inlineStr">
        <is>
          <t>EJ010923.TXT</t>
        </is>
      </c>
      <c r="B477" s="3" t="inlineStr">
        <is>
          <t>005040</t>
        </is>
      </c>
      <c r="C477" s="3" t="inlineStr">
        <is>
          <t>004037</t>
        </is>
      </c>
      <c r="D477" s="4" t="n">
        <v>45167</v>
      </c>
      <c r="E477" s="2" t="inlineStr">
        <is>
          <t>14:46</t>
        </is>
      </c>
      <c r="F477" s="5" t="n">
        <v>581.67</v>
      </c>
      <c r="G477" s="5" t="n"/>
      <c r="H477" s="5" t="n"/>
      <c r="I477" s="5" t="n"/>
      <c r="J477" s="5" t="n">
        <v>116.33</v>
      </c>
      <c r="K477" s="5" t="n"/>
      <c r="L477" s="5" t="n"/>
      <c r="M477" s="5" t="n"/>
      <c r="N477" s="5" t="n"/>
      <c r="O477" s="5" t="n">
        <v>698</v>
      </c>
      <c r="P477" s="5" t="n"/>
      <c r="Q477" s="5" t="n">
        <v>698</v>
      </c>
      <c r="R477" s="5" t="n"/>
      <c r="S477" s="5">
        <f>SUM(F477:I477)+N477</f>
        <v/>
      </c>
      <c r="T477" s="5">
        <f>J477</f>
        <v/>
      </c>
      <c r="U477" s="6">
        <f>YEAR(D477)</f>
        <v/>
      </c>
      <c r="V477" s="5">
        <f>TEXT(D477,"yyyy-mm")</f>
        <v/>
      </c>
    </row>
    <row r="478">
      <c r="A478" s="2" t="inlineStr">
        <is>
          <t>EJ010923.TXT</t>
        </is>
      </c>
      <c r="B478" s="3" t="inlineStr">
        <is>
          <t>005041</t>
        </is>
      </c>
      <c r="C478" s="3" t="inlineStr">
        <is>
          <t>004038</t>
        </is>
      </c>
      <c r="D478" s="4" t="n">
        <v>45167</v>
      </c>
      <c r="E478" s="2" t="inlineStr">
        <is>
          <t>14:47</t>
        </is>
      </c>
      <c r="F478" s="5" t="n">
        <v>581.67</v>
      </c>
      <c r="G478" s="5" t="n"/>
      <c r="H478" s="5" t="n"/>
      <c r="I478" s="5" t="n"/>
      <c r="J478" s="5" t="n">
        <v>116.33</v>
      </c>
      <c r="K478" s="5" t="n"/>
      <c r="L478" s="5" t="n"/>
      <c r="M478" s="5" t="n"/>
      <c r="N478" s="5" t="n"/>
      <c r="O478" s="5" t="n">
        <v>698</v>
      </c>
      <c r="P478" s="5" t="n"/>
      <c r="Q478" s="5" t="n">
        <v>698</v>
      </c>
      <c r="R478" s="5" t="n"/>
      <c r="S478" s="5">
        <f>SUM(F478:I478)+N478</f>
        <v/>
      </c>
      <c r="T478" s="5">
        <f>J478</f>
        <v/>
      </c>
      <c r="U478" s="6">
        <f>YEAR(D478)</f>
        <v/>
      </c>
      <c r="V478" s="5">
        <f>TEXT(D478,"yyyy-mm")</f>
        <v/>
      </c>
    </row>
    <row r="479">
      <c r="A479" s="2" t="inlineStr">
        <is>
          <t>EJ010923.TXT</t>
        </is>
      </c>
      <c r="B479" s="3" t="inlineStr">
        <is>
          <t>005042</t>
        </is>
      </c>
      <c r="C479" s="3" t="inlineStr">
        <is>
          <t>004039</t>
        </is>
      </c>
      <c r="D479" s="4" t="n">
        <v>45167</v>
      </c>
      <c r="E479" s="2" t="inlineStr">
        <is>
          <t>15:32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/>
      <c r="Q479" s="5" t="n">
        <v>658</v>
      </c>
      <c r="R479" s="5" t="n"/>
      <c r="S479" s="5">
        <f>SUM(F479:I479)+N479</f>
        <v/>
      </c>
      <c r="T479" s="5">
        <f>J479</f>
        <v/>
      </c>
      <c r="U479" s="6">
        <f>YEAR(D479)</f>
        <v/>
      </c>
      <c r="V479" s="5">
        <f>TEXT(D479,"yyyy-mm")</f>
        <v/>
      </c>
    </row>
    <row r="480">
      <c r="A480" s="2" t="inlineStr">
        <is>
          <t>EJ010923.TXT</t>
        </is>
      </c>
      <c r="B480" s="3" t="inlineStr">
        <is>
          <t>005043</t>
        </is>
      </c>
      <c r="C480" s="3" t="inlineStr">
        <is>
          <t>004040</t>
        </is>
      </c>
      <c r="D480" s="4" t="n">
        <v>45167</v>
      </c>
      <c r="E480" s="2" t="inlineStr">
        <is>
          <t>15:58</t>
        </is>
      </c>
      <c r="F480" s="5" t="n">
        <v>822.5</v>
      </c>
      <c r="G480" s="5" t="n"/>
      <c r="H480" s="5" t="n"/>
      <c r="I480" s="5" t="n"/>
      <c r="J480" s="5" t="n">
        <v>164.5</v>
      </c>
      <c r="K480" s="5" t="n"/>
      <c r="L480" s="5" t="n"/>
      <c r="M480" s="5" t="n"/>
      <c r="N480" s="5" t="n"/>
      <c r="O480" s="5" t="n">
        <v>987</v>
      </c>
      <c r="P480" s="5" t="n"/>
      <c r="Q480" s="5" t="n">
        <v>987</v>
      </c>
      <c r="R480" s="5" t="n"/>
      <c r="S480" s="5">
        <f>SUM(F480:I480)+N480</f>
        <v/>
      </c>
      <c r="T480" s="5">
        <f>J480</f>
        <v/>
      </c>
      <c r="U480" s="6">
        <f>YEAR(D480)</f>
        <v/>
      </c>
      <c r="V480" s="5">
        <f>TEXT(D480,"yyyy-mm")</f>
        <v/>
      </c>
    </row>
    <row r="481">
      <c r="A481" s="2" t="inlineStr">
        <is>
          <t>EJ010923.TXT</t>
        </is>
      </c>
      <c r="B481" s="3" t="inlineStr">
        <is>
          <t>005044</t>
        </is>
      </c>
      <c r="C481" s="3" t="inlineStr">
        <is>
          <t>004041</t>
        </is>
      </c>
      <c r="D481" s="4" t="n">
        <v>45167</v>
      </c>
      <c r="E481" s="2" t="inlineStr">
        <is>
          <t>15:58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  <c r="S481" s="5">
        <f>SUM(F481:I481)+N481</f>
        <v/>
      </c>
      <c r="T481" s="5">
        <f>J481</f>
        <v/>
      </c>
      <c r="U481" s="6">
        <f>YEAR(D481)</f>
        <v/>
      </c>
      <c r="V481" s="5">
        <f>TEXT(D481,"yyyy-mm")</f>
        <v/>
      </c>
    </row>
    <row r="482">
      <c r="A482" s="2" t="inlineStr">
        <is>
          <t>EJ010923.TXT</t>
        </is>
      </c>
      <c r="B482" s="3" t="inlineStr">
        <is>
          <t>005045</t>
        </is>
      </c>
      <c r="C482" s="3" t="inlineStr">
        <is>
          <t>004042</t>
        </is>
      </c>
      <c r="D482" s="4" t="n">
        <v>45167</v>
      </c>
      <c r="E482" s="2" t="inlineStr">
        <is>
          <t>16:11</t>
        </is>
      </c>
      <c r="F482" s="5" t="n">
        <v>648.33</v>
      </c>
      <c r="G482" s="5" t="n"/>
      <c r="H482" s="5" t="n"/>
      <c r="I482" s="5" t="n"/>
      <c r="J482" s="5" t="n">
        <v>129.67</v>
      </c>
      <c r="K482" s="5" t="n"/>
      <c r="L482" s="5" t="n"/>
      <c r="M482" s="5" t="n"/>
      <c r="N482" s="5" t="n"/>
      <c r="O482" s="5" t="n">
        <v>778</v>
      </c>
      <c r="P482" s="5" t="n"/>
      <c r="Q482" s="5" t="n">
        <v>778</v>
      </c>
      <c r="R482" s="5" t="n"/>
      <c r="S482" s="5">
        <f>SUM(F482:I482)+N482</f>
        <v/>
      </c>
      <c r="T482" s="5">
        <f>J482</f>
        <v/>
      </c>
      <c r="U482" s="6">
        <f>YEAR(D482)</f>
        <v/>
      </c>
      <c r="V482" s="5">
        <f>TEXT(D482,"yyyy-mm")</f>
        <v/>
      </c>
    </row>
    <row r="483">
      <c r="A483" s="2" t="inlineStr">
        <is>
          <t>EJ010923.TXT</t>
        </is>
      </c>
      <c r="B483" s="3" t="inlineStr">
        <is>
          <t>005046</t>
        </is>
      </c>
      <c r="C483" s="3" t="inlineStr">
        <is>
          <t>004043</t>
        </is>
      </c>
      <c r="D483" s="4" t="n">
        <v>45167</v>
      </c>
      <c r="E483" s="2" t="inlineStr">
        <is>
          <t>16:11</t>
        </is>
      </c>
      <c r="F483" s="5" t="n">
        <v>648.33</v>
      </c>
      <c r="G483" s="5" t="n"/>
      <c r="H483" s="5" t="n"/>
      <c r="I483" s="5" t="n"/>
      <c r="J483" s="5" t="n">
        <v>129.67</v>
      </c>
      <c r="K483" s="5" t="n"/>
      <c r="L483" s="5" t="n"/>
      <c r="M483" s="5" t="n"/>
      <c r="N483" s="5" t="n"/>
      <c r="O483" s="5" t="n">
        <v>778</v>
      </c>
      <c r="P483" s="5" t="n"/>
      <c r="Q483" s="5" t="n">
        <v>778</v>
      </c>
      <c r="R483" s="5" t="n"/>
      <c r="S483" s="5">
        <f>SUM(F483:I483)+N483</f>
        <v/>
      </c>
      <c r="T483" s="5">
        <f>J483</f>
        <v/>
      </c>
      <c r="U483" s="6">
        <f>YEAR(D483)</f>
        <v/>
      </c>
      <c r="V483" s="5">
        <f>TEXT(D483,"yyyy-mm")</f>
        <v/>
      </c>
    </row>
    <row r="484">
      <c r="A484" s="2" t="inlineStr">
        <is>
          <t>EJ010923.TXT</t>
        </is>
      </c>
      <c r="B484" s="3" t="inlineStr">
        <is>
          <t>005047</t>
        </is>
      </c>
      <c r="C484" s="3" t="inlineStr">
        <is>
          <t>004044</t>
        </is>
      </c>
      <c r="D484" s="4" t="n">
        <v>45168</v>
      </c>
      <c r="E484" s="2" t="inlineStr">
        <is>
          <t>15:04</t>
        </is>
      </c>
      <c r="F484" s="5" t="n">
        <v>548.33</v>
      </c>
      <c r="G484" s="5" t="n"/>
      <c r="H484" s="5" t="n"/>
      <c r="I484" s="5" t="n"/>
      <c r="J484" s="5" t="n">
        <v>109.67</v>
      </c>
      <c r="K484" s="5" t="n"/>
      <c r="L484" s="5" t="n"/>
      <c r="M484" s="5" t="n"/>
      <c r="N484" s="5" t="n"/>
      <c r="O484" s="5" t="n">
        <v>658</v>
      </c>
      <c r="P484" s="5" t="n"/>
      <c r="Q484" s="5" t="n">
        <v>658</v>
      </c>
      <c r="R484" s="5" t="n"/>
      <c r="S484" s="5">
        <f>SUM(F484:I484)+N484</f>
        <v/>
      </c>
      <c r="T484" s="5">
        <f>J484</f>
        <v/>
      </c>
      <c r="U484" s="6">
        <f>YEAR(D484)</f>
        <v/>
      </c>
      <c r="V484" s="5">
        <f>TEXT(D484,"yyyy-mm")</f>
        <v/>
      </c>
    </row>
    <row r="485">
      <c r="A485" s="2" t="inlineStr">
        <is>
          <t>EJ010923.TXT</t>
        </is>
      </c>
      <c r="B485" s="3" t="inlineStr">
        <is>
          <t>005048</t>
        </is>
      </c>
      <c r="C485" s="3" t="inlineStr">
        <is>
          <t>004045</t>
        </is>
      </c>
      <c r="D485" s="4" t="n">
        <v>45169</v>
      </c>
      <c r="E485" s="2" t="inlineStr">
        <is>
          <t>15:52</t>
        </is>
      </c>
      <c r="F485" s="5" t="n">
        <v>866.67</v>
      </c>
      <c r="G485" s="5" t="n"/>
      <c r="H485" s="5" t="n"/>
      <c r="I485" s="5" t="n"/>
      <c r="J485" s="5" t="n">
        <v>173.33</v>
      </c>
      <c r="K485" s="5" t="n"/>
      <c r="L485" s="5" t="n"/>
      <c r="M485" s="5" t="n"/>
      <c r="N485" s="5" t="n"/>
      <c r="O485" s="5" t="n">
        <v>1040</v>
      </c>
      <c r="P485" s="5" t="n">
        <v>1040</v>
      </c>
      <c r="Q485" s="5" t="n"/>
      <c r="R485" s="5" t="n"/>
      <c r="S485" s="5">
        <f>SUM(F485:I485)+N485</f>
        <v/>
      </c>
      <c r="T485" s="5">
        <f>J485</f>
        <v/>
      </c>
      <c r="U485" s="6">
        <f>YEAR(D485)</f>
        <v/>
      </c>
      <c r="V485" s="5">
        <f>TEXT(D485,"yyyy-mm")</f>
        <v/>
      </c>
    </row>
    <row r="486">
      <c r="A486" s="2" t="inlineStr">
        <is>
          <t>EJ010923.TXT</t>
        </is>
      </c>
      <c r="B486" s="3" t="inlineStr">
        <is>
          <t>005049</t>
        </is>
      </c>
      <c r="C486" s="3" t="inlineStr">
        <is>
          <t>004046</t>
        </is>
      </c>
      <c r="D486" s="4" t="n">
        <v>45169</v>
      </c>
      <c r="E486" s="2" t="inlineStr">
        <is>
          <t>16:18</t>
        </is>
      </c>
      <c r="F486" s="5" t="n">
        <v>822.5</v>
      </c>
      <c r="G486" s="5" t="n"/>
      <c r="H486" s="5" t="n"/>
      <c r="I486" s="5" t="n"/>
      <c r="J486" s="5" t="n">
        <v>164.5</v>
      </c>
      <c r="K486" s="5" t="n"/>
      <c r="L486" s="5" t="n"/>
      <c r="M486" s="5" t="n"/>
      <c r="N486" s="5" t="n"/>
      <c r="O486" s="5" t="n">
        <v>987</v>
      </c>
      <c r="P486" s="5" t="n"/>
      <c r="Q486" s="5" t="n">
        <v>987</v>
      </c>
      <c r="R486" s="5" t="n"/>
      <c r="S486" s="5">
        <f>SUM(F486:I486)+N486</f>
        <v/>
      </c>
      <c r="T486" s="5">
        <f>J486</f>
        <v/>
      </c>
      <c r="U486" s="6">
        <f>YEAR(D486)</f>
        <v/>
      </c>
      <c r="V486" s="5">
        <f>TEXT(D486,"yyyy-mm")</f>
        <v/>
      </c>
    </row>
    <row r="487">
      <c r="A487" s="2" t="inlineStr">
        <is>
          <t>EJ010923.TXT</t>
        </is>
      </c>
      <c r="B487" s="3" t="inlineStr">
        <is>
          <t>005050</t>
        </is>
      </c>
      <c r="C487" s="3" t="inlineStr">
        <is>
          <t>004047</t>
        </is>
      </c>
      <c r="D487" s="4" t="n">
        <v>45169</v>
      </c>
      <c r="E487" s="2" t="inlineStr">
        <is>
          <t>16:19</t>
        </is>
      </c>
      <c r="F487" s="5" t="n">
        <v>822.5</v>
      </c>
      <c r="G487" s="5" t="n"/>
      <c r="H487" s="5" t="n"/>
      <c r="I487" s="5" t="n"/>
      <c r="J487" s="5" t="n">
        <v>164.5</v>
      </c>
      <c r="K487" s="5" t="n"/>
      <c r="L487" s="5" t="n"/>
      <c r="M487" s="5" t="n"/>
      <c r="N487" s="5" t="n"/>
      <c r="O487" s="5" t="n">
        <v>987</v>
      </c>
      <c r="P487" s="5" t="n"/>
      <c r="Q487" s="5" t="n">
        <v>987</v>
      </c>
      <c r="R487" s="5" t="n"/>
      <c r="S487" s="5">
        <f>SUM(F487:I487)+N487</f>
        <v/>
      </c>
      <c r="T487" s="5">
        <f>J487</f>
        <v/>
      </c>
      <c r="U487" s="6">
        <f>YEAR(D487)</f>
        <v/>
      </c>
      <c r="V487" s="5">
        <f>TEXT(D487,"yyyy-mm")</f>
        <v/>
      </c>
    </row>
    <row r="488">
      <c r="A488" s="2" t="inlineStr">
        <is>
          <t>EJ010923.TXT</t>
        </is>
      </c>
      <c r="B488" s="3" t="inlineStr">
        <is>
          <t>005051</t>
        </is>
      </c>
      <c r="C488" s="3" t="inlineStr">
        <is>
          <t>004048</t>
        </is>
      </c>
      <c r="D488" s="4" t="n">
        <v>45169</v>
      </c>
      <c r="E488" s="2" t="inlineStr">
        <is>
          <t>17:12</t>
        </is>
      </c>
      <c r="F488" s="5" t="n">
        <v>822.5</v>
      </c>
      <c r="G488" s="5" t="n"/>
      <c r="H488" s="5" t="n"/>
      <c r="I488" s="5" t="n"/>
      <c r="J488" s="5" t="n">
        <v>164.5</v>
      </c>
      <c r="K488" s="5" t="n"/>
      <c r="L488" s="5" t="n"/>
      <c r="M488" s="5" t="n"/>
      <c r="N488" s="5" t="n"/>
      <c r="O488" s="5" t="n">
        <v>987</v>
      </c>
      <c r="P488" s="5" t="n"/>
      <c r="Q488" s="5" t="n">
        <v>987</v>
      </c>
      <c r="R488" s="5" t="n"/>
      <c r="S488" s="5">
        <f>SUM(F488:I488)+N488</f>
        <v/>
      </c>
      <c r="T488" s="5">
        <f>J488</f>
        <v/>
      </c>
      <c r="U488" s="6">
        <f>YEAR(D488)</f>
        <v/>
      </c>
      <c r="V488" s="5">
        <f>TEXT(D488,"yyyy-mm")</f>
        <v/>
      </c>
    </row>
    <row r="489">
      <c r="A489" s="2" t="inlineStr">
        <is>
          <t>EJ010923.TXT</t>
        </is>
      </c>
      <c r="B489" s="3" t="inlineStr">
        <is>
          <t>005052</t>
        </is>
      </c>
      <c r="C489" s="3" t="inlineStr">
        <is>
          <t>004049</t>
        </is>
      </c>
      <c r="D489" s="4" t="n">
        <v>45169</v>
      </c>
      <c r="E489" s="2" t="inlineStr">
        <is>
          <t>17:13</t>
        </is>
      </c>
      <c r="F489" s="5" t="n">
        <v>274.17</v>
      </c>
      <c r="G489" s="5" t="n"/>
      <c r="H489" s="5" t="n"/>
      <c r="I489" s="5" t="n"/>
      <c r="J489" s="5" t="n">
        <v>54.83</v>
      </c>
      <c r="K489" s="5" t="n"/>
      <c r="L489" s="5" t="n"/>
      <c r="M489" s="5" t="n"/>
      <c r="N489" s="5" t="n"/>
      <c r="O489" s="5" t="n">
        <v>329</v>
      </c>
      <c r="P489" s="5" t="n"/>
      <c r="Q489" s="5" t="n">
        <v>329</v>
      </c>
      <c r="R489" s="5" t="n"/>
      <c r="S489" s="5">
        <f>SUM(F489:I489)+N489</f>
        <v/>
      </c>
      <c r="T489" s="5">
        <f>J489</f>
        <v/>
      </c>
      <c r="U489" s="6">
        <f>YEAR(D489)</f>
        <v/>
      </c>
      <c r="V489" s="5">
        <f>TEXT(D489,"yyyy-mm")</f>
        <v/>
      </c>
    </row>
    <row r="490">
      <c r="A490" s="2" t="inlineStr">
        <is>
          <t>EJ010923.TXT</t>
        </is>
      </c>
      <c r="B490" s="3" t="inlineStr">
        <is>
          <t>005053</t>
        </is>
      </c>
      <c r="C490" s="3" t="inlineStr">
        <is>
          <t>004050</t>
        </is>
      </c>
      <c r="D490" s="4" t="n">
        <v>45170</v>
      </c>
      <c r="E490" s="2" t="inlineStr">
        <is>
          <t>17:41</t>
        </is>
      </c>
      <c r="F490" s="5" t="n">
        <v>274.17</v>
      </c>
      <c r="G490" s="5" t="n"/>
      <c r="H490" s="5" t="n"/>
      <c r="I490" s="5" t="n"/>
      <c r="J490" s="5" t="n">
        <v>54.83</v>
      </c>
      <c r="K490" s="5" t="n"/>
      <c r="L490" s="5" t="n"/>
      <c r="M490" s="5" t="n"/>
      <c r="N490" s="5" t="n"/>
      <c r="O490" s="5" t="n">
        <v>329</v>
      </c>
      <c r="P490" s="5" t="n"/>
      <c r="Q490" s="5" t="n">
        <v>329</v>
      </c>
      <c r="R490" s="5" t="n"/>
      <c r="S490" s="5">
        <f>SUM(F490:I490)+N490</f>
        <v/>
      </c>
      <c r="T490" s="5">
        <f>J490</f>
        <v/>
      </c>
      <c r="U490" s="6">
        <f>YEAR(D490)</f>
        <v/>
      </c>
      <c r="V490" s="5">
        <f>TEXT(D490,"yyyy-mm")</f>
        <v/>
      </c>
    </row>
    <row r="491">
      <c r="A491" s="2" t="inlineStr">
        <is>
          <t>EJ011023.TXT</t>
        </is>
      </c>
      <c r="B491" s="3" t="inlineStr">
        <is>
          <t>005061</t>
        </is>
      </c>
      <c r="C491" s="3" t="inlineStr">
        <is>
          <t>004051</t>
        </is>
      </c>
      <c r="D491" s="4" t="n">
        <v>45170</v>
      </c>
      <c r="E491" s="2" t="inlineStr">
        <is>
          <t>19:18</t>
        </is>
      </c>
      <c r="F491" s="5" t="n">
        <v>0.83</v>
      </c>
      <c r="G491" s="5" t="n"/>
      <c r="H491" s="5" t="n"/>
      <c r="I491" s="5" t="n"/>
      <c r="J491" s="5" t="n">
        <v>0.17</v>
      </c>
      <c r="K491" s="5" t="n"/>
      <c r="L491" s="5" t="n"/>
      <c r="M491" s="5" t="n"/>
      <c r="N491" s="5" t="n"/>
      <c r="O491" s="5" t="n">
        <v>1</v>
      </c>
      <c r="P491" s="5" t="n"/>
      <c r="Q491" s="5" t="n">
        <v>1</v>
      </c>
      <c r="R491" s="5" t="n"/>
      <c r="S491" s="5">
        <f>SUM(F491:I491)+N491</f>
        <v/>
      </c>
      <c r="T491" s="5">
        <f>J491</f>
        <v/>
      </c>
      <c r="U491" s="6">
        <f>YEAR(D491)</f>
        <v/>
      </c>
      <c r="V491" s="5">
        <f>TEXT(D491,"yyyy-mm")</f>
        <v/>
      </c>
    </row>
    <row r="492">
      <c r="A492" s="2" t="inlineStr">
        <is>
          <t>EJ011023.TXT</t>
        </is>
      </c>
      <c r="B492" s="3" t="inlineStr">
        <is>
          <t>005062</t>
        </is>
      </c>
      <c r="C492" s="3" t="inlineStr">
        <is>
          <t>004052</t>
        </is>
      </c>
      <c r="D492" s="4" t="n">
        <v>45171</v>
      </c>
      <c r="E492" s="2" t="inlineStr">
        <is>
          <t>14:54</t>
        </is>
      </c>
      <c r="F492" s="5" t="n">
        <v>274.17</v>
      </c>
      <c r="G492" s="5" t="n"/>
      <c r="H492" s="5" t="n"/>
      <c r="I492" s="5" t="n"/>
      <c r="J492" s="5" t="n">
        <v>54.83</v>
      </c>
      <c r="K492" s="5" t="n"/>
      <c r="L492" s="5" t="n"/>
      <c r="M492" s="5" t="n"/>
      <c r="N492" s="5" t="n"/>
      <c r="O492" s="5" t="n">
        <v>329</v>
      </c>
      <c r="P492" s="5" t="n">
        <v>329</v>
      </c>
      <c r="Q492" s="5" t="n"/>
      <c r="R492" s="5" t="n"/>
      <c r="S492" s="5">
        <f>SUM(F492:I492)+N492</f>
        <v/>
      </c>
      <c r="T492" s="5">
        <f>J492</f>
        <v/>
      </c>
      <c r="U492" s="6">
        <f>YEAR(D492)</f>
        <v/>
      </c>
      <c r="V492" s="5">
        <f>TEXT(D492,"yyyy-mm")</f>
        <v/>
      </c>
    </row>
    <row r="493">
      <c r="A493" s="2" t="inlineStr">
        <is>
          <t>EJ011023.TXT</t>
        </is>
      </c>
      <c r="B493" s="3" t="inlineStr">
        <is>
          <t>005063</t>
        </is>
      </c>
      <c r="C493" s="3" t="inlineStr">
        <is>
          <t>004053</t>
        </is>
      </c>
      <c r="D493" s="4" t="n">
        <v>45171</v>
      </c>
      <c r="E493" s="2" t="inlineStr">
        <is>
          <t>15:37</t>
        </is>
      </c>
      <c r="F493" s="5" t="n">
        <v>274.17</v>
      </c>
      <c r="G493" s="5" t="n"/>
      <c r="H493" s="5" t="n"/>
      <c r="I493" s="5" t="n"/>
      <c r="J493" s="5" t="n">
        <v>54.83</v>
      </c>
      <c r="K493" s="5" t="n"/>
      <c r="L493" s="5" t="n"/>
      <c r="M493" s="5" t="n"/>
      <c r="N493" s="5" t="n"/>
      <c r="O493" s="5" t="n">
        <v>329</v>
      </c>
      <c r="P493" s="5" t="n"/>
      <c r="Q493" s="5" t="n">
        <v>329</v>
      </c>
      <c r="R493" s="5" t="n"/>
      <c r="S493" s="5">
        <f>SUM(F493:I493)+N493</f>
        <v/>
      </c>
      <c r="T493" s="5">
        <f>J493</f>
        <v/>
      </c>
      <c r="U493" s="6">
        <f>YEAR(D493)</f>
        <v/>
      </c>
      <c r="V493" s="5">
        <f>TEXT(D493,"yyyy-mm")</f>
        <v/>
      </c>
    </row>
    <row r="494">
      <c r="A494" s="2" t="inlineStr">
        <is>
          <t>EJ011023.TXT</t>
        </is>
      </c>
      <c r="B494" s="3" t="inlineStr">
        <is>
          <t>005064</t>
        </is>
      </c>
      <c r="C494" s="3" t="inlineStr">
        <is>
          <t>004054</t>
        </is>
      </c>
      <c r="D494" s="4" t="n">
        <v>45171</v>
      </c>
      <c r="E494" s="2" t="inlineStr">
        <is>
          <t>17:12</t>
        </is>
      </c>
      <c r="F494" s="5" t="n">
        <v>548.33</v>
      </c>
      <c r="G494" s="5" t="n"/>
      <c r="H494" s="5" t="n"/>
      <c r="I494" s="5" t="n"/>
      <c r="J494" s="5" t="n">
        <v>109.67</v>
      </c>
      <c r="K494" s="5" t="n"/>
      <c r="L494" s="5" t="n"/>
      <c r="M494" s="5" t="n"/>
      <c r="N494" s="5" t="n"/>
      <c r="O494" s="5" t="n">
        <v>658</v>
      </c>
      <c r="P494" s="5" t="n">
        <v>658</v>
      </c>
      <c r="Q494" s="5" t="n"/>
      <c r="R494" s="5" t="n"/>
      <c r="S494" s="5">
        <f>SUM(F494:I494)+N494</f>
        <v/>
      </c>
      <c r="T494" s="5">
        <f>J494</f>
        <v/>
      </c>
      <c r="U494" s="6">
        <f>YEAR(D494)</f>
        <v/>
      </c>
      <c r="V494" s="5">
        <f>TEXT(D494,"yyyy-mm")</f>
        <v/>
      </c>
    </row>
    <row r="495">
      <c r="A495" s="2" t="inlineStr">
        <is>
          <t>EJ011023.TXT</t>
        </is>
      </c>
      <c r="B495" s="3" t="inlineStr">
        <is>
          <t>005065</t>
        </is>
      </c>
      <c r="C495" s="3" t="inlineStr">
        <is>
          <t>004055</t>
        </is>
      </c>
      <c r="D495" s="4" t="n">
        <v>45173</v>
      </c>
      <c r="E495" s="2" t="inlineStr">
        <is>
          <t>14:00</t>
        </is>
      </c>
      <c r="F495" s="5" t="n">
        <v>124.17</v>
      </c>
      <c r="G495" s="5" t="n"/>
      <c r="H495" s="5" t="n"/>
      <c r="I495" s="5" t="n"/>
      <c r="J495" s="5" t="n">
        <v>24.83</v>
      </c>
      <c r="K495" s="5" t="n"/>
      <c r="L495" s="5" t="n"/>
      <c r="M495" s="5" t="n"/>
      <c r="N495" s="5" t="n"/>
      <c r="O495" s="5" t="n">
        <v>149</v>
      </c>
      <c r="P495" s="5" t="n"/>
      <c r="Q495" s="5" t="n">
        <v>149</v>
      </c>
      <c r="R495" s="5" t="n"/>
      <c r="S495" s="5">
        <f>SUM(F495:I495)+N495</f>
        <v/>
      </c>
      <c r="T495" s="5">
        <f>J495</f>
        <v/>
      </c>
      <c r="U495" s="6">
        <f>YEAR(D495)</f>
        <v/>
      </c>
      <c r="V495" s="5">
        <f>TEXT(D495,"yyyy-mm")</f>
        <v/>
      </c>
    </row>
    <row r="496">
      <c r="A496" s="2" t="inlineStr">
        <is>
          <t>EJ011023.TXT</t>
        </is>
      </c>
      <c r="B496" s="3" t="inlineStr">
        <is>
          <t>005066</t>
        </is>
      </c>
      <c r="C496" s="3" t="inlineStr">
        <is>
          <t>004056</t>
        </is>
      </c>
      <c r="D496" s="4" t="n">
        <v>45174</v>
      </c>
      <c r="E496" s="2" t="inlineStr">
        <is>
          <t>17:27</t>
        </is>
      </c>
      <c r="F496" s="5" t="n">
        <v>646.67</v>
      </c>
      <c r="G496" s="5" t="n"/>
      <c r="H496" s="5" t="n"/>
      <c r="I496" s="5" t="n"/>
      <c r="J496" s="5" t="n">
        <v>129.33</v>
      </c>
      <c r="K496" s="5" t="n"/>
      <c r="L496" s="5" t="n"/>
      <c r="M496" s="5" t="n"/>
      <c r="N496" s="5" t="n"/>
      <c r="O496" s="5" t="n">
        <v>776</v>
      </c>
      <c r="P496" s="5" t="n">
        <v>776</v>
      </c>
      <c r="Q496" s="5" t="n"/>
      <c r="R496" s="5" t="n"/>
      <c r="S496" s="5">
        <f>SUM(F496:I496)+N496</f>
        <v/>
      </c>
      <c r="T496" s="5">
        <f>J496</f>
        <v/>
      </c>
      <c r="U496" s="6">
        <f>YEAR(D496)</f>
        <v/>
      </c>
      <c r="V496" s="5">
        <f>TEXT(D496,"yyyy-mm")</f>
        <v/>
      </c>
    </row>
    <row r="497">
      <c r="A497" s="2" t="inlineStr">
        <is>
          <t>EJ011023.TXT</t>
        </is>
      </c>
      <c r="B497" s="3" t="inlineStr">
        <is>
          <t>005067</t>
        </is>
      </c>
      <c r="C497" s="3" t="inlineStr">
        <is>
          <t>004057</t>
        </is>
      </c>
      <c r="D497" s="4" t="n">
        <v>45175</v>
      </c>
      <c r="E497" s="2" t="inlineStr">
        <is>
          <t>14:21</t>
        </is>
      </c>
      <c r="F497" s="5" t="n">
        <v>1595</v>
      </c>
      <c r="G497" s="5" t="n"/>
      <c r="H497" s="5" t="n"/>
      <c r="I497" s="5" t="n"/>
      <c r="J497" s="5" t="n">
        <v>319</v>
      </c>
      <c r="K497" s="5" t="n"/>
      <c r="L497" s="5" t="n"/>
      <c r="M497" s="5" t="n"/>
      <c r="N497" s="5" t="n"/>
      <c r="O497" s="5" t="n">
        <v>1914</v>
      </c>
      <c r="P497" s="5" t="n">
        <v>1914</v>
      </c>
      <c r="Q497" s="5" t="n"/>
      <c r="R497" s="5" t="n"/>
      <c r="S497" s="5">
        <f>SUM(F497:I497)+N497</f>
        <v/>
      </c>
      <c r="T497" s="5">
        <f>J497</f>
        <v/>
      </c>
      <c r="U497" s="6">
        <f>YEAR(D497)</f>
        <v/>
      </c>
      <c r="V497" s="5">
        <f>TEXT(D497,"yyyy-mm")</f>
        <v/>
      </c>
    </row>
    <row r="498">
      <c r="A498" s="2" t="inlineStr">
        <is>
          <t>EJ011023.TXT</t>
        </is>
      </c>
      <c r="B498" s="3" t="inlineStr">
        <is>
          <t>005068</t>
        </is>
      </c>
      <c r="C498" s="3" t="inlineStr">
        <is>
          <t>004058</t>
        </is>
      </c>
      <c r="D498" s="4" t="n">
        <v>45175</v>
      </c>
      <c r="E498" s="2" t="inlineStr">
        <is>
          <t>14:23</t>
        </is>
      </c>
      <c r="F498" s="5" t="n">
        <v>822.5</v>
      </c>
      <c r="G498" s="5" t="n"/>
      <c r="H498" s="5" t="n"/>
      <c r="I498" s="5" t="n"/>
      <c r="J498" s="5" t="n">
        <v>164.5</v>
      </c>
      <c r="K498" s="5" t="n"/>
      <c r="L498" s="5" t="n"/>
      <c r="M498" s="5" t="n"/>
      <c r="N498" s="5" t="n"/>
      <c r="O498" s="5" t="n">
        <v>987</v>
      </c>
      <c r="P498" s="5" t="n"/>
      <c r="Q498" s="5" t="n">
        <v>987</v>
      </c>
      <c r="R498" s="5" t="n"/>
      <c r="S498" s="5">
        <f>SUM(F498:I498)+N498</f>
        <v/>
      </c>
      <c r="T498" s="5">
        <f>J498</f>
        <v/>
      </c>
      <c r="U498" s="6">
        <f>YEAR(D498)</f>
        <v/>
      </c>
      <c r="V498" s="5">
        <f>TEXT(D498,"yyyy-mm")</f>
        <v/>
      </c>
    </row>
    <row r="499">
      <c r="A499" s="2" t="inlineStr">
        <is>
          <t>EJ011023.TXT</t>
        </is>
      </c>
      <c r="B499" s="3" t="inlineStr">
        <is>
          <t>005069</t>
        </is>
      </c>
      <c r="C499" s="3" t="inlineStr">
        <is>
          <t>004059</t>
        </is>
      </c>
      <c r="D499" s="4" t="n">
        <v>45175</v>
      </c>
      <c r="E499" s="2" t="inlineStr">
        <is>
          <t>14:23</t>
        </is>
      </c>
      <c r="F499" s="5" t="n">
        <v>274.17</v>
      </c>
      <c r="G499" s="5" t="n"/>
      <c r="H499" s="5" t="n"/>
      <c r="I499" s="5" t="n"/>
      <c r="J499" s="5" t="n">
        <v>54.83</v>
      </c>
      <c r="K499" s="5" t="n"/>
      <c r="L499" s="5" t="n"/>
      <c r="M499" s="5" t="n"/>
      <c r="N499" s="5" t="n"/>
      <c r="O499" s="5" t="n">
        <v>329</v>
      </c>
      <c r="P499" s="5" t="n"/>
      <c r="Q499" s="5" t="n">
        <v>329</v>
      </c>
      <c r="R499" s="5" t="n"/>
      <c r="S499" s="5">
        <f>SUM(F499:I499)+N499</f>
        <v/>
      </c>
      <c r="T499" s="5">
        <f>J499</f>
        <v/>
      </c>
      <c r="U499" s="6">
        <f>YEAR(D499)</f>
        <v/>
      </c>
      <c r="V499" s="5">
        <f>TEXT(D499,"yyyy-mm")</f>
        <v/>
      </c>
    </row>
    <row r="500">
      <c r="A500" s="2" t="inlineStr">
        <is>
          <t>EJ011023.TXT</t>
        </is>
      </c>
      <c r="B500" s="3" t="inlineStr">
        <is>
          <t>005070</t>
        </is>
      </c>
      <c r="C500" s="3" t="inlineStr">
        <is>
          <t>004060</t>
        </is>
      </c>
      <c r="D500" s="4" t="n">
        <v>45176</v>
      </c>
      <c r="E500" s="2" t="inlineStr">
        <is>
          <t>10:21</t>
        </is>
      </c>
      <c r="F500" s="5" t="n">
        <v>531.67</v>
      </c>
      <c r="G500" s="5" t="n"/>
      <c r="H500" s="5" t="n"/>
      <c r="I500" s="5" t="n"/>
      <c r="J500" s="5" t="n">
        <v>106.33</v>
      </c>
      <c r="K500" s="5" t="n"/>
      <c r="L500" s="5" t="n"/>
      <c r="M500" s="5" t="n"/>
      <c r="N500" s="5" t="n"/>
      <c r="O500" s="5" t="n">
        <v>638</v>
      </c>
      <c r="P500" s="5" t="n"/>
      <c r="Q500" s="5" t="n">
        <v>638</v>
      </c>
      <c r="R500" s="5" t="n"/>
      <c r="S500" s="5">
        <f>SUM(F500:I500)+N500</f>
        <v/>
      </c>
      <c r="T500" s="5">
        <f>J500</f>
        <v/>
      </c>
      <c r="U500" s="6">
        <f>YEAR(D500)</f>
        <v/>
      </c>
      <c r="V500" s="5">
        <f>TEXT(D500,"yyyy-mm")</f>
        <v/>
      </c>
    </row>
    <row r="501">
      <c r="A501" s="2" t="inlineStr">
        <is>
          <t>EJ011023.TXT</t>
        </is>
      </c>
      <c r="B501" s="3" t="inlineStr">
        <is>
          <t>005071</t>
        </is>
      </c>
      <c r="C501" s="3" t="inlineStr">
        <is>
          <t>004061</t>
        </is>
      </c>
      <c r="D501" s="4" t="n">
        <v>45177</v>
      </c>
      <c r="E501" s="2" t="inlineStr">
        <is>
          <t>09:54</t>
        </is>
      </c>
      <c r="F501" s="5" t="n">
        <v>414.17</v>
      </c>
      <c r="G501" s="5" t="n"/>
      <c r="H501" s="5" t="n"/>
      <c r="I501" s="5" t="n"/>
      <c r="J501" s="5" t="n">
        <v>82.83</v>
      </c>
      <c r="K501" s="5" t="n"/>
      <c r="L501" s="5" t="n"/>
      <c r="M501" s="5" t="n"/>
      <c r="N501" s="5" t="n"/>
      <c r="O501" s="5" t="n">
        <v>497</v>
      </c>
      <c r="P501" s="5" t="n">
        <v>497</v>
      </c>
      <c r="Q501" s="5" t="n"/>
      <c r="R501" s="5" t="n"/>
      <c r="S501" s="5">
        <f>SUM(F501:I501)+N501</f>
        <v/>
      </c>
      <c r="T501" s="5">
        <f>J501</f>
        <v/>
      </c>
      <c r="U501" s="6">
        <f>YEAR(D501)</f>
        <v/>
      </c>
      <c r="V501" s="5">
        <f>TEXT(D501,"yyyy-mm")</f>
        <v/>
      </c>
    </row>
    <row r="502">
      <c r="A502" s="2" t="inlineStr">
        <is>
          <t>EJ011023.TXT</t>
        </is>
      </c>
      <c r="B502" s="3" t="inlineStr">
        <is>
          <t>005072</t>
        </is>
      </c>
      <c r="C502" s="3" t="inlineStr">
        <is>
          <t>004062</t>
        </is>
      </c>
      <c r="D502" s="4" t="n">
        <v>45178</v>
      </c>
      <c r="E502" s="2" t="inlineStr">
        <is>
          <t>13:44</t>
        </is>
      </c>
      <c r="F502" s="5" t="n">
        <v>199.17</v>
      </c>
      <c r="G502" s="5" t="n"/>
      <c r="H502" s="5" t="n"/>
      <c r="I502" s="5" t="n"/>
      <c r="J502" s="5" t="n">
        <v>39.83</v>
      </c>
      <c r="K502" s="5" t="n"/>
      <c r="L502" s="5" t="n"/>
      <c r="M502" s="5" t="n"/>
      <c r="N502" s="5" t="n"/>
      <c r="O502" s="5" t="n">
        <v>239</v>
      </c>
      <c r="P502" s="5" t="n">
        <v>239</v>
      </c>
      <c r="Q502" s="5" t="n"/>
      <c r="R502" s="5" t="n"/>
      <c r="S502" s="5">
        <f>SUM(F502:I502)+N502</f>
        <v/>
      </c>
      <c r="T502" s="5">
        <f>J502</f>
        <v/>
      </c>
      <c r="U502" s="6">
        <f>YEAR(D502)</f>
        <v/>
      </c>
      <c r="V502" s="5">
        <f>TEXT(D502,"yyyy-mm")</f>
        <v/>
      </c>
    </row>
    <row r="503">
      <c r="A503" s="2" t="inlineStr">
        <is>
          <t>EJ011023.TXT</t>
        </is>
      </c>
      <c r="B503" s="3" t="inlineStr">
        <is>
          <t>005073</t>
        </is>
      </c>
      <c r="C503" s="3" t="inlineStr">
        <is>
          <t>004063</t>
        </is>
      </c>
      <c r="D503" s="4" t="n">
        <v>45180</v>
      </c>
      <c r="E503" s="2" t="inlineStr">
        <is>
          <t>16:23</t>
        </is>
      </c>
      <c r="F503" s="5" t="n">
        <v>1595</v>
      </c>
      <c r="G503" s="5" t="n"/>
      <c r="H503" s="5" t="n"/>
      <c r="I503" s="5" t="n"/>
      <c r="J503" s="5" t="n">
        <v>319</v>
      </c>
      <c r="K503" s="5" t="n"/>
      <c r="L503" s="5" t="n"/>
      <c r="M503" s="5" t="n"/>
      <c r="N503" s="5" t="n"/>
      <c r="O503" s="5" t="n">
        <v>1914</v>
      </c>
      <c r="P503" s="5" t="n">
        <v>1914</v>
      </c>
      <c r="Q503" s="5" t="n"/>
      <c r="R503" s="5" t="n"/>
      <c r="S503" s="5">
        <f>SUM(F503:I503)+N503</f>
        <v/>
      </c>
      <c r="T503" s="5">
        <f>J503</f>
        <v/>
      </c>
      <c r="U503" s="6">
        <f>YEAR(D503)</f>
        <v/>
      </c>
      <c r="V503" s="5">
        <f>TEXT(D503,"yyyy-mm")</f>
        <v/>
      </c>
    </row>
    <row r="504">
      <c r="A504" s="2" t="inlineStr">
        <is>
          <t>EJ011023.TXT</t>
        </is>
      </c>
      <c r="B504" s="3" t="inlineStr">
        <is>
          <t>005074</t>
        </is>
      </c>
      <c r="C504" s="3" t="inlineStr">
        <is>
          <t>004064</t>
        </is>
      </c>
      <c r="D504" s="4" t="n">
        <v>45180</v>
      </c>
      <c r="E504" s="2" t="inlineStr">
        <is>
          <t>16:24</t>
        </is>
      </c>
      <c r="F504" s="5" t="n">
        <v>822.5</v>
      </c>
      <c r="G504" s="5" t="n"/>
      <c r="H504" s="5" t="n"/>
      <c r="I504" s="5" t="n"/>
      <c r="J504" s="5" t="n">
        <v>164.5</v>
      </c>
      <c r="K504" s="5" t="n"/>
      <c r="L504" s="5" t="n"/>
      <c r="M504" s="5" t="n"/>
      <c r="N504" s="5" t="n"/>
      <c r="O504" s="5" t="n">
        <v>987</v>
      </c>
      <c r="P504" s="5" t="n"/>
      <c r="Q504" s="5" t="n">
        <v>987</v>
      </c>
      <c r="R504" s="5" t="n"/>
      <c r="S504" s="5">
        <f>SUM(F504:I504)+N504</f>
        <v/>
      </c>
      <c r="T504" s="5">
        <f>J504</f>
        <v/>
      </c>
      <c r="U504" s="6">
        <f>YEAR(D504)</f>
        <v/>
      </c>
      <c r="V504" s="5">
        <f>TEXT(D504,"yyyy-mm")</f>
        <v/>
      </c>
    </row>
    <row r="505">
      <c r="A505" s="2" t="inlineStr">
        <is>
          <t>EJ011023.TXT</t>
        </is>
      </c>
      <c r="B505" s="3" t="inlineStr">
        <is>
          <t>005075</t>
        </is>
      </c>
      <c r="C505" s="3" t="inlineStr">
        <is>
          <t>004065</t>
        </is>
      </c>
      <c r="D505" s="4" t="n">
        <v>45180</v>
      </c>
      <c r="E505" s="2" t="inlineStr">
        <is>
          <t>16:25</t>
        </is>
      </c>
      <c r="F505" s="5" t="n">
        <v>822.5</v>
      </c>
      <c r="G505" s="5" t="n"/>
      <c r="H505" s="5" t="n"/>
      <c r="I505" s="5" t="n"/>
      <c r="J505" s="5" t="n">
        <v>164.5</v>
      </c>
      <c r="K505" s="5" t="n"/>
      <c r="L505" s="5" t="n"/>
      <c r="M505" s="5" t="n"/>
      <c r="N505" s="5" t="n"/>
      <c r="O505" s="5" t="n">
        <v>987</v>
      </c>
      <c r="P505" s="5" t="n"/>
      <c r="Q505" s="5" t="n">
        <v>987</v>
      </c>
      <c r="R505" s="5" t="n"/>
      <c r="S505" s="5">
        <f>SUM(F505:I505)+N505</f>
        <v/>
      </c>
      <c r="T505" s="5">
        <f>J505</f>
        <v/>
      </c>
      <c r="U505" s="6">
        <f>YEAR(D505)</f>
        <v/>
      </c>
      <c r="V505" s="5">
        <f>TEXT(D505,"yyyy-mm")</f>
        <v/>
      </c>
    </row>
    <row r="506">
      <c r="A506" s="2" t="inlineStr">
        <is>
          <t>EJ011023.TXT</t>
        </is>
      </c>
      <c r="B506" s="3" t="inlineStr">
        <is>
          <t>005076</t>
        </is>
      </c>
      <c r="C506" s="3" t="inlineStr">
        <is>
          <t>004066</t>
        </is>
      </c>
      <c r="D506" s="4" t="n">
        <v>45181</v>
      </c>
      <c r="E506" s="2" t="inlineStr">
        <is>
          <t>15:03</t>
        </is>
      </c>
      <c r="F506" s="5" t="n">
        <v>274.17</v>
      </c>
      <c r="G506" s="5" t="n"/>
      <c r="H506" s="5" t="n"/>
      <c r="I506" s="5" t="n"/>
      <c r="J506" s="5" t="n">
        <v>54.83</v>
      </c>
      <c r="K506" s="5" t="n"/>
      <c r="L506" s="5" t="n"/>
      <c r="M506" s="5" t="n"/>
      <c r="N506" s="5" t="n"/>
      <c r="O506" s="5" t="n">
        <v>329</v>
      </c>
      <c r="P506" s="5" t="n"/>
      <c r="Q506" s="5" t="n">
        <v>329</v>
      </c>
      <c r="R506" s="5" t="n"/>
      <c r="S506" s="5">
        <f>SUM(F506:I506)+N506</f>
        <v/>
      </c>
      <c r="T506" s="5">
        <f>J506</f>
        <v/>
      </c>
      <c r="U506" s="6">
        <f>YEAR(D506)</f>
        <v/>
      </c>
      <c r="V506" s="5">
        <f>TEXT(D506,"yyyy-mm")</f>
        <v/>
      </c>
    </row>
    <row r="507">
      <c r="A507" s="2" t="inlineStr">
        <is>
          <t>EJ011023.TXT</t>
        </is>
      </c>
      <c r="B507" s="3" t="inlineStr">
        <is>
          <t>005077</t>
        </is>
      </c>
      <c r="C507" s="3" t="inlineStr">
        <is>
          <t>004067</t>
        </is>
      </c>
      <c r="D507" s="4" t="n">
        <v>45181</v>
      </c>
      <c r="E507" s="2" t="inlineStr">
        <is>
          <t>15:25</t>
        </is>
      </c>
      <c r="F507" s="5" t="n">
        <v>190.83</v>
      </c>
      <c r="G507" s="5" t="n"/>
      <c r="H507" s="5" t="n"/>
      <c r="I507" s="5" t="n"/>
      <c r="J507" s="5" t="n">
        <v>38.17</v>
      </c>
      <c r="K507" s="5" t="n"/>
      <c r="L507" s="5" t="n"/>
      <c r="M507" s="5" t="n"/>
      <c r="N507" s="5" t="n"/>
      <c r="O507" s="5" t="n">
        <v>229</v>
      </c>
      <c r="P507" s="5" t="n">
        <v>229</v>
      </c>
      <c r="Q507" s="5" t="n"/>
      <c r="R507" s="5" t="n"/>
      <c r="S507" s="5">
        <f>SUM(F507:I507)+N507</f>
        <v/>
      </c>
      <c r="T507" s="5">
        <f>J507</f>
        <v/>
      </c>
      <c r="U507" s="6">
        <f>YEAR(D507)</f>
        <v/>
      </c>
      <c r="V507" s="5">
        <f>TEXT(D507,"yyyy-mm")</f>
        <v/>
      </c>
    </row>
    <row r="508">
      <c r="A508" s="2" t="inlineStr">
        <is>
          <t>EJ011023.TXT</t>
        </is>
      </c>
      <c r="B508" s="3" t="inlineStr">
        <is>
          <t>005078</t>
        </is>
      </c>
      <c r="C508" s="3" t="inlineStr">
        <is>
          <t>004068</t>
        </is>
      </c>
      <c r="D508" s="4" t="n">
        <v>45182</v>
      </c>
      <c r="E508" s="2" t="inlineStr">
        <is>
          <t>13:42</t>
        </is>
      </c>
      <c r="F508" s="5" t="n">
        <v>313.33</v>
      </c>
      <c r="G508" s="5" t="n"/>
      <c r="H508" s="5" t="n"/>
      <c r="I508" s="5" t="n"/>
      <c r="J508" s="5" t="n">
        <v>62.67</v>
      </c>
      <c r="K508" s="5" t="n"/>
      <c r="L508" s="5" t="n"/>
      <c r="M508" s="5" t="n"/>
      <c r="N508" s="5" t="n"/>
      <c r="O508" s="5" t="n">
        <v>376</v>
      </c>
      <c r="P508" s="5" t="n"/>
      <c r="Q508" s="5" t="n">
        <v>376</v>
      </c>
      <c r="R508" s="5" t="n"/>
      <c r="S508" s="5">
        <f>SUM(F508:I508)+N508</f>
        <v/>
      </c>
      <c r="T508" s="5">
        <f>J508</f>
        <v/>
      </c>
      <c r="U508" s="6">
        <f>YEAR(D508)</f>
        <v/>
      </c>
      <c r="V508" s="5">
        <f>TEXT(D508,"yyyy-mm")</f>
        <v/>
      </c>
    </row>
    <row r="509">
      <c r="A509" s="2" t="inlineStr">
        <is>
          <t>EJ011023.TXT</t>
        </is>
      </c>
      <c r="B509" s="3" t="inlineStr">
        <is>
          <t>005079</t>
        </is>
      </c>
      <c r="C509" s="3" t="inlineStr">
        <is>
          <t>004069</t>
        </is>
      </c>
      <c r="D509" s="4" t="n">
        <v>45182</v>
      </c>
      <c r="E509" s="2" t="inlineStr">
        <is>
          <t>16:36</t>
        </is>
      </c>
      <c r="F509" s="5" t="n">
        <v>156.67</v>
      </c>
      <c r="G509" s="5" t="n"/>
      <c r="H509" s="5" t="n"/>
      <c r="I509" s="5" t="n"/>
      <c r="J509" s="5" t="n">
        <v>31.33</v>
      </c>
      <c r="K509" s="5" t="n"/>
      <c r="L509" s="5" t="n"/>
      <c r="M509" s="5" t="n"/>
      <c r="N509" s="5" t="n"/>
      <c r="O509" s="5" t="n">
        <v>188</v>
      </c>
      <c r="P509" s="5" t="n"/>
      <c r="Q509" s="5" t="n">
        <v>188</v>
      </c>
      <c r="R509" s="5" t="n"/>
      <c r="S509" s="5">
        <f>SUM(F509:I509)+N509</f>
        <v/>
      </c>
      <c r="T509" s="5">
        <f>J509</f>
        <v/>
      </c>
      <c r="U509" s="6">
        <f>YEAR(D509)</f>
        <v/>
      </c>
      <c r="V509" s="5">
        <f>TEXT(D509,"yyyy-mm")</f>
        <v/>
      </c>
    </row>
    <row r="510">
      <c r="A510" s="2" t="inlineStr">
        <is>
          <t>EJ011023.TXT</t>
        </is>
      </c>
      <c r="B510" s="3" t="inlineStr">
        <is>
          <t>005080</t>
        </is>
      </c>
      <c r="C510" s="3" t="inlineStr">
        <is>
          <t>004070</t>
        </is>
      </c>
      <c r="D510" s="4" t="n">
        <v>45183</v>
      </c>
      <c r="E510" s="2" t="inlineStr">
        <is>
          <t>10:07</t>
        </is>
      </c>
      <c r="F510" s="5" t="n">
        <v>208.33</v>
      </c>
      <c r="G510" s="5" t="n"/>
      <c r="H510" s="5" t="n"/>
      <c r="I510" s="5" t="n"/>
      <c r="J510" s="5" t="n">
        <v>41.67</v>
      </c>
      <c r="K510" s="5" t="n"/>
      <c r="L510" s="5" t="n"/>
      <c r="M510" s="5" t="n"/>
      <c r="N510" s="5" t="n"/>
      <c r="O510" s="5" t="n">
        <v>250</v>
      </c>
      <c r="P510" s="5" t="n"/>
      <c r="Q510" s="5" t="n">
        <v>250</v>
      </c>
      <c r="R510" s="5" t="n"/>
      <c r="S510" s="5">
        <f>SUM(F510:I510)+N510</f>
        <v/>
      </c>
      <c r="T510" s="5">
        <f>J510</f>
        <v/>
      </c>
      <c r="U510" s="6">
        <f>YEAR(D510)</f>
        <v/>
      </c>
      <c r="V510" s="5">
        <f>TEXT(D510,"yyyy-mm")</f>
        <v/>
      </c>
    </row>
    <row r="511">
      <c r="A511" s="2" t="inlineStr">
        <is>
          <t>EJ011023.TXT</t>
        </is>
      </c>
      <c r="B511" s="3" t="inlineStr">
        <is>
          <t>005081</t>
        </is>
      </c>
      <c r="C511" s="3" t="inlineStr">
        <is>
          <t>004071</t>
        </is>
      </c>
      <c r="D511" s="4" t="n">
        <v>45183</v>
      </c>
      <c r="E511" s="2" t="inlineStr">
        <is>
          <t>10:34</t>
        </is>
      </c>
      <c r="F511" s="5" t="n">
        <v>232.42</v>
      </c>
      <c r="G511" s="5" t="n"/>
      <c r="H511" s="5" t="n"/>
      <c r="I511" s="5" t="n"/>
      <c r="J511" s="5" t="n">
        <v>46.48</v>
      </c>
      <c r="K511" s="5" t="n"/>
      <c r="L511" s="5" t="n"/>
      <c r="M511" s="5" t="n"/>
      <c r="N511" s="5" t="n"/>
      <c r="O511" s="5" t="n">
        <v>278.9</v>
      </c>
      <c r="P511" s="5" t="n"/>
      <c r="Q511" s="5" t="n">
        <v>278.9</v>
      </c>
      <c r="R511" s="5" t="n"/>
      <c r="S511" s="5">
        <f>SUM(F511:I511)+N511</f>
        <v/>
      </c>
      <c r="T511" s="5">
        <f>J511</f>
        <v/>
      </c>
      <c r="U511" s="6">
        <f>YEAR(D511)</f>
        <v/>
      </c>
      <c r="V511" s="5">
        <f>TEXT(D511,"yyyy-mm")</f>
        <v/>
      </c>
    </row>
    <row r="512">
      <c r="A512" s="2" t="inlineStr">
        <is>
          <t>EJ011023.TXT</t>
        </is>
      </c>
      <c r="B512" s="3" t="inlineStr">
        <is>
          <t>005082</t>
        </is>
      </c>
      <c r="C512" s="3" t="inlineStr">
        <is>
          <t>004072</t>
        </is>
      </c>
      <c r="D512" s="4" t="n">
        <v>45183</v>
      </c>
      <c r="E512" s="2" t="inlineStr">
        <is>
          <t>10:41</t>
        </is>
      </c>
      <c r="F512" s="5" t="n">
        <v>199.17</v>
      </c>
      <c r="G512" s="5" t="n"/>
      <c r="H512" s="5" t="n"/>
      <c r="I512" s="5" t="n"/>
      <c r="J512" s="5" t="n">
        <v>39.83</v>
      </c>
      <c r="K512" s="5" t="n"/>
      <c r="L512" s="5" t="n"/>
      <c r="M512" s="5" t="n"/>
      <c r="N512" s="5" t="n"/>
      <c r="O512" s="5" t="n">
        <v>239</v>
      </c>
      <c r="P512" s="5" t="n"/>
      <c r="Q512" s="5" t="n">
        <v>239</v>
      </c>
      <c r="R512" s="5" t="n"/>
      <c r="S512" s="5">
        <f>SUM(F512:I512)+N512</f>
        <v/>
      </c>
      <c r="T512" s="5">
        <f>J512</f>
        <v/>
      </c>
      <c r="U512" s="6">
        <f>YEAR(D512)</f>
        <v/>
      </c>
      <c r="V512" s="5">
        <f>TEXT(D512,"yyyy-mm")</f>
        <v/>
      </c>
    </row>
    <row r="513">
      <c r="A513" s="2" t="inlineStr">
        <is>
          <t>EJ011023.TXT</t>
        </is>
      </c>
      <c r="B513" s="3" t="inlineStr">
        <is>
          <t>005083</t>
        </is>
      </c>
      <c r="C513" s="3" t="inlineStr">
        <is>
          <t>004073</t>
        </is>
      </c>
      <c r="D513" s="4" t="n">
        <v>45184</v>
      </c>
      <c r="E513" s="2" t="inlineStr">
        <is>
          <t>09:30</t>
        </is>
      </c>
      <c r="F513" s="5" t="n">
        <v>797.5</v>
      </c>
      <c r="G513" s="5" t="n"/>
      <c r="H513" s="5" t="n"/>
      <c r="I513" s="5" t="n"/>
      <c r="J513" s="5" t="n">
        <v>159.5</v>
      </c>
      <c r="K513" s="5" t="n"/>
      <c r="L513" s="5" t="n"/>
      <c r="M513" s="5" t="n"/>
      <c r="N513" s="5" t="n"/>
      <c r="O513" s="5" t="n">
        <v>957</v>
      </c>
      <c r="P513" s="5" t="n"/>
      <c r="Q513" s="5" t="n">
        <v>957</v>
      </c>
      <c r="R513" s="5" t="n"/>
      <c r="S513" s="5">
        <f>SUM(F513:I513)+N513</f>
        <v/>
      </c>
      <c r="T513" s="5">
        <f>J513</f>
        <v/>
      </c>
      <c r="U513" s="6">
        <f>YEAR(D513)</f>
        <v/>
      </c>
      <c r="V513" s="5">
        <f>TEXT(D513,"yyyy-mm")</f>
        <v/>
      </c>
    </row>
    <row r="514">
      <c r="A514" s="2" t="inlineStr">
        <is>
          <t>EJ011023.TXT</t>
        </is>
      </c>
      <c r="B514" s="3" t="inlineStr">
        <is>
          <t>005084</t>
        </is>
      </c>
      <c r="C514" s="3" t="inlineStr">
        <is>
          <t>004074</t>
        </is>
      </c>
      <c r="D514" s="4" t="n">
        <v>45184</v>
      </c>
      <c r="E514" s="2" t="inlineStr">
        <is>
          <t>09:54</t>
        </is>
      </c>
      <c r="F514" s="5" t="n">
        <v>787.5</v>
      </c>
      <c r="G514" s="5" t="n"/>
      <c r="H514" s="5" t="n"/>
      <c r="I514" s="5" t="n"/>
      <c r="J514" s="5" t="n">
        <v>157.5</v>
      </c>
      <c r="K514" s="5" t="n"/>
      <c r="L514" s="5" t="n"/>
      <c r="M514" s="5" t="n"/>
      <c r="N514" s="5" t="n"/>
      <c r="O514" s="5" t="n">
        <v>945</v>
      </c>
      <c r="P514" s="5" t="n"/>
      <c r="Q514" s="5" t="n">
        <v>945</v>
      </c>
      <c r="R514" s="5" t="n"/>
      <c r="S514" s="5">
        <f>SUM(F514:I514)+N514</f>
        <v/>
      </c>
      <c r="T514" s="5">
        <f>J514</f>
        <v/>
      </c>
      <c r="U514" s="6">
        <f>YEAR(D514)</f>
        <v/>
      </c>
      <c r="V514" s="5">
        <f>TEXT(D514,"yyyy-mm")</f>
        <v/>
      </c>
    </row>
    <row r="515">
      <c r="A515" s="2" t="inlineStr">
        <is>
          <t>EJ011023.TXT</t>
        </is>
      </c>
      <c r="B515" s="3" t="inlineStr">
        <is>
          <t>005085</t>
        </is>
      </c>
      <c r="C515" s="3" t="inlineStr">
        <is>
          <t>004075</t>
        </is>
      </c>
      <c r="D515" s="4" t="n">
        <v>45184</v>
      </c>
      <c r="E515" s="2" t="inlineStr">
        <is>
          <t>09:55</t>
        </is>
      </c>
      <c r="F515" s="5" t="n">
        <v>787.5</v>
      </c>
      <c r="G515" s="5" t="n"/>
      <c r="H515" s="5" t="n"/>
      <c r="I515" s="5" t="n"/>
      <c r="J515" s="5" t="n">
        <v>157.5</v>
      </c>
      <c r="K515" s="5" t="n"/>
      <c r="L515" s="5" t="n"/>
      <c r="M515" s="5" t="n"/>
      <c r="N515" s="5" t="n"/>
      <c r="O515" s="5" t="n">
        <v>945</v>
      </c>
      <c r="P515" s="5" t="n"/>
      <c r="Q515" s="5" t="n">
        <v>945</v>
      </c>
      <c r="R515" s="5" t="n"/>
      <c r="S515" s="5">
        <f>SUM(F515:I515)+N515</f>
        <v/>
      </c>
      <c r="T515" s="5">
        <f>J515</f>
        <v/>
      </c>
      <c r="U515" s="6">
        <f>YEAR(D515)</f>
        <v/>
      </c>
      <c r="V515" s="5">
        <f>TEXT(D515,"yyyy-mm")</f>
        <v/>
      </c>
    </row>
    <row r="516">
      <c r="A516" s="2" t="inlineStr">
        <is>
          <t>EJ011023.TXT</t>
        </is>
      </c>
      <c r="B516" s="3" t="inlineStr">
        <is>
          <t>005086</t>
        </is>
      </c>
      <c r="C516" s="3" t="inlineStr">
        <is>
          <t>004076</t>
        </is>
      </c>
      <c r="D516" s="4" t="n">
        <v>45184</v>
      </c>
      <c r="E516" s="2" t="inlineStr">
        <is>
          <t>10:05</t>
        </is>
      </c>
      <c r="F516" s="5" t="n">
        <v>495</v>
      </c>
      <c r="G516" s="5" t="n"/>
      <c r="H516" s="5" t="n"/>
      <c r="I516" s="5" t="n"/>
      <c r="J516" s="5" t="n">
        <v>99</v>
      </c>
      <c r="K516" s="5" t="n"/>
      <c r="L516" s="5" t="n"/>
      <c r="M516" s="5" t="n"/>
      <c r="N516" s="5" t="n"/>
      <c r="O516" s="5" t="n">
        <v>594</v>
      </c>
      <c r="P516" s="5" t="n"/>
      <c r="Q516" s="5" t="n">
        <v>594</v>
      </c>
      <c r="R516" s="5" t="n"/>
      <c r="S516" s="5">
        <f>SUM(F516:I516)+N516</f>
        <v/>
      </c>
      <c r="T516" s="5">
        <f>J516</f>
        <v/>
      </c>
      <c r="U516" s="6">
        <f>YEAR(D516)</f>
        <v/>
      </c>
      <c r="V516" s="5">
        <f>TEXT(D516,"yyyy-mm")</f>
        <v/>
      </c>
    </row>
    <row r="517">
      <c r="A517" s="2" t="inlineStr">
        <is>
          <t>EJ011023.TXT</t>
        </is>
      </c>
      <c r="B517" s="3" t="inlineStr">
        <is>
          <t>005087</t>
        </is>
      </c>
      <c r="C517" s="3" t="inlineStr">
        <is>
          <t>004077</t>
        </is>
      </c>
      <c r="D517" s="4" t="n">
        <v>45185</v>
      </c>
      <c r="E517" s="2" t="inlineStr">
        <is>
          <t>16:14</t>
        </is>
      </c>
      <c r="F517" s="5" t="n">
        <v>531.67</v>
      </c>
      <c r="G517" s="5" t="n"/>
      <c r="H517" s="5" t="n"/>
      <c r="I517" s="5" t="n"/>
      <c r="J517" s="5" t="n">
        <v>106.33</v>
      </c>
      <c r="K517" s="5" t="n"/>
      <c r="L517" s="5" t="n"/>
      <c r="M517" s="5" t="n"/>
      <c r="N517" s="5" t="n"/>
      <c r="O517" s="5" t="n">
        <v>638</v>
      </c>
      <c r="P517" s="5" t="n">
        <v>638</v>
      </c>
      <c r="Q517" s="5" t="n"/>
      <c r="R517" s="5" t="n"/>
      <c r="S517" s="5">
        <f>SUM(F517:I517)+N517</f>
        <v/>
      </c>
      <c r="T517" s="5">
        <f>J517</f>
        <v/>
      </c>
      <c r="U517" s="6">
        <f>YEAR(D517)</f>
        <v/>
      </c>
      <c r="V517" s="5">
        <f>TEXT(D517,"yyyy-mm")</f>
        <v/>
      </c>
    </row>
    <row r="518">
      <c r="A518" s="2" t="inlineStr">
        <is>
          <t>EJ011023.TXT</t>
        </is>
      </c>
      <c r="B518" s="3" t="inlineStr">
        <is>
          <t>005088</t>
        </is>
      </c>
      <c r="C518" s="3" t="inlineStr">
        <is>
          <t>004078</t>
        </is>
      </c>
      <c r="D518" s="4" t="n">
        <v>45187</v>
      </c>
      <c r="E518" s="2" t="inlineStr">
        <is>
          <t>11:07</t>
        </is>
      </c>
      <c r="F518" s="5" t="n">
        <v>66.33</v>
      </c>
      <c r="G518" s="5" t="n"/>
      <c r="H518" s="5" t="n"/>
      <c r="I518" s="5" t="n"/>
      <c r="J518" s="5" t="n">
        <v>13.27</v>
      </c>
      <c r="K518" s="5" t="n"/>
      <c r="L518" s="5" t="n"/>
      <c r="M518" s="5" t="n"/>
      <c r="N518" s="5" t="n"/>
      <c r="O518" s="5" t="n">
        <v>79.59999999999999</v>
      </c>
      <c r="P518" s="5" t="n"/>
      <c r="Q518" s="5" t="n">
        <v>79.59999999999999</v>
      </c>
      <c r="R518" s="5" t="n"/>
      <c r="S518" s="5">
        <f>SUM(F518:I518)+N518</f>
        <v/>
      </c>
      <c r="T518" s="5">
        <f>J518</f>
        <v/>
      </c>
      <c r="U518" s="6">
        <f>YEAR(D518)</f>
        <v/>
      </c>
      <c r="V518" s="5">
        <f>TEXT(D518,"yyyy-mm")</f>
        <v/>
      </c>
    </row>
    <row r="519">
      <c r="A519" s="2" t="inlineStr">
        <is>
          <t>EJ011023.TXT</t>
        </is>
      </c>
      <c r="B519" s="3" t="inlineStr">
        <is>
          <t>005089</t>
        </is>
      </c>
      <c r="C519" s="3" t="inlineStr">
        <is>
          <t>004079</t>
        </is>
      </c>
      <c r="D519" s="4" t="n">
        <v>45187</v>
      </c>
      <c r="E519" s="2" t="inlineStr">
        <is>
          <t>14:18</t>
        </is>
      </c>
      <c r="F519" s="5" t="n">
        <v>548.33</v>
      </c>
      <c r="G519" s="5" t="n"/>
      <c r="H519" s="5" t="n"/>
      <c r="I519" s="5" t="n"/>
      <c r="J519" s="5" t="n">
        <v>109.67</v>
      </c>
      <c r="K519" s="5" t="n"/>
      <c r="L519" s="5" t="n"/>
      <c r="M519" s="5" t="n"/>
      <c r="N519" s="5" t="n"/>
      <c r="O519" s="5" t="n">
        <v>658</v>
      </c>
      <c r="P519" s="5" t="n">
        <v>658</v>
      </c>
      <c r="Q519" s="5" t="n"/>
      <c r="R519" s="5" t="n"/>
      <c r="S519" s="5">
        <f>SUM(F519:I519)+N519</f>
        <v/>
      </c>
      <c r="T519" s="5">
        <f>J519</f>
        <v/>
      </c>
      <c r="U519" s="6">
        <f>YEAR(D519)</f>
        <v/>
      </c>
      <c r="V519" s="5">
        <f>TEXT(D519,"yyyy-mm")</f>
        <v/>
      </c>
    </row>
    <row r="520">
      <c r="A520" s="2" t="inlineStr">
        <is>
          <t>EJ011023.TXT</t>
        </is>
      </c>
      <c r="B520" s="3" t="inlineStr">
        <is>
          <t>005090</t>
        </is>
      </c>
      <c r="C520" s="3" t="inlineStr">
        <is>
          <t>004080</t>
        </is>
      </c>
      <c r="D520" s="4" t="n">
        <v>45187</v>
      </c>
      <c r="E520" s="2" t="inlineStr">
        <is>
          <t>15:58</t>
        </is>
      </c>
      <c r="F520" s="5" t="n">
        <v>274.17</v>
      </c>
      <c r="G520" s="5" t="n"/>
      <c r="H520" s="5" t="n"/>
      <c r="I520" s="5" t="n"/>
      <c r="J520" s="5" t="n">
        <v>54.83</v>
      </c>
      <c r="K520" s="5" t="n"/>
      <c r="L520" s="5" t="n"/>
      <c r="M520" s="5" t="n"/>
      <c r="N520" s="5" t="n"/>
      <c r="O520" s="5" t="n">
        <v>329</v>
      </c>
      <c r="P520" s="5" t="n"/>
      <c r="Q520" s="5" t="n">
        <v>329</v>
      </c>
      <c r="R520" s="5" t="n"/>
      <c r="S520" s="5">
        <f>SUM(F520:I520)+N520</f>
        <v/>
      </c>
      <c r="T520" s="5">
        <f>J520</f>
        <v/>
      </c>
      <c r="U520" s="6">
        <f>YEAR(D520)</f>
        <v/>
      </c>
      <c r="V520" s="5">
        <f>TEXT(D520,"yyyy-mm")</f>
        <v/>
      </c>
    </row>
    <row r="521">
      <c r="A521" s="2" t="inlineStr">
        <is>
          <t>EJ011023.TXT</t>
        </is>
      </c>
      <c r="B521" s="3" t="inlineStr">
        <is>
          <t>005091</t>
        </is>
      </c>
      <c r="C521" s="3" t="inlineStr">
        <is>
          <t>004081</t>
        </is>
      </c>
      <c r="D521" s="4" t="n">
        <v>45188</v>
      </c>
      <c r="E521" s="2" t="inlineStr">
        <is>
          <t>10:54</t>
        </is>
      </c>
      <c r="F521" s="5" t="n">
        <v>473.75</v>
      </c>
      <c r="G521" s="5" t="n"/>
      <c r="H521" s="5" t="n"/>
      <c r="I521" s="5" t="n"/>
      <c r="J521" s="5" t="n">
        <v>94.75</v>
      </c>
      <c r="K521" s="5" t="n"/>
      <c r="L521" s="5" t="n"/>
      <c r="M521" s="5" t="n"/>
      <c r="N521" s="5" t="n"/>
      <c r="O521" s="5" t="n">
        <v>568.5</v>
      </c>
      <c r="P521" s="5" t="n"/>
      <c r="Q521" s="5" t="n">
        <v>568.5</v>
      </c>
      <c r="R521" s="5" t="n"/>
      <c r="S521" s="5">
        <f>SUM(F521:I521)+N521</f>
        <v/>
      </c>
      <c r="T521" s="5">
        <f>J521</f>
        <v/>
      </c>
      <c r="U521" s="6">
        <f>YEAR(D521)</f>
        <v/>
      </c>
      <c r="V521" s="5">
        <f>TEXT(D521,"yyyy-mm")</f>
        <v/>
      </c>
    </row>
    <row r="522">
      <c r="A522" s="2" t="inlineStr">
        <is>
          <t>EJ011023.TXT</t>
        </is>
      </c>
      <c r="B522" s="3" t="inlineStr">
        <is>
          <t>005092</t>
        </is>
      </c>
      <c r="C522" s="3" t="inlineStr">
        <is>
          <t>004082</t>
        </is>
      </c>
      <c r="D522" s="4" t="n">
        <v>45188</v>
      </c>
      <c r="E522" s="2" t="inlineStr">
        <is>
          <t>10:54</t>
        </is>
      </c>
      <c r="F522" s="5" t="n">
        <v>473.75</v>
      </c>
      <c r="G522" s="5" t="n"/>
      <c r="H522" s="5" t="n"/>
      <c r="I522" s="5" t="n"/>
      <c r="J522" s="5" t="n">
        <v>94.75</v>
      </c>
      <c r="K522" s="5" t="n"/>
      <c r="L522" s="5" t="n"/>
      <c r="M522" s="5" t="n"/>
      <c r="N522" s="5" t="n"/>
      <c r="O522" s="5" t="n">
        <v>568.5</v>
      </c>
      <c r="P522" s="5" t="n"/>
      <c r="Q522" s="5" t="n">
        <v>568.5</v>
      </c>
      <c r="R522" s="5" t="n"/>
      <c r="S522" s="5">
        <f>SUM(F522:I522)+N522</f>
        <v/>
      </c>
      <c r="T522" s="5">
        <f>J522</f>
        <v/>
      </c>
      <c r="U522" s="6">
        <f>YEAR(D522)</f>
        <v/>
      </c>
      <c r="V522" s="5">
        <f>TEXT(D522,"yyyy-mm")</f>
        <v/>
      </c>
    </row>
    <row r="523">
      <c r="A523" s="2" t="inlineStr">
        <is>
          <t>EJ011023.TXT</t>
        </is>
      </c>
      <c r="B523" s="3" t="inlineStr">
        <is>
          <t>005093</t>
        </is>
      </c>
      <c r="C523" s="3" t="inlineStr">
        <is>
          <t>004083</t>
        </is>
      </c>
      <c r="D523" s="4" t="n">
        <v>45188</v>
      </c>
      <c r="E523" s="2" t="inlineStr">
        <is>
          <t>14:00</t>
        </is>
      </c>
      <c r="F523" s="5" t="n">
        <v>266.67</v>
      </c>
      <c r="G523" s="5" t="n"/>
      <c r="H523" s="5" t="n"/>
      <c r="I523" s="5" t="n"/>
      <c r="J523" s="5" t="n">
        <v>53.33</v>
      </c>
      <c r="K523" s="5" t="n"/>
      <c r="L523" s="5" t="n"/>
      <c r="M523" s="5" t="n"/>
      <c r="N523" s="5" t="n"/>
      <c r="O523" s="5" t="n">
        <v>320</v>
      </c>
      <c r="P523" s="5" t="n">
        <v>320</v>
      </c>
      <c r="Q523" s="5" t="n"/>
      <c r="R523" s="5" t="n"/>
      <c r="S523" s="5">
        <f>SUM(F523:I523)+N523</f>
        <v/>
      </c>
      <c r="T523" s="5">
        <f>J523</f>
        <v/>
      </c>
      <c r="U523" s="6">
        <f>YEAR(D523)</f>
        <v/>
      </c>
      <c r="V523" s="5">
        <f>TEXT(D523,"yyyy-mm")</f>
        <v/>
      </c>
    </row>
    <row r="524">
      <c r="A524" s="2" t="inlineStr">
        <is>
          <t>EJ011023.TXT</t>
        </is>
      </c>
      <c r="B524" s="3" t="inlineStr">
        <is>
          <t>005094</t>
        </is>
      </c>
      <c r="C524" s="3" t="inlineStr">
        <is>
          <t>004084</t>
        </is>
      </c>
      <c r="D524" s="4" t="n">
        <v>45188</v>
      </c>
      <c r="E524" s="2" t="inlineStr">
        <is>
          <t>16:46</t>
        </is>
      </c>
      <c r="F524" s="5" t="n">
        <v>231.67</v>
      </c>
      <c r="G524" s="5" t="n"/>
      <c r="H524" s="5" t="n"/>
      <c r="I524" s="5" t="n"/>
      <c r="J524" s="5" t="n">
        <v>46.33</v>
      </c>
      <c r="K524" s="5" t="n"/>
      <c r="L524" s="5" t="n"/>
      <c r="M524" s="5" t="n"/>
      <c r="N524" s="5" t="n"/>
      <c r="O524" s="5" t="n">
        <v>278</v>
      </c>
      <c r="P524" s="5" t="n">
        <v>278</v>
      </c>
      <c r="Q524" s="5" t="n"/>
      <c r="R524" s="5" t="n"/>
      <c r="S524" s="5">
        <f>SUM(F524:I524)+N524</f>
        <v/>
      </c>
      <c r="T524" s="5">
        <f>J524</f>
        <v/>
      </c>
      <c r="U524" s="6">
        <f>YEAR(D524)</f>
        <v/>
      </c>
      <c r="V524" s="5">
        <f>TEXT(D524,"yyyy-mm")</f>
        <v/>
      </c>
    </row>
    <row r="525">
      <c r="A525" s="2" t="inlineStr">
        <is>
          <t>EJ011023.TXT</t>
        </is>
      </c>
      <c r="B525" s="3" t="inlineStr">
        <is>
          <t>005095</t>
        </is>
      </c>
      <c r="C525" s="3" t="inlineStr">
        <is>
          <t>004085</t>
        </is>
      </c>
      <c r="D525" s="4" t="n">
        <v>45191</v>
      </c>
      <c r="E525" s="2" t="inlineStr">
        <is>
          <t>14:36</t>
        </is>
      </c>
      <c r="F525" s="5" t="n">
        <v>324.17</v>
      </c>
      <c r="G525" s="5" t="n"/>
      <c r="H525" s="5" t="n"/>
      <c r="I525" s="5" t="n"/>
      <c r="J525" s="5" t="n">
        <v>64.83</v>
      </c>
      <c r="K525" s="5" t="n"/>
      <c r="L525" s="5" t="n"/>
      <c r="M525" s="5" t="n"/>
      <c r="N525" s="5" t="n"/>
      <c r="O525" s="5" t="n">
        <v>389</v>
      </c>
      <c r="P525" s="5" t="n">
        <v>389</v>
      </c>
      <c r="Q525" s="5" t="n"/>
      <c r="R525" s="5" t="n"/>
      <c r="S525" s="5">
        <f>SUM(F525:I525)+N525</f>
        <v/>
      </c>
      <c r="T525" s="5">
        <f>J525</f>
        <v/>
      </c>
      <c r="U525" s="6">
        <f>YEAR(D525)</f>
        <v/>
      </c>
      <c r="V525" s="5">
        <f>TEXT(D525,"yyyy-mm")</f>
        <v/>
      </c>
    </row>
    <row r="526">
      <c r="A526" s="2" t="inlineStr">
        <is>
          <t>EJ011023.TXT</t>
        </is>
      </c>
      <c r="B526" s="3" t="inlineStr">
        <is>
          <t>005096</t>
        </is>
      </c>
      <c r="C526" s="3" t="inlineStr">
        <is>
          <t>004086</t>
        </is>
      </c>
      <c r="D526" s="4" t="n">
        <v>45192</v>
      </c>
      <c r="E526" s="2" t="inlineStr">
        <is>
          <t>15:35</t>
        </is>
      </c>
      <c r="F526" s="5" t="n">
        <v>548.33</v>
      </c>
      <c r="G526" s="5" t="n"/>
      <c r="H526" s="5" t="n"/>
      <c r="I526" s="5" t="n"/>
      <c r="J526" s="5" t="n">
        <v>109.67</v>
      </c>
      <c r="K526" s="5" t="n"/>
      <c r="L526" s="5" t="n"/>
      <c r="M526" s="5" t="n"/>
      <c r="N526" s="5" t="n"/>
      <c r="O526" s="5" t="n">
        <v>658</v>
      </c>
      <c r="P526" s="5" t="n"/>
      <c r="Q526" s="5" t="n">
        <v>658</v>
      </c>
      <c r="R526" s="5" t="n"/>
      <c r="S526" s="5">
        <f>SUM(F526:I526)+N526</f>
        <v/>
      </c>
      <c r="T526" s="5">
        <f>J526</f>
        <v/>
      </c>
      <c r="U526" s="6">
        <f>YEAR(D526)</f>
        <v/>
      </c>
      <c r="V526" s="5">
        <f>TEXT(D526,"yyyy-mm")</f>
        <v/>
      </c>
    </row>
    <row r="527">
      <c r="A527" s="2" t="inlineStr">
        <is>
          <t>EJ011023.TXT</t>
        </is>
      </c>
      <c r="B527" s="3" t="inlineStr">
        <is>
          <t>005097</t>
        </is>
      </c>
      <c r="C527" s="3" t="inlineStr">
        <is>
          <t>004087</t>
        </is>
      </c>
      <c r="D527" s="4" t="n">
        <v>45194</v>
      </c>
      <c r="E527" s="2" t="inlineStr">
        <is>
          <t>10:14</t>
        </is>
      </c>
      <c r="F527" s="5" t="n">
        <v>208.33</v>
      </c>
      <c r="G527" s="5" t="n"/>
      <c r="H527" s="5" t="n"/>
      <c r="I527" s="5" t="n"/>
      <c r="J527" s="5" t="n">
        <v>41.67</v>
      </c>
      <c r="K527" s="5" t="n"/>
      <c r="L527" s="5" t="n"/>
      <c r="M527" s="5" t="n"/>
      <c r="N527" s="5" t="n"/>
      <c r="O527" s="5" t="n">
        <v>250</v>
      </c>
      <c r="P527" s="5" t="n"/>
      <c r="Q527" s="5" t="n">
        <v>250</v>
      </c>
      <c r="R527" s="5" t="n"/>
      <c r="S527" s="5">
        <f>SUM(F527:I527)+N527</f>
        <v/>
      </c>
      <c r="T527" s="5">
        <f>J527</f>
        <v/>
      </c>
      <c r="U527" s="6">
        <f>YEAR(D527)</f>
        <v/>
      </c>
      <c r="V527" s="5">
        <f>TEXT(D527,"yyyy-mm")</f>
        <v/>
      </c>
    </row>
    <row r="528">
      <c r="A528" s="2" t="inlineStr">
        <is>
          <t>EJ011023.TXT</t>
        </is>
      </c>
      <c r="B528" s="3" t="inlineStr">
        <is>
          <t>005098</t>
        </is>
      </c>
      <c r="C528" s="3" t="inlineStr">
        <is>
          <t>004088</t>
        </is>
      </c>
      <c r="D528" s="4" t="n">
        <v>45194</v>
      </c>
      <c r="E528" s="2" t="inlineStr">
        <is>
          <t>11:41</t>
        </is>
      </c>
      <c r="F528" s="5" t="n">
        <v>208.33</v>
      </c>
      <c r="G528" s="5" t="n"/>
      <c r="H528" s="5" t="n"/>
      <c r="I528" s="5" t="n"/>
      <c r="J528" s="5" t="n">
        <v>41.67</v>
      </c>
      <c r="K528" s="5" t="n"/>
      <c r="L528" s="5" t="n"/>
      <c r="M528" s="5" t="n"/>
      <c r="N528" s="5" t="n"/>
      <c r="O528" s="5" t="n">
        <v>250</v>
      </c>
      <c r="P528" s="5" t="n"/>
      <c r="Q528" s="5" t="n">
        <v>250</v>
      </c>
      <c r="R528" s="5" t="n"/>
      <c r="S528" s="5">
        <f>SUM(F528:I528)+N528</f>
        <v/>
      </c>
      <c r="T528" s="5">
        <f>J528</f>
        <v/>
      </c>
      <c r="U528" s="6">
        <f>YEAR(D528)</f>
        <v/>
      </c>
      <c r="V528" s="5">
        <f>TEXT(D528,"yyyy-mm")</f>
        <v/>
      </c>
    </row>
    <row r="529">
      <c r="A529" s="2" t="inlineStr">
        <is>
          <t>EJ011023.TXT</t>
        </is>
      </c>
      <c r="B529" s="3" t="inlineStr">
        <is>
          <t>005099</t>
        </is>
      </c>
      <c r="C529" s="3" t="inlineStr">
        <is>
          <t>004089</t>
        </is>
      </c>
      <c r="D529" s="4" t="n">
        <v>45194</v>
      </c>
      <c r="E529" s="2" t="inlineStr">
        <is>
          <t>14:03</t>
        </is>
      </c>
      <c r="F529" s="5" t="n">
        <v>274.17</v>
      </c>
      <c r="G529" s="5" t="n"/>
      <c r="H529" s="5" t="n"/>
      <c r="I529" s="5" t="n"/>
      <c r="J529" s="5" t="n">
        <v>54.83</v>
      </c>
      <c r="K529" s="5" t="n"/>
      <c r="L529" s="5" t="n"/>
      <c r="M529" s="5" t="n"/>
      <c r="N529" s="5" t="n"/>
      <c r="O529" s="5" t="n">
        <v>329</v>
      </c>
      <c r="P529" s="5" t="n">
        <v>329</v>
      </c>
      <c r="Q529" s="5" t="n"/>
      <c r="R529" s="5" t="n"/>
      <c r="S529" s="5">
        <f>SUM(F529:I529)+N529</f>
        <v/>
      </c>
      <c r="T529" s="5">
        <f>J529</f>
        <v/>
      </c>
      <c r="U529" s="6">
        <f>YEAR(D529)</f>
        <v/>
      </c>
      <c r="V529" s="5">
        <f>TEXT(D529,"yyyy-mm")</f>
        <v/>
      </c>
    </row>
    <row r="530">
      <c r="A530" s="2" t="inlineStr">
        <is>
          <t>EJ011023.TXT</t>
        </is>
      </c>
      <c r="B530" s="3" t="inlineStr">
        <is>
          <t>005100</t>
        </is>
      </c>
      <c r="C530" s="3" t="inlineStr">
        <is>
          <t>004090</t>
        </is>
      </c>
      <c r="D530" s="4" t="n">
        <v>45194</v>
      </c>
      <c r="E530" s="2" t="inlineStr">
        <is>
          <t>16:20</t>
        </is>
      </c>
      <c r="F530" s="5" t="n">
        <v>548.33</v>
      </c>
      <c r="G530" s="5" t="n"/>
      <c r="H530" s="5" t="n"/>
      <c r="I530" s="5" t="n"/>
      <c r="J530" s="5" t="n">
        <v>109.67</v>
      </c>
      <c r="K530" s="5" t="n"/>
      <c r="L530" s="5" t="n"/>
      <c r="M530" s="5" t="n"/>
      <c r="N530" s="5" t="n"/>
      <c r="O530" s="5" t="n">
        <v>658</v>
      </c>
      <c r="P530" s="5" t="n">
        <v>658</v>
      </c>
      <c r="Q530" s="5" t="n"/>
      <c r="R530" s="5" t="n"/>
      <c r="S530" s="5">
        <f>SUM(F530:I530)+N530</f>
        <v/>
      </c>
      <c r="T530" s="5">
        <f>J530</f>
        <v/>
      </c>
      <c r="U530" s="6">
        <f>YEAR(D530)</f>
        <v/>
      </c>
      <c r="V530" s="5">
        <f>TEXT(D530,"yyyy-mm")</f>
        <v/>
      </c>
    </row>
    <row r="531">
      <c r="A531" s="2" t="inlineStr">
        <is>
          <t>EJ011023.TXT</t>
        </is>
      </c>
      <c r="B531" s="3" t="inlineStr">
        <is>
          <t>005101</t>
        </is>
      </c>
      <c r="C531" s="3" t="inlineStr">
        <is>
          <t>004091</t>
        </is>
      </c>
      <c r="D531" s="4" t="n">
        <v>45195</v>
      </c>
      <c r="E531" s="2" t="inlineStr">
        <is>
          <t>11:11</t>
        </is>
      </c>
      <c r="F531" s="5" t="n">
        <v>274.17</v>
      </c>
      <c r="G531" s="5" t="n"/>
      <c r="H531" s="5" t="n"/>
      <c r="I531" s="5" t="n"/>
      <c r="J531" s="5" t="n">
        <v>54.83</v>
      </c>
      <c r="K531" s="5" t="n"/>
      <c r="L531" s="5" t="n"/>
      <c r="M531" s="5" t="n"/>
      <c r="N531" s="5" t="n"/>
      <c r="O531" s="5" t="n">
        <v>329</v>
      </c>
      <c r="P531" s="5" t="n">
        <v>329</v>
      </c>
      <c r="Q531" s="5" t="n"/>
      <c r="R531" s="5" t="n"/>
      <c r="S531" s="5">
        <f>SUM(F531:I531)+N531</f>
        <v/>
      </c>
      <c r="T531" s="5">
        <f>J531</f>
        <v/>
      </c>
      <c r="U531" s="6">
        <f>YEAR(D531)</f>
        <v/>
      </c>
      <c r="V531" s="5">
        <f>TEXT(D531,"yyyy-mm")</f>
        <v/>
      </c>
    </row>
    <row r="532">
      <c r="A532" s="2" t="inlineStr">
        <is>
          <t>EJ011023.TXT</t>
        </is>
      </c>
      <c r="B532" s="3" t="inlineStr">
        <is>
          <t>005102</t>
        </is>
      </c>
      <c r="C532" s="3" t="inlineStr">
        <is>
          <t>004092</t>
        </is>
      </c>
      <c r="D532" s="4" t="n">
        <v>45196</v>
      </c>
      <c r="E532" s="2" t="inlineStr">
        <is>
          <t>10:34</t>
        </is>
      </c>
      <c r="F532" s="5" t="n">
        <v>548.33</v>
      </c>
      <c r="G532" s="5" t="n"/>
      <c r="H532" s="5" t="n"/>
      <c r="I532" s="5" t="n"/>
      <c r="J532" s="5" t="n">
        <v>109.67</v>
      </c>
      <c r="K532" s="5" t="n"/>
      <c r="L532" s="5" t="n"/>
      <c r="M532" s="5" t="n"/>
      <c r="N532" s="5" t="n"/>
      <c r="O532" s="5" t="n">
        <v>658</v>
      </c>
      <c r="P532" s="5" t="n">
        <v>658</v>
      </c>
      <c r="Q532" s="5" t="n"/>
      <c r="R532" s="5" t="n"/>
      <c r="S532" s="5">
        <f>SUM(F532:I532)+N532</f>
        <v/>
      </c>
      <c r="T532" s="5">
        <f>J532</f>
        <v/>
      </c>
      <c r="U532" s="6">
        <f>YEAR(D532)</f>
        <v/>
      </c>
      <c r="V532" s="5">
        <f>TEXT(D532,"yyyy-mm")</f>
        <v/>
      </c>
    </row>
    <row r="533">
      <c r="A533" s="2" t="inlineStr">
        <is>
          <t>EJ011023.TXT</t>
        </is>
      </c>
      <c r="B533" s="3" t="inlineStr">
        <is>
          <t>005103</t>
        </is>
      </c>
      <c r="C533" s="3" t="inlineStr">
        <is>
          <t>004093</t>
        </is>
      </c>
      <c r="D533" s="4" t="n">
        <v>45196</v>
      </c>
      <c r="E533" s="2" t="inlineStr">
        <is>
          <t>13:40</t>
        </is>
      </c>
      <c r="F533" s="5" t="n">
        <v>574.17</v>
      </c>
      <c r="G533" s="5" t="n"/>
      <c r="H533" s="5" t="n"/>
      <c r="I533" s="5" t="n"/>
      <c r="J533" s="5" t="n">
        <v>114.83</v>
      </c>
      <c r="K533" s="5" t="n"/>
      <c r="L533" s="5" t="n"/>
      <c r="M533" s="5" t="n"/>
      <c r="N533" s="5" t="n"/>
      <c r="O533" s="5" t="n">
        <v>689</v>
      </c>
      <c r="P533" s="5" t="n">
        <v>689</v>
      </c>
      <c r="Q533" s="5" t="n"/>
      <c r="R533" s="5" t="n"/>
      <c r="S533" s="5">
        <f>SUM(F533:I533)+N533</f>
        <v/>
      </c>
      <c r="T533" s="5">
        <f>J533</f>
        <v/>
      </c>
      <c r="U533" s="6">
        <f>YEAR(D533)</f>
        <v/>
      </c>
      <c r="V533" s="5">
        <f>TEXT(D533,"yyyy-mm")</f>
        <v/>
      </c>
    </row>
    <row r="534">
      <c r="A534" s="2" t="inlineStr">
        <is>
          <t>EJ011023.TXT</t>
        </is>
      </c>
      <c r="B534" s="3" t="inlineStr">
        <is>
          <t>005104</t>
        </is>
      </c>
      <c r="C534" s="3" t="inlineStr">
        <is>
          <t>004094</t>
        </is>
      </c>
      <c r="D534" s="4" t="n">
        <v>45197</v>
      </c>
      <c r="E534" s="2" t="inlineStr">
        <is>
          <t>11:04</t>
        </is>
      </c>
      <c r="F534" s="5" t="n">
        <v>574.17</v>
      </c>
      <c r="G534" s="5" t="n"/>
      <c r="H534" s="5" t="n"/>
      <c r="I534" s="5" t="n"/>
      <c r="J534" s="5" t="n">
        <v>114.83</v>
      </c>
      <c r="K534" s="5" t="n"/>
      <c r="L534" s="5" t="n"/>
      <c r="M534" s="5" t="n"/>
      <c r="N534" s="5" t="n"/>
      <c r="O534" s="5" t="n">
        <v>689</v>
      </c>
      <c r="P534" s="5" t="n">
        <v>689</v>
      </c>
      <c r="Q534" s="5" t="n"/>
      <c r="R534" s="5" t="n"/>
      <c r="S534" s="5">
        <f>SUM(F534:I534)+N534</f>
        <v/>
      </c>
      <c r="T534" s="5">
        <f>J534</f>
        <v/>
      </c>
      <c r="U534" s="6">
        <f>YEAR(D534)</f>
        <v/>
      </c>
      <c r="V534" s="5">
        <f>TEXT(D534,"yyyy-mm")</f>
        <v/>
      </c>
    </row>
    <row r="535">
      <c r="A535" s="2" t="inlineStr">
        <is>
          <t>EJ011023.TXT</t>
        </is>
      </c>
      <c r="B535" s="3" t="inlineStr">
        <is>
          <t>005105</t>
        </is>
      </c>
      <c r="C535" s="3" t="inlineStr">
        <is>
          <t>004095</t>
        </is>
      </c>
      <c r="D535" s="4" t="n">
        <v>45197</v>
      </c>
      <c r="E535" s="2" t="inlineStr">
        <is>
          <t>15:05</t>
        </is>
      </c>
      <c r="F535" s="5" t="n">
        <v>648.33</v>
      </c>
      <c r="G535" s="5" t="n"/>
      <c r="H535" s="5" t="n"/>
      <c r="I535" s="5" t="n"/>
      <c r="J535" s="5" t="n">
        <v>129.67</v>
      </c>
      <c r="K535" s="5" t="n"/>
      <c r="L535" s="5" t="n"/>
      <c r="M535" s="5" t="n"/>
      <c r="N535" s="5" t="n"/>
      <c r="O535" s="5" t="n">
        <v>778</v>
      </c>
      <c r="P535" s="5" t="n"/>
      <c r="Q535" s="5" t="n">
        <v>778</v>
      </c>
      <c r="R535" s="5" t="n"/>
      <c r="S535" s="5">
        <f>SUM(F535:I535)+N535</f>
        <v/>
      </c>
      <c r="T535" s="5">
        <f>J535</f>
        <v/>
      </c>
      <c r="U535" s="6">
        <f>YEAR(D535)</f>
        <v/>
      </c>
      <c r="V535" s="5">
        <f>TEXT(D535,"yyyy-mm")</f>
        <v/>
      </c>
    </row>
    <row r="536">
      <c r="A536" s="2" t="inlineStr">
        <is>
          <t>EJ011023.TXT</t>
        </is>
      </c>
      <c r="B536" s="3" t="inlineStr">
        <is>
          <t>005106</t>
        </is>
      </c>
      <c r="C536" s="3" t="inlineStr">
        <is>
          <t>004096</t>
        </is>
      </c>
      <c r="D536" s="4" t="n">
        <v>45197</v>
      </c>
      <c r="E536" s="2" t="inlineStr">
        <is>
          <t>16:22</t>
        </is>
      </c>
      <c r="F536" s="5" t="n">
        <v>199.17</v>
      </c>
      <c r="G536" s="5" t="n"/>
      <c r="H536" s="5" t="n"/>
      <c r="I536" s="5" t="n"/>
      <c r="J536" s="5" t="n">
        <v>39.83</v>
      </c>
      <c r="K536" s="5" t="n"/>
      <c r="L536" s="5" t="n"/>
      <c r="M536" s="5" t="n"/>
      <c r="N536" s="5" t="n"/>
      <c r="O536" s="5" t="n">
        <v>239</v>
      </c>
      <c r="P536" s="5" t="n"/>
      <c r="Q536" s="5" t="n">
        <v>239</v>
      </c>
      <c r="R536" s="5" t="n"/>
      <c r="S536" s="5">
        <f>SUM(F536:I536)+N536</f>
        <v/>
      </c>
      <c r="T536" s="5">
        <f>J536</f>
        <v/>
      </c>
      <c r="U536" s="6">
        <f>YEAR(D536)</f>
        <v/>
      </c>
      <c r="V536" s="5">
        <f>TEXT(D536,"yyyy-mm")</f>
        <v/>
      </c>
    </row>
    <row r="537">
      <c r="A537" s="2" t="inlineStr">
        <is>
          <t>EJ011023.TXT</t>
        </is>
      </c>
      <c r="B537" s="3" t="inlineStr">
        <is>
          <t>005107</t>
        </is>
      </c>
      <c r="C537" s="3" t="inlineStr">
        <is>
          <t>004097</t>
        </is>
      </c>
      <c r="D537" s="4" t="n">
        <v>45198</v>
      </c>
      <c r="E537" s="2" t="inlineStr">
        <is>
          <t>11:45</t>
        </is>
      </c>
      <c r="F537" s="5" t="n">
        <v>548.33</v>
      </c>
      <c r="G537" s="5" t="n"/>
      <c r="H537" s="5" t="n"/>
      <c r="I537" s="5" t="n"/>
      <c r="J537" s="5" t="n">
        <v>109.67</v>
      </c>
      <c r="K537" s="5" t="n"/>
      <c r="L537" s="5" t="n"/>
      <c r="M537" s="5" t="n"/>
      <c r="N537" s="5" t="n"/>
      <c r="O537" s="5" t="n">
        <v>658</v>
      </c>
      <c r="P537" s="5" t="n"/>
      <c r="Q537" s="5" t="n">
        <v>658</v>
      </c>
      <c r="R537" s="5" t="n"/>
      <c r="S537" s="5">
        <f>SUM(F537:I537)+N537</f>
        <v/>
      </c>
      <c r="T537" s="5">
        <f>J537</f>
        <v/>
      </c>
      <c r="U537" s="6">
        <f>YEAR(D537)</f>
        <v/>
      </c>
      <c r="V537" s="5">
        <f>TEXT(D537,"yyyy-mm")</f>
        <v/>
      </c>
    </row>
    <row r="538">
      <c r="A538" s="2" t="inlineStr">
        <is>
          <t>EJ011023.TXT</t>
        </is>
      </c>
      <c r="B538" s="3" t="inlineStr">
        <is>
          <t>005108</t>
        </is>
      </c>
      <c r="C538" s="3" t="inlineStr">
        <is>
          <t>004098</t>
        </is>
      </c>
      <c r="D538" s="4" t="n">
        <v>45198</v>
      </c>
      <c r="E538" s="2" t="inlineStr">
        <is>
          <t>13:53</t>
        </is>
      </c>
      <c r="F538" s="5" t="n">
        <v>74.17</v>
      </c>
      <c r="G538" s="5" t="n"/>
      <c r="H538" s="5" t="n"/>
      <c r="I538" s="5" t="n"/>
      <c r="J538" s="5" t="n">
        <v>14.83</v>
      </c>
      <c r="K538" s="5" t="n"/>
      <c r="L538" s="5" t="n"/>
      <c r="M538" s="5" t="n"/>
      <c r="N538" s="5" t="n"/>
      <c r="O538" s="5" t="n">
        <v>89</v>
      </c>
      <c r="P538" s="5" t="n"/>
      <c r="Q538" s="5" t="n">
        <v>89</v>
      </c>
      <c r="R538" s="5" t="n"/>
      <c r="S538" s="5">
        <f>SUM(F538:I538)+N538</f>
        <v/>
      </c>
      <c r="T538" s="5">
        <f>J538</f>
        <v/>
      </c>
      <c r="U538" s="6">
        <f>YEAR(D538)</f>
        <v/>
      </c>
      <c r="V538" s="5">
        <f>TEXT(D538,"yyyy-mm")</f>
        <v/>
      </c>
    </row>
    <row r="539">
      <c r="A539" s="2" t="inlineStr">
        <is>
          <t>EJ011023.TXT</t>
        </is>
      </c>
      <c r="B539" s="3" t="inlineStr">
        <is>
          <t>005109</t>
        </is>
      </c>
      <c r="C539" s="3" t="inlineStr">
        <is>
          <t>004099</t>
        </is>
      </c>
      <c r="D539" s="4" t="n">
        <v>45198</v>
      </c>
      <c r="E539" s="2" t="inlineStr">
        <is>
          <t>13:56</t>
        </is>
      </c>
      <c r="F539" s="5" t="n">
        <v>208.33</v>
      </c>
      <c r="G539" s="5" t="n"/>
      <c r="H539" s="5" t="n"/>
      <c r="I539" s="5" t="n"/>
      <c r="J539" s="5" t="n">
        <v>41.67</v>
      </c>
      <c r="K539" s="5" t="n"/>
      <c r="L539" s="5" t="n"/>
      <c r="M539" s="5" t="n"/>
      <c r="N539" s="5" t="n"/>
      <c r="O539" s="5" t="n">
        <v>250</v>
      </c>
      <c r="P539" s="5" t="n"/>
      <c r="Q539" s="5" t="n">
        <v>250</v>
      </c>
      <c r="R539" s="5" t="n"/>
      <c r="S539" s="5">
        <f>SUM(F539:I539)+N539</f>
        <v/>
      </c>
      <c r="T539" s="5">
        <f>J539</f>
        <v/>
      </c>
      <c r="U539" s="6">
        <f>YEAR(D539)</f>
        <v/>
      </c>
      <c r="V539" s="5">
        <f>TEXT(D539,"yyyy-mm")</f>
        <v/>
      </c>
    </row>
    <row r="540">
      <c r="A540" s="2" t="inlineStr">
        <is>
          <t>EJ011023.TXT</t>
        </is>
      </c>
      <c r="B540" s="3" t="inlineStr">
        <is>
          <t>005110</t>
        </is>
      </c>
      <c r="C540" s="3" t="inlineStr">
        <is>
          <t>004100</t>
        </is>
      </c>
      <c r="D540" s="4" t="n">
        <v>45198</v>
      </c>
      <c r="E540" s="2" t="inlineStr">
        <is>
          <t>14:00</t>
        </is>
      </c>
      <c r="F540" s="5" t="n">
        <v>822.5</v>
      </c>
      <c r="G540" s="5" t="n"/>
      <c r="H540" s="5" t="n"/>
      <c r="I540" s="5" t="n"/>
      <c r="J540" s="5" t="n">
        <v>164.5</v>
      </c>
      <c r="K540" s="5" t="n"/>
      <c r="L540" s="5" t="n"/>
      <c r="M540" s="5" t="n"/>
      <c r="N540" s="5" t="n"/>
      <c r="O540" s="5" t="n">
        <v>987</v>
      </c>
      <c r="P540" s="5" t="n"/>
      <c r="Q540" s="5" t="n">
        <v>987</v>
      </c>
      <c r="R540" s="5" t="n"/>
      <c r="S540" s="5">
        <f>SUM(F540:I540)+N540</f>
        <v/>
      </c>
      <c r="T540" s="5">
        <f>J540</f>
        <v/>
      </c>
      <c r="U540" s="6">
        <f>YEAR(D540)</f>
        <v/>
      </c>
      <c r="V540" s="5">
        <f>TEXT(D540,"yyyy-mm")</f>
        <v/>
      </c>
    </row>
    <row r="541">
      <c r="A541" s="2" t="inlineStr">
        <is>
          <t>EJ011023.TXT</t>
        </is>
      </c>
      <c r="B541" s="3" t="inlineStr">
        <is>
          <t>005111</t>
        </is>
      </c>
      <c r="C541" s="3" t="inlineStr">
        <is>
          <t>004101</t>
        </is>
      </c>
      <c r="D541" s="4" t="n">
        <v>45198</v>
      </c>
      <c r="E541" s="2" t="inlineStr">
        <is>
          <t>14:00</t>
        </is>
      </c>
      <c r="F541" s="5" t="n">
        <v>531.67</v>
      </c>
      <c r="G541" s="5" t="n"/>
      <c r="H541" s="5" t="n"/>
      <c r="I541" s="5" t="n"/>
      <c r="J541" s="5" t="n">
        <v>106.33</v>
      </c>
      <c r="K541" s="5" t="n"/>
      <c r="L541" s="5" t="n"/>
      <c r="M541" s="5" t="n"/>
      <c r="N541" s="5" t="n"/>
      <c r="O541" s="5" t="n">
        <v>638</v>
      </c>
      <c r="P541" s="5" t="n"/>
      <c r="Q541" s="5" t="n">
        <v>638</v>
      </c>
      <c r="R541" s="5" t="n"/>
      <c r="S541" s="5">
        <f>SUM(F541:I541)+N541</f>
        <v/>
      </c>
      <c r="T541" s="5">
        <f>J541</f>
        <v/>
      </c>
      <c r="U541" s="6">
        <f>YEAR(D541)</f>
        <v/>
      </c>
      <c r="V541" s="5">
        <f>TEXT(D541,"yyyy-mm")</f>
        <v/>
      </c>
    </row>
    <row r="542">
      <c r="A542" s="2" t="inlineStr">
        <is>
          <t>EJ011023.TXT</t>
        </is>
      </c>
      <c r="B542" s="3" t="inlineStr">
        <is>
          <t>005112</t>
        </is>
      </c>
      <c r="C542" s="3" t="inlineStr">
        <is>
          <t>004102</t>
        </is>
      </c>
      <c r="D542" s="4" t="n">
        <v>45199</v>
      </c>
      <c r="E542" s="2" t="inlineStr">
        <is>
          <t>14:48</t>
        </is>
      </c>
      <c r="F542" s="5" t="n">
        <v>548.33</v>
      </c>
      <c r="G542" s="5" t="n"/>
      <c r="H542" s="5" t="n"/>
      <c r="I542" s="5" t="n"/>
      <c r="J542" s="5" t="n">
        <v>109.67</v>
      </c>
      <c r="K542" s="5" t="n"/>
      <c r="L542" s="5" t="n"/>
      <c r="M542" s="5" t="n"/>
      <c r="N542" s="5" t="n"/>
      <c r="O542" s="5" t="n">
        <v>658</v>
      </c>
      <c r="P542" s="5" t="n"/>
      <c r="Q542" s="5" t="n">
        <v>658</v>
      </c>
      <c r="R542" s="5" t="n"/>
      <c r="S542" s="5">
        <f>SUM(F542:I542)+N542</f>
        <v/>
      </c>
      <c r="T542" s="5">
        <f>J542</f>
        <v/>
      </c>
      <c r="U542" s="6">
        <f>YEAR(D542)</f>
        <v/>
      </c>
      <c r="V542" s="5">
        <f>TEXT(D542,"yyyy-mm")</f>
        <v/>
      </c>
    </row>
    <row r="543">
      <c r="A543" s="2" t="inlineStr">
        <is>
          <t>EJ011023.TXT</t>
        </is>
      </c>
      <c r="B543" s="3" t="inlineStr">
        <is>
          <t>005113</t>
        </is>
      </c>
      <c r="C543" s="3" t="inlineStr">
        <is>
          <t>004103</t>
        </is>
      </c>
      <c r="D543" s="4" t="n">
        <v>45199</v>
      </c>
      <c r="E543" s="2" t="inlineStr">
        <is>
          <t>14:48</t>
        </is>
      </c>
      <c r="F543" s="5" t="n">
        <v>548.33</v>
      </c>
      <c r="G543" s="5" t="n"/>
      <c r="H543" s="5" t="n"/>
      <c r="I543" s="5" t="n"/>
      <c r="J543" s="5" t="n">
        <v>109.67</v>
      </c>
      <c r="K543" s="5" t="n"/>
      <c r="L543" s="5" t="n"/>
      <c r="M543" s="5" t="n"/>
      <c r="N543" s="5" t="n"/>
      <c r="O543" s="5" t="n">
        <v>658</v>
      </c>
      <c r="P543" s="5" t="n"/>
      <c r="Q543" s="5" t="n">
        <v>658</v>
      </c>
      <c r="R543" s="5" t="n"/>
      <c r="S543" s="5">
        <f>SUM(F543:I543)+N543</f>
        <v/>
      </c>
      <c r="T543" s="5">
        <f>J543</f>
        <v/>
      </c>
      <c r="U543" s="6">
        <f>YEAR(D543)</f>
        <v/>
      </c>
      <c r="V543" s="5">
        <f>TEXT(D543,"yyyy-mm")</f>
        <v/>
      </c>
    </row>
    <row r="544">
      <c r="A544" s="2" t="inlineStr">
        <is>
          <t>EJ011023.TXT</t>
        </is>
      </c>
      <c r="B544" s="3" t="inlineStr">
        <is>
          <t>005114</t>
        </is>
      </c>
      <c r="C544" s="3" t="inlineStr">
        <is>
          <t>004104</t>
        </is>
      </c>
      <c r="D544" s="4" t="n">
        <v>45199</v>
      </c>
      <c r="E544" s="2" t="inlineStr">
        <is>
          <t>14:52</t>
        </is>
      </c>
      <c r="F544" s="5" t="n">
        <v>822.5</v>
      </c>
      <c r="G544" s="5" t="n"/>
      <c r="H544" s="5" t="n"/>
      <c r="I544" s="5" t="n"/>
      <c r="J544" s="5" t="n">
        <v>164.5</v>
      </c>
      <c r="K544" s="5" t="n"/>
      <c r="L544" s="5" t="n"/>
      <c r="M544" s="5" t="n"/>
      <c r="N544" s="5" t="n"/>
      <c r="O544" s="5" t="n">
        <v>987</v>
      </c>
      <c r="P544" s="5" t="n"/>
      <c r="Q544" s="5" t="n">
        <v>987</v>
      </c>
      <c r="R544" s="5" t="n"/>
      <c r="S544" s="5">
        <f>SUM(F544:I544)+N544</f>
        <v/>
      </c>
      <c r="T544" s="5">
        <f>J544</f>
        <v/>
      </c>
      <c r="U544" s="6">
        <f>YEAR(D544)</f>
        <v/>
      </c>
      <c r="V544" s="5">
        <f>TEXT(D544,"yyyy-mm")</f>
        <v/>
      </c>
    </row>
    <row r="545">
      <c r="A545" s="2" t="inlineStr">
        <is>
          <t>EJ011023.TXT</t>
        </is>
      </c>
      <c r="B545" s="3" t="inlineStr">
        <is>
          <t>005115</t>
        </is>
      </c>
      <c r="C545" s="3" t="inlineStr">
        <is>
          <t>004105</t>
        </is>
      </c>
      <c r="D545" s="4" t="n">
        <v>45199</v>
      </c>
      <c r="E545" s="2" t="inlineStr">
        <is>
          <t>14:53</t>
        </is>
      </c>
      <c r="F545" s="5" t="n">
        <v>274.17</v>
      </c>
      <c r="G545" s="5" t="n"/>
      <c r="H545" s="5" t="n"/>
      <c r="I545" s="5" t="n"/>
      <c r="J545" s="5" t="n">
        <v>54.83</v>
      </c>
      <c r="K545" s="5" t="n"/>
      <c r="L545" s="5" t="n"/>
      <c r="M545" s="5" t="n"/>
      <c r="N545" s="5" t="n"/>
      <c r="O545" s="5" t="n">
        <v>329</v>
      </c>
      <c r="P545" s="5" t="n"/>
      <c r="Q545" s="5" t="n">
        <v>329</v>
      </c>
      <c r="R545" s="5" t="n"/>
      <c r="S545" s="5">
        <f>SUM(F545:I545)+N545</f>
        <v/>
      </c>
      <c r="T545" s="5">
        <f>J545</f>
        <v/>
      </c>
      <c r="U545" s="6">
        <f>YEAR(D545)</f>
        <v/>
      </c>
      <c r="V545" s="5">
        <f>TEXT(D545,"yyyy-mm")</f>
        <v/>
      </c>
    </row>
    <row r="546">
      <c r="A546" s="2" t="inlineStr">
        <is>
          <t>EJ011023.TXT</t>
        </is>
      </c>
      <c r="B546" s="3" t="inlineStr">
        <is>
          <t>005116</t>
        </is>
      </c>
      <c r="C546" s="3" t="inlineStr">
        <is>
          <t>004106</t>
        </is>
      </c>
      <c r="D546" s="4" t="n">
        <v>45199</v>
      </c>
      <c r="E546" s="2" t="inlineStr">
        <is>
          <t>14:53</t>
        </is>
      </c>
      <c r="F546" s="5" t="n">
        <v>822.5</v>
      </c>
      <c r="G546" s="5" t="n"/>
      <c r="H546" s="5" t="n"/>
      <c r="I546" s="5" t="n"/>
      <c r="J546" s="5" t="n">
        <v>164.5</v>
      </c>
      <c r="K546" s="5" t="n"/>
      <c r="L546" s="5" t="n"/>
      <c r="M546" s="5" t="n"/>
      <c r="N546" s="5" t="n"/>
      <c r="O546" s="5" t="n">
        <v>987</v>
      </c>
      <c r="P546" s="5" t="n"/>
      <c r="Q546" s="5" t="n">
        <v>987</v>
      </c>
      <c r="R546" s="5" t="n"/>
      <c r="S546" s="5">
        <f>SUM(F546:I546)+N546</f>
        <v/>
      </c>
      <c r="T546" s="5">
        <f>J546</f>
        <v/>
      </c>
      <c r="U546" s="6">
        <f>YEAR(D546)</f>
        <v/>
      </c>
      <c r="V546" s="5">
        <f>TEXT(D546,"yyyy-mm")</f>
        <v/>
      </c>
    </row>
    <row r="547">
      <c r="A547" s="2" t="inlineStr">
        <is>
          <t>EJ011023.TXT</t>
        </is>
      </c>
      <c r="B547" s="3" t="inlineStr">
        <is>
          <t>005117</t>
        </is>
      </c>
      <c r="C547" s="3" t="inlineStr">
        <is>
          <t>004107</t>
        </is>
      </c>
      <c r="D547" s="4" t="n">
        <v>45199</v>
      </c>
      <c r="E547" s="2" t="inlineStr">
        <is>
          <t>14:54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/>
      <c r="Q547" s="5" t="n">
        <v>658</v>
      </c>
      <c r="R547" s="5" t="n"/>
      <c r="S547" s="5">
        <f>SUM(F547:I547)+N547</f>
        <v/>
      </c>
      <c r="T547" s="5">
        <f>J547</f>
        <v/>
      </c>
      <c r="U547" s="6">
        <f>YEAR(D547)</f>
        <v/>
      </c>
      <c r="V547" s="5">
        <f>TEXT(D547,"yyyy-mm")</f>
        <v/>
      </c>
    </row>
    <row r="548">
      <c r="A548" s="2" t="inlineStr">
        <is>
          <t>EJ011023.TXT</t>
        </is>
      </c>
      <c r="B548" s="3" t="inlineStr">
        <is>
          <t>005118</t>
        </is>
      </c>
      <c r="C548" s="3" t="inlineStr">
        <is>
          <t>004108</t>
        </is>
      </c>
      <c r="D548" s="4" t="n">
        <v>45199</v>
      </c>
      <c r="E548" s="2" t="inlineStr">
        <is>
          <t>14:54</t>
        </is>
      </c>
      <c r="F548" s="5" t="n">
        <v>274.17</v>
      </c>
      <c r="G548" s="5" t="n"/>
      <c r="H548" s="5" t="n"/>
      <c r="I548" s="5" t="n"/>
      <c r="J548" s="5" t="n">
        <v>54.83</v>
      </c>
      <c r="K548" s="5" t="n"/>
      <c r="L548" s="5" t="n"/>
      <c r="M548" s="5" t="n"/>
      <c r="N548" s="5" t="n"/>
      <c r="O548" s="5" t="n">
        <v>329</v>
      </c>
      <c r="P548" s="5" t="n"/>
      <c r="Q548" s="5" t="n">
        <v>329</v>
      </c>
      <c r="R548" s="5" t="n"/>
      <c r="S548" s="5">
        <f>SUM(F548:I548)+N548</f>
        <v/>
      </c>
      <c r="T548" s="5">
        <f>J548</f>
        <v/>
      </c>
      <c r="U548" s="6">
        <f>YEAR(D548)</f>
        <v/>
      </c>
      <c r="V548" s="5">
        <f>TEXT(D548,"yyyy-mm")</f>
        <v/>
      </c>
    </row>
    <row r="549">
      <c r="A549" s="2" t="inlineStr">
        <is>
          <t>EJ011023.TXT</t>
        </is>
      </c>
      <c r="B549" s="3" t="inlineStr">
        <is>
          <t>005119</t>
        </is>
      </c>
      <c r="C549" s="3" t="inlineStr">
        <is>
          <t>004109</t>
        </is>
      </c>
      <c r="D549" s="4" t="n">
        <v>45199</v>
      </c>
      <c r="E549" s="2" t="inlineStr">
        <is>
          <t>16:42</t>
        </is>
      </c>
      <c r="F549" s="5" t="n">
        <v>222.5</v>
      </c>
      <c r="G549" s="5" t="n"/>
      <c r="H549" s="5" t="n"/>
      <c r="I549" s="5" t="n"/>
      <c r="J549" s="5" t="n">
        <v>44.5</v>
      </c>
      <c r="K549" s="5" t="n"/>
      <c r="L549" s="5" t="n"/>
      <c r="M549" s="5" t="n"/>
      <c r="N549" s="5" t="n"/>
      <c r="O549" s="5" t="n">
        <v>267</v>
      </c>
      <c r="P549" s="5" t="n"/>
      <c r="Q549" s="5" t="n">
        <v>267</v>
      </c>
      <c r="R549" s="5" t="n"/>
      <c r="S549" s="5">
        <f>SUM(F549:I549)+N549</f>
        <v/>
      </c>
      <c r="T549" s="5">
        <f>J549</f>
        <v/>
      </c>
      <c r="U549" s="6">
        <f>YEAR(D549)</f>
        <v/>
      </c>
      <c r="V549" s="5">
        <f>TEXT(D549,"yyyy-mm")</f>
        <v/>
      </c>
    </row>
    <row r="550">
      <c r="A550" s="2" t="inlineStr">
        <is>
          <t>EJ011023.TXT</t>
        </is>
      </c>
      <c r="B550" s="3" t="inlineStr">
        <is>
          <t>005120</t>
        </is>
      </c>
      <c r="C550" s="3" t="inlineStr">
        <is>
          <t>004110</t>
        </is>
      </c>
      <c r="D550" s="4" t="n">
        <v>45199</v>
      </c>
      <c r="E550" s="2" t="inlineStr">
        <is>
          <t>17:06</t>
        </is>
      </c>
      <c r="F550" s="5" t="n">
        <v>848.33</v>
      </c>
      <c r="G550" s="5" t="n"/>
      <c r="H550" s="5" t="n"/>
      <c r="I550" s="5" t="n"/>
      <c r="J550" s="5" t="n">
        <v>169.67</v>
      </c>
      <c r="K550" s="5" t="n"/>
      <c r="L550" s="5" t="n"/>
      <c r="M550" s="5" t="n"/>
      <c r="N550" s="5" t="n"/>
      <c r="O550" s="5" t="n">
        <v>1018</v>
      </c>
      <c r="P550" s="5" t="n">
        <v>1018</v>
      </c>
      <c r="Q550" s="5" t="n"/>
      <c r="R550" s="5" t="n"/>
      <c r="S550" s="5">
        <f>SUM(F550:I550)+N550</f>
        <v/>
      </c>
      <c r="T550" s="5">
        <f>J550</f>
        <v/>
      </c>
      <c r="U550" s="6">
        <f>YEAR(D550)</f>
        <v/>
      </c>
      <c r="V550" s="5">
        <f>TEXT(D550,"yyyy-mm")</f>
        <v/>
      </c>
    </row>
    <row r="551">
      <c r="A551" s="2" t="inlineStr">
        <is>
          <t>EJ101123.TXT</t>
        </is>
      </c>
      <c r="B551" s="3" t="inlineStr">
        <is>
          <t>005128</t>
        </is>
      </c>
      <c r="C551" s="3" t="inlineStr">
        <is>
          <t>004111</t>
        </is>
      </c>
      <c r="D551" s="4" t="n">
        <v>45201</v>
      </c>
      <c r="E551" s="2" t="inlineStr">
        <is>
          <t>16:38</t>
        </is>
      </c>
      <c r="F551" s="5" t="n">
        <v>822.5</v>
      </c>
      <c r="G551" s="5" t="n"/>
      <c r="H551" s="5" t="n"/>
      <c r="I551" s="5" t="n"/>
      <c r="J551" s="5" t="n">
        <v>164.5</v>
      </c>
      <c r="K551" s="5" t="n"/>
      <c r="L551" s="5" t="n"/>
      <c r="M551" s="5" t="n"/>
      <c r="N551" s="5" t="n"/>
      <c r="O551" s="5" t="n">
        <v>987</v>
      </c>
      <c r="P551" s="5" t="n"/>
      <c r="Q551" s="5" t="n">
        <v>987</v>
      </c>
      <c r="R551" s="5" t="n"/>
      <c r="S551" s="5">
        <f>SUM(F551:I551)+N551</f>
        <v/>
      </c>
      <c r="T551" s="5">
        <f>J551</f>
        <v/>
      </c>
      <c r="U551" s="6">
        <f>YEAR(D551)</f>
        <v/>
      </c>
      <c r="V551" s="5">
        <f>TEXT(D551,"yyyy-mm")</f>
        <v/>
      </c>
    </row>
    <row r="552">
      <c r="A552" s="2" t="inlineStr">
        <is>
          <t>EJ101123.TXT</t>
        </is>
      </c>
      <c r="B552" s="3" t="inlineStr">
        <is>
          <t>005129</t>
        </is>
      </c>
      <c r="C552" s="3" t="inlineStr">
        <is>
          <t>004112</t>
        </is>
      </c>
      <c r="D552" s="4" t="n">
        <v>45201</v>
      </c>
      <c r="E552" s="2" t="inlineStr">
        <is>
          <t>16:38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/>
      <c r="Q552" s="5" t="n">
        <v>658</v>
      </c>
      <c r="R552" s="5" t="n"/>
      <c r="S552" s="5">
        <f>SUM(F552:I552)+N552</f>
        <v/>
      </c>
      <c r="T552" s="5">
        <f>J552</f>
        <v/>
      </c>
      <c r="U552" s="6">
        <f>YEAR(D552)</f>
        <v/>
      </c>
      <c r="V552" s="5">
        <f>TEXT(D552,"yyyy-mm")</f>
        <v/>
      </c>
    </row>
    <row r="553">
      <c r="A553" s="2" t="inlineStr">
        <is>
          <t>EJ101123.TXT</t>
        </is>
      </c>
      <c r="B553" s="3" t="inlineStr">
        <is>
          <t>005130</t>
        </is>
      </c>
      <c r="C553" s="3" t="inlineStr">
        <is>
          <t>004113</t>
        </is>
      </c>
      <c r="D553" s="4" t="n">
        <v>45201</v>
      </c>
      <c r="E553" s="2" t="inlineStr">
        <is>
          <t>16:57</t>
        </is>
      </c>
      <c r="F553" s="5" t="n">
        <v>479.83</v>
      </c>
      <c r="G553" s="5" t="n"/>
      <c r="H553" s="5" t="n"/>
      <c r="I553" s="5" t="n"/>
      <c r="J553" s="5" t="n">
        <v>95.97</v>
      </c>
      <c r="K553" s="5" t="n"/>
      <c r="L553" s="5" t="n"/>
      <c r="M553" s="5" t="n"/>
      <c r="N553" s="5" t="n"/>
      <c r="O553" s="5" t="n">
        <v>575.8</v>
      </c>
      <c r="P553" s="5" t="n"/>
      <c r="Q553" s="5" t="n">
        <v>575.8</v>
      </c>
      <c r="R553" s="5" t="n"/>
      <c r="S553" s="5">
        <f>SUM(F553:I553)+N553</f>
        <v/>
      </c>
      <c r="T553" s="5">
        <f>J553</f>
        <v/>
      </c>
      <c r="U553" s="6">
        <f>YEAR(D553)</f>
        <v/>
      </c>
      <c r="V553" s="5">
        <f>TEXT(D553,"yyyy-mm")</f>
        <v/>
      </c>
    </row>
    <row r="554">
      <c r="A554" s="2" t="inlineStr">
        <is>
          <t>EJ101123.TXT</t>
        </is>
      </c>
      <c r="B554" s="3" t="inlineStr">
        <is>
          <t>005131</t>
        </is>
      </c>
      <c r="C554" s="3" t="inlineStr">
        <is>
          <t>004114</t>
        </is>
      </c>
      <c r="D554" s="4" t="n">
        <v>45202</v>
      </c>
      <c r="E554" s="2" t="inlineStr">
        <is>
          <t>09:39</t>
        </is>
      </c>
      <c r="F554" s="5" t="n">
        <v>265.83</v>
      </c>
      <c r="G554" s="5" t="n"/>
      <c r="H554" s="5" t="n"/>
      <c r="I554" s="5" t="n"/>
      <c r="J554" s="5" t="n">
        <v>53.17</v>
      </c>
      <c r="K554" s="5" t="n"/>
      <c r="L554" s="5" t="n"/>
      <c r="M554" s="5" t="n"/>
      <c r="N554" s="5" t="n"/>
      <c r="O554" s="5" t="n">
        <v>319</v>
      </c>
      <c r="P554" s="5" t="n"/>
      <c r="Q554" s="5" t="n">
        <v>319</v>
      </c>
      <c r="R554" s="5" t="n"/>
      <c r="S554" s="5">
        <f>SUM(F554:I554)+N554</f>
        <v/>
      </c>
      <c r="T554" s="5">
        <f>J554</f>
        <v/>
      </c>
      <c r="U554" s="6">
        <f>YEAR(D554)</f>
        <v/>
      </c>
      <c r="V554" s="5">
        <f>TEXT(D554,"yyyy-mm")</f>
        <v/>
      </c>
    </row>
    <row r="555">
      <c r="A555" s="2" t="inlineStr">
        <is>
          <t>EJ101123.TXT</t>
        </is>
      </c>
      <c r="B555" s="3" t="inlineStr">
        <is>
          <t>005132</t>
        </is>
      </c>
      <c r="C555" s="3" t="inlineStr">
        <is>
          <t>004115</t>
        </is>
      </c>
      <c r="D555" s="4" t="n">
        <v>45205</v>
      </c>
      <c r="E555" s="2" t="inlineStr">
        <is>
          <t>14:05</t>
        </is>
      </c>
      <c r="F555" s="5" t="n">
        <v>548.33</v>
      </c>
      <c r="G555" s="5" t="n"/>
      <c r="H555" s="5" t="n"/>
      <c r="I555" s="5" t="n"/>
      <c r="J555" s="5" t="n">
        <v>109.67</v>
      </c>
      <c r="K555" s="5" t="n"/>
      <c r="L555" s="5" t="n"/>
      <c r="M555" s="5" t="n"/>
      <c r="N555" s="5" t="n"/>
      <c r="O555" s="5" t="n">
        <v>658</v>
      </c>
      <c r="P555" s="5" t="n">
        <v>658</v>
      </c>
      <c r="Q555" s="5" t="n"/>
      <c r="R555" s="5" t="n"/>
      <c r="S555" s="5">
        <f>SUM(F555:I555)+N555</f>
        <v/>
      </c>
      <c r="T555" s="5">
        <f>J555</f>
        <v/>
      </c>
      <c r="U555" s="6">
        <f>YEAR(D555)</f>
        <v/>
      </c>
      <c r="V555" s="5">
        <f>TEXT(D555,"yyyy-mm")</f>
        <v/>
      </c>
    </row>
    <row r="556">
      <c r="A556" s="2" t="inlineStr">
        <is>
          <t>EJ101123.TXT</t>
        </is>
      </c>
      <c r="B556" s="3" t="inlineStr">
        <is>
          <t>005133</t>
        </is>
      </c>
      <c r="C556" s="3" t="inlineStr">
        <is>
          <t>004116</t>
        </is>
      </c>
      <c r="D556" s="4" t="n">
        <v>45206</v>
      </c>
      <c r="E556" s="2" t="inlineStr">
        <is>
          <t>15:50</t>
        </is>
      </c>
      <c r="F556" s="5" t="n">
        <v>199.17</v>
      </c>
      <c r="G556" s="5" t="n"/>
      <c r="H556" s="5" t="n"/>
      <c r="I556" s="5" t="n"/>
      <c r="J556" s="5" t="n">
        <v>39.83</v>
      </c>
      <c r="K556" s="5" t="n"/>
      <c r="L556" s="5" t="n"/>
      <c r="M556" s="5" t="n"/>
      <c r="N556" s="5" t="n"/>
      <c r="O556" s="5" t="n">
        <v>239</v>
      </c>
      <c r="P556" s="5" t="n">
        <v>239</v>
      </c>
      <c r="Q556" s="5" t="n"/>
      <c r="R556" s="5" t="n"/>
      <c r="S556" s="5">
        <f>SUM(F556:I556)+N556</f>
        <v/>
      </c>
      <c r="T556" s="5">
        <f>J556</f>
        <v/>
      </c>
      <c r="U556" s="6">
        <f>YEAR(D556)</f>
        <v/>
      </c>
      <c r="V556" s="5">
        <f>TEXT(D556,"yyyy-mm")</f>
        <v/>
      </c>
    </row>
    <row r="557">
      <c r="A557" s="2" t="inlineStr">
        <is>
          <t>EJ101123.TXT</t>
        </is>
      </c>
      <c r="B557" s="3" t="inlineStr">
        <is>
          <t>005134</t>
        </is>
      </c>
      <c r="C557" s="3" t="inlineStr">
        <is>
          <t>004117</t>
        </is>
      </c>
      <c r="D557" s="4" t="n">
        <v>45206</v>
      </c>
      <c r="E557" s="2" t="inlineStr">
        <is>
          <t>15:54</t>
        </is>
      </c>
      <c r="F557" s="5" t="n">
        <v>274.17</v>
      </c>
      <c r="G557" s="5" t="n"/>
      <c r="H557" s="5" t="n"/>
      <c r="I557" s="5" t="n"/>
      <c r="J557" s="5" t="n">
        <v>54.83</v>
      </c>
      <c r="K557" s="5" t="n"/>
      <c r="L557" s="5" t="n"/>
      <c r="M557" s="5" t="n"/>
      <c r="N557" s="5" t="n"/>
      <c r="O557" s="5" t="n">
        <v>329</v>
      </c>
      <c r="P557" s="5" t="n">
        <v>329</v>
      </c>
      <c r="Q557" s="5" t="n"/>
      <c r="R557" s="5" t="n"/>
      <c r="S557" s="5">
        <f>SUM(F557:I557)+N557</f>
        <v/>
      </c>
      <c r="T557" s="5">
        <f>J557</f>
        <v/>
      </c>
      <c r="U557" s="6">
        <f>YEAR(D557)</f>
        <v/>
      </c>
      <c r="V557" s="5">
        <f>TEXT(D557,"yyyy-mm")</f>
        <v/>
      </c>
    </row>
    <row r="558">
      <c r="A558" s="2" t="inlineStr">
        <is>
          <t>EJ101123.TXT</t>
        </is>
      </c>
      <c r="B558" s="3" t="inlineStr">
        <is>
          <t>005135</t>
        </is>
      </c>
      <c r="C558" s="3" t="inlineStr">
        <is>
          <t>004118</t>
        </is>
      </c>
      <c r="D558" s="4" t="n">
        <v>45206</v>
      </c>
      <c r="E558" s="2" t="inlineStr">
        <is>
          <t>15:54</t>
        </is>
      </c>
      <c r="F558" s="5" t="n">
        <v>274.17</v>
      </c>
      <c r="G558" s="5" t="n"/>
      <c r="H558" s="5" t="n"/>
      <c r="I558" s="5" t="n"/>
      <c r="J558" s="5" t="n">
        <v>54.83</v>
      </c>
      <c r="K558" s="5" t="n"/>
      <c r="L558" s="5" t="n"/>
      <c r="M558" s="5" t="n"/>
      <c r="N558" s="5" t="n"/>
      <c r="O558" s="5" t="n">
        <v>329</v>
      </c>
      <c r="P558" s="5" t="n"/>
      <c r="Q558" s="5" t="n">
        <v>329</v>
      </c>
      <c r="R558" s="5" t="n"/>
      <c r="S558" s="5">
        <f>SUM(F558:I558)+N558</f>
        <v/>
      </c>
      <c r="T558" s="5">
        <f>J558</f>
        <v/>
      </c>
      <c r="U558" s="6">
        <f>YEAR(D558)</f>
        <v/>
      </c>
      <c r="V558" s="5">
        <f>TEXT(D558,"yyyy-mm")</f>
        <v/>
      </c>
    </row>
    <row r="559">
      <c r="A559" s="2" t="inlineStr">
        <is>
          <t>EJ101123.TXT</t>
        </is>
      </c>
      <c r="B559" s="3" t="inlineStr">
        <is>
          <t>005136</t>
        </is>
      </c>
      <c r="C559" s="3" t="inlineStr">
        <is>
          <t>004119</t>
        </is>
      </c>
      <c r="D559" s="4" t="n">
        <v>45208</v>
      </c>
      <c r="E559" s="2" t="inlineStr">
        <is>
          <t>13:52</t>
        </is>
      </c>
      <c r="F559" s="5" t="n">
        <v>548.33</v>
      </c>
      <c r="G559" s="5" t="n"/>
      <c r="H559" s="5" t="n"/>
      <c r="I559" s="5" t="n"/>
      <c r="J559" s="5" t="n">
        <v>109.67</v>
      </c>
      <c r="K559" s="5" t="n"/>
      <c r="L559" s="5" t="n"/>
      <c r="M559" s="5" t="n"/>
      <c r="N559" s="5" t="n"/>
      <c r="O559" s="5" t="n">
        <v>658</v>
      </c>
      <c r="P559" s="5" t="n"/>
      <c r="Q559" s="5" t="n">
        <v>658</v>
      </c>
      <c r="R559" s="5" t="n"/>
      <c r="S559" s="5">
        <f>SUM(F559:I559)+N559</f>
        <v/>
      </c>
      <c r="T559" s="5">
        <f>J559</f>
        <v/>
      </c>
      <c r="U559" s="6">
        <f>YEAR(D559)</f>
        <v/>
      </c>
      <c r="V559" s="5">
        <f>TEXT(D559,"yyyy-mm")</f>
        <v/>
      </c>
    </row>
    <row r="560">
      <c r="A560" s="2" t="inlineStr">
        <is>
          <t>EJ101123.TXT</t>
        </is>
      </c>
      <c r="B560" s="3" t="inlineStr">
        <is>
          <t>005137</t>
        </is>
      </c>
      <c r="C560" s="3" t="inlineStr">
        <is>
          <t>004120</t>
        </is>
      </c>
      <c r="D560" s="4" t="n">
        <v>45209</v>
      </c>
      <c r="E560" s="2" t="inlineStr">
        <is>
          <t>13:43</t>
        </is>
      </c>
      <c r="F560" s="5" t="n">
        <v>274.17</v>
      </c>
      <c r="G560" s="5" t="n"/>
      <c r="H560" s="5" t="n"/>
      <c r="I560" s="5" t="n"/>
      <c r="J560" s="5" t="n">
        <v>54.83</v>
      </c>
      <c r="K560" s="5" t="n"/>
      <c r="L560" s="5" t="n"/>
      <c r="M560" s="5" t="n"/>
      <c r="N560" s="5" t="n"/>
      <c r="O560" s="5" t="n">
        <v>329</v>
      </c>
      <c r="P560" s="5" t="n">
        <v>329</v>
      </c>
      <c r="Q560" s="5" t="n"/>
      <c r="R560" s="5" t="n"/>
      <c r="S560" s="5">
        <f>SUM(F560:I560)+N560</f>
        <v/>
      </c>
      <c r="T560" s="5">
        <f>J560</f>
        <v/>
      </c>
      <c r="U560" s="6">
        <f>YEAR(D560)</f>
        <v/>
      </c>
      <c r="V560" s="5">
        <f>TEXT(D560,"yyyy-mm")</f>
        <v/>
      </c>
    </row>
    <row r="561">
      <c r="A561" s="2" t="inlineStr">
        <is>
          <t>EJ101123.TXT</t>
        </is>
      </c>
      <c r="B561" s="3" t="inlineStr">
        <is>
          <t>005138</t>
        </is>
      </c>
      <c r="C561" s="3" t="inlineStr">
        <is>
          <t>004121</t>
        </is>
      </c>
      <c r="D561" s="4" t="n">
        <v>45209</v>
      </c>
      <c r="E561" s="2" t="inlineStr">
        <is>
          <t>14:31</t>
        </is>
      </c>
      <c r="F561" s="5" t="n">
        <v>548.33</v>
      </c>
      <c r="G561" s="5" t="n"/>
      <c r="H561" s="5" t="n"/>
      <c r="I561" s="5" t="n"/>
      <c r="J561" s="5" t="n">
        <v>109.67</v>
      </c>
      <c r="K561" s="5" t="n"/>
      <c r="L561" s="5" t="n"/>
      <c r="M561" s="5" t="n"/>
      <c r="N561" s="5" t="n"/>
      <c r="O561" s="5" t="n">
        <v>658</v>
      </c>
      <c r="P561" s="5" t="n"/>
      <c r="Q561" s="5" t="n">
        <v>658</v>
      </c>
      <c r="R561" s="5" t="n"/>
      <c r="S561" s="5">
        <f>SUM(F561:I561)+N561</f>
        <v/>
      </c>
      <c r="T561" s="5">
        <f>J561</f>
        <v/>
      </c>
      <c r="U561" s="6">
        <f>YEAR(D561)</f>
        <v/>
      </c>
      <c r="V561" s="5">
        <f>TEXT(D561,"yyyy-mm")</f>
        <v/>
      </c>
    </row>
    <row r="562">
      <c r="A562" s="2" t="inlineStr">
        <is>
          <t>EJ101123.TXT</t>
        </is>
      </c>
      <c r="B562" s="3" t="inlineStr">
        <is>
          <t>005139</t>
        </is>
      </c>
      <c r="C562" s="3" t="inlineStr">
        <is>
          <t>004122</t>
        </is>
      </c>
      <c r="D562" s="4" t="n">
        <v>45209</v>
      </c>
      <c r="E562" s="2" t="inlineStr">
        <is>
          <t>16:17</t>
        </is>
      </c>
      <c r="F562" s="5" t="n">
        <v>175</v>
      </c>
      <c r="G562" s="5" t="n"/>
      <c r="H562" s="5" t="n"/>
      <c r="I562" s="5" t="n"/>
      <c r="J562" s="5" t="n">
        <v>35</v>
      </c>
      <c r="K562" s="5" t="n"/>
      <c r="L562" s="5" t="n"/>
      <c r="M562" s="5" t="n"/>
      <c r="N562" s="5" t="n"/>
      <c r="O562" s="5" t="n">
        <v>210</v>
      </c>
      <c r="P562" s="5" t="n">
        <v>210</v>
      </c>
      <c r="Q562" s="5" t="n"/>
      <c r="R562" s="5" t="n"/>
      <c r="S562" s="5">
        <f>SUM(F562:I562)+N562</f>
        <v/>
      </c>
      <c r="T562" s="5">
        <f>J562</f>
        <v/>
      </c>
      <c r="U562" s="6">
        <f>YEAR(D562)</f>
        <v/>
      </c>
      <c r="V562" s="5">
        <f>TEXT(D562,"yyyy-mm")</f>
        <v/>
      </c>
    </row>
    <row r="563">
      <c r="A563" s="2" t="inlineStr">
        <is>
          <t>EJ101123.TXT</t>
        </is>
      </c>
      <c r="B563" s="3" t="inlineStr">
        <is>
          <t>005140</t>
        </is>
      </c>
      <c r="C563" s="3" t="inlineStr">
        <is>
          <t>004123</t>
        </is>
      </c>
      <c r="D563" s="4" t="n">
        <v>45210</v>
      </c>
      <c r="E563" s="2" t="inlineStr">
        <is>
          <t>15:10</t>
        </is>
      </c>
      <c r="F563" s="5" t="n">
        <v>3290</v>
      </c>
      <c r="G563" s="5" t="n"/>
      <c r="H563" s="5" t="n"/>
      <c r="I563" s="5" t="n"/>
      <c r="J563" s="5" t="n">
        <v>658</v>
      </c>
      <c r="K563" s="5" t="n"/>
      <c r="L563" s="5" t="n"/>
      <c r="M563" s="5" t="n"/>
      <c r="N563" s="5" t="n"/>
      <c r="O563" s="5" t="n">
        <v>3948</v>
      </c>
      <c r="P563" s="5" t="n">
        <v>3948</v>
      </c>
      <c r="Q563" s="5" t="n"/>
      <c r="R563" s="5" t="n"/>
      <c r="S563" s="5">
        <f>SUM(F563:I563)+N563</f>
        <v/>
      </c>
      <c r="T563" s="5">
        <f>J563</f>
        <v/>
      </c>
      <c r="U563" s="6">
        <f>YEAR(D563)</f>
        <v/>
      </c>
      <c r="V563" s="5">
        <f>TEXT(D563,"yyyy-mm")</f>
        <v/>
      </c>
    </row>
    <row r="564">
      <c r="A564" s="2" t="inlineStr">
        <is>
          <t>EJ101123.TXT</t>
        </is>
      </c>
      <c r="B564" s="3" t="inlineStr">
        <is>
          <t>005141</t>
        </is>
      </c>
      <c r="C564" s="3" t="inlineStr">
        <is>
          <t>004124</t>
        </is>
      </c>
      <c r="D564" s="4" t="n">
        <v>45210</v>
      </c>
      <c r="E564" s="2" t="inlineStr">
        <is>
          <t>16:08</t>
        </is>
      </c>
      <c r="F564" s="5" t="n">
        <v>1096.67</v>
      </c>
      <c r="G564" s="5" t="n"/>
      <c r="H564" s="5" t="n"/>
      <c r="I564" s="5" t="n"/>
      <c r="J564" s="5" t="n">
        <v>219.33</v>
      </c>
      <c r="K564" s="5" t="n"/>
      <c r="L564" s="5" t="n"/>
      <c r="M564" s="5" t="n"/>
      <c r="N564" s="5" t="n"/>
      <c r="O564" s="5" t="n">
        <v>1316</v>
      </c>
      <c r="P564" s="5" t="n"/>
      <c r="Q564" s="5" t="n">
        <v>1316</v>
      </c>
      <c r="R564" s="5" t="n"/>
      <c r="S564" s="5">
        <f>SUM(F564:I564)+N564</f>
        <v/>
      </c>
      <c r="T564" s="5">
        <f>J564</f>
        <v/>
      </c>
      <c r="U564" s="6">
        <f>YEAR(D564)</f>
        <v/>
      </c>
      <c r="V564" s="5">
        <f>TEXT(D564,"yyyy-mm")</f>
        <v/>
      </c>
    </row>
    <row r="565">
      <c r="A565" s="2" t="inlineStr">
        <is>
          <t>EJ101123.TXT</t>
        </is>
      </c>
      <c r="B565" s="3" t="inlineStr">
        <is>
          <t>005142</t>
        </is>
      </c>
      <c r="C565" s="3" t="inlineStr">
        <is>
          <t>004125</t>
        </is>
      </c>
      <c r="D565" s="4" t="n">
        <v>45213</v>
      </c>
      <c r="E565" s="2" t="inlineStr">
        <is>
          <t>13:40</t>
        </is>
      </c>
      <c r="F565" s="5" t="n">
        <v>274.17</v>
      </c>
      <c r="G565" s="5" t="n"/>
      <c r="H565" s="5" t="n"/>
      <c r="I565" s="5" t="n"/>
      <c r="J565" s="5" t="n">
        <v>54.83</v>
      </c>
      <c r="K565" s="5" t="n"/>
      <c r="L565" s="5" t="n"/>
      <c r="M565" s="5" t="n"/>
      <c r="N565" s="5" t="n"/>
      <c r="O565" s="5" t="n">
        <v>329</v>
      </c>
      <c r="P565" s="5" t="n">
        <v>329</v>
      </c>
      <c r="Q565" s="5" t="n"/>
      <c r="R565" s="5" t="n"/>
      <c r="S565" s="5">
        <f>SUM(F565:I565)+N565</f>
        <v/>
      </c>
      <c r="T565" s="5">
        <f>J565</f>
        <v/>
      </c>
      <c r="U565" s="6">
        <f>YEAR(D565)</f>
        <v/>
      </c>
      <c r="V565" s="5">
        <f>TEXT(D565,"yyyy-mm")</f>
        <v/>
      </c>
    </row>
    <row r="566">
      <c r="A566" s="2" t="inlineStr">
        <is>
          <t>EJ101123.TXT</t>
        </is>
      </c>
      <c r="B566" s="3" t="inlineStr">
        <is>
          <t>005143</t>
        </is>
      </c>
      <c r="C566" s="3" t="inlineStr">
        <is>
          <t>004126</t>
        </is>
      </c>
      <c r="D566" s="4" t="n">
        <v>45213</v>
      </c>
      <c r="E566" s="2" t="inlineStr">
        <is>
          <t>15:52</t>
        </is>
      </c>
      <c r="F566" s="5" t="n">
        <v>274.17</v>
      </c>
      <c r="G566" s="5" t="n"/>
      <c r="H566" s="5" t="n"/>
      <c r="I566" s="5" t="n"/>
      <c r="J566" s="5" t="n">
        <v>54.83</v>
      </c>
      <c r="K566" s="5" t="n"/>
      <c r="L566" s="5" t="n"/>
      <c r="M566" s="5" t="n"/>
      <c r="N566" s="5" t="n"/>
      <c r="O566" s="5" t="n">
        <v>329</v>
      </c>
      <c r="P566" s="5" t="n">
        <v>329</v>
      </c>
      <c r="Q566" s="5" t="n"/>
      <c r="R566" s="5" t="n"/>
      <c r="S566" s="5">
        <f>SUM(F566:I566)+N566</f>
        <v/>
      </c>
      <c r="T566" s="5">
        <f>J566</f>
        <v/>
      </c>
      <c r="U566" s="6">
        <f>YEAR(D566)</f>
        <v/>
      </c>
      <c r="V566" s="5">
        <f>TEXT(D566,"yyyy-mm")</f>
        <v/>
      </c>
    </row>
    <row r="567">
      <c r="A567" s="2" t="inlineStr">
        <is>
          <t>EJ101123.TXT</t>
        </is>
      </c>
      <c r="B567" s="3" t="inlineStr">
        <is>
          <t>005144</t>
        </is>
      </c>
      <c r="C567" s="3" t="inlineStr">
        <is>
          <t>004127</t>
        </is>
      </c>
      <c r="D567" s="4" t="n">
        <v>45213</v>
      </c>
      <c r="E567" s="2" t="inlineStr">
        <is>
          <t>17:08</t>
        </is>
      </c>
      <c r="F567" s="5" t="n">
        <v>8240.83</v>
      </c>
      <c r="G567" s="5" t="n"/>
      <c r="H567" s="5" t="n"/>
      <c r="I567" s="5" t="n"/>
      <c r="J567" s="5" t="n">
        <v>1648.17</v>
      </c>
      <c r="K567" s="5" t="n"/>
      <c r="L567" s="5" t="n"/>
      <c r="M567" s="5" t="n"/>
      <c r="N567" s="5" t="n"/>
      <c r="O567" s="5" t="n">
        <v>9889</v>
      </c>
      <c r="P567" s="5" t="n">
        <v>9889</v>
      </c>
      <c r="Q567" s="5" t="n"/>
      <c r="R567" s="5" t="n"/>
      <c r="S567" s="5">
        <f>SUM(F567:I567)+N567</f>
        <v/>
      </c>
      <c r="T567" s="5">
        <f>J567</f>
        <v/>
      </c>
      <c r="U567" s="6">
        <f>YEAR(D567)</f>
        <v/>
      </c>
      <c r="V567" s="5">
        <f>TEXT(D567,"yyyy-mm")</f>
        <v/>
      </c>
    </row>
    <row r="568">
      <c r="A568" s="2" t="inlineStr">
        <is>
          <t>EJ101123.TXT</t>
        </is>
      </c>
      <c r="B568" s="3" t="inlineStr">
        <is>
          <t>005145</t>
        </is>
      </c>
      <c r="C568" s="3" t="inlineStr">
        <is>
          <t>004128</t>
        </is>
      </c>
      <c r="D568" s="4" t="n">
        <v>45216</v>
      </c>
      <c r="E568" s="2" t="inlineStr">
        <is>
          <t>10:17</t>
        </is>
      </c>
      <c r="F568" s="5" t="n">
        <v>1165</v>
      </c>
      <c r="G568" s="5" t="n"/>
      <c r="H568" s="5" t="n"/>
      <c r="I568" s="5" t="n"/>
      <c r="J568" s="5" t="n">
        <v>233</v>
      </c>
      <c r="K568" s="5" t="n"/>
      <c r="L568" s="5" t="n"/>
      <c r="M568" s="5" t="n"/>
      <c r="N568" s="5" t="n"/>
      <c r="O568" s="5" t="n">
        <v>1398</v>
      </c>
      <c r="P568" s="5" t="n">
        <v>1398</v>
      </c>
      <c r="Q568" s="5" t="n"/>
      <c r="R568" s="5" t="n"/>
      <c r="S568" s="5">
        <f>SUM(F568:I568)+N568</f>
        <v/>
      </c>
      <c r="T568" s="5">
        <f>J568</f>
        <v/>
      </c>
      <c r="U568" s="6">
        <f>YEAR(D568)</f>
        <v/>
      </c>
      <c r="V568" s="5">
        <f>TEXT(D568,"yyyy-mm")</f>
        <v/>
      </c>
    </row>
    <row r="569">
      <c r="A569" s="2" t="inlineStr">
        <is>
          <t>EJ101123.TXT</t>
        </is>
      </c>
      <c r="B569" s="3" t="inlineStr">
        <is>
          <t>005146</t>
        </is>
      </c>
      <c r="C569" s="3" t="inlineStr">
        <is>
          <t>004129</t>
        </is>
      </c>
      <c r="D569" s="4" t="n">
        <v>45216</v>
      </c>
      <c r="E569" s="2" t="inlineStr">
        <is>
          <t>15:28</t>
        </is>
      </c>
      <c r="F569" s="5" t="n">
        <v>37.5</v>
      </c>
      <c r="G569" s="5" t="n"/>
      <c r="H569" s="5" t="n"/>
      <c r="I569" s="5" t="n"/>
      <c r="J569" s="5" t="n">
        <v>7.5</v>
      </c>
      <c r="K569" s="5" t="n"/>
      <c r="L569" s="5" t="n"/>
      <c r="M569" s="5" t="n"/>
      <c r="N569" s="5" t="n"/>
      <c r="O569" s="5" t="n">
        <v>45</v>
      </c>
      <c r="P569" s="5" t="n"/>
      <c r="Q569" s="5" t="n">
        <v>45</v>
      </c>
      <c r="R569" s="5" t="n"/>
      <c r="S569" s="5">
        <f>SUM(F569:I569)+N569</f>
        <v/>
      </c>
      <c r="T569" s="5">
        <f>J569</f>
        <v/>
      </c>
      <c r="U569" s="6">
        <f>YEAR(D569)</f>
        <v/>
      </c>
      <c r="V569" s="5">
        <f>TEXT(D569,"yyyy-mm")</f>
        <v/>
      </c>
    </row>
    <row r="570">
      <c r="A570" s="2" t="inlineStr">
        <is>
          <t>EJ101123.TXT</t>
        </is>
      </c>
      <c r="B570" s="3" t="inlineStr">
        <is>
          <t>005147</t>
        </is>
      </c>
      <c r="C570" s="3" t="inlineStr">
        <is>
          <t>004130</t>
        </is>
      </c>
      <c r="D570" s="4" t="n">
        <v>45216</v>
      </c>
      <c r="E570" s="2" t="inlineStr">
        <is>
          <t>16:11</t>
        </is>
      </c>
      <c r="F570" s="5" t="n">
        <v>995.83</v>
      </c>
      <c r="G570" s="5" t="n"/>
      <c r="H570" s="5" t="n"/>
      <c r="I570" s="5" t="n"/>
      <c r="J570" s="5" t="n">
        <v>199.17</v>
      </c>
      <c r="K570" s="5" t="n"/>
      <c r="L570" s="5" t="n"/>
      <c r="M570" s="5" t="n"/>
      <c r="N570" s="5" t="n"/>
      <c r="O570" s="5" t="n">
        <v>1195</v>
      </c>
      <c r="P570" s="5" t="n">
        <v>1195</v>
      </c>
      <c r="Q570" s="5" t="n"/>
      <c r="R570" s="5" t="n"/>
      <c r="S570" s="5">
        <f>SUM(F570:I570)+N570</f>
        <v/>
      </c>
      <c r="T570" s="5">
        <f>J570</f>
        <v/>
      </c>
      <c r="U570" s="6">
        <f>YEAR(D570)</f>
        <v/>
      </c>
      <c r="V570" s="5">
        <f>TEXT(D570,"yyyy-mm")</f>
        <v/>
      </c>
    </row>
    <row r="571">
      <c r="A571" s="2" t="inlineStr">
        <is>
          <t>EJ101123.TXT</t>
        </is>
      </c>
      <c r="B571" s="3" t="inlineStr">
        <is>
          <t>005148</t>
        </is>
      </c>
      <c r="C571" s="3" t="inlineStr">
        <is>
          <t>004131</t>
        </is>
      </c>
      <c r="D571" s="4" t="n">
        <v>45220</v>
      </c>
      <c r="E571" s="2" t="inlineStr">
        <is>
          <t>14:48</t>
        </is>
      </c>
      <c r="F571" s="5" t="n">
        <v>124.17</v>
      </c>
      <c r="G571" s="5" t="n"/>
      <c r="H571" s="5" t="n"/>
      <c r="I571" s="5" t="n"/>
      <c r="J571" s="5" t="n">
        <v>24.83</v>
      </c>
      <c r="K571" s="5" t="n"/>
      <c r="L571" s="5" t="n"/>
      <c r="M571" s="5" t="n"/>
      <c r="N571" s="5" t="n"/>
      <c r="O571" s="5" t="n">
        <v>149</v>
      </c>
      <c r="P571" s="5" t="n"/>
      <c r="Q571" s="5" t="n">
        <v>149</v>
      </c>
      <c r="R571" s="5" t="n"/>
      <c r="S571" s="5">
        <f>SUM(F571:I571)+N571</f>
        <v/>
      </c>
      <c r="T571" s="5">
        <f>J571</f>
        <v/>
      </c>
      <c r="U571" s="6">
        <f>YEAR(D571)</f>
        <v/>
      </c>
      <c r="V571" s="5">
        <f>TEXT(D571,"yyyy-mm")</f>
        <v/>
      </c>
    </row>
    <row r="572">
      <c r="A572" s="2" t="inlineStr">
        <is>
          <t>EJ101123.TXT</t>
        </is>
      </c>
      <c r="B572" s="3" t="inlineStr">
        <is>
          <t>005149</t>
        </is>
      </c>
      <c r="C572" s="3" t="inlineStr">
        <is>
          <t>004132</t>
        </is>
      </c>
      <c r="D572" s="4" t="n">
        <v>45222</v>
      </c>
      <c r="E572" s="2" t="inlineStr">
        <is>
          <t>15:36</t>
        </is>
      </c>
      <c r="F572" s="5" t="n">
        <v>202.5</v>
      </c>
      <c r="G572" s="5" t="n"/>
      <c r="H572" s="5" t="n"/>
      <c r="I572" s="5" t="n"/>
      <c r="J572" s="5" t="n">
        <v>40.5</v>
      </c>
      <c r="K572" s="5" t="n"/>
      <c r="L572" s="5" t="n"/>
      <c r="M572" s="5" t="n"/>
      <c r="N572" s="5" t="n"/>
      <c r="O572" s="5" t="n">
        <v>243</v>
      </c>
      <c r="P572" s="5" t="n">
        <v>243</v>
      </c>
      <c r="Q572" s="5" t="n"/>
      <c r="R572" s="5" t="n"/>
      <c r="S572" s="5">
        <f>SUM(F572:I572)+N572</f>
        <v/>
      </c>
      <c r="T572" s="5">
        <f>J572</f>
        <v/>
      </c>
      <c r="U572" s="6">
        <f>YEAR(D572)</f>
        <v/>
      </c>
      <c r="V572" s="5">
        <f>TEXT(D572,"yyyy-mm")</f>
        <v/>
      </c>
    </row>
    <row r="573">
      <c r="A573" s="2" t="inlineStr">
        <is>
          <t>EJ101123.TXT</t>
        </is>
      </c>
      <c r="B573" s="3" t="inlineStr">
        <is>
          <t>005150</t>
        </is>
      </c>
      <c r="C573" s="3" t="inlineStr">
        <is>
          <t>004133</t>
        </is>
      </c>
      <c r="D573" s="4" t="n">
        <v>45222</v>
      </c>
      <c r="E573" s="2" t="inlineStr">
        <is>
          <t>16:05</t>
        </is>
      </c>
      <c r="F573" s="5" t="n">
        <v>531.67</v>
      </c>
      <c r="G573" s="5" t="n"/>
      <c r="H573" s="5" t="n"/>
      <c r="I573" s="5" t="n"/>
      <c r="J573" s="5" t="n">
        <v>106.33</v>
      </c>
      <c r="K573" s="5" t="n"/>
      <c r="L573" s="5" t="n"/>
      <c r="M573" s="5" t="n"/>
      <c r="N573" s="5" t="n"/>
      <c r="O573" s="5" t="n">
        <v>638</v>
      </c>
      <c r="P573" s="5" t="n"/>
      <c r="Q573" s="5" t="n">
        <v>638</v>
      </c>
      <c r="R573" s="5" t="n"/>
      <c r="S573" s="5">
        <f>SUM(F573:I573)+N573</f>
        <v/>
      </c>
      <c r="T573" s="5">
        <f>J573</f>
        <v/>
      </c>
      <c r="U573" s="6">
        <f>YEAR(D573)</f>
        <v/>
      </c>
      <c r="V573" s="5">
        <f>TEXT(D573,"yyyy-mm")</f>
        <v/>
      </c>
    </row>
    <row r="574">
      <c r="A574" s="2" t="inlineStr">
        <is>
          <t>EJ101123.TXT</t>
        </is>
      </c>
      <c r="B574" s="3" t="inlineStr">
        <is>
          <t>005151</t>
        </is>
      </c>
      <c r="C574" s="3" t="inlineStr">
        <is>
          <t>004134</t>
        </is>
      </c>
      <c r="D574" s="4" t="n">
        <v>45222</v>
      </c>
      <c r="E574" s="2" t="inlineStr">
        <is>
          <t>16:29</t>
        </is>
      </c>
      <c r="F574" s="5" t="n">
        <v>274.17</v>
      </c>
      <c r="G574" s="5" t="n"/>
      <c r="H574" s="5" t="n"/>
      <c r="I574" s="5" t="n"/>
      <c r="J574" s="5" t="n">
        <v>54.83</v>
      </c>
      <c r="K574" s="5" t="n"/>
      <c r="L574" s="5" t="n"/>
      <c r="M574" s="5" t="n"/>
      <c r="N574" s="5" t="n"/>
      <c r="O574" s="5" t="n">
        <v>329</v>
      </c>
      <c r="P574" s="5" t="n"/>
      <c r="Q574" s="5" t="n">
        <v>329</v>
      </c>
      <c r="R574" s="5" t="n"/>
      <c r="S574" s="5">
        <f>SUM(F574:I574)+N574</f>
        <v/>
      </c>
      <c r="T574" s="5">
        <f>J574</f>
        <v/>
      </c>
      <c r="U574" s="6">
        <f>YEAR(D574)</f>
        <v/>
      </c>
      <c r="V574" s="5">
        <f>TEXT(D574,"yyyy-mm")</f>
        <v/>
      </c>
    </row>
    <row r="575">
      <c r="A575" s="2" t="inlineStr">
        <is>
          <t>EJ101123.TXT</t>
        </is>
      </c>
      <c r="B575" s="3" t="inlineStr">
        <is>
          <t>005152</t>
        </is>
      </c>
      <c r="C575" s="3" t="inlineStr">
        <is>
          <t>004135</t>
        </is>
      </c>
      <c r="D575" s="4" t="n">
        <v>45222</v>
      </c>
      <c r="E575" s="2" t="inlineStr">
        <is>
          <t>16:39</t>
        </is>
      </c>
      <c r="F575" s="5" t="n">
        <v>274.17</v>
      </c>
      <c r="G575" s="5" t="n"/>
      <c r="H575" s="5" t="n"/>
      <c r="I575" s="5" t="n"/>
      <c r="J575" s="5" t="n">
        <v>54.83</v>
      </c>
      <c r="K575" s="5" t="n"/>
      <c r="L575" s="5" t="n"/>
      <c r="M575" s="5" t="n"/>
      <c r="N575" s="5" t="n"/>
      <c r="O575" s="5" t="n">
        <v>329</v>
      </c>
      <c r="P575" s="5" t="n"/>
      <c r="Q575" s="5" t="n">
        <v>329</v>
      </c>
      <c r="R575" s="5" t="n"/>
      <c r="S575" s="5">
        <f>SUM(F575:I575)+N575</f>
        <v/>
      </c>
      <c r="T575" s="5">
        <f>J575</f>
        <v/>
      </c>
      <c r="U575" s="6">
        <f>YEAR(D575)</f>
        <v/>
      </c>
      <c r="V575" s="5">
        <f>TEXT(D575,"yyyy-mm")</f>
        <v/>
      </c>
    </row>
    <row r="576">
      <c r="A576" s="2" t="inlineStr">
        <is>
          <t>EJ101123.TXT</t>
        </is>
      </c>
      <c r="B576" s="3" t="inlineStr">
        <is>
          <t>005153</t>
        </is>
      </c>
      <c r="C576" s="3" t="inlineStr">
        <is>
          <t>004136</t>
        </is>
      </c>
      <c r="D576" s="4" t="n">
        <v>45223</v>
      </c>
      <c r="E576" s="2" t="inlineStr">
        <is>
          <t>11:45</t>
        </is>
      </c>
      <c r="F576" s="5" t="n">
        <v>37.5</v>
      </c>
      <c r="G576" s="5" t="n"/>
      <c r="H576" s="5" t="n"/>
      <c r="I576" s="5" t="n"/>
      <c r="J576" s="5" t="n">
        <v>7.5</v>
      </c>
      <c r="K576" s="5" t="n"/>
      <c r="L576" s="5" t="n"/>
      <c r="M576" s="5" t="n"/>
      <c r="N576" s="5" t="n"/>
      <c r="O576" s="5" t="n">
        <v>45</v>
      </c>
      <c r="P576" s="5" t="n">
        <v>45</v>
      </c>
      <c r="Q576" s="5" t="n"/>
      <c r="R576" s="5" t="n"/>
      <c r="S576" s="5">
        <f>SUM(F576:I576)+N576</f>
        <v/>
      </c>
      <c r="T576" s="5">
        <f>J576</f>
        <v/>
      </c>
      <c r="U576" s="6">
        <f>YEAR(D576)</f>
        <v/>
      </c>
      <c r="V576" s="5">
        <f>TEXT(D576,"yyyy-mm")</f>
        <v/>
      </c>
    </row>
    <row r="577">
      <c r="A577" s="2" t="inlineStr">
        <is>
          <t>EJ101123.TXT</t>
        </is>
      </c>
      <c r="B577" s="3" t="inlineStr">
        <is>
          <t>005154</t>
        </is>
      </c>
      <c r="C577" s="3" t="inlineStr">
        <is>
          <t>004137</t>
        </is>
      </c>
      <c r="D577" s="4" t="n">
        <v>45223</v>
      </c>
      <c r="E577" s="2" t="inlineStr">
        <is>
          <t>17:13</t>
        </is>
      </c>
      <c r="F577" s="5" t="n">
        <v>274.17</v>
      </c>
      <c r="G577" s="5" t="n"/>
      <c r="H577" s="5" t="n"/>
      <c r="I577" s="5" t="n"/>
      <c r="J577" s="5" t="n">
        <v>54.83</v>
      </c>
      <c r="K577" s="5" t="n"/>
      <c r="L577" s="5" t="n"/>
      <c r="M577" s="5" t="n"/>
      <c r="N577" s="5" t="n"/>
      <c r="O577" s="5" t="n">
        <v>329</v>
      </c>
      <c r="P577" s="5" t="n"/>
      <c r="Q577" s="5" t="n">
        <v>329</v>
      </c>
      <c r="R577" s="5" t="n"/>
      <c r="S577" s="5">
        <f>SUM(F577:I577)+N577</f>
        <v/>
      </c>
      <c r="T577" s="5">
        <f>J577</f>
        <v/>
      </c>
      <c r="U577" s="6">
        <f>YEAR(D577)</f>
        <v/>
      </c>
      <c r="V577" s="5">
        <f>TEXT(D577,"yyyy-mm")</f>
        <v/>
      </c>
    </row>
    <row r="578">
      <c r="A578" s="2" t="inlineStr">
        <is>
          <t>EJ101123.TXT</t>
        </is>
      </c>
      <c r="B578" s="3" t="inlineStr">
        <is>
          <t>005155</t>
        </is>
      </c>
      <c r="C578" s="3" t="inlineStr">
        <is>
          <t>004138</t>
        </is>
      </c>
      <c r="D578" s="4" t="n">
        <v>45226</v>
      </c>
      <c r="E578" s="2" t="inlineStr">
        <is>
          <t>10:18</t>
        </is>
      </c>
      <c r="F578" s="5" t="n">
        <v>548.33</v>
      </c>
      <c r="G578" s="5" t="n"/>
      <c r="H578" s="5" t="n"/>
      <c r="I578" s="5" t="n"/>
      <c r="J578" s="5" t="n">
        <v>109.67</v>
      </c>
      <c r="K578" s="5" t="n"/>
      <c r="L578" s="5" t="n"/>
      <c r="M578" s="5" t="n"/>
      <c r="N578" s="5" t="n"/>
      <c r="O578" s="5" t="n">
        <v>658</v>
      </c>
      <c r="P578" s="5" t="n"/>
      <c r="Q578" s="5" t="n">
        <v>658</v>
      </c>
      <c r="R578" s="5" t="n"/>
      <c r="S578" s="5">
        <f>SUM(F578:I578)+N578</f>
        <v/>
      </c>
      <c r="T578" s="5">
        <f>J578</f>
        <v/>
      </c>
      <c r="U578" s="6">
        <f>YEAR(D578)</f>
        <v/>
      </c>
      <c r="V578" s="5">
        <f>TEXT(D578,"yyyy-mm")</f>
        <v/>
      </c>
    </row>
    <row r="579">
      <c r="A579" s="2" t="inlineStr">
        <is>
          <t>EJ101123.TXT</t>
        </is>
      </c>
      <c r="B579" s="3" t="inlineStr">
        <is>
          <t>005156</t>
        </is>
      </c>
      <c r="C579" s="3" t="inlineStr">
        <is>
          <t>004139</t>
        </is>
      </c>
      <c r="D579" s="4" t="n">
        <v>45229</v>
      </c>
      <c r="E579" s="2" t="inlineStr">
        <is>
          <t>14:55</t>
        </is>
      </c>
      <c r="F579" s="5" t="n">
        <v>324.17</v>
      </c>
      <c r="G579" s="5" t="n"/>
      <c r="H579" s="5" t="n"/>
      <c r="I579" s="5" t="n"/>
      <c r="J579" s="5" t="n">
        <v>64.83</v>
      </c>
      <c r="K579" s="5" t="n"/>
      <c r="L579" s="5" t="n"/>
      <c r="M579" s="5" t="n"/>
      <c r="N579" s="5" t="n"/>
      <c r="O579" s="5" t="n">
        <v>389</v>
      </c>
      <c r="P579" s="5" t="n"/>
      <c r="Q579" s="5" t="n">
        <v>389</v>
      </c>
      <c r="R579" s="5" t="n"/>
      <c r="S579" s="5">
        <f>SUM(F579:I579)+N579</f>
        <v/>
      </c>
      <c r="T579" s="5">
        <f>J579</f>
        <v/>
      </c>
      <c r="U579" s="6">
        <f>YEAR(D579)</f>
        <v/>
      </c>
      <c r="V579" s="5">
        <f>TEXT(D579,"yyyy-mm")</f>
        <v/>
      </c>
    </row>
    <row r="580">
      <c r="A580" s="2" t="inlineStr">
        <is>
          <t>EJ101123.TXT</t>
        </is>
      </c>
      <c r="B580" s="3" t="inlineStr">
        <is>
          <t>005157</t>
        </is>
      </c>
      <c r="C580" s="3" t="inlineStr">
        <is>
          <t>004140</t>
        </is>
      </c>
      <c r="D580" s="4" t="n">
        <v>45229</v>
      </c>
      <c r="E580" s="2" t="inlineStr">
        <is>
          <t>16:43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  <c r="S580" s="5">
        <f>SUM(F580:I580)+N580</f>
        <v/>
      </c>
      <c r="T580" s="5">
        <f>J580</f>
        <v/>
      </c>
      <c r="U580" s="6">
        <f>YEAR(D580)</f>
        <v/>
      </c>
      <c r="V580" s="5">
        <f>TEXT(D580,"yyyy-mm")</f>
        <v/>
      </c>
    </row>
    <row r="581">
      <c r="A581" s="2" t="inlineStr">
        <is>
          <t>EJ101123.TXT</t>
        </is>
      </c>
      <c r="B581" s="3" t="inlineStr">
        <is>
          <t>005158</t>
        </is>
      </c>
      <c r="C581" s="3" t="inlineStr">
        <is>
          <t>004141</t>
        </is>
      </c>
      <c r="D581" s="4" t="n">
        <v>45229</v>
      </c>
      <c r="E581" s="2" t="inlineStr">
        <is>
          <t>16:52</t>
        </is>
      </c>
      <c r="F581" s="5" t="n">
        <v>548.33</v>
      </c>
      <c r="G581" s="5" t="n"/>
      <c r="H581" s="5" t="n"/>
      <c r="I581" s="5" t="n"/>
      <c r="J581" s="5" t="n">
        <v>109.67</v>
      </c>
      <c r="K581" s="5" t="n"/>
      <c r="L581" s="5" t="n"/>
      <c r="M581" s="5" t="n"/>
      <c r="N581" s="5" t="n"/>
      <c r="O581" s="5" t="n">
        <v>658</v>
      </c>
      <c r="P581" s="5" t="n"/>
      <c r="Q581" s="5" t="n">
        <v>658</v>
      </c>
      <c r="R581" s="5" t="n"/>
      <c r="S581" s="5">
        <f>SUM(F581:I581)+N581</f>
        <v/>
      </c>
      <c r="T581" s="5">
        <f>J581</f>
        <v/>
      </c>
      <c r="U581" s="6">
        <f>YEAR(D581)</f>
        <v/>
      </c>
      <c r="V581" s="5">
        <f>TEXT(D581,"yyyy-mm")</f>
        <v/>
      </c>
    </row>
    <row r="582">
      <c r="A582" s="2" t="inlineStr">
        <is>
          <t>EJ101123.TXT</t>
        </is>
      </c>
      <c r="B582" s="3" t="inlineStr">
        <is>
          <t>005159</t>
        </is>
      </c>
      <c r="C582" s="3" t="inlineStr">
        <is>
          <t>004142</t>
        </is>
      </c>
      <c r="D582" s="4" t="n">
        <v>45232</v>
      </c>
      <c r="E582" s="2" t="inlineStr">
        <is>
          <t>15:56</t>
        </is>
      </c>
      <c r="F582" s="5" t="n">
        <v>797.5</v>
      </c>
      <c r="G582" s="5" t="n"/>
      <c r="H582" s="5" t="n"/>
      <c r="I582" s="5" t="n"/>
      <c r="J582" s="5" t="n">
        <v>159.5</v>
      </c>
      <c r="K582" s="5" t="n"/>
      <c r="L582" s="5" t="n"/>
      <c r="M582" s="5" t="n"/>
      <c r="N582" s="5" t="n"/>
      <c r="O582" s="5" t="n">
        <v>957</v>
      </c>
      <c r="P582" s="5" t="n"/>
      <c r="Q582" s="5" t="n">
        <v>957</v>
      </c>
      <c r="R582" s="5" t="n"/>
      <c r="S582" s="5">
        <f>SUM(F582:I582)+N582</f>
        <v/>
      </c>
      <c r="T582" s="5">
        <f>J582</f>
        <v/>
      </c>
      <c r="U582" s="6">
        <f>YEAR(D582)</f>
        <v/>
      </c>
      <c r="V582" s="5">
        <f>TEXT(D582,"yyyy-mm")</f>
        <v/>
      </c>
    </row>
    <row r="583">
      <c r="A583" s="2" t="inlineStr">
        <is>
          <t>EJ101123.TXT</t>
        </is>
      </c>
      <c r="B583" s="3" t="inlineStr">
        <is>
          <t>005160</t>
        </is>
      </c>
      <c r="C583" s="3" t="inlineStr">
        <is>
          <t>004143</t>
        </is>
      </c>
      <c r="D583" s="4" t="n">
        <v>45232</v>
      </c>
      <c r="E583" s="2" t="inlineStr">
        <is>
          <t>15:58</t>
        </is>
      </c>
      <c r="F583" s="5" t="n">
        <v>265.83</v>
      </c>
      <c r="G583" s="5" t="n"/>
      <c r="H583" s="5" t="n"/>
      <c r="I583" s="5" t="n"/>
      <c r="J583" s="5" t="n">
        <v>53.17</v>
      </c>
      <c r="K583" s="5" t="n"/>
      <c r="L583" s="5" t="n"/>
      <c r="M583" s="5" t="n"/>
      <c r="N583" s="5" t="n"/>
      <c r="O583" s="5" t="n">
        <v>319</v>
      </c>
      <c r="P583" s="5" t="n">
        <v>319</v>
      </c>
      <c r="Q583" s="5" t="n"/>
      <c r="R583" s="5" t="n"/>
      <c r="S583" s="5">
        <f>SUM(F583:I583)+N583</f>
        <v/>
      </c>
      <c r="T583" s="5">
        <f>J583</f>
        <v/>
      </c>
      <c r="U583" s="6">
        <f>YEAR(D583)</f>
        <v/>
      </c>
      <c r="V583" s="5">
        <f>TEXT(D583,"yyyy-mm")</f>
        <v/>
      </c>
    </row>
    <row r="584">
      <c r="A584" s="2" t="inlineStr">
        <is>
          <t>EJ101123.TXT</t>
        </is>
      </c>
      <c r="B584" s="3" t="inlineStr">
        <is>
          <t>005161</t>
        </is>
      </c>
      <c r="C584" s="3" t="inlineStr">
        <is>
          <t>004144</t>
        </is>
      </c>
      <c r="D584" s="4" t="n">
        <v>45234</v>
      </c>
      <c r="E584" s="2" t="inlineStr">
        <is>
          <t>15:44</t>
        </is>
      </c>
      <c r="F584" s="5" t="n">
        <v>548.33</v>
      </c>
      <c r="G584" s="5" t="n"/>
      <c r="H584" s="5" t="n"/>
      <c r="I584" s="5" t="n"/>
      <c r="J584" s="5" t="n">
        <v>109.67</v>
      </c>
      <c r="K584" s="5" t="n"/>
      <c r="L584" s="5" t="n"/>
      <c r="M584" s="5" t="n"/>
      <c r="N584" s="5" t="n"/>
      <c r="O584" s="5" t="n">
        <v>658</v>
      </c>
      <c r="P584" s="5" t="n">
        <v>658</v>
      </c>
      <c r="Q584" s="5" t="n"/>
      <c r="R584" s="5" t="n"/>
      <c r="S584" s="5">
        <f>SUM(F584:I584)+N584</f>
        <v/>
      </c>
      <c r="T584" s="5">
        <f>J584</f>
        <v/>
      </c>
      <c r="U584" s="6">
        <f>YEAR(D584)</f>
        <v/>
      </c>
      <c r="V584" s="5">
        <f>TEXT(D584,"yyyy-mm")</f>
        <v/>
      </c>
    </row>
    <row r="585">
      <c r="A585" s="2" t="inlineStr">
        <is>
          <t>EJ101123.TXT</t>
        </is>
      </c>
      <c r="B585" s="3" t="inlineStr">
        <is>
          <t>005162</t>
        </is>
      </c>
      <c r="C585" s="3" t="inlineStr">
        <is>
          <t>004145</t>
        </is>
      </c>
      <c r="D585" s="4" t="n">
        <v>45238</v>
      </c>
      <c r="E585" s="2" t="inlineStr">
        <is>
          <t>16:43</t>
        </is>
      </c>
      <c r="F585" s="5" t="n">
        <v>265.83</v>
      </c>
      <c r="G585" s="5" t="n"/>
      <c r="H585" s="5" t="n"/>
      <c r="I585" s="5" t="n"/>
      <c r="J585" s="5" t="n">
        <v>53.17</v>
      </c>
      <c r="K585" s="5" t="n"/>
      <c r="L585" s="5" t="n"/>
      <c r="M585" s="5" t="n"/>
      <c r="N585" s="5" t="n"/>
      <c r="O585" s="5" t="n">
        <v>319</v>
      </c>
      <c r="P585" s="5" t="n"/>
      <c r="Q585" s="5" t="n">
        <v>319</v>
      </c>
      <c r="R585" s="5" t="n"/>
      <c r="S585" s="5">
        <f>SUM(F585:I585)+N585</f>
        <v/>
      </c>
      <c r="T585" s="5">
        <f>J585</f>
        <v/>
      </c>
      <c r="U585" s="6">
        <f>YEAR(D585)</f>
        <v/>
      </c>
      <c r="V585" s="5">
        <f>TEXT(D585,"yyyy-mm")</f>
        <v/>
      </c>
    </row>
    <row r="586">
      <c r="A586" s="2" t="inlineStr">
        <is>
          <t>EJ101123.TXT</t>
        </is>
      </c>
      <c r="B586" s="3" t="inlineStr">
        <is>
          <t>005163</t>
        </is>
      </c>
      <c r="C586" s="3" t="inlineStr">
        <is>
          <t>004146</t>
        </is>
      </c>
      <c r="D586" s="4" t="n">
        <v>45239</v>
      </c>
      <c r="E586" s="2" t="inlineStr">
        <is>
          <t>12:38</t>
        </is>
      </c>
      <c r="F586" s="5" t="n">
        <v>598.33</v>
      </c>
      <c r="G586" s="5" t="n"/>
      <c r="H586" s="5" t="n"/>
      <c r="I586" s="5" t="n"/>
      <c r="J586" s="5" t="n">
        <v>119.67</v>
      </c>
      <c r="K586" s="5" t="n"/>
      <c r="L586" s="5" t="n"/>
      <c r="M586" s="5" t="n"/>
      <c r="N586" s="5" t="n"/>
      <c r="O586" s="5" t="n">
        <v>718</v>
      </c>
      <c r="P586" s="5" t="n"/>
      <c r="Q586" s="5" t="n">
        <v>718</v>
      </c>
      <c r="R586" s="5" t="n"/>
      <c r="S586" s="5">
        <f>SUM(F586:I586)+N586</f>
        <v/>
      </c>
      <c r="T586" s="5">
        <f>J586</f>
        <v/>
      </c>
      <c r="U586" s="6">
        <f>YEAR(D586)</f>
        <v/>
      </c>
      <c r="V586" s="5">
        <f>TEXT(D586,"yyyy-mm")</f>
        <v/>
      </c>
    </row>
    <row r="587">
      <c r="A587" s="2" t="inlineStr">
        <is>
          <t>EJ101123.TXT</t>
        </is>
      </c>
      <c r="B587" s="3" t="inlineStr">
        <is>
          <t>005164</t>
        </is>
      </c>
      <c r="C587" s="3" t="inlineStr">
        <is>
          <t>004147</t>
        </is>
      </c>
      <c r="D587" s="4" t="n">
        <v>45239</v>
      </c>
      <c r="E587" s="2" t="inlineStr">
        <is>
          <t>16:03</t>
        </is>
      </c>
      <c r="F587" s="5" t="n">
        <v>274.17</v>
      </c>
      <c r="G587" s="5" t="n"/>
      <c r="H587" s="5" t="n"/>
      <c r="I587" s="5" t="n"/>
      <c r="J587" s="5" t="n">
        <v>54.83</v>
      </c>
      <c r="K587" s="5" t="n"/>
      <c r="L587" s="5" t="n"/>
      <c r="M587" s="5" t="n"/>
      <c r="N587" s="5" t="n"/>
      <c r="O587" s="5" t="n">
        <v>329</v>
      </c>
      <c r="P587" s="5" t="n"/>
      <c r="Q587" s="5" t="n">
        <v>329</v>
      </c>
      <c r="R587" s="5" t="n"/>
      <c r="S587" s="5">
        <f>SUM(F587:I587)+N587</f>
        <v/>
      </c>
      <c r="T587" s="5">
        <f>J587</f>
        <v/>
      </c>
      <c r="U587" s="6">
        <f>YEAR(D587)</f>
        <v/>
      </c>
      <c r="V587" s="5">
        <f>TEXT(D587,"yyyy-mm")</f>
        <v/>
      </c>
    </row>
    <row r="588">
      <c r="A588" s="2" t="inlineStr">
        <is>
          <t>EJ011223.TXT</t>
        </is>
      </c>
      <c r="B588" s="3" t="inlineStr">
        <is>
          <t>005173</t>
        </is>
      </c>
      <c r="C588" s="3" t="inlineStr">
        <is>
          <t>004148</t>
        </is>
      </c>
      <c r="D588" s="4" t="n">
        <v>45244</v>
      </c>
      <c r="E588" s="2" t="inlineStr">
        <is>
          <t>12:57</t>
        </is>
      </c>
      <c r="F588" s="5" t="n">
        <v>3240</v>
      </c>
      <c r="G588" s="5" t="n"/>
      <c r="H588" s="5" t="n"/>
      <c r="I588" s="5" t="n"/>
      <c r="J588" s="5" t="n">
        <v>648</v>
      </c>
      <c r="K588" s="5" t="n"/>
      <c r="L588" s="5" t="n"/>
      <c r="M588" s="5" t="n"/>
      <c r="N588" s="5" t="n"/>
      <c r="O588" s="5" t="n">
        <v>3888</v>
      </c>
      <c r="P588" s="5" t="n">
        <v>3888</v>
      </c>
      <c r="Q588" s="5" t="n"/>
      <c r="R588" s="5" t="n"/>
      <c r="S588" s="5">
        <f>SUM(F588:I588)+N588</f>
        <v/>
      </c>
      <c r="T588" s="5">
        <f>J588</f>
        <v/>
      </c>
      <c r="U588" s="6">
        <f>YEAR(D588)</f>
        <v/>
      </c>
      <c r="V588" s="5">
        <f>TEXT(D588,"yyyy-mm")</f>
        <v/>
      </c>
    </row>
    <row r="589">
      <c r="A589" s="2" t="inlineStr">
        <is>
          <t>EJ011223.TXT</t>
        </is>
      </c>
      <c r="B589" s="3" t="inlineStr">
        <is>
          <t>005174</t>
        </is>
      </c>
      <c r="C589" s="3" t="inlineStr">
        <is>
          <t>004149</t>
        </is>
      </c>
      <c r="D589" s="4" t="n">
        <v>45248</v>
      </c>
      <c r="E589" s="2" t="inlineStr">
        <is>
          <t>17:03</t>
        </is>
      </c>
      <c r="F589" s="5" t="n">
        <v>165.83</v>
      </c>
      <c r="G589" s="5" t="n"/>
      <c r="H589" s="5" t="n"/>
      <c r="I589" s="5" t="n"/>
      <c r="J589" s="5" t="n">
        <v>33.17</v>
      </c>
      <c r="K589" s="5" t="n"/>
      <c r="L589" s="5" t="n"/>
      <c r="M589" s="5" t="n"/>
      <c r="N589" s="5" t="n"/>
      <c r="O589" s="5" t="n">
        <v>199</v>
      </c>
      <c r="P589" s="5" t="n"/>
      <c r="Q589" s="5" t="n">
        <v>199</v>
      </c>
      <c r="R589" s="5" t="n"/>
      <c r="S589" s="5">
        <f>SUM(F589:I589)+N589</f>
        <v/>
      </c>
      <c r="T589" s="5">
        <f>J589</f>
        <v/>
      </c>
      <c r="U589" s="6">
        <f>YEAR(D589)</f>
        <v/>
      </c>
      <c r="V589" s="5">
        <f>TEXT(D589,"yyyy-mm")</f>
        <v/>
      </c>
    </row>
    <row r="590">
      <c r="A590" s="2" t="inlineStr">
        <is>
          <t>EJ011223.TXT</t>
        </is>
      </c>
      <c r="B590" s="3" t="inlineStr">
        <is>
          <t>005175</t>
        </is>
      </c>
      <c r="C590" s="3" t="inlineStr">
        <is>
          <t>004150</t>
        </is>
      </c>
      <c r="D590" s="4" t="n">
        <v>45252</v>
      </c>
      <c r="E590" s="2" t="inlineStr">
        <is>
          <t>12:26</t>
        </is>
      </c>
      <c r="F590" s="5" t="n">
        <v>274.17</v>
      </c>
      <c r="G590" s="5" t="n"/>
      <c r="H590" s="5" t="n"/>
      <c r="I590" s="5" t="n"/>
      <c r="J590" s="5" t="n">
        <v>54.83</v>
      </c>
      <c r="K590" s="5" t="n"/>
      <c r="L590" s="5" t="n"/>
      <c r="M590" s="5" t="n"/>
      <c r="N590" s="5" t="n"/>
      <c r="O590" s="5" t="n">
        <v>329</v>
      </c>
      <c r="P590" s="5" t="n"/>
      <c r="Q590" s="5" t="n">
        <v>329</v>
      </c>
      <c r="R590" s="5" t="n"/>
      <c r="S590" s="5">
        <f>SUM(F590:I590)+N590</f>
        <v/>
      </c>
      <c r="T590" s="5">
        <f>J590</f>
        <v/>
      </c>
      <c r="U590" s="6">
        <f>YEAR(D590)</f>
        <v/>
      </c>
      <c r="V590" s="5">
        <f>TEXT(D590,"yyyy-mm")</f>
        <v/>
      </c>
    </row>
    <row r="591">
      <c r="A591" s="2" t="inlineStr">
        <is>
          <t>EJ011223.TXT</t>
        </is>
      </c>
      <c r="B591" s="3" t="inlineStr">
        <is>
          <t>005176</t>
        </is>
      </c>
      <c r="C591" s="3" t="inlineStr">
        <is>
          <t>004151</t>
        </is>
      </c>
      <c r="D591" s="4" t="n">
        <v>45255</v>
      </c>
      <c r="E591" s="2" t="inlineStr">
        <is>
          <t>17:23</t>
        </is>
      </c>
      <c r="F591" s="5" t="n">
        <v>1096.67</v>
      </c>
      <c r="G591" s="5" t="n"/>
      <c r="H591" s="5" t="n"/>
      <c r="I591" s="5" t="n"/>
      <c r="J591" s="5" t="n">
        <v>219.33</v>
      </c>
      <c r="K591" s="5" t="n"/>
      <c r="L591" s="5" t="n"/>
      <c r="M591" s="5" t="n"/>
      <c r="N591" s="5" t="n"/>
      <c r="O591" s="5" t="n">
        <v>1316</v>
      </c>
      <c r="P591" s="5" t="n">
        <v>1316</v>
      </c>
      <c r="Q591" s="5" t="n"/>
      <c r="R591" s="5" t="n"/>
      <c r="S591" s="5">
        <f>SUM(F591:I591)+N591</f>
        <v/>
      </c>
      <c r="T591" s="5">
        <f>J591</f>
        <v/>
      </c>
      <c r="U591" s="6">
        <f>YEAR(D591)</f>
        <v/>
      </c>
      <c r="V591" s="5">
        <f>TEXT(D591,"yyyy-mm")</f>
        <v/>
      </c>
    </row>
    <row r="592">
      <c r="A592" s="2" t="inlineStr">
        <is>
          <t>EJ011223.TXT</t>
        </is>
      </c>
      <c r="B592" s="3" t="inlineStr">
        <is>
          <t>005177</t>
        </is>
      </c>
      <c r="C592" s="3" t="inlineStr">
        <is>
          <t>004152</t>
        </is>
      </c>
      <c r="D592" s="4" t="n">
        <v>45255</v>
      </c>
      <c r="E592" s="2" t="inlineStr">
        <is>
          <t>17:35</t>
        </is>
      </c>
      <c r="F592" s="5" t="n">
        <v>274.17</v>
      </c>
      <c r="G592" s="5" t="n"/>
      <c r="H592" s="5" t="n"/>
      <c r="I592" s="5" t="n"/>
      <c r="J592" s="5" t="n">
        <v>54.83</v>
      </c>
      <c r="K592" s="5" t="n"/>
      <c r="L592" s="5" t="n"/>
      <c r="M592" s="5" t="n"/>
      <c r="N592" s="5" t="n"/>
      <c r="O592" s="5" t="n">
        <v>329</v>
      </c>
      <c r="P592" s="5" t="n"/>
      <c r="Q592" s="5" t="n">
        <v>329</v>
      </c>
      <c r="R592" s="5" t="n"/>
      <c r="S592" s="5">
        <f>SUM(F592:I592)+N592</f>
        <v/>
      </c>
      <c r="T592" s="5">
        <f>J592</f>
        <v/>
      </c>
      <c r="U592" s="6">
        <f>YEAR(D592)</f>
        <v/>
      </c>
      <c r="V592" s="5">
        <f>TEXT(D592,"yyyy-mm")</f>
        <v/>
      </c>
    </row>
    <row r="593">
      <c r="A593" s="2" t="inlineStr">
        <is>
          <t>EJ011223.TXT</t>
        </is>
      </c>
      <c r="B593" s="3" t="inlineStr">
        <is>
          <t>005178</t>
        </is>
      </c>
      <c r="C593" s="3" t="inlineStr">
        <is>
          <t>004153</t>
        </is>
      </c>
      <c r="D593" s="4" t="n">
        <v>45260</v>
      </c>
      <c r="E593" s="2" t="inlineStr">
        <is>
          <t>10:50</t>
        </is>
      </c>
      <c r="F593" s="5" t="n">
        <v>274.17</v>
      </c>
      <c r="G593" s="5" t="n"/>
      <c r="H593" s="5" t="n"/>
      <c r="I593" s="5" t="n"/>
      <c r="J593" s="5" t="n">
        <v>54.83</v>
      </c>
      <c r="K593" s="5" t="n"/>
      <c r="L593" s="5" t="n"/>
      <c r="M593" s="5" t="n"/>
      <c r="N593" s="5" t="n"/>
      <c r="O593" s="5" t="n">
        <v>329</v>
      </c>
      <c r="P593" s="5" t="n"/>
      <c r="Q593" s="5" t="n">
        <v>329</v>
      </c>
      <c r="R593" s="5" t="n"/>
      <c r="S593" s="5">
        <f>SUM(F593:I593)+N593</f>
        <v/>
      </c>
      <c r="T593" s="5">
        <f>J593</f>
        <v/>
      </c>
      <c r="U593" s="6">
        <f>YEAR(D593)</f>
        <v/>
      </c>
      <c r="V593" s="5">
        <f>TEXT(D593,"yyyy-mm")</f>
        <v/>
      </c>
    </row>
    <row r="594">
      <c r="A594" s="2" t="inlineStr">
        <is>
          <t>EJ010124.TXT</t>
        </is>
      </c>
      <c r="B594" s="3" t="inlineStr">
        <is>
          <t>005187</t>
        </is>
      </c>
      <c r="C594" s="3" t="inlineStr">
        <is>
          <t>004154</t>
        </is>
      </c>
      <c r="D594" s="4" t="n">
        <v>45261</v>
      </c>
      <c r="E594" s="2" t="inlineStr">
        <is>
          <t>18:30</t>
        </is>
      </c>
      <c r="F594" s="5" t="n">
        <v>582.5</v>
      </c>
      <c r="G594" s="5" t="n"/>
      <c r="H594" s="5" t="n"/>
      <c r="I594" s="5" t="n"/>
      <c r="J594" s="5" t="n">
        <v>116.5</v>
      </c>
      <c r="K594" s="5" t="n"/>
      <c r="L594" s="5" t="n"/>
      <c r="M594" s="5" t="n"/>
      <c r="N594" s="5" t="n"/>
      <c r="O594" s="5" t="n">
        <v>699</v>
      </c>
      <c r="P594" s="5" t="n"/>
      <c r="Q594" s="5" t="n">
        <v>699</v>
      </c>
      <c r="R594" s="5" t="n"/>
      <c r="S594" s="5">
        <f>SUM(F594:I594)+N594</f>
        <v/>
      </c>
      <c r="T594" s="5">
        <f>J594</f>
        <v/>
      </c>
      <c r="U594" s="6">
        <f>YEAR(D594)</f>
        <v/>
      </c>
      <c r="V594" s="5">
        <f>TEXT(D594,"yyyy-mm")</f>
        <v/>
      </c>
    </row>
    <row r="595">
      <c r="A595" s="2" t="inlineStr">
        <is>
          <t>EJ010124.TXT</t>
        </is>
      </c>
      <c r="B595" s="3" t="inlineStr">
        <is>
          <t>005188</t>
        </is>
      </c>
      <c r="C595" s="3" t="inlineStr">
        <is>
          <t>004155</t>
        </is>
      </c>
      <c r="D595" s="4" t="n">
        <v>45261</v>
      </c>
      <c r="E595" s="2" t="inlineStr">
        <is>
          <t>18:32</t>
        </is>
      </c>
      <c r="F595" s="5" t="n">
        <v>531.67</v>
      </c>
      <c r="G595" s="5" t="n"/>
      <c r="H595" s="5" t="n"/>
      <c r="I595" s="5" t="n"/>
      <c r="J595" s="5" t="n">
        <v>106.33</v>
      </c>
      <c r="K595" s="5" t="n"/>
      <c r="L595" s="5" t="n"/>
      <c r="M595" s="5" t="n"/>
      <c r="N595" s="5" t="n"/>
      <c r="O595" s="5" t="n">
        <v>638</v>
      </c>
      <c r="P595" s="5" t="n"/>
      <c r="Q595" s="5" t="n">
        <v>638</v>
      </c>
      <c r="R595" s="5" t="n"/>
      <c r="S595" s="5">
        <f>SUM(F595:I595)+N595</f>
        <v/>
      </c>
      <c r="T595" s="5">
        <f>J595</f>
        <v/>
      </c>
      <c r="U595" s="6">
        <f>YEAR(D595)</f>
        <v/>
      </c>
      <c r="V595" s="5">
        <f>TEXT(D595,"yyyy-mm")</f>
        <v/>
      </c>
    </row>
    <row r="596">
      <c r="A596" s="2" t="inlineStr">
        <is>
          <t>EJ010124.TXT</t>
        </is>
      </c>
      <c r="B596" s="3" t="inlineStr">
        <is>
          <t>005189</t>
        </is>
      </c>
      <c r="C596" s="3" t="inlineStr">
        <is>
          <t>004156</t>
        </is>
      </c>
      <c r="D596" s="4" t="n">
        <v>45261</v>
      </c>
      <c r="E596" s="2" t="inlineStr">
        <is>
          <t>18:32</t>
        </is>
      </c>
      <c r="F596" s="5" t="n">
        <v>531.67</v>
      </c>
      <c r="G596" s="5" t="n"/>
      <c r="H596" s="5" t="n"/>
      <c r="I596" s="5" t="n"/>
      <c r="J596" s="5" t="n">
        <v>106.33</v>
      </c>
      <c r="K596" s="5" t="n"/>
      <c r="L596" s="5" t="n"/>
      <c r="M596" s="5" t="n"/>
      <c r="N596" s="5" t="n"/>
      <c r="O596" s="5" t="n">
        <v>638</v>
      </c>
      <c r="P596" s="5" t="n"/>
      <c r="Q596" s="5" t="n">
        <v>638</v>
      </c>
      <c r="R596" s="5" t="n"/>
      <c r="S596" s="5">
        <f>SUM(F596:I596)+N596</f>
        <v/>
      </c>
      <c r="T596" s="5">
        <f>J596</f>
        <v/>
      </c>
      <c r="U596" s="6">
        <f>YEAR(D596)</f>
        <v/>
      </c>
      <c r="V596" s="5">
        <f>TEXT(D596,"yyyy-mm")</f>
        <v/>
      </c>
    </row>
    <row r="597">
      <c r="A597" s="2" t="inlineStr">
        <is>
          <t>EJ010124.TXT</t>
        </is>
      </c>
      <c r="B597" s="3" t="inlineStr">
        <is>
          <t>005190</t>
        </is>
      </c>
      <c r="C597" s="3" t="inlineStr">
        <is>
          <t>004157</t>
        </is>
      </c>
      <c r="D597" s="4" t="n">
        <v>45262</v>
      </c>
      <c r="E597" s="2" t="inlineStr">
        <is>
          <t>14:52</t>
        </is>
      </c>
      <c r="F597" s="5" t="n">
        <v>822.5</v>
      </c>
      <c r="G597" s="5" t="n"/>
      <c r="H597" s="5" t="n"/>
      <c r="I597" s="5" t="n"/>
      <c r="J597" s="5" t="n">
        <v>164.5</v>
      </c>
      <c r="K597" s="5" t="n"/>
      <c r="L597" s="5" t="n"/>
      <c r="M597" s="5" t="n"/>
      <c r="N597" s="5" t="n"/>
      <c r="O597" s="5" t="n">
        <v>987</v>
      </c>
      <c r="P597" s="5" t="n"/>
      <c r="Q597" s="5" t="n">
        <v>987</v>
      </c>
      <c r="R597" s="5" t="n"/>
      <c r="S597" s="5">
        <f>SUM(F597:I597)+N597</f>
        <v/>
      </c>
      <c r="T597" s="5">
        <f>J597</f>
        <v/>
      </c>
      <c r="U597" s="6">
        <f>YEAR(D597)</f>
        <v/>
      </c>
      <c r="V597" s="5">
        <f>TEXT(D597,"yyyy-mm")</f>
        <v/>
      </c>
    </row>
    <row r="598">
      <c r="A598" s="2" t="inlineStr">
        <is>
          <t>EJ010124.TXT</t>
        </is>
      </c>
      <c r="B598" s="3" t="inlineStr">
        <is>
          <t>005191</t>
        </is>
      </c>
      <c r="C598" s="3" t="inlineStr">
        <is>
          <t>004158</t>
        </is>
      </c>
      <c r="D598" s="4" t="n">
        <v>45262</v>
      </c>
      <c r="E598" s="2" t="inlineStr">
        <is>
          <t>14:52</t>
        </is>
      </c>
      <c r="F598" s="5" t="n">
        <v>797.5</v>
      </c>
      <c r="G598" s="5" t="n"/>
      <c r="H598" s="5" t="n"/>
      <c r="I598" s="5" t="n"/>
      <c r="J598" s="5" t="n">
        <v>159.5</v>
      </c>
      <c r="K598" s="5" t="n"/>
      <c r="L598" s="5" t="n"/>
      <c r="M598" s="5" t="n"/>
      <c r="N598" s="5" t="n"/>
      <c r="O598" s="5" t="n">
        <v>957</v>
      </c>
      <c r="P598" s="5" t="n"/>
      <c r="Q598" s="5" t="n">
        <v>957</v>
      </c>
      <c r="R598" s="5" t="n"/>
      <c r="S598" s="5">
        <f>SUM(F598:I598)+N598</f>
        <v/>
      </c>
      <c r="T598" s="5">
        <f>J598</f>
        <v/>
      </c>
      <c r="U598" s="6">
        <f>YEAR(D598)</f>
        <v/>
      </c>
      <c r="V598" s="5">
        <f>TEXT(D598,"yyyy-mm")</f>
        <v/>
      </c>
    </row>
    <row r="599">
      <c r="A599" s="2" t="inlineStr">
        <is>
          <t>EJ010124.TXT</t>
        </is>
      </c>
      <c r="B599" s="3" t="inlineStr">
        <is>
          <t>005192</t>
        </is>
      </c>
      <c r="C599" s="3" t="inlineStr">
        <is>
          <t>004159</t>
        </is>
      </c>
      <c r="D599" s="4" t="n">
        <v>45262</v>
      </c>
      <c r="E599" s="2" t="inlineStr">
        <is>
          <t>14:52</t>
        </is>
      </c>
      <c r="F599" s="5" t="n">
        <v>822.5</v>
      </c>
      <c r="G599" s="5" t="n"/>
      <c r="H599" s="5" t="n"/>
      <c r="I599" s="5" t="n"/>
      <c r="J599" s="5" t="n">
        <v>164.5</v>
      </c>
      <c r="K599" s="5" t="n"/>
      <c r="L599" s="5" t="n"/>
      <c r="M599" s="5" t="n"/>
      <c r="N599" s="5" t="n"/>
      <c r="O599" s="5" t="n">
        <v>987</v>
      </c>
      <c r="P599" s="5" t="n"/>
      <c r="Q599" s="5" t="n">
        <v>987</v>
      </c>
      <c r="R599" s="5" t="n"/>
      <c r="S599" s="5">
        <f>SUM(F599:I599)+N599</f>
        <v/>
      </c>
      <c r="T599" s="5">
        <f>J599</f>
        <v/>
      </c>
      <c r="U599" s="6">
        <f>YEAR(D599)</f>
        <v/>
      </c>
      <c r="V599" s="5">
        <f>TEXT(D599,"yyyy-mm")</f>
        <v/>
      </c>
    </row>
    <row r="600">
      <c r="A600" s="2" t="inlineStr">
        <is>
          <t>EJ010124.TXT</t>
        </is>
      </c>
      <c r="B600" s="3" t="inlineStr">
        <is>
          <t>005193</t>
        </is>
      </c>
      <c r="C600" s="3" t="inlineStr">
        <is>
          <t>004160</t>
        </is>
      </c>
      <c r="D600" s="4" t="n">
        <v>45262</v>
      </c>
      <c r="E600" s="2" t="inlineStr">
        <is>
          <t>14:53</t>
        </is>
      </c>
      <c r="F600" s="5" t="n">
        <v>531.67</v>
      </c>
      <c r="G600" s="5" t="n"/>
      <c r="H600" s="5" t="n"/>
      <c r="I600" s="5" t="n"/>
      <c r="J600" s="5" t="n">
        <v>106.33</v>
      </c>
      <c r="K600" s="5" t="n"/>
      <c r="L600" s="5" t="n"/>
      <c r="M600" s="5" t="n"/>
      <c r="N600" s="5" t="n"/>
      <c r="O600" s="5" t="n">
        <v>638</v>
      </c>
      <c r="P600" s="5" t="n"/>
      <c r="Q600" s="5" t="n">
        <v>638</v>
      </c>
      <c r="R600" s="5" t="n"/>
      <c r="S600" s="5">
        <f>SUM(F600:I600)+N600</f>
        <v/>
      </c>
      <c r="T600" s="5">
        <f>J600</f>
        <v/>
      </c>
      <c r="U600" s="6">
        <f>YEAR(D600)</f>
        <v/>
      </c>
      <c r="V600" s="5">
        <f>TEXT(D600,"yyyy-mm")</f>
        <v/>
      </c>
    </row>
    <row r="601">
      <c r="A601" s="2" t="inlineStr">
        <is>
          <t>EJ010124.TXT</t>
        </is>
      </c>
      <c r="B601" s="3" t="inlineStr">
        <is>
          <t>005194</t>
        </is>
      </c>
      <c r="C601" s="3" t="inlineStr">
        <is>
          <t>004161</t>
        </is>
      </c>
      <c r="D601" s="4" t="n">
        <v>45262</v>
      </c>
      <c r="E601" s="2" t="inlineStr">
        <is>
          <t>14:53</t>
        </is>
      </c>
      <c r="F601" s="5" t="n">
        <v>265.83</v>
      </c>
      <c r="G601" s="5" t="n"/>
      <c r="H601" s="5" t="n"/>
      <c r="I601" s="5" t="n"/>
      <c r="J601" s="5" t="n">
        <v>53.17</v>
      </c>
      <c r="K601" s="5" t="n"/>
      <c r="L601" s="5" t="n"/>
      <c r="M601" s="5" t="n"/>
      <c r="N601" s="5" t="n"/>
      <c r="O601" s="5" t="n">
        <v>319</v>
      </c>
      <c r="P601" s="5" t="n"/>
      <c r="Q601" s="5" t="n">
        <v>319</v>
      </c>
      <c r="R601" s="5" t="n"/>
      <c r="S601" s="5">
        <f>SUM(F601:I601)+N601</f>
        <v/>
      </c>
      <c r="T601" s="5">
        <f>J601</f>
        <v/>
      </c>
      <c r="U601" s="6">
        <f>YEAR(D601)</f>
        <v/>
      </c>
      <c r="V601" s="5">
        <f>TEXT(D601,"yyyy-mm")</f>
        <v/>
      </c>
    </row>
    <row r="602">
      <c r="A602" s="2" t="inlineStr">
        <is>
          <t>EJ010124.TXT</t>
        </is>
      </c>
      <c r="B602" s="3" t="inlineStr">
        <is>
          <t>005195</t>
        </is>
      </c>
      <c r="C602" s="3" t="inlineStr">
        <is>
          <t>004162</t>
        </is>
      </c>
      <c r="D602" s="4" t="n">
        <v>45262</v>
      </c>
      <c r="E602" s="2" t="inlineStr">
        <is>
          <t>14:54</t>
        </is>
      </c>
      <c r="F602" s="5" t="n">
        <v>531.67</v>
      </c>
      <c r="G602" s="5" t="n"/>
      <c r="H602" s="5" t="n"/>
      <c r="I602" s="5" t="n"/>
      <c r="J602" s="5" t="n">
        <v>106.33</v>
      </c>
      <c r="K602" s="5" t="n"/>
      <c r="L602" s="5" t="n"/>
      <c r="M602" s="5" t="n"/>
      <c r="N602" s="5" t="n"/>
      <c r="O602" s="5" t="n">
        <v>638</v>
      </c>
      <c r="P602" s="5" t="n"/>
      <c r="Q602" s="5" t="n">
        <v>638</v>
      </c>
      <c r="R602" s="5" t="n"/>
      <c r="S602" s="5">
        <f>SUM(F602:I602)+N602</f>
        <v/>
      </c>
      <c r="T602" s="5">
        <f>J602</f>
        <v/>
      </c>
      <c r="U602" s="6">
        <f>YEAR(D602)</f>
        <v/>
      </c>
      <c r="V602" s="5">
        <f>TEXT(D602,"yyyy-mm")</f>
        <v/>
      </c>
    </row>
    <row r="603">
      <c r="A603" s="2" t="inlineStr">
        <is>
          <t>EJ010124.TXT</t>
        </is>
      </c>
      <c r="B603" s="3" t="inlineStr">
        <is>
          <t>005196</t>
        </is>
      </c>
      <c r="C603" s="3" t="inlineStr">
        <is>
          <t>004163</t>
        </is>
      </c>
      <c r="D603" s="4" t="n">
        <v>45262</v>
      </c>
      <c r="E603" s="2" t="inlineStr">
        <is>
          <t>14:54</t>
        </is>
      </c>
      <c r="F603" s="5" t="n">
        <v>797.5</v>
      </c>
      <c r="G603" s="5" t="n"/>
      <c r="H603" s="5" t="n"/>
      <c r="I603" s="5" t="n"/>
      <c r="J603" s="5" t="n">
        <v>159.5</v>
      </c>
      <c r="K603" s="5" t="n"/>
      <c r="L603" s="5" t="n"/>
      <c r="M603" s="5" t="n"/>
      <c r="N603" s="5" t="n"/>
      <c r="O603" s="5" t="n">
        <v>957</v>
      </c>
      <c r="P603" s="5" t="n"/>
      <c r="Q603" s="5" t="n">
        <v>957</v>
      </c>
      <c r="R603" s="5" t="n"/>
      <c r="S603" s="5">
        <f>SUM(F603:I603)+N603</f>
        <v/>
      </c>
      <c r="T603" s="5">
        <f>J603</f>
        <v/>
      </c>
      <c r="U603" s="6">
        <f>YEAR(D603)</f>
        <v/>
      </c>
      <c r="V603" s="5">
        <f>TEXT(D603,"yyyy-mm")</f>
        <v/>
      </c>
    </row>
    <row r="604">
      <c r="A604" s="2" t="inlineStr">
        <is>
          <t>EJ010124.TXT</t>
        </is>
      </c>
      <c r="B604" s="3" t="inlineStr">
        <is>
          <t>005197</t>
        </is>
      </c>
      <c r="C604" s="3" t="inlineStr">
        <is>
          <t>004164</t>
        </is>
      </c>
      <c r="D604" s="4" t="n">
        <v>45262</v>
      </c>
      <c r="E604" s="2" t="inlineStr">
        <is>
          <t>14:54</t>
        </is>
      </c>
      <c r="F604" s="5" t="n">
        <v>531.67</v>
      </c>
      <c r="G604" s="5" t="n"/>
      <c r="H604" s="5" t="n"/>
      <c r="I604" s="5" t="n"/>
      <c r="J604" s="5" t="n">
        <v>106.33</v>
      </c>
      <c r="K604" s="5" t="n"/>
      <c r="L604" s="5" t="n"/>
      <c r="M604" s="5" t="n"/>
      <c r="N604" s="5" t="n"/>
      <c r="O604" s="5" t="n">
        <v>638</v>
      </c>
      <c r="P604" s="5" t="n"/>
      <c r="Q604" s="5" t="n">
        <v>638</v>
      </c>
      <c r="R604" s="5" t="n"/>
      <c r="S604" s="5">
        <f>SUM(F604:I604)+N604</f>
        <v/>
      </c>
      <c r="T604" s="5">
        <f>J604</f>
        <v/>
      </c>
      <c r="U604" s="6">
        <f>YEAR(D604)</f>
        <v/>
      </c>
      <c r="V604" s="5">
        <f>TEXT(D604,"yyyy-mm")</f>
        <v/>
      </c>
    </row>
    <row r="605">
      <c r="A605" s="2" t="inlineStr">
        <is>
          <t>EJ010124.TXT</t>
        </is>
      </c>
      <c r="B605" s="3" t="inlineStr">
        <is>
          <t>005198</t>
        </is>
      </c>
      <c r="C605" s="3" t="inlineStr">
        <is>
          <t>004165</t>
        </is>
      </c>
      <c r="D605" s="4" t="n">
        <v>45262</v>
      </c>
      <c r="E605" s="2" t="inlineStr">
        <is>
          <t>14:55</t>
        </is>
      </c>
      <c r="F605" s="5" t="n">
        <v>797.5</v>
      </c>
      <c r="G605" s="5" t="n"/>
      <c r="H605" s="5" t="n"/>
      <c r="I605" s="5" t="n"/>
      <c r="J605" s="5" t="n">
        <v>159.5</v>
      </c>
      <c r="K605" s="5" t="n"/>
      <c r="L605" s="5" t="n"/>
      <c r="M605" s="5" t="n"/>
      <c r="N605" s="5" t="n"/>
      <c r="O605" s="5" t="n">
        <v>957</v>
      </c>
      <c r="P605" s="5" t="n"/>
      <c r="Q605" s="5" t="n">
        <v>957</v>
      </c>
      <c r="R605" s="5" t="n"/>
      <c r="S605" s="5">
        <f>SUM(F605:I605)+N605</f>
        <v/>
      </c>
      <c r="T605" s="5">
        <f>J605</f>
        <v/>
      </c>
      <c r="U605" s="6">
        <f>YEAR(D605)</f>
        <v/>
      </c>
      <c r="V605" s="5">
        <f>TEXT(D605,"yyyy-mm")</f>
        <v/>
      </c>
    </row>
    <row r="606">
      <c r="A606" s="2" t="inlineStr">
        <is>
          <t>EJ010124.TXT</t>
        </is>
      </c>
      <c r="B606" s="3" t="inlineStr">
        <is>
          <t>005199</t>
        </is>
      </c>
      <c r="C606" s="3" t="inlineStr">
        <is>
          <t>004166</t>
        </is>
      </c>
      <c r="D606" s="4" t="n">
        <v>45262</v>
      </c>
      <c r="E606" s="2" t="inlineStr">
        <is>
          <t>14:55</t>
        </is>
      </c>
      <c r="F606" s="5" t="n">
        <v>531.67</v>
      </c>
      <c r="G606" s="5" t="n"/>
      <c r="H606" s="5" t="n"/>
      <c r="I606" s="5" t="n"/>
      <c r="J606" s="5" t="n">
        <v>106.33</v>
      </c>
      <c r="K606" s="5" t="n"/>
      <c r="L606" s="5" t="n"/>
      <c r="M606" s="5" t="n"/>
      <c r="N606" s="5" t="n"/>
      <c r="O606" s="5" t="n">
        <v>638</v>
      </c>
      <c r="P606" s="5" t="n"/>
      <c r="Q606" s="5" t="n">
        <v>638</v>
      </c>
      <c r="R606" s="5" t="n"/>
      <c r="S606" s="5">
        <f>SUM(F606:I606)+N606</f>
        <v/>
      </c>
      <c r="T606" s="5">
        <f>J606</f>
        <v/>
      </c>
      <c r="U606" s="6">
        <f>YEAR(D606)</f>
        <v/>
      </c>
      <c r="V606" s="5">
        <f>TEXT(D606,"yyyy-mm")</f>
        <v/>
      </c>
    </row>
    <row r="607">
      <c r="A607" s="2" t="inlineStr">
        <is>
          <t>EJ010124.TXT</t>
        </is>
      </c>
      <c r="B607" s="3" t="inlineStr">
        <is>
          <t>005200</t>
        </is>
      </c>
      <c r="C607" s="3" t="inlineStr">
        <is>
          <t>004167</t>
        </is>
      </c>
      <c r="D607" s="4" t="n">
        <v>45262</v>
      </c>
      <c r="E607" s="2" t="inlineStr">
        <is>
          <t>14:55</t>
        </is>
      </c>
      <c r="F607" s="5" t="n">
        <v>531.67</v>
      </c>
      <c r="G607" s="5" t="n"/>
      <c r="H607" s="5" t="n"/>
      <c r="I607" s="5" t="n"/>
      <c r="J607" s="5" t="n">
        <v>106.33</v>
      </c>
      <c r="K607" s="5" t="n"/>
      <c r="L607" s="5" t="n"/>
      <c r="M607" s="5" t="n"/>
      <c r="N607" s="5" t="n"/>
      <c r="O607" s="5" t="n">
        <v>638</v>
      </c>
      <c r="P607" s="5" t="n"/>
      <c r="Q607" s="5" t="n">
        <v>638</v>
      </c>
      <c r="R607" s="5" t="n"/>
      <c r="S607" s="5">
        <f>SUM(F607:I607)+N607</f>
        <v/>
      </c>
      <c r="T607" s="5">
        <f>J607</f>
        <v/>
      </c>
      <c r="U607" s="6">
        <f>YEAR(D607)</f>
        <v/>
      </c>
      <c r="V607" s="5">
        <f>TEXT(D607,"yyyy-mm")</f>
        <v/>
      </c>
    </row>
    <row r="608">
      <c r="A608" s="2" t="inlineStr">
        <is>
          <t>EJ010124.TXT</t>
        </is>
      </c>
      <c r="B608" s="3" t="inlineStr">
        <is>
          <t>005201</t>
        </is>
      </c>
      <c r="C608" s="3" t="inlineStr">
        <is>
          <t>004168</t>
        </is>
      </c>
      <c r="D608" s="4" t="n">
        <v>45263</v>
      </c>
      <c r="E608" s="2" t="inlineStr">
        <is>
          <t>19:01</t>
        </is>
      </c>
      <c r="F608" s="5" t="n">
        <v>1133.33</v>
      </c>
      <c r="G608" s="5" t="n"/>
      <c r="H608" s="5" t="n"/>
      <c r="I608" s="5" t="n"/>
      <c r="J608" s="5" t="n">
        <v>226.67</v>
      </c>
      <c r="K608" s="5" t="n"/>
      <c r="L608" s="5" t="n"/>
      <c r="M608" s="5" t="n"/>
      <c r="N608" s="5" t="n"/>
      <c r="O608" s="5" t="n">
        <v>1360</v>
      </c>
      <c r="P608" s="5" t="n"/>
      <c r="Q608" s="5" t="n">
        <v>1360</v>
      </c>
      <c r="R608" s="5" t="n"/>
      <c r="S608" s="5">
        <f>SUM(F608:I608)+N608</f>
        <v/>
      </c>
      <c r="T608" s="5">
        <f>J608</f>
        <v/>
      </c>
      <c r="U608" s="6">
        <f>YEAR(D608)</f>
        <v/>
      </c>
      <c r="V608" s="5">
        <f>TEXT(D608,"yyyy-mm")</f>
        <v/>
      </c>
    </row>
    <row r="609">
      <c r="A609" s="2" t="inlineStr">
        <is>
          <t>EJ010124.TXT</t>
        </is>
      </c>
      <c r="B609" s="3" t="inlineStr">
        <is>
          <t>005202</t>
        </is>
      </c>
      <c r="C609" s="3" t="inlineStr">
        <is>
          <t>004169</t>
        </is>
      </c>
      <c r="D609" s="4" t="n">
        <v>45267</v>
      </c>
      <c r="E609" s="2" t="inlineStr">
        <is>
          <t>18:10</t>
        </is>
      </c>
      <c r="F609" s="5" t="n">
        <v>165.83</v>
      </c>
      <c r="G609" s="5" t="n"/>
      <c r="H609" s="5" t="n"/>
      <c r="I609" s="5" t="n"/>
      <c r="J609" s="5" t="n">
        <v>33.17</v>
      </c>
      <c r="K609" s="5" t="n"/>
      <c r="L609" s="5" t="n"/>
      <c r="M609" s="5" t="n"/>
      <c r="N609" s="5" t="n"/>
      <c r="O609" s="5" t="n">
        <v>199</v>
      </c>
      <c r="P609" s="5" t="n"/>
      <c r="Q609" s="5" t="n">
        <v>199</v>
      </c>
      <c r="R609" s="5" t="n"/>
      <c r="S609" s="5">
        <f>SUM(F609:I609)+N609</f>
        <v/>
      </c>
      <c r="T609" s="5">
        <f>J609</f>
        <v/>
      </c>
      <c r="U609" s="6">
        <f>YEAR(D609)</f>
        <v/>
      </c>
      <c r="V609" s="5">
        <f>TEXT(D609,"yyyy-mm")</f>
        <v/>
      </c>
    </row>
    <row r="610">
      <c r="A610" s="2" t="inlineStr">
        <is>
          <t>EJ010124.TXT</t>
        </is>
      </c>
      <c r="B610" s="3" t="inlineStr">
        <is>
          <t>005203</t>
        </is>
      </c>
      <c r="C610" s="3" t="inlineStr">
        <is>
          <t>004170</t>
        </is>
      </c>
      <c r="D610" s="4" t="n">
        <v>45267</v>
      </c>
      <c r="E610" s="2" t="inlineStr">
        <is>
          <t>18:15</t>
        </is>
      </c>
      <c r="F610" s="5" t="n">
        <v>199.17</v>
      </c>
      <c r="G610" s="5" t="n"/>
      <c r="H610" s="5" t="n"/>
      <c r="I610" s="5" t="n"/>
      <c r="J610" s="5" t="n">
        <v>39.83</v>
      </c>
      <c r="K610" s="5" t="n"/>
      <c r="L610" s="5" t="n"/>
      <c r="M610" s="5" t="n"/>
      <c r="N610" s="5" t="n"/>
      <c r="O610" s="5" t="n">
        <v>239</v>
      </c>
      <c r="P610" s="5" t="n">
        <v>239</v>
      </c>
      <c r="Q610" s="5" t="n"/>
      <c r="R610" s="5" t="n"/>
      <c r="S610" s="5">
        <f>SUM(F610:I610)+N610</f>
        <v/>
      </c>
      <c r="T610" s="5">
        <f>J610</f>
        <v/>
      </c>
      <c r="U610" s="6">
        <f>YEAR(D610)</f>
        <v/>
      </c>
      <c r="V610" s="5">
        <f>TEXT(D610,"yyyy-mm")</f>
        <v/>
      </c>
    </row>
    <row r="611">
      <c r="A611" s="2" t="inlineStr">
        <is>
          <t>EJ010124.TXT</t>
        </is>
      </c>
      <c r="B611" s="3" t="inlineStr">
        <is>
          <t>005204</t>
        </is>
      </c>
      <c r="C611" s="3" t="inlineStr">
        <is>
          <t>004171</t>
        </is>
      </c>
      <c r="D611" s="4" t="n">
        <v>45268</v>
      </c>
      <c r="E611" s="2" t="inlineStr">
        <is>
          <t>17:16</t>
        </is>
      </c>
      <c r="F611" s="5" t="n">
        <v>4185</v>
      </c>
      <c r="G611" s="5" t="n"/>
      <c r="H611" s="5" t="n"/>
      <c r="I611" s="5" t="n"/>
      <c r="J611" s="5" t="n">
        <v>837</v>
      </c>
      <c r="K611" s="5" t="n"/>
      <c r="L611" s="5" t="n"/>
      <c r="M611" s="5" t="n"/>
      <c r="N611" s="5" t="n"/>
      <c r="O611" s="5" t="n">
        <v>5022</v>
      </c>
      <c r="P611" s="5" t="n">
        <v>5022</v>
      </c>
      <c r="Q611" s="5" t="n"/>
      <c r="R611" s="5" t="n"/>
      <c r="S611" s="5">
        <f>SUM(F611:I611)+N611</f>
        <v/>
      </c>
      <c r="T611" s="5">
        <f>J611</f>
        <v/>
      </c>
      <c r="U611" s="6">
        <f>YEAR(D611)</f>
        <v/>
      </c>
      <c r="V611" s="5">
        <f>TEXT(D611,"yyyy-mm")</f>
        <v/>
      </c>
    </row>
    <row r="612">
      <c r="A612" s="2" t="inlineStr">
        <is>
          <t>EJ010124.TXT</t>
        </is>
      </c>
      <c r="B612" s="3" t="inlineStr">
        <is>
          <t>005205</t>
        </is>
      </c>
      <c r="C612" s="3" t="inlineStr">
        <is>
          <t>004172</t>
        </is>
      </c>
      <c r="D612" s="4" t="n">
        <v>45280</v>
      </c>
      <c r="E612" s="2" t="inlineStr">
        <is>
          <t>18:16</t>
        </is>
      </c>
      <c r="F612" s="5" t="n">
        <v>582.5</v>
      </c>
      <c r="G612" s="5" t="n"/>
      <c r="H612" s="5" t="n"/>
      <c r="I612" s="5" t="n"/>
      <c r="J612" s="5" t="n">
        <v>116.5</v>
      </c>
      <c r="K612" s="5" t="n"/>
      <c r="L612" s="5" t="n"/>
      <c r="M612" s="5" t="n"/>
      <c r="N612" s="5" t="n"/>
      <c r="O612" s="5" t="n">
        <v>699</v>
      </c>
      <c r="P612" s="5" t="n">
        <v>699</v>
      </c>
      <c r="Q612" s="5" t="n"/>
      <c r="R612" s="5" t="n"/>
      <c r="S612" s="5">
        <f>SUM(F612:I612)+N612</f>
        <v/>
      </c>
      <c r="T612" s="5">
        <f>J612</f>
        <v/>
      </c>
      <c r="U612" s="6">
        <f>YEAR(D612)</f>
        <v/>
      </c>
      <c r="V612" s="5">
        <f>TEXT(D612,"yyyy-mm")</f>
        <v/>
      </c>
    </row>
    <row r="613">
      <c r="A613" s="2" t="inlineStr">
        <is>
          <t>EJ010124.TXT</t>
        </is>
      </c>
      <c r="B613" s="3" t="inlineStr">
        <is>
          <t>005206</t>
        </is>
      </c>
      <c r="C613" s="3" t="inlineStr">
        <is>
          <t>004173</t>
        </is>
      </c>
      <c r="D613" s="4" t="n">
        <v>45281</v>
      </c>
      <c r="E613" s="2" t="inlineStr">
        <is>
          <t>17:33</t>
        </is>
      </c>
      <c r="F613" s="5" t="n">
        <v>822.5</v>
      </c>
      <c r="G613" s="5" t="n"/>
      <c r="H613" s="5" t="n"/>
      <c r="I613" s="5" t="n"/>
      <c r="J613" s="5" t="n">
        <v>164.5</v>
      </c>
      <c r="K613" s="5" t="n"/>
      <c r="L613" s="5" t="n"/>
      <c r="M613" s="5" t="n"/>
      <c r="N613" s="5" t="n"/>
      <c r="O613" s="5" t="n">
        <v>987</v>
      </c>
      <c r="P613" s="5" t="n"/>
      <c r="Q613" s="5" t="n">
        <v>987</v>
      </c>
      <c r="R613" s="5" t="n"/>
      <c r="S613" s="5">
        <f>SUM(F613:I613)+N613</f>
        <v/>
      </c>
      <c r="T613" s="5">
        <f>J613</f>
        <v/>
      </c>
      <c r="U613" s="6">
        <f>YEAR(D613)</f>
        <v/>
      </c>
      <c r="V613" s="5">
        <f>TEXT(D613,"yyyy-mm")</f>
        <v/>
      </c>
    </row>
    <row r="614">
      <c r="A614" s="2" t="inlineStr">
        <is>
          <t>EJ010124.TXT</t>
        </is>
      </c>
      <c r="B614" s="3" t="inlineStr">
        <is>
          <t>005207</t>
        </is>
      </c>
      <c r="C614" s="3" t="inlineStr">
        <is>
          <t>004174</t>
        </is>
      </c>
      <c r="D614" s="4" t="n">
        <v>45282</v>
      </c>
      <c r="E614" s="2" t="inlineStr">
        <is>
          <t>15:40</t>
        </is>
      </c>
      <c r="F614" s="5" t="n">
        <v>274.17</v>
      </c>
      <c r="G614" s="5" t="n"/>
      <c r="H614" s="5" t="n"/>
      <c r="I614" s="5" t="n"/>
      <c r="J614" s="5" t="n">
        <v>54.83</v>
      </c>
      <c r="K614" s="5" t="n"/>
      <c r="L614" s="5" t="n"/>
      <c r="M614" s="5" t="n"/>
      <c r="N614" s="5" t="n"/>
      <c r="O614" s="5" t="n">
        <v>329</v>
      </c>
      <c r="P614" s="5" t="n">
        <v>329</v>
      </c>
      <c r="Q614" s="5" t="n"/>
      <c r="R614" s="5" t="n"/>
      <c r="S614" s="5">
        <f>SUM(F614:I614)+N614</f>
        <v/>
      </c>
      <c r="T614" s="5">
        <f>J614</f>
        <v/>
      </c>
      <c r="U614" s="6">
        <f>YEAR(D614)</f>
        <v/>
      </c>
      <c r="V614" s="5">
        <f>TEXT(D614,"yyyy-mm")</f>
        <v/>
      </c>
    </row>
    <row r="615">
      <c r="A615" s="2" t="inlineStr">
        <is>
          <t>EJ010124.TXT</t>
        </is>
      </c>
      <c r="B615" s="3" t="inlineStr">
        <is>
          <t>005208</t>
        </is>
      </c>
      <c r="C615" s="3" t="inlineStr">
        <is>
          <t>004175</t>
        </is>
      </c>
      <c r="D615" s="4" t="n">
        <v>45282</v>
      </c>
      <c r="E615" s="2" t="inlineStr">
        <is>
          <t>15:45</t>
        </is>
      </c>
      <c r="F615" s="5" t="n">
        <v>482.5</v>
      </c>
      <c r="G615" s="5" t="n"/>
      <c r="H615" s="5" t="n"/>
      <c r="I615" s="5" t="n"/>
      <c r="J615" s="5" t="n">
        <v>96.5</v>
      </c>
      <c r="K615" s="5" t="n"/>
      <c r="L615" s="5" t="n"/>
      <c r="M615" s="5" t="n"/>
      <c r="N615" s="5" t="n"/>
      <c r="O615" s="5" t="n">
        <v>579</v>
      </c>
      <c r="P615" s="5" t="n">
        <v>579</v>
      </c>
      <c r="Q615" s="5" t="n"/>
      <c r="R615" s="5" t="n"/>
      <c r="S615" s="5">
        <f>SUM(F615:I615)+N615</f>
        <v/>
      </c>
      <c r="T615" s="5">
        <f>J615</f>
        <v/>
      </c>
      <c r="U615" s="6">
        <f>YEAR(D615)</f>
        <v/>
      </c>
      <c r="V615" s="5">
        <f>TEXT(D615,"yyyy-mm")</f>
        <v/>
      </c>
    </row>
    <row r="616">
      <c r="A616" s="2" t="inlineStr">
        <is>
          <t>EJ010124.TXT</t>
        </is>
      </c>
      <c r="B616" s="3" t="inlineStr">
        <is>
          <t>005209</t>
        </is>
      </c>
      <c r="C616" s="3" t="inlineStr">
        <is>
          <t>004176</t>
        </is>
      </c>
      <c r="D616" s="4" t="n">
        <v>45282</v>
      </c>
      <c r="E616" s="2" t="inlineStr">
        <is>
          <t>19:39</t>
        </is>
      </c>
      <c r="F616" s="5" t="n">
        <v>274.17</v>
      </c>
      <c r="G616" s="5" t="n"/>
      <c r="H616" s="5" t="n"/>
      <c r="I616" s="5" t="n"/>
      <c r="J616" s="5" t="n">
        <v>54.83</v>
      </c>
      <c r="K616" s="5" t="n"/>
      <c r="L616" s="5" t="n"/>
      <c r="M616" s="5" t="n"/>
      <c r="N616" s="5" t="n"/>
      <c r="O616" s="5" t="n">
        <v>329</v>
      </c>
      <c r="P616" s="5" t="n"/>
      <c r="Q616" s="5" t="n">
        <v>329</v>
      </c>
      <c r="R616" s="5" t="n"/>
      <c r="S616" s="5">
        <f>SUM(F616:I616)+N616</f>
        <v/>
      </c>
      <c r="T616" s="5">
        <f>J616</f>
        <v/>
      </c>
      <c r="U616" s="6">
        <f>YEAR(D616)</f>
        <v/>
      </c>
      <c r="V616" s="5">
        <f>TEXT(D616,"yyyy-mm")</f>
        <v/>
      </c>
    </row>
    <row r="617">
      <c r="A617" s="2" t="inlineStr">
        <is>
          <t>EJ010124.TXT</t>
        </is>
      </c>
      <c r="B617" s="3" t="inlineStr">
        <is>
          <t>005210</t>
        </is>
      </c>
      <c r="C617" s="3" t="inlineStr">
        <is>
          <t>004177</t>
        </is>
      </c>
      <c r="D617" s="4" t="n">
        <v>45283</v>
      </c>
      <c r="E617" s="2" t="inlineStr">
        <is>
          <t>15:39</t>
        </is>
      </c>
      <c r="F617" s="5" t="n">
        <v>274.17</v>
      </c>
      <c r="G617" s="5" t="n"/>
      <c r="H617" s="5" t="n"/>
      <c r="I617" s="5" t="n"/>
      <c r="J617" s="5" t="n">
        <v>54.83</v>
      </c>
      <c r="K617" s="5" t="n"/>
      <c r="L617" s="5" t="n"/>
      <c r="M617" s="5" t="n"/>
      <c r="N617" s="5" t="n"/>
      <c r="O617" s="5" t="n">
        <v>329</v>
      </c>
      <c r="P617" s="5" t="n"/>
      <c r="Q617" s="5" t="n">
        <v>329</v>
      </c>
      <c r="R617" s="5" t="n"/>
      <c r="S617" s="5">
        <f>SUM(F617:I617)+N617</f>
        <v/>
      </c>
      <c r="T617" s="5">
        <f>J617</f>
        <v/>
      </c>
      <c r="U617" s="6">
        <f>YEAR(D617)</f>
        <v/>
      </c>
      <c r="V617" s="5">
        <f>TEXT(D617,"yyyy-mm")</f>
        <v/>
      </c>
    </row>
    <row r="618">
      <c r="A618" s="2" t="inlineStr">
        <is>
          <t>EJ010124.TXT</t>
        </is>
      </c>
      <c r="B618" s="3" t="inlineStr">
        <is>
          <t>005211</t>
        </is>
      </c>
      <c r="C618" s="3" t="inlineStr">
        <is>
          <t>004178</t>
        </is>
      </c>
      <c r="D618" s="4" t="n">
        <v>45283</v>
      </c>
      <c r="E618" s="2" t="inlineStr">
        <is>
          <t>16:10</t>
        </is>
      </c>
      <c r="F618" s="5" t="n">
        <v>822.5</v>
      </c>
      <c r="G618" s="5" t="n"/>
      <c r="H618" s="5" t="n"/>
      <c r="I618" s="5" t="n"/>
      <c r="J618" s="5" t="n">
        <v>164.5</v>
      </c>
      <c r="K618" s="5" t="n"/>
      <c r="L618" s="5" t="n"/>
      <c r="M618" s="5" t="n"/>
      <c r="N618" s="5" t="n"/>
      <c r="O618" s="5" t="n">
        <v>987</v>
      </c>
      <c r="P618" s="5" t="n">
        <v>987</v>
      </c>
      <c r="Q618" s="5" t="n"/>
      <c r="R618" s="5" t="n"/>
      <c r="S618" s="5">
        <f>SUM(F618:I618)+N618</f>
        <v/>
      </c>
      <c r="T618" s="5">
        <f>J618</f>
        <v/>
      </c>
      <c r="U618" s="6">
        <f>YEAR(D618)</f>
        <v/>
      </c>
      <c r="V618" s="5">
        <f>TEXT(D618,"yyyy-mm")</f>
        <v/>
      </c>
    </row>
    <row r="619">
      <c r="A619" s="2" t="inlineStr">
        <is>
          <t>EJ010124.TXT</t>
        </is>
      </c>
      <c r="B619" s="3" t="inlineStr">
        <is>
          <t>005212</t>
        </is>
      </c>
      <c r="C619" s="3" t="inlineStr">
        <is>
          <t>004179</t>
        </is>
      </c>
      <c r="D619" s="4" t="n">
        <v>45283</v>
      </c>
      <c r="E619" s="2" t="inlineStr">
        <is>
          <t>16:29</t>
        </is>
      </c>
      <c r="F619" s="5" t="n">
        <v>548.33</v>
      </c>
      <c r="G619" s="5" t="n"/>
      <c r="H619" s="5" t="n"/>
      <c r="I619" s="5" t="n"/>
      <c r="J619" s="5" t="n">
        <v>109.67</v>
      </c>
      <c r="K619" s="5" t="n"/>
      <c r="L619" s="5" t="n"/>
      <c r="M619" s="5" t="n"/>
      <c r="N619" s="5" t="n"/>
      <c r="O619" s="5" t="n">
        <v>658</v>
      </c>
      <c r="P619" s="5" t="n">
        <v>658</v>
      </c>
      <c r="Q619" s="5" t="n"/>
      <c r="R619" s="5" t="n"/>
      <c r="S619" s="5">
        <f>SUM(F619:I619)+N619</f>
        <v/>
      </c>
      <c r="T619" s="5">
        <f>J619</f>
        <v/>
      </c>
      <c r="U619" s="6">
        <f>YEAR(D619)</f>
        <v/>
      </c>
      <c r="V619" s="5">
        <f>TEXT(D619,"yyyy-mm")</f>
        <v/>
      </c>
    </row>
    <row r="620">
      <c r="A620" s="2" t="inlineStr">
        <is>
          <t>EJ010124.TXT</t>
        </is>
      </c>
      <c r="B620" s="3" t="inlineStr">
        <is>
          <t>005213</t>
        </is>
      </c>
      <c r="C620" s="3" t="inlineStr">
        <is>
          <t>004180</t>
        </is>
      </c>
      <c r="D620" s="4" t="n">
        <v>45283</v>
      </c>
      <c r="E620" s="2" t="inlineStr">
        <is>
          <t>18:30</t>
        </is>
      </c>
      <c r="F620" s="5" t="n">
        <v>548.33</v>
      </c>
      <c r="G620" s="5" t="n"/>
      <c r="H620" s="5" t="n"/>
      <c r="I620" s="5" t="n"/>
      <c r="J620" s="5" t="n">
        <v>109.67</v>
      </c>
      <c r="K620" s="5" t="n"/>
      <c r="L620" s="5" t="n"/>
      <c r="M620" s="5" t="n"/>
      <c r="N620" s="5" t="n"/>
      <c r="O620" s="5" t="n">
        <v>658</v>
      </c>
      <c r="P620" s="5" t="n"/>
      <c r="Q620" s="5" t="n">
        <v>658</v>
      </c>
      <c r="R620" s="5" t="n"/>
      <c r="S620" s="5">
        <f>SUM(F620:I620)+N620</f>
        <v/>
      </c>
      <c r="T620" s="5">
        <f>J620</f>
        <v/>
      </c>
      <c r="U620" s="6">
        <f>YEAR(D620)</f>
        <v/>
      </c>
      <c r="V620" s="5">
        <f>TEXT(D620,"yyyy-mm")</f>
        <v/>
      </c>
    </row>
    <row r="621">
      <c r="A621" s="2" t="inlineStr">
        <is>
          <t>EJ010124.TXT</t>
        </is>
      </c>
      <c r="B621" s="3" t="inlineStr">
        <is>
          <t>005214</t>
        </is>
      </c>
      <c r="C621" s="3" t="inlineStr">
        <is>
          <t>004181</t>
        </is>
      </c>
      <c r="D621" s="4" t="n">
        <v>45286</v>
      </c>
      <c r="E621" s="2" t="inlineStr">
        <is>
          <t>11:49</t>
        </is>
      </c>
      <c r="F621" s="5" t="n">
        <v>797.5</v>
      </c>
      <c r="G621" s="5" t="n"/>
      <c r="H621" s="5" t="n"/>
      <c r="I621" s="5" t="n"/>
      <c r="J621" s="5" t="n">
        <v>159.5</v>
      </c>
      <c r="K621" s="5" t="n"/>
      <c r="L621" s="5" t="n"/>
      <c r="M621" s="5" t="n"/>
      <c r="N621" s="5" t="n"/>
      <c r="O621" s="5" t="n">
        <v>957</v>
      </c>
      <c r="P621" s="5" t="n"/>
      <c r="Q621" s="5" t="n">
        <v>957</v>
      </c>
      <c r="R621" s="5" t="n"/>
      <c r="S621" s="5">
        <f>SUM(F621:I621)+N621</f>
        <v/>
      </c>
      <c r="T621" s="5">
        <f>J621</f>
        <v/>
      </c>
      <c r="U621" s="6">
        <f>YEAR(D621)</f>
        <v/>
      </c>
      <c r="V621" s="5">
        <f>TEXT(D621,"yyyy-mm")</f>
        <v/>
      </c>
    </row>
    <row r="622">
      <c r="A622" s="2" t="inlineStr">
        <is>
          <t>EJ010124.TXT</t>
        </is>
      </c>
      <c r="B622" s="3" t="inlineStr">
        <is>
          <t>005215</t>
        </is>
      </c>
      <c r="C622" s="3" t="inlineStr">
        <is>
          <t>004182</t>
        </is>
      </c>
      <c r="D622" s="4" t="n">
        <v>45286</v>
      </c>
      <c r="E622" s="2" t="inlineStr">
        <is>
          <t>11:50</t>
        </is>
      </c>
      <c r="F622" s="5" t="n">
        <v>815.83</v>
      </c>
      <c r="G622" s="5" t="n"/>
      <c r="H622" s="5" t="n"/>
      <c r="I622" s="5" t="n"/>
      <c r="J622" s="5" t="n">
        <v>163.17</v>
      </c>
      <c r="K622" s="5" t="n"/>
      <c r="L622" s="5" t="n"/>
      <c r="M622" s="5" t="n"/>
      <c r="N622" s="5" t="n"/>
      <c r="O622" s="5" t="n">
        <v>979</v>
      </c>
      <c r="P622" s="5" t="n"/>
      <c r="Q622" s="5" t="n">
        <v>979</v>
      </c>
      <c r="R622" s="5" t="n"/>
      <c r="S622" s="5">
        <f>SUM(F622:I622)+N622</f>
        <v/>
      </c>
      <c r="T622" s="5">
        <f>J622</f>
        <v/>
      </c>
      <c r="U622" s="6">
        <f>YEAR(D622)</f>
        <v/>
      </c>
      <c r="V622" s="5">
        <f>TEXT(D622,"yyyy-mm")</f>
        <v/>
      </c>
    </row>
    <row r="623">
      <c r="A623" s="2" t="inlineStr">
        <is>
          <t>EJ010124.TXT</t>
        </is>
      </c>
      <c r="B623" s="3" t="inlineStr">
        <is>
          <t>005216</t>
        </is>
      </c>
      <c r="C623" s="3" t="inlineStr">
        <is>
          <t>004183</t>
        </is>
      </c>
      <c r="D623" s="4" t="n">
        <v>45286</v>
      </c>
      <c r="E623" s="2" t="inlineStr">
        <is>
          <t>11:50</t>
        </is>
      </c>
      <c r="F623" s="5" t="n">
        <v>614.17</v>
      </c>
      <c r="G623" s="5" t="n"/>
      <c r="H623" s="5" t="n"/>
      <c r="I623" s="5" t="n"/>
      <c r="J623" s="5" t="n">
        <v>122.83</v>
      </c>
      <c r="K623" s="5" t="n"/>
      <c r="L623" s="5" t="n"/>
      <c r="M623" s="5" t="n"/>
      <c r="N623" s="5" t="n"/>
      <c r="O623" s="5" t="n">
        <v>737</v>
      </c>
      <c r="P623" s="5" t="n"/>
      <c r="Q623" s="5" t="n">
        <v>737</v>
      </c>
      <c r="R623" s="5" t="n"/>
      <c r="S623" s="5">
        <f>SUM(F623:I623)+N623</f>
        <v/>
      </c>
      <c r="T623" s="5">
        <f>J623</f>
        <v/>
      </c>
      <c r="U623" s="6">
        <f>YEAR(D623)</f>
        <v/>
      </c>
      <c r="V623" s="5">
        <f>TEXT(D623,"yyyy-mm")</f>
        <v/>
      </c>
    </row>
    <row r="624">
      <c r="A624" s="2" t="inlineStr">
        <is>
          <t>EJ010124.TXT</t>
        </is>
      </c>
      <c r="B624" s="3" t="inlineStr">
        <is>
          <t>005217</t>
        </is>
      </c>
      <c r="C624" s="3" t="inlineStr">
        <is>
          <t>004184</t>
        </is>
      </c>
      <c r="D624" s="4" t="n">
        <v>45286</v>
      </c>
      <c r="E624" s="2" t="inlineStr">
        <is>
          <t>15:48</t>
        </is>
      </c>
      <c r="F624" s="5" t="n">
        <v>274.17</v>
      </c>
      <c r="G624" s="5" t="n"/>
      <c r="H624" s="5" t="n"/>
      <c r="I624" s="5" t="n"/>
      <c r="J624" s="5" t="n">
        <v>54.83</v>
      </c>
      <c r="K624" s="5" t="n"/>
      <c r="L624" s="5" t="n"/>
      <c r="M624" s="5" t="n"/>
      <c r="N624" s="5" t="n"/>
      <c r="O624" s="5" t="n">
        <v>329</v>
      </c>
      <c r="P624" s="5" t="n">
        <v>329</v>
      </c>
      <c r="Q624" s="5" t="n"/>
      <c r="R624" s="5" t="n"/>
      <c r="S624" s="5">
        <f>SUM(F624:I624)+N624</f>
        <v/>
      </c>
      <c r="T624" s="5">
        <f>J624</f>
        <v/>
      </c>
      <c r="U624" s="6">
        <f>YEAR(D624)</f>
        <v/>
      </c>
      <c r="V624" s="5">
        <f>TEXT(D624,"yyyy-mm")</f>
        <v/>
      </c>
    </row>
    <row r="625">
      <c r="A625" s="2" t="inlineStr">
        <is>
          <t>EJ010124.TXT</t>
        </is>
      </c>
      <c r="B625" s="3" t="inlineStr">
        <is>
          <t>005218</t>
        </is>
      </c>
      <c r="C625" s="3" t="inlineStr">
        <is>
          <t>004185</t>
        </is>
      </c>
      <c r="D625" s="4" t="n">
        <v>45286</v>
      </c>
      <c r="E625" s="2" t="inlineStr">
        <is>
          <t>15:49</t>
        </is>
      </c>
      <c r="F625" s="5" t="n">
        <v>274.17</v>
      </c>
      <c r="G625" s="5" t="n"/>
      <c r="H625" s="5" t="n"/>
      <c r="I625" s="5" t="n"/>
      <c r="J625" s="5" t="n">
        <v>54.83</v>
      </c>
      <c r="K625" s="5" t="n"/>
      <c r="L625" s="5" t="n"/>
      <c r="M625" s="5" t="n"/>
      <c r="N625" s="5" t="n"/>
      <c r="O625" s="5" t="n">
        <v>329</v>
      </c>
      <c r="P625" s="5" t="n">
        <v>329</v>
      </c>
      <c r="Q625" s="5" t="n"/>
      <c r="R625" s="5" t="n"/>
      <c r="S625" s="5">
        <f>SUM(F625:I625)+N625</f>
        <v/>
      </c>
      <c r="T625" s="5">
        <f>J625</f>
        <v/>
      </c>
      <c r="U625" s="6">
        <f>YEAR(D625)</f>
        <v/>
      </c>
      <c r="V625" s="5">
        <f>TEXT(D625,"yyyy-mm")</f>
        <v/>
      </c>
    </row>
    <row r="626">
      <c r="A626" s="2" t="inlineStr">
        <is>
          <t>EJ010124.TXT</t>
        </is>
      </c>
      <c r="B626" s="3" t="inlineStr">
        <is>
          <t>005219</t>
        </is>
      </c>
      <c r="C626" s="3" t="inlineStr">
        <is>
          <t>004186</t>
        </is>
      </c>
      <c r="D626" s="4" t="n">
        <v>45286</v>
      </c>
      <c r="E626" s="2" t="inlineStr">
        <is>
          <t>18:05</t>
        </is>
      </c>
      <c r="F626" s="5" t="n">
        <v>531.67</v>
      </c>
      <c r="G626" s="5" t="n"/>
      <c r="H626" s="5" t="n"/>
      <c r="I626" s="5" t="n"/>
      <c r="J626" s="5" t="n">
        <v>106.33</v>
      </c>
      <c r="K626" s="5" t="n"/>
      <c r="L626" s="5" t="n"/>
      <c r="M626" s="5" t="n"/>
      <c r="N626" s="5" t="n"/>
      <c r="O626" s="5" t="n">
        <v>638</v>
      </c>
      <c r="P626" s="5" t="n">
        <v>638</v>
      </c>
      <c r="Q626" s="5" t="n"/>
      <c r="R626" s="5" t="n"/>
      <c r="S626" s="5">
        <f>SUM(F626:I626)+N626</f>
        <v/>
      </c>
      <c r="T626" s="5">
        <f>J626</f>
        <v/>
      </c>
      <c r="U626" s="6">
        <f>YEAR(D626)</f>
        <v/>
      </c>
      <c r="V626" s="5">
        <f>TEXT(D626,"yyyy-mm")</f>
        <v/>
      </c>
    </row>
    <row r="627">
      <c r="A627" s="2" t="inlineStr">
        <is>
          <t>EJ010124.TXT</t>
        </is>
      </c>
      <c r="B627" s="3" t="inlineStr">
        <is>
          <t>005220</t>
        </is>
      </c>
      <c r="C627" s="3" t="inlineStr">
        <is>
          <t>004187</t>
        </is>
      </c>
      <c r="D627" s="4" t="n">
        <v>45287</v>
      </c>
      <c r="E627" s="2" t="inlineStr">
        <is>
          <t>15:44</t>
        </is>
      </c>
      <c r="F627" s="5" t="n">
        <v>398.33</v>
      </c>
      <c r="G627" s="5" t="n"/>
      <c r="H627" s="5" t="n"/>
      <c r="I627" s="5" t="n"/>
      <c r="J627" s="5" t="n">
        <v>79.67</v>
      </c>
      <c r="K627" s="5" t="n"/>
      <c r="L627" s="5" t="n"/>
      <c r="M627" s="5" t="n"/>
      <c r="N627" s="5" t="n"/>
      <c r="O627" s="5" t="n">
        <v>478</v>
      </c>
      <c r="P627" s="5" t="n"/>
      <c r="Q627" s="5" t="n">
        <v>478</v>
      </c>
      <c r="R627" s="5" t="n"/>
      <c r="S627" s="5">
        <f>SUM(F627:I627)+N627</f>
        <v/>
      </c>
      <c r="T627" s="5">
        <f>J627</f>
        <v/>
      </c>
      <c r="U627" s="6">
        <f>YEAR(D627)</f>
        <v/>
      </c>
      <c r="V627" s="5">
        <f>TEXT(D627,"yyyy-mm")</f>
        <v/>
      </c>
    </row>
    <row r="628">
      <c r="A628" s="2" t="inlineStr">
        <is>
          <t>EJ010124.TXT</t>
        </is>
      </c>
      <c r="B628" s="3" t="inlineStr">
        <is>
          <t>005221</t>
        </is>
      </c>
      <c r="C628" s="3" t="inlineStr">
        <is>
          <t>004188</t>
        </is>
      </c>
      <c r="D628" s="4" t="n">
        <v>45288</v>
      </c>
      <c r="E628" s="2" t="inlineStr">
        <is>
          <t>16:46</t>
        </is>
      </c>
      <c r="F628" s="5" t="n">
        <v>274.17</v>
      </c>
      <c r="G628" s="5" t="n"/>
      <c r="H628" s="5" t="n"/>
      <c r="I628" s="5" t="n"/>
      <c r="J628" s="5" t="n">
        <v>54.83</v>
      </c>
      <c r="K628" s="5" t="n"/>
      <c r="L628" s="5" t="n"/>
      <c r="M628" s="5" t="n"/>
      <c r="N628" s="5" t="n"/>
      <c r="O628" s="5" t="n">
        <v>329</v>
      </c>
      <c r="P628" s="5" t="n"/>
      <c r="Q628" s="5" t="n">
        <v>329</v>
      </c>
      <c r="R628" s="5" t="n"/>
      <c r="S628" s="5">
        <f>SUM(F628:I628)+N628</f>
        <v/>
      </c>
      <c r="T628" s="5">
        <f>J628</f>
        <v/>
      </c>
      <c r="U628" s="6">
        <f>YEAR(D628)</f>
        <v/>
      </c>
      <c r="V628" s="5">
        <f>TEXT(D628,"yyyy-mm")</f>
        <v/>
      </c>
    </row>
    <row r="629">
      <c r="A629" s="2" t="inlineStr">
        <is>
          <t>EJ010124.TXT</t>
        </is>
      </c>
      <c r="B629" s="3" t="inlineStr">
        <is>
          <t>005222</t>
        </is>
      </c>
      <c r="C629" s="3" t="inlineStr">
        <is>
          <t>004189</t>
        </is>
      </c>
      <c r="D629" s="4" t="n">
        <v>45290</v>
      </c>
      <c r="E629" s="2" t="inlineStr">
        <is>
          <t>15:47</t>
        </is>
      </c>
      <c r="F629" s="5" t="n">
        <v>548.33</v>
      </c>
      <c r="G629" s="5" t="n"/>
      <c r="H629" s="5" t="n"/>
      <c r="I629" s="5" t="n"/>
      <c r="J629" s="5" t="n">
        <v>109.67</v>
      </c>
      <c r="K629" s="5" t="n"/>
      <c r="L629" s="5" t="n"/>
      <c r="M629" s="5" t="n"/>
      <c r="N629" s="5" t="n"/>
      <c r="O629" s="5" t="n">
        <v>658</v>
      </c>
      <c r="P629" s="5" t="n"/>
      <c r="Q629" s="5" t="n">
        <v>658</v>
      </c>
      <c r="R629" s="5" t="n"/>
      <c r="S629" s="5">
        <f>SUM(F629:I629)+N629</f>
        <v/>
      </c>
      <c r="T629" s="5">
        <f>J629</f>
        <v/>
      </c>
      <c r="U629" s="6">
        <f>YEAR(D629)</f>
        <v/>
      </c>
      <c r="V629" s="5">
        <f>TEXT(D629,"yyyy-mm")</f>
        <v/>
      </c>
    </row>
    <row r="630">
      <c r="A630" s="2" t="inlineStr">
        <is>
          <t>EJ020224.TXT</t>
        </is>
      </c>
      <c r="B630" s="3" t="inlineStr">
        <is>
          <t>005230</t>
        </is>
      </c>
      <c r="C630" s="3" t="inlineStr">
        <is>
          <t>004190</t>
        </is>
      </c>
      <c r="D630" s="4" t="n">
        <v>45295</v>
      </c>
      <c r="E630" s="2" t="inlineStr">
        <is>
          <t>14:36</t>
        </is>
      </c>
      <c r="F630" s="5" t="n">
        <v>797.5</v>
      </c>
      <c r="G630" s="5" t="n"/>
      <c r="H630" s="5" t="n"/>
      <c r="I630" s="5" t="n"/>
      <c r="J630" s="5" t="n">
        <v>159.5</v>
      </c>
      <c r="K630" s="5" t="n"/>
      <c r="L630" s="5" t="n"/>
      <c r="M630" s="5" t="n"/>
      <c r="N630" s="5" t="n"/>
      <c r="O630" s="5" t="n">
        <v>957</v>
      </c>
      <c r="P630" s="5" t="n"/>
      <c r="Q630" s="5" t="n">
        <v>957</v>
      </c>
      <c r="R630" s="5" t="n"/>
      <c r="S630" s="5">
        <f>SUM(F630:I630)+N630</f>
        <v/>
      </c>
      <c r="T630" s="5">
        <f>J630</f>
        <v/>
      </c>
      <c r="U630" s="6">
        <f>YEAR(D630)</f>
        <v/>
      </c>
      <c r="V630" s="5">
        <f>TEXT(D630,"yyyy-mm")</f>
        <v/>
      </c>
    </row>
    <row r="631">
      <c r="A631" s="2" t="inlineStr">
        <is>
          <t>EJ020224.TXT</t>
        </is>
      </c>
      <c r="B631" s="3" t="inlineStr">
        <is>
          <t>005231</t>
        </is>
      </c>
      <c r="C631" s="3" t="inlineStr">
        <is>
          <t>004191</t>
        </is>
      </c>
      <c r="D631" s="4" t="n">
        <v>45295</v>
      </c>
      <c r="E631" s="2" t="inlineStr">
        <is>
          <t>14:37</t>
        </is>
      </c>
      <c r="F631" s="5" t="n">
        <v>531.67</v>
      </c>
      <c r="G631" s="5" t="n"/>
      <c r="H631" s="5" t="n"/>
      <c r="I631" s="5" t="n"/>
      <c r="J631" s="5" t="n">
        <v>106.33</v>
      </c>
      <c r="K631" s="5" t="n"/>
      <c r="L631" s="5" t="n"/>
      <c r="M631" s="5" t="n"/>
      <c r="N631" s="5" t="n"/>
      <c r="O631" s="5" t="n">
        <v>638</v>
      </c>
      <c r="P631" s="5" t="n"/>
      <c r="Q631" s="5" t="n">
        <v>638</v>
      </c>
      <c r="R631" s="5" t="n"/>
      <c r="S631" s="5">
        <f>SUM(F631:I631)+N631</f>
        <v/>
      </c>
      <c r="T631" s="5">
        <f>J631</f>
        <v/>
      </c>
      <c r="U631" s="6">
        <f>YEAR(D631)</f>
        <v/>
      </c>
      <c r="V631" s="5">
        <f>TEXT(D631,"yyyy-mm")</f>
        <v/>
      </c>
    </row>
    <row r="632">
      <c r="A632" s="2" t="inlineStr">
        <is>
          <t>EJ020224.TXT</t>
        </is>
      </c>
      <c r="B632" s="3" t="inlineStr">
        <is>
          <t>005232</t>
        </is>
      </c>
      <c r="C632" s="3" t="inlineStr">
        <is>
          <t>004192</t>
        </is>
      </c>
      <c r="D632" s="4" t="n">
        <v>45295</v>
      </c>
      <c r="E632" s="2" t="inlineStr">
        <is>
          <t>14:37</t>
        </is>
      </c>
      <c r="F632" s="5" t="n">
        <v>265.83</v>
      </c>
      <c r="G632" s="5" t="n"/>
      <c r="H632" s="5" t="n"/>
      <c r="I632" s="5" t="n"/>
      <c r="J632" s="5" t="n">
        <v>53.17</v>
      </c>
      <c r="K632" s="5" t="n"/>
      <c r="L632" s="5" t="n"/>
      <c r="M632" s="5" t="n"/>
      <c r="N632" s="5" t="n"/>
      <c r="O632" s="5" t="n">
        <v>319</v>
      </c>
      <c r="P632" s="5" t="n"/>
      <c r="Q632" s="5" t="n">
        <v>319</v>
      </c>
      <c r="R632" s="5" t="n"/>
      <c r="S632" s="5">
        <f>SUM(F632:I632)+N632</f>
        <v/>
      </c>
      <c r="T632" s="5">
        <f>J632</f>
        <v/>
      </c>
      <c r="U632" s="6">
        <f>YEAR(D632)</f>
        <v/>
      </c>
      <c r="V632" s="5">
        <f>TEXT(D632,"yyyy-mm")</f>
        <v/>
      </c>
    </row>
    <row r="633">
      <c r="A633" s="2" t="inlineStr">
        <is>
          <t>EJ020224.TXT</t>
        </is>
      </c>
      <c r="B633" s="3" t="inlineStr">
        <is>
          <t>005233</t>
        </is>
      </c>
      <c r="C633" s="3" t="inlineStr">
        <is>
          <t>004193</t>
        </is>
      </c>
      <c r="D633" s="4" t="n">
        <v>45295</v>
      </c>
      <c r="E633" s="2" t="inlineStr">
        <is>
          <t>14:37</t>
        </is>
      </c>
      <c r="F633" s="5" t="n">
        <v>797.5</v>
      </c>
      <c r="G633" s="5" t="n"/>
      <c r="H633" s="5" t="n"/>
      <c r="I633" s="5" t="n"/>
      <c r="J633" s="5" t="n">
        <v>159.5</v>
      </c>
      <c r="K633" s="5" t="n"/>
      <c r="L633" s="5" t="n"/>
      <c r="M633" s="5" t="n"/>
      <c r="N633" s="5" t="n"/>
      <c r="O633" s="5" t="n">
        <v>957</v>
      </c>
      <c r="P633" s="5" t="n"/>
      <c r="Q633" s="5" t="n">
        <v>957</v>
      </c>
      <c r="R633" s="5" t="n"/>
      <c r="S633" s="5">
        <f>SUM(F633:I633)+N633</f>
        <v/>
      </c>
      <c r="T633" s="5">
        <f>J633</f>
        <v/>
      </c>
      <c r="U633" s="6">
        <f>YEAR(D633)</f>
        <v/>
      </c>
      <c r="V633" s="5">
        <f>TEXT(D633,"yyyy-mm")</f>
        <v/>
      </c>
    </row>
    <row r="634">
      <c r="A634" s="2" t="inlineStr">
        <is>
          <t>EJ020224.TXT</t>
        </is>
      </c>
      <c r="B634" s="3" t="inlineStr">
        <is>
          <t>005234</t>
        </is>
      </c>
      <c r="C634" s="3" t="inlineStr">
        <is>
          <t>004194</t>
        </is>
      </c>
      <c r="D634" s="4" t="n">
        <v>45295</v>
      </c>
      <c r="E634" s="2" t="inlineStr">
        <is>
          <t>14:37</t>
        </is>
      </c>
      <c r="F634" s="5" t="n">
        <v>797.5</v>
      </c>
      <c r="G634" s="5" t="n"/>
      <c r="H634" s="5" t="n"/>
      <c r="I634" s="5" t="n"/>
      <c r="J634" s="5" t="n">
        <v>159.5</v>
      </c>
      <c r="K634" s="5" t="n"/>
      <c r="L634" s="5" t="n"/>
      <c r="M634" s="5" t="n"/>
      <c r="N634" s="5" t="n"/>
      <c r="O634" s="5" t="n">
        <v>957</v>
      </c>
      <c r="P634" s="5" t="n"/>
      <c r="Q634" s="5" t="n">
        <v>957</v>
      </c>
      <c r="R634" s="5" t="n"/>
      <c r="S634" s="5">
        <f>SUM(F634:I634)+N634</f>
        <v/>
      </c>
      <c r="T634" s="5">
        <f>J634</f>
        <v/>
      </c>
      <c r="U634" s="6">
        <f>YEAR(D634)</f>
        <v/>
      </c>
      <c r="V634" s="5">
        <f>TEXT(D634,"yyyy-mm")</f>
        <v/>
      </c>
    </row>
    <row r="635">
      <c r="A635" s="2" t="inlineStr">
        <is>
          <t>EJ020224.TXT</t>
        </is>
      </c>
      <c r="B635" s="3" t="inlineStr">
        <is>
          <t>005235</t>
        </is>
      </c>
      <c r="C635" s="3" t="inlineStr">
        <is>
          <t>004195</t>
        </is>
      </c>
      <c r="D635" s="4" t="n">
        <v>45295</v>
      </c>
      <c r="E635" s="2" t="inlineStr">
        <is>
          <t>14:46</t>
        </is>
      </c>
      <c r="F635" s="5" t="n">
        <v>548.33</v>
      </c>
      <c r="G635" s="5" t="n"/>
      <c r="H635" s="5" t="n"/>
      <c r="I635" s="5" t="n"/>
      <c r="J635" s="5" t="n">
        <v>109.67</v>
      </c>
      <c r="K635" s="5" t="n"/>
      <c r="L635" s="5" t="n"/>
      <c r="M635" s="5" t="n"/>
      <c r="N635" s="5" t="n"/>
      <c r="O635" s="5" t="n">
        <v>658</v>
      </c>
      <c r="P635" s="5" t="n"/>
      <c r="Q635" s="5" t="n">
        <v>658</v>
      </c>
      <c r="R635" s="5" t="n"/>
      <c r="S635" s="5">
        <f>SUM(F635:I635)+N635</f>
        <v/>
      </c>
      <c r="T635" s="5">
        <f>J635</f>
        <v/>
      </c>
      <c r="U635" s="6">
        <f>YEAR(D635)</f>
        <v/>
      </c>
      <c r="V635" s="5">
        <f>TEXT(D635,"yyyy-mm")</f>
        <v/>
      </c>
    </row>
    <row r="636">
      <c r="A636" s="2" t="inlineStr">
        <is>
          <t>EJ020224.TXT</t>
        </is>
      </c>
      <c r="B636" s="3" t="inlineStr">
        <is>
          <t>005236</t>
        </is>
      </c>
      <c r="C636" s="3" t="inlineStr">
        <is>
          <t>004196</t>
        </is>
      </c>
      <c r="D636" s="4" t="n">
        <v>45295</v>
      </c>
      <c r="E636" s="2" t="inlineStr">
        <is>
          <t>15:25</t>
        </is>
      </c>
      <c r="F636" s="5" t="n">
        <v>548.33</v>
      </c>
      <c r="G636" s="5" t="n"/>
      <c r="H636" s="5" t="n"/>
      <c r="I636" s="5" t="n"/>
      <c r="J636" s="5" t="n">
        <v>109.67</v>
      </c>
      <c r="K636" s="5" t="n"/>
      <c r="L636" s="5" t="n"/>
      <c r="M636" s="5" t="n"/>
      <c r="N636" s="5" t="n"/>
      <c r="O636" s="5" t="n">
        <v>658</v>
      </c>
      <c r="P636" s="5" t="n"/>
      <c r="Q636" s="5" t="n">
        <v>658</v>
      </c>
      <c r="R636" s="5" t="n"/>
      <c r="S636" s="5">
        <f>SUM(F636:I636)+N636</f>
        <v/>
      </c>
      <c r="T636" s="5">
        <f>J636</f>
        <v/>
      </c>
      <c r="U636" s="6">
        <f>YEAR(D636)</f>
        <v/>
      </c>
      <c r="V636" s="5">
        <f>TEXT(D636,"yyyy-mm")</f>
        <v/>
      </c>
    </row>
    <row r="637">
      <c r="A637" s="2" t="inlineStr">
        <is>
          <t>EJ020224.TXT</t>
        </is>
      </c>
      <c r="B637" s="3" t="inlineStr">
        <is>
          <t>005237</t>
        </is>
      </c>
      <c r="C637" s="3" t="inlineStr">
        <is>
          <t>004197</t>
        </is>
      </c>
      <c r="D637" s="4" t="n">
        <v>45301</v>
      </c>
      <c r="E637" s="2" t="inlineStr">
        <is>
          <t>15:41</t>
        </is>
      </c>
      <c r="F637" s="5" t="n">
        <v>548.33</v>
      </c>
      <c r="G637" s="5" t="n"/>
      <c r="H637" s="5" t="n"/>
      <c r="I637" s="5" t="n"/>
      <c r="J637" s="5" t="n">
        <v>109.67</v>
      </c>
      <c r="K637" s="5" t="n"/>
      <c r="L637" s="5" t="n"/>
      <c r="M637" s="5" t="n"/>
      <c r="N637" s="5" t="n"/>
      <c r="O637" s="5" t="n">
        <v>658</v>
      </c>
      <c r="P637" s="5" t="n"/>
      <c r="Q637" s="5" t="n">
        <v>658</v>
      </c>
      <c r="R637" s="5" t="n"/>
      <c r="S637" s="5">
        <f>SUM(F637:I637)+N637</f>
        <v/>
      </c>
      <c r="T637" s="5">
        <f>J637</f>
        <v/>
      </c>
      <c r="U637" s="6">
        <f>YEAR(D637)</f>
        <v/>
      </c>
      <c r="V637" s="5">
        <f>TEXT(D637,"yyyy-mm")</f>
        <v/>
      </c>
    </row>
    <row r="638">
      <c r="A638" s="2" t="inlineStr">
        <is>
          <t>EJ020224.TXT</t>
        </is>
      </c>
      <c r="B638" s="3" t="inlineStr">
        <is>
          <t>005238</t>
        </is>
      </c>
      <c r="C638" s="3" t="inlineStr">
        <is>
          <t>004198</t>
        </is>
      </c>
      <c r="D638" s="4" t="n">
        <v>45301</v>
      </c>
      <c r="E638" s="2" t="inlineStr">
        <is>
          <t>17:19</t>
        </is>
      </c>
      <c r="F638" s="5" t="n">
        <v>274.17</v>
      </c>
      <c r="G638" s="5" t="n"/>
      <c r="H638" s="5" t="n"/>
      <c r="I638" s="5" t="n"/>
      <c r="J638" s="5" t="n">
        <v>54.83</v>
      </c>
      <c r="K638" s="5" t="n"/>
      <c r="L638" s="5" t="n"/>
      <c r="M638" s="5" t="n"/>
      <c r="N638" s="5" t="n"/>
      <c r="O638" s="5" t="n">
        <v>329</v>
      </c>
      <c r="P638" s="5" t="n"/>
      <c r="Q638" s="5" t="n">
        <v>329</v>
      </c>
      <c r="R638" s="5" t="n"/>
      <c r="S638" s="5">
        <f>SUM(F638:I638)+N638</f>
        <v/>
      </c>
      <c r="T638" s="5">
        <f>J638</f>
        <v/>
      </c>
      <c r="U638" s="6">
        <f>YEAR(D638)</f>
        <v/>
      </c>
      <c r="V638" s="5">
        <f>TEXT(D638,"yyyy-mm")</f>
        <v/>
      </c>
    </row>
    <row r="639">
      <c r="A639" s="2" t="inlineStr">
        <is>
          <t>EJ020224.TXT</t>
        </is>
      </c>
      <c r="B639" s="3" t="inlineStr">
        <is>
          <t>005239</t>
        </is>
      </c>
      <c r="C639" s="3" t="inlineStr">
        <is>
          <t>004199</t>
        </is>
      </c>
      <c r="D639" s="4" t="n">
        <v>45302</v>
      </c>
      <c r="E639" s="2" t="inlineStr">
        <is>
          <t>11:53</t>
        </is>
      </c>
      <c r="F639" s="5" t="n">
        <v>274.17</v>
      </c>
      <c r="G639" s="5" t="n"/>
      <c r="H639" s="5" t="n"/>
      <c r="I639" s="5" t="n"/>
      <c r="J639" s="5" t="n">
        <v>54.83</v>
      </c>
      <c r="K639" s="5" t="n"/>
      <c r="L639" s="5" t="n"/>
      <c r="M639" s="5" t="n"/>
      <c r="N639" s="5" t="n"/>
      <c r="O639" s="5" t="n">
        <v>329</v>
      </c>
      <c r="P639" s="5" t="n">
        <v>329</v>
      </c>
      <c r="Q639" s="5" t="n"/>
      <c r="R639" s="5" t="n"/>
      <c r="S639" s="5">
        <f>SUM(F639:I639)+N639</f>
        <v/>
      </c>
      <c r="T639" s="5">
        <f>J639</f>
        <v/>
      </c>
      <c r="U639" s="6">
        <f>YEAR(D639)</f>
        <v/>
      </c>
      <c r="V639" s="5">
        <f>TEXT(D639,"yyyy-mm")</f>
        <v/>
      </c>
    </row>
    <row r="640">
      <c r="A640" s="2" t="inlineStr">
        <is>
          <t>EJ020224.TXT</t>
        </is>
      </c>
      <c r="B640" s="3" t="inlineStr">
        <is>
          <t>005240</t>
        </is>
      </c>
      <c r="C640" s="3" t="inlineStr">
        <is>
          <t>004200</t>
        </is>
      </c>
      <c r="D640" s="4" t="n">
        <v>45304</v>
      </c>
      <c r="E640" s="2" t="inlineStr">
        <is>
          <t>15:49</t>
        </is>
      </c>
      <c r="F640" s="5" t="n">
        <v>274.17</v>
      </c>
      <c r="G640" s="5" t="n"/>
      <c r="H640" s="5" t="n"/>
      <c r="I640" s="5" t="n"/>
      <c r="J640" s="5" t="n">
        <v>54.83</v>
      </c>
      <c r="K640" s="5" t="n"/>
      <c r="L640" s="5" t="n"/>
      <c r="M640" s="5" t="n"/>
      <c r="N640" s="5" t="n"/>
      <c r="O640" s="5" t="n">
        <v>329</v>
      </c>
      <c r="P640" s="5" t="n"/>
      <c r="Q640" s="5" t="n">
        <v>329</v>
      </c>
      <c r="R640" s="5" t="n"/>
      <c r="S640" s="5">
        <f>SUM(F640:I640)+N640</f>
        <v/>
      </c>
      <c r="T640" s="5">
        <f>J640</f>
        <v/>
      </c>
      <c r="U640" s="6">
        <f>YEAR(D640)</f>
        <v/>
      </c>
      <c r="V640" s="5">
        <f>TEXT(D640,"yyyy-mm")</f>
        <v/>
      </c>
    </row>
    <row r="641">
      <c r="A641" s="2" t="inlineStr">
        <is>
          <t>EJ020224.TXT</t>
        </is>
      </c>
      <c r="B641" s="3" t="inlineStr">
        <is>
          <t>005241</t>
        </is>
      </c>
      <c r="C641" s="3" t="inlineStr">
        <is>
          <t>004201</t>
        </is>
      </c>
      <c r="D641" s="4" t="n">
        <v>45304</v>
      </c>
      <c r="E641" s="2" t="inlineStr">
        <is>
          <t>16:11</t>
        </is>
      </c>
      <c r="F641" s="5" t="n">
        <v>856.67</v>
      </c>
      <c r="G641" s="5" t="n"/>
      <c r="H641" s="5" t="n"/>
      <c r="I641" s="5" t="n"/>
      <c r="J641" s="5" t="n">
        <v>171.33</v>
      </c>
      <c r="K641" s="5" t="n"/>
      <c r="L641" s="5" t="n"/>
      <c r="M641" s="5" t="n"/>
      <c r="N641" s="5" t="n"/>
      <c r="O641" s="5" t="n">
        <v>1028</v>
      </c>
      <c r="P641" s="5" t="n">
        <v>1028</v>
      </c>
      <c r="Q641" s="5" t="n"/>
      <c r="R641" s="5" t="n"/>
      <c r="S641" s="5">
        <f>SUM(F641:I641)+N641</f>
        <v/>
      </c>
      <c r="T641" s="5">
        <f>J641</f>
        <v/>
      </c>
      <c r="U641" s="6">
        <f>YEAR(D641)</f>
        <v/>
      </c>
      <c r="V641" s="5">
        <f>TEXT(D641,"yyyy-mm")</f>
        <v/>
      </c>
    </row>
    <row r="642">
      <c r="A642" s="2" t="inlineStr">
        <is>
          <t>EJ020224.TXT</t>
        </is>
      </c>
      <c r="B642" s="3" t="inlineStr">
        <is>
          <t>005242</t>
        </is>
      </c>
      <c r="C642" s="3" t="inlineStr">
        <is>
          <t>004202</t>
        </is>
      </c>
      <c r="D642" s="4" t="n">
        <v>45304</v>
      </c>
      <c r="E642" s="2" t="inlineStr">
        <is>
          <t>16:14</t>
        </is>
      </c>
      <c r="F642" s="5" t="n">
        <v>473.33</v>
      </c>
      <c r="G642" s="5" t="n"/>
      <c r="H642" s="5" t="n"/>
      <c r="I642" s="5" t="n"/>
      <c r="J642" s="5" t="n">
        <v>94.67</v>
      </c>
      <c r="K642" s="5" t="n"/>
      <c r="L642" s="5" t="n"/>
      <c r="M642" s="5" t="n"/>
      <c r="N642" s="5" t="n"/>
      <c r="O642" s="5" t="n">
        <v>568</v>
      </c>
      <c r="P642" s="5" t="n"/>
      <c r="Q642" s="5" t="n">
        <v>568</v>
      </c>
      <c r="R642" s="5" t="n"/>
      <c r="S642" s="5">
        <f>SUM(F642:I642)+N642</f>
        <v/>
      </c>
      <c r="T642" s="5">
        <f>J642</f>
        <v/>
      </c>
      <c r="U642" s="6">
        <f>YEAR(D642)</f>
        <v/>
      </c>
      <c r="V642" s="5">
        <f>TEXT(D642,"yyyy-mm")</f>
        <v/>
      </c>
    </row>
    <row r="643">
      <c r="A643" s="2" t="inlineStr">
        <is>
          <t>EJ020224.TXT</t>
        </is>
      </c>
      <c r="B643" s="3" t="inlineStr">
        <is>
          <t>005243</t>
        </is>
      </c>
      <c r="C643" s="3" t="inlineStr">
        <is>
          <t>004203</t>
        </is>
      </c>
      <c r="D643" s="4" t="n">
        <v>45304</v>
      </c>
      <c r="E643" s="2" t="inlineStr">
        <is>
          <t>16:17</t>
        </is>
      </c>
      <c r="F643" s="5" t="n">
        <v>733.33</v>
      </c>
      <c r="G643" s="5" t="n"/>
      <c r="H643" s="5" t="n"/>
      <c r="I643" s="5" t="n"/>
      <c r="J643" s="5" t="n">
        <v>146.67</v>
      </c>
      <c r="K643" s="5" t="n"/>
      <c r="L643" s="5" t="n"/>
      <c r="M643" s="5" t="n"/>
      <c r="N643" s="5" t="n"/>
      <c r="O643" s="5" t="n">
        <v>880</v>
      </c>
      <c r="P643" s="5" t="n"/>
      <c r="Q643" s="5" t="n">
        <v>880</v>
      </c>
      <c r="R643" s="5" t="n"/>
      <c r="S643" s="5">
        <f>SUM(F643:I643)+N643</f>
        <v/>
      </c>
      <c r="T643" s="5">
        <f>J643</f>
        <v/>
      </c>
      <c r="U643" s="6">
        <f>YEAR(D643)</f>
        <v/>
      </c>
      <c r="V643" s="5">
        <f>TEXT(D643,"yyyy-mm")</f>
        <v/>
      </c>
    </row>
    <row r="644">
      <c r="A644" s="2" t="inlineStr">
        <is>
          <t>EJ020224.TXT</t>
        </is>
      </c>
      <c r="B644" s="3" t="inlineStr">
        <is>
          <t>005244</t>
        </is>
      </c>
      <c r="C644" s="3" t="inlineStr">
        <is>
          <t>004204</t>
        </is>
      </c>
      <c r="D644" s="4" t="n">
        <v>45307</v>
      </c>
      <c r="E644" s="2" t="inlineStr">
        <is>
          <t>12:36</t>
        </is>
      </c>
      <c r="F644" s="5" t="n">
        <v>274.17</v>
      </c>
      <c r="G644" s="5" t="n"/>
      <c r="H644" s="5" t="n"/>
      <c r="I644" s="5" t="n"/>
      <c r="J644" s="5" t="n">
        <v>54.83</v>
      </c>
      <c r="K644" s="5" t="n"/>
      <c r="L644" s="5" t="n"/>
      <c r="M644" s="5" t="n"/>
      <c r="N644" s="5" t="n"/>
      <c r="O644" s="5" t="n">
        <v>329</v>
      </c>
      <c r="P644" s="5" t="n"/>
      <c r="Q644" s="5" t="n">
        <v>329</v>
      </c>
      <c r="R644" s="5" t="n"/>
      <c r="S644" s="5">
        <f>SUM(F644:I644)+N644</f>
        <v/>
      </c>
      <c r="T644" s="5">
        <f>J644</f>
        <v/>
      </c>
      <c r="U644" s="6">
        <f>YEAR(D644)</f>
        <v/>
      </c>
      <c r="V644" s="5">
        <f>TEXT(D644,"yyyy-mm")</f>
        <v/>
      </c>
    </row>
    <row r="645">
      <c r="A645" s="2" t="inlineStr">
        <is>
          <t>EJ020224.TXT</t>
        </is>
      </c>
      <c r="B645" s="3" t="inlineStr">
        <is>
          <t>005245</t>
        </is>
      </c>
      <c r="C645" s="3" t="inlineStr">
        <is>
          <t>004205</t>
        </is>
      </c>
      <c r="D645" s="4" t="n">
        <v>45307</v>
      </c>
      <c r="E645" s="2" t="inlineStr">
        <is>
          <t>14:34</t>
        </is>
      </c>
      <c r="F645" s="5" t="n">
        <v>274.17</v>
      </c>
      <c r="G645" s="5" t="n"/>
      <c r="H645" s="5" t="n"/>
      <c r="I645" s="5" t="n"/>
      <c r="J645" s="5" t="n">
        <v>54.83</v>
      </c>
      <c r="K645" s="5" t="n"/>
      <c r="L645" s="5" t="n"/>
      <c r="M645" s="5" t="n"/>
      <c r="N645" s="5" t="n"/>
      <c r="O645" s="5" t="n">
        <v>329</v>
      </c>
      <c r="P645" s="5" t="n">
        <v>329</v>
      </c>
      <c r="Q645" s="5" t="n"/>
      <c r="R645" s="5" t="n"/>
      <c r="S645" s="5">
        <f>SUM(F645:I645)+N645</f>
        <v/>
      </c>
      <c r="T645" s="5">
        <f>J645</f>
        <v/>
      </c>
      <c r="U645" s="6">
        <f>YEAR(D645)</f>
        <v/>
      </c>
      <c r="V645" s="5">
        <f>TEXT(D645,"yyyy-mm")</f>
        <v/>
      </c>
    </row>
    <row r="646">
      <c r="A646" s="2" t="inlineStr">
        <is>
          <t>EJ020224.TXT</t>
        </is>
      </c>
      <c r="B646" s="3" t="inlineStr">
        <is>
          <t>005246</t>
        </is>
      </c>
      <c r="C646" s="3" t="inlineStr">
        <is>
          <t>004206</t>
        </is>
      </c>
      <c r="D646" s="4" t="n">
        <v>45311</v>
      </c>
      <c r="E646" s="2" t="inlineStr">
        <is>
          <t>16:54</t>
        </is>
      </c>
      <c r="F646" s="5" t="n">
        <v>548.33</v>
      </c>
      <c r="G646" s="5" t="n"/>
      <c r="H646" s="5" t="n"/>
      <c r="I646" s="5" t="n"/>
      <c r="J646" s="5" t="n">
        <v>109.67</v>
      </c>
      <c r="K646" s="5" t="n"/>
      <c r="L646" s="5" t="n"/>
      <c r="M646" s="5" t="n"/>
      <c r="N646" s="5" t="n"/>
      <c r="O646" s="5" t="n">
        <v>658</v>
      </c>
      <c r="P646" s="5" t="n"/>
      <c r="Q646" s="5" t="n">
        <v>658</v>
      </c>
      <c r="R646" s="5" t="n"/>
      <c r="S646" s="5">
        <f>SUM(F646:I646)+N646</f>
        <v/>
      </c>
      <c r="T646" s="5">
        <f>J646</f>
        <v/>
      </c>
      <c r="U646" s="6">
        <f>YEAR(D646)</f>
        <v/>
      </c>
      <c r="V646" s="5">
        <f>TEXT(D646,"yyyy-mm")</f>
        <v/>
      </c>
    </row>
    <row r="647">
      <c r="A647" s="2" t="inlineStr">
        <is>
          <t>EJ020224.TXT</t>
        </is>
      </c>
      <c r="B647" s="3" t="inlineStr">
        <is>
          <t>005247</t>
        </is>
      </c>
      <c r="C647" s="3" t="inlineStr">
        <is>
          <t>004207</t>
        </is>
      </c>
      <c r="D647" s="4" t="n">
        <v>45311</v>
      </c>
      <c r="E647" s="2" t="inlineStr">
        <is>
          <t>17:48</t>
        </is>
      </c>
      <c r="F647" s="5" t="n">
        <v>82.5</v>
      </c>
      <c r="G647" s="5" t="n"/>
      <c r="H647" s="5" t="n"/>
      <c r="I647" s="5" t="n"/>
      <c r="J647" s="5" t="n">
        <v>16.5</v>
      </c>
      <c r="K647" s="5" t="n"/>
      <c r="L647" s="5" t="n"/>
      <c r="M647" s="5" t="n"/>
      <c r="N647" s="5" t="n"/>
      <c r="O647" s="5" t="n">
        <v>99</v>
      </c>
      <c r="P647" s="5" t="n">
        <v>99</v>
      </c>
      <c r="Q647" s="5" t="n"/>
      <c r="R647" s="5" t="n"/>
      <c r="S647" s="5">
        <f>SUM(F647:I647)+N647</f>
        <v/>
      </c>
      <c r="T647" s="5">
        <f>J647</f>
        <v/>
      </c>
      <c r="U647" s="6">
        <f>YEAR(D647)</f>
        <v/>
      </c>
      <c r="V647" s="5">
        <f>TEXT(D647,"yyyy-mm")</f>
        <v/>
      </c>
    </row>
    <row r="648">
      <c r="A648" s="2" t="inlineStr">
        <is>
          <t>EJ020224.TXT</t>
        </is>
      </c>
      <c r="B648" s="3" t="inlineStr">
        <is>
          <t>005248</t>
        </is>
      </c>
      <c r="C648" s="3" t="inlineStr">
        <is>
          <t>004208</t>
        </is>
      </c>
      <c r="D648" s="4" t="n">
        <v>45313</v>
      </c>
      <c r="E648" s="2" t="inlineStr">
        <is>
          <t>17:14</t>
        </is>
      </c>
      <c r="F648" s="5" t="n">
        <v>274.17</v>
      </c>
      <c r="G648" s="5" t="n"/>
      <c r="H648" s="5" t="n"/>
      <c r="I648" s="5" t="n"/>
      <c r="J648" s="5" t="n">
        <v>54.83</v>
      </c>
      <c r="K648" s="5" t="n"/>
      <c r="L648" s="5" t="n"/>
      <c r="M648" s="5" t="n"/>
      <c r="N648" s="5" t="n"/>
      <c r="O648" s="5" t="n">
        <v>329</v>
      </c>
      <c r="P648" s="5" t="n">
        <v>329</v>
      </c>
      <c r="Q648" s="5" t="n"/>
      <c r="R648" s="5" t="n"/>
      <c r="S648" s="5">
        <f>SUM(F648:I648)+N648</f>
        <v/>
      </c>
      <c r="T648" s="5">
        <f>J648</f>
        <v/>
      </c>
      <c r="U648" s="6">
        <f>YEAR(D648)</f>
        <v/>
      </c>
      <c r="V648" s="5">
        <f>TEXT(D648,"yyyy-mm")</f>
        <v/>
      </c>
    </row>
    <row r="649">
      <c r="A649" s="2" t="inlineStr">
        <is>
          <t>EJ020224.TXT</t>
        </is>
      </c>
      <c r="B649" s="3" t="inlineStr">
        <is>
          <t>005249</t>
        </is>
      </c>
      <c r="C649" s="3" t="inlineStr">
        <is>
          <t>004209</t>
        </is>
      </c>
      <c r="D649" s="4" t="n">
        <v>45315</v>
      </c>
      <c r="E649" s="2" t="inlineStr">
        <is>
          <t>11:47</t>
        </is>
      </c>
      <c r="F649" s="5" t="n">
        <v>175</v>
      </c>
      <c r="G649" s="5" t="n"/>
      <c r="H649" s="5" t="n"/>
      <c r="I649" s="5" t="n"/>
      <c r="J649" s="5" t="n">
        <v>35</v>
      </c>
      <c r="K649" s="5" t="n"/>
      <c r="L649" s="5" t="n"/>
      <c r="M649" s="5" t="n"/>
      <c r="N649" s="5" t="n"/>
      <c r="O649" s="5" t="n">
        <v>210</v>
      </c>
      <c r="P649" s="5" t="n">
        <v>210</v>
      </c>
      <c r="Q649" s="5" t="n"/>
      <c r="R649" s="5" t="n"/>
      <c r="S649" s="5">
        <f>SUM(F649:I649)+N649</f>
        <v/>
      </c>
      <c r="T649" s="5">
        <f>J649</f>
        <v/>
      </c>
      <c r="U649" s="6">
        <f>YEAR(D649)</f>
        <v/>
      </c>
      <c r="V649" s="5">
        <f>TEXT(D649,"yyyy-mm")</f>
        <v/>
      </c>
    </row>
    <row r="650">
      <c r="A650" s="2" t="inlineStr">
        <is>
          <t>EJ020224.TXT</t>
        </is>
      </c>
      <c r="B650" s="3" t="inlineStr">
        <is>
          <t>005250</t>
        </is>
      </c>
      <c r="C650" s="3" t="inlineStr">
        <is>
          <t>004210</t>
        </is>
      </c>
      <c r="D650" s="4" t="n">
        <v>45324</v>
      </c>
      <c r="E650" s="2" t="inlineStr">
        <is>
          <t>10:43</t>
        </is>
      </c>
      <c r="F650" s="5" t="n">
        <v>274.17</v>
      </c>
      <c r="G650" s="5" t="n"/>
      <c r="H650" s="5" t="n"/>
      <c r="I650" s="5" t="n"/>
      <c r="J650" s="5" t="n">
        <v>54.83</v>
      </c>
      <c r="K650" s="5" t="n"/>
      <c r="L650" s="5" t="n"/>
      <c r="M650" s="5" t="n"/>
      <c r="N650" s="5" t="n"/>
      <c r="O650" s="5" t="n">
        <v>329</v>
      </c>
      <c r="P650" s="5" t="n"/>
      <c r="Q650" s="5" t="n">
        <v>329</v>
      </c>
      <c r="R650" s="5" t="n"/>
      <c r="S650" s="5">
        <f>SUM(F650:I650)+N650</f>
        <v/>
      </c>
      <c r="T650" s="5">
        <f>J650</f>
        <v/>
      </c>
      <c r="U650" s="6">
        <f>YEAR(D650)</f>
        <v/>
      </c>
      <c r="V650" s="5">
        <f>TEXT(D650,"yyyy-mm")</f>
        <v/>
      </c>
    </row>
    <row r="651">
      <c r="A651" s="2" t="inlineStr">
        <is>
          <t>EJ020324.TXT</t>
        </is>
      </c>
      <c r="B651" s="3" t="inlineStr">
        <is>
          <t>005258</t>
        </is>
      </c>
      <c r="C651" s="3" t="inlineStr">
        <is>
          <t>004211</t>
        </is>
      </c>
      <c r="D651" s="4" t="n">
        <v>45324</v>
      </c>
      <c r="E651" s="2" t="inlineStr">
        <is>
          <t>11:42</t>
        </is>
      </c>
      <c r="F651" s="5" t="n">
        <v>833.33</v>
      </c>
      <c r="G651" s="5" t="n"/>
      <c r="H651" s="5" t="n"/>
      <c r="I651" s="5" t="n"/>
      <c r="J651" s="5" t="n">
        <v>166.67</v>
      </c>
      <c r="K651" s="5" t="n"/>
      <c r="L651" s="5" t="n"/>
      <c r="M651" s="5" t="n"/>
      <c r="N651" s="5" t="n"/>
      <c r="O651" s="5" t="n">
        <v>1000</v>
      </c>
      <c r="P651" s="5" t="n"/>
      <c r="Q651" s="5" t="n">
        <v>1000</v>
      </c>
      <c r="R651" s="5" t="n"/>
      <c r="S651" s="5">
        <f>SUM(F651:I651)+N651</f>
        <v/>
      </c>
      <c r="T651" s="5">
        <f>J651</f>
        <v/>
      </c>
      <c r="U651" s="6">
        <f>YEAR(D651)</f>
        <v/>
      </c>
      <c r="V651" s="5">
        <f>TEXT(D651,"yyyy-mm")</f>
        <v/>
      </c>
    </row>
    <row r="652">
      <c r="A652" s="2" t="inlineStr">
        <is>
          <t>EJ020324.TXT</t>
        </is>
      </c>
      <c r="B652" s="3" t="inlineStr">
        <is>
          <t>005259</t>
        </is>
      </c>
      <c r="C652" s="3" t="inlineStr">
        <is>
          <t>004212</t>
        </is>
      </c>
      <c r="D652" s="4" t="n">
        <v>45324</v>
      </c>
      <c r="E652" s="2" t="inlineStr">
        <is>
          <t>11:43</t>
        </is>
      </c>
      <c r="F652" s="5" t="n">
        <v>822.5</v>
      </c>
      <c r="G652" s="5" t="n"/>
      <c r="H652" s="5" t="n"/>
      <c r="I652" s="5" t="n"/>
      <c r="J652" s="5" t="n">
        <v>164.5</v>
      </c>
      <c r="K652" s="5" t="n"/>
      <c r="L652" s="5" t="n"/>
      <c r="M652" s="5" t="n"/>
      <c r="N652" s="5" t="n"/>
      <c r="O652" s="5" t="n">
        <v>987</v>
      </c>
      <c r="P652" s="5" t="n"/>
      <c r="Q652" s="5" t="n">
        <v>987</v>
      </c>
      <c r="R652" s="5" t="n"/>
      <c r="S652" s="5">
        <f>SUM(F652:I652)+N652</f>
        <v/>
      </c>
      <c r="T652" s="5">
        <f>J652</f>
        <v/>
      </c>
      <c r="U652" s="6">
        <f>YEAR(D652)</f>
        <v/>
      </c>
      <c r="V652" s="5">
        <f>TEXT(D652,"yyyy-mm")</f>
        <v/>
      </c>
    </row>
    <row r="653">
      <c r="A653" s="2" t="inlineStr">
        <is>
          <t>EJ020324.TXT</t>
        </is>
      </c>
      <c r="B653" s="3" t="inlineStr">
        <is>
          <t>005260</t>
        </is>
      </c>
      <c r="C653" s="3" t="inlineStr">
        <is>
          <t>004213</t>
        </is>
      </c>
      <c r="D653" s="4" t="n">
        <v>45324</v>
      </c>
      <c r="E653" s="2" t="inlineStr">
        <is>
          <t>11:44</t>
        </is>
      </c>
      <c r="F653" s="5" t="n">
        <v>822.5</v>
      </c>
      <c r="G653" s="5" t="n"/>
      <c r="H653" s="5" t="n"/>
      <c r="I653" s="5" t="n"/>
      <c r="J653" s="5" t="n">
        <v>164.5</v>
      </c>
      <c r="K653" s="5" t="n"/>
      <c r="L653" s="5" t="n"/>
      <c r="M653" s="5" t="n"/>
      <c r="N653" s="5" t="n"/>
      <c r="O653" s="5" t="n">
        <v>987</v>
      </c>
      <c r="P653" s="5" t="n"/>
      <c r="Q653" s="5" t="n">
        <v>987</v>
      </c>
      <c r="R653" s="5" t="n"/>
      <c r="S653" s="5">
        <f>SUM(F653:I653)+N653</f>
        <v/>
      </c>
      <c r="T653" s="5">
        <f>J653</f>
        <v/>
      </c>
      <c r="U653" s="6">
        <f>YEAR(D653)</f>
        <v/>
      </c>
      <c r="V653" s="5">
        <f>TEXT(D653,"yyyy-mm")</f>
        <v/>
      </c>
    </row>
    <row r="654">
      <c r="A654" s="2" t="inlineStr">
        <is>
          <t>EJ020324.TXT</t>
        </is>
      </c>
      <c r="B654" s="3" t="inlineStr">
        <is>
          <t>005261</t>
        </is>
      </c>
      <c r="C654" s="3" t="inlineStr">
        <is>
          <t>004214</t>
        </is>
      </c>
      <c r="D654" s="4" t="n">
        <v>45324</v>
      </c>
      <c r="E654" s="2" t="inlineStr">
        <is>
          <t>11:45</t>
        </is>
      </c>
      <c r="F654" s="5" t="n">
        <v>625</v>
      </c>
      <c r="G654" s="5" t="n"/>
      <c r="H654" s="5" t="n"/>
      <c r="I654" s="5" t="n"/>
      <c r="J654" s="5" t="n">
        <v>125</v>
      </c>
      <c r="K654" s="5" t="n"/>
      <c r="L654" s="5" t="n"/>
      <c r="M654" s="5" t="n"/>
      <c r="N654" s="5" t="n"/>
      <c r="O654" s="5" t="n">
        <v>750</v>
      </c>
      <c r="P654" s="5" t="n"/>
      <c r="Q654" s="5" t="n">
        <v>750</v>
      </c>
      <c r="R654" s="5" t="n"/>
      <c r="S654" s="5">
        <f>SUM(F654:I654)+N654</f>
        <v/>
      </c>
      <c r="T654" s="5">
        <f>J654</f>
        <v/>
      </c>
      <c r="U654" s="6">
        <f>YEAR(D654)</f>
        <v/>
      </c>
      <c r="V654" s="5">
        <f>TEXT(D654,"yyyy-mm")</f>
        <v/>
      </c>
    </row>
    <row r="655">
      <c r="A655" s="2" t="inlineStr">
        <is>
          <t>EJ020324.TXT</t>
        </is>
      </c>
      <c r="B655" s="3" t="inlineStr">
        <is>
          <t>005262</t>
        </is>
      </c>
      <c r="C655" s="3" t="inlineStr">
        <is>
          <t>004215</t>
        </is>
      </c>
      <c r="D655" s="4" t="n">
        <v>45324</v>
      </c>
      <c r="E655" s="2" t="inlineStr">
        <is>
          <t>11:46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/>
      <c r="Q655" s="5" t="n">
        <v>658</v>
      </c>
      <c r="R655" s="5" t="n"/>
      <c r="S655" s="5">
        <f>SUM(F655:I655)+N655</f>
        <v/>
      </c>
      <c r="T655" s="5">
        <f>J655</f>
        <v/>
      </c>
      <c r="U655" s="6">
        <f>YEAR(D655)</f>
        <v/>
      </c>
      <c r="V655" s="5">
        <f>TEXT(D655,"yyyy-mm")</f>
        <v/>
      </c>
    </row>
    <row r="656">
      <c r="A656" s="2" t="inlineStr">
        <is>
          <t>EJ020324.TXT</t>
        </is>
      </c>
      <c r="B656" s="3" t="inlineStr">
        <is>
          <t>005263</t>
        </is>
      </c>
      <c r="C656" s="3" t="inlineStr">
        <is>
          <t>004216</t>
        </is>
      </c>
      <c r="D656" s="4" t="n">
        <v>45324</v>
      </c>
      <c r="E656" s="2" t="inlineStr">
        <is>
          <t>11:47</t>
        </is>
      </c>
      <c r="F656" s="5" t="n">
        <v>423.33</v>
      </c>
      <c r="G656" s="5" t="n"/>
      <c r="H656" s="5" t="n"/>
      <c r="I656" s="5" t="n"/>
      <c r="J656" s="5" t="n">
        <v>84.67</v>
      </c>
      <c r="K656" s="5" t="n"/>
      <c r="L656" s="5" t="n"/>
      <c r="M656" s="5" t="n"/>
      <c r="N656" s="5" t="n"/>
      <c r="O656" s="5" t="n">
        <v>508</v>
      </c>
      <c r="P656" s="5" t="n"/>
      <c r="Q656" s="5" t="n">
        <v>508</v>
      </c>
      <c r="R656" s="5" t="n"/>
      <c r="S656" s="5">
        <f>SUM(F656:I656)+N656</f>
        <v/>
      </c>
      <c r="T656" s="5">
        <f>J656</f>
        <v/>
      </c>
      <c r="U656" s="6">
        <f>YEAR(D656)</f>
        <v/>
      </c>
      <c r="V656" s="5">
        <f>TEXT(D656,"yyyy-mm")</f>
        <v/>
      </c>
    </row>
    <row r="657">
      <c r="A657" s="2" t="inlineStr">
        <is>
          <t>EJ020324.TXT</t>
        </is>
      </c>
      <c r="B657" s="3" t="inlineStr">
        <is>
          <t>005264</t>
        </is>
      </c>
      <c r="C657" s="3" t="inlineStr">
        <is>
          <t>004217</t>
        </is>
      </c>
      <c r="D657" s="4" t="n">
        <v>45327</v>
      </c>
      <c r="E657" s="2" t="inlineStr">
        <is>
          <t>13:37</t>
        </is>
      </c>
      <c r="F657" s="5" t="n">
        <v>37.5</v>
      </c>
      <c r="G657" s="5" t="n"/>
      <c r="H657" s="5" t="n"/>
      <c r="I657" s="5" t="n"/>
      <c r="J657" s="5" t="n">
        <v>7.5</v>
      </c>
      <c r="K657" s="5" t="n"/>
      <c r="L657" s="5" t="n"/>
      <c r="M657" s="5" t="n"/>
      <c r="N657" s="5" t="n"/>
      <c r="O657" s="5" t="n">
        <v>45</v>
      </c>
      <c r="P657" s="5" t="n">
        <v>45</v>
      </c>
      <c r="Q657" s="5" t="n"/>
      <c r="R657" s="5" t="n"/>
      <c r="S657" s="5">
        <f>SUM(F657:I657)+N657</f>
        <v/>
      </c>
      <c r="T657" s="5">
        <f>J657</f>
        <v/>
      </c>
      <c r="U657" s="6">
        <f>YEAR(D657)</f>
        <v/>
      </c>
      <c r="V657" s="5">
        <f>TEXT(D657,"yyyy-mm")</f>
        <v/>
      </c>
    </row>
    <row r="658">
      <c r="A658" s="2" t="inlineStr">
        <is>
          <t>EJ020324.TXT</t>
        </is>
      </c>
      <c r="B658" s="3" t="inlineStr">
        <is>
          <t>005265</t>
        </is>
      </c>
      <c r="C658" s="3" t="inlineStr">
        <is>
          <t>004218</t>
        </is>
      </c>
      <c r="D658" s="4" t="n">
        <v>45327</v>
      </c>
      <c r="E658" s="2" t="inlineStr">
        <is>
          <t>14:42</t>
        </is>
      </c>
      <c r="F658" s="5" t="n">
        <v>1096.67</v>
      </c>
      <c r="G658" s="5" t="n"/>
      <c r="H658" s="5" t="n"/>
      <c r="I658" s="5" t="n"/>
      <c r="J658" s="5" t="n">
        <v>219.33</v>
      </c>
      <c r="K658" s="5" t="n"/>
      <c r="L658" s="5" t="n"/>
      <c r="M658" s="5" t="n"/>
      <c r="N658" s="5" t="n"/>
      <c r="O658" s="5" t="n">
        <v>1316</v>
      </c>
      <c r="P658" s="5" t="n">
        <v>1316</v>
      </c>
      <c r="Q658" s="5" t="n"/>
      <c r="R658" s="5" t="n"/>
      <c r="S658" s="5">
        <f>SUM(F658:I658)+N658</f>
        <v/>
      </c>
      <c r="T658" s="5">
        <f>J658</f>
        <v/>
      </c>
      <c r="U658" s="6">
        <f>YEAR(D658)</f>
        <v/>
      </c>
      <c r="V658" s="5">
        <f>TEXT(D658,"yyyy-mm")</f>
        <v/>
      </c>
    </row>
    <row r="659">
      <c r="A659" s="2" t="inlineStr">
        <is>
          <t>EJ020324.TXT</t>
        </is>
      </c>
      <c r="B659" s="3" t="inlineStr">
        <is>
          <t>005266</t>
        </is>
      </c>
      <c r="C659" s="3" t="inlineStr">
        <is>
          <t>004219</t>
        </is>
      </c>
      <c r="D659" s="4" t="n">
        <v>45328</v>
      </c>
      <c r="E659" s="2" t="inlineStr">
        <is>
          <t>13:55</t>
        </is>
      </c>
      <c r="F659" s="5" t="n">
        <v>621.67</v>
      </c>
      <c r="G659" s="5" t="n"/>
      <c r="H659" s="5" t="n"/>
      <c r="I659" s="5" t="n"/>
      <c r="J659" s="5" t="n">
        <v>124.33</v>
      </c>
      <c r="K659" s="5" t="n"/>
      <c r="L659" s="5" t="n"/>
      <c r="M659" s="5" t="n"/>
      <c r="N659" s="5" t="n"/>
      <c r="O659" s="5" t="n">
        <v>746</v>
      </c>
      <c r="P659" s="5" t="n">
        <v>746</v>
      </c>
      <c r="Q659" s="5" t="n"/>
      <c r="R659" s="5" t="n"/>
      <c r="S659" s="5">
        <f>SUM(F659:I659)+N659</f>
        <v/>
      </c>
      <c r="T659" s="5">
        <f>J659</f>
        <v/>
      </c>
      <c r="U659" s="6">
        <f>YEAR(D659)</f>
        <v/>
      </c>
      <c r="V659" s="5">
        <f>TEXT(D659,"yyyy-mm")</f>
        <v/>
      </c>
    </row>
    <row r="660">
      <c r="A660" s="2" t="inlineStr">
        <is>
          <t>EJ020324.TXT</t>
        </is>
      </c>
      <c r="B660" s="3" t="inlineStr">
        <is>
          <t>005267</t>
        </is>
      </c>
      <c r="C660" s="3" t="inlineStr">
        <is>
          <t>004220</t>
        </is>
      </c>
      <c r="D660" s="4" t="n">
        <v>45328</v>
      </c>
      <c r="E660" s="2" t="inlineStr">
        <is>
          <t>18:59</t>
        </is>
      </c>
      <c r="F660" s="5" t="n">
        <v>73.33</v>
      </c>
      <c r="G660" s="5" t="n"/>
      <c r="H660" s="5" t="n"/>
      <c r="I660" s="5" t="n"/>
      <c r="J660" s="5" t="n">
        <v>14.67</v>
      </c>
      <c r="K660" s="5" t="n"/>
      <c r="L660" s="5" t="n"/>
      <c r="M660" s="5" t="n"/>
      <c r="N660" s="5" t="n"/>
      <c r="O660" s="5" t="n">
        <v>88</v>
      </c>
      <c r="P660" s="5" t="n">
        <v>88</v>
      </c>
      <c r="Q660" s="5" t="n"/>
      <c r="R660" s="5" t="n"/>
      <c r="S660" s="5">
        <f>SUM(F660:I660)+N660</f>
        <v/>
      </c>
      <c r="T660" s="5">
        <f>J660</f>
        <v/>
      </c>
      <c r="U660" s="6">
        <f>YEAR(D660)</f>
        <v/>
      </c>
      <c r="V660" s="5">
        <f>TEXT(D660,"yyyy-mm")</f>
        <v/>
      </c>
    </row>
    <row r="661">
      <c r="A661" s="2" t="inlineStr">
        <is>
          <t>EJ020324.TXT</t>
        </is>
      </c>
      <c r="B661" s="3" t="inlineStr">
        <is>
          <t>005268</t>
        </is>
      </c>
      <c r="C661" s="3" t="inlineStr">
        <is>
          <t>004221</t>
        </is>
      </c>
      <c r="D661" s="4" t="n">
        <v>45331</v>
      </c>
      <c r="E661" s="2" t="inlineStr">
        <is>
          <t>15:12</t>
        </is>
      </c>
      <c r="F661" s="5" t="n">
        <v>190.83</v>
      </c>
      <c r="G661" s="5" t="n"/>
      <c r="H661" s="5" t="n"/>
      <c r="I661" s="5" t="n"/>
      <c r="J661" s="5" t="n">
        <v>38.17</v>
      </c>
      <c r="K661" s="5" t="n"/>
      <c r="L661" s="5" t="n"/>
      <c r="M661" s="5" t="n"/>
      <c r="N661" s="5" t="n"/>
      <c r="O661" s="5" t="n">
        <v>229</v>
      </c>
      <c r="P661" s="5" t="n">
        <v>229</v>
      </c>
      <c r="Q661" s="5" t="n"/>
      <c r="R661" s="5" t="n"/>
      <c r="S661" s="5">
        <f>SUM(F661:I661)+N661</f>
        <v/>
      </c>
      <c r="T661" s="5">
        <f>J661</f>
        <v/>
      </c>
      <c r="U661" s="6">
        <f>YEAR(D661)</f>
        <v/>
      </c>
      <c r="V661" s="5">
        <f>TEXT(D661,"yyyy-mm")</f>
        <v/>
      </c>
    </row>
    <row r="662">
      <c r="A662" s="2" t="inlineStr">
        <is>
          <t>EJ020324.TXT</t>
        </is>
      </c>
      <c r="B662" s="3" t="inlineStr">
        <is>
          <t>005269</t>
        </is>
      </c>
      <c r="C662" s="3" t="inlineStr">
        <is>
          <t>004222</t>
        </is>
      </c>
      <c r="D662" s="4" t="n">
        <v>45331</v>
      </c>
      <c r="E662" s="2" t="inlineStr">
        <is>
          <t>15:14</t>
        </is>
      </c>
      <c r="F662" s="5" t="n">
        <v>190.83</v>
      </c>
      <c r="G662" s="5" t="n"/>
      <c r="H662" s="5" t="n"/>
      <c r="I662" s="5" t="n"/>
      <c r="J662" s="5" t="n">
        <v>38.17</v>
      </c>
      <c r="K662" s="5" t="n"/>
      <c r="L662" s="5" t="n"/>
      <c r="M662" s="5" t="n"/>
      <c r="N662" s="5" t="n"/>
      <c r="O662" s="5" t="n">
        <v>229</v>
      </c>
      <c r="P662" s="5" t="n">
        <v>229</v>
      </c>
      <c r="Q662" s="5" t="n"/>
      <c r="R662" s="5" t="n"/>
      <c r="S662" s="5">
        <f>SUM(F662:I662)+N662</f>
        <v/>
      </c>
      <c r="T662" s="5">
        <f>J662</f>
        <v/>
      </c>
      <c r="U662" s="6">
        <f>YEAR(D662)</f>
        <v/>
      </c>
      <c r="V662" s="5">
        <f>TEXT(D662,"yyyy-mm")</f>
        <v/>
      </c>
    </row>
    <row r="663">
      <c r="A663" s="2" t="inlineStr">
        <is>
          <t>EJ020324.TXT</t>
        </is>
      </c>
      <c r="B663" s="3" t="inlineStr">
        <is>
          <t>005270</t>
        </is>
      </c>
      <c r="C663" s="3" t="inlineStr">
        <is>
          <t>004223</t>
        </is>
      </c>
      <c r="D663" s="4" t="n">
        <v>45341</v>
      </c>
      <c r="E663" s="2" t="inlineStr">
        <is>
          <t>14:32</t>
        </is>
      </c>
      <c r="F663" s="5" t="n">
        <v>274.17</v>
      </c>
      <c r="G663" s="5" t="n"/>
      <c r="H663" s="5" t="n"/>
      <c r="I663" s="5" t="n"/>
      <c r="J663" s="5" t="n">
        <v>54.83</v>
      </c>
      <c r="K663" s="5" t="n"/>
      <c r="L663" s="5" t="n"/>
      <c r="M663" s="5" t="n"/>
      <c r="N663" s="5" t="n"/>
      <c r="O663" s="5" t="n">
        <v>329</v>
      </c>
      <c r="P663" s="5" t="n">
        <v>329</v>
      </c>
      <c r="Q663" s="5" t="n"/>
      <c r="R663" s="5" t="n"/>
      <c r="S663" s="5">
        <f>SUM(F663:I663)+N663</f>
        <v/>
      </c>
      <c r="T663" s="5">
        <f>J663</f>
        <v/>
      </c>
      <c r="U663" s="6">
        <f>YEAR(D663)</f>
        <v/>
      </c>
      <c r="V663" s="5">
        <f>TEXT(D663,"yyyy-mm")</f>
        <v/>
      </c>
    </row>
    <row r="664">
      <c r="A664" s="2" t="inlineStr">
        <is>
          <t>EJ020324.TXT</t>
        </is>
      </c>
      <c r="B664" s="3" t="inlineStr">
        <is>
          <t>005271</t>
        </is>
      </c>
      <c r="C664" s="3" t="inlineStr">
        <is>
          <t>004224</t>
        </is>
      </c>
      <c r="D664" s="4" t="n">
        <v>45341</v>
      </c>
      <c r="E664" s="2" t="inlineStr">
        <is>
          <t>15:42</t>
        </is>
      </c>
      <c r="F664" s="5" t="n">
        <v>329.17</v>
      </c>
      <c r="G664" s="5" t="n"/>
      <c r="H664" s="5" t="n"/>
      <c r="I664" s="5" t="n"/>
      <c r="J664" s="5" t="n">
        <v>65.83</v>
      </c>
      <c r="K664" s="5" t="n"/>
      <c r="L664" s="5" t="n"/>
      <c r="M664" s="5" t="n"/>
      <c r="N664" s="5" t="n"/>
      <c r="O664" s="5" t="n">
        <v>395</v>
      </c>
      <c r="P664" s="5" t="n"/>
      <c r="Q664" s="5" t="n">
        <v>395</v>
      </c>
      <c r="R664" s="5" t="n"/>
      <c r="S664" s="5">
        <f>SUM(F664:I664)+N664</f>
        <v/>
      </c>
      <c r="T664" s="5">
        <f>J664</f>
        <v/>
      </c>
      <c r="U664" s="6">
        <f>YEAR(D664)</f>
        <v/>
      </c>
      <c r="V664" s="5">
        <f>TEXT(D664,"yyyy-mm")</f>
        <v/>
      </c>
    </row>
    <row r="665">
      <c r="A665" s="2" t="inlineStr">
        <is>
          <t>EJ020324.TXT</t>
        </is>
      </c>
      <c r="B665" s="3" t="inlineStr">
        <is>
          <t>005272</t>
        </is>
      </c>
      <c r="C665" s="3" t="inlineStr">
        <is>
          <t>004225</t>
        </is>
      </c>
      <c r="D665" s="4" t="n">
        <v>45341</v>
      </c>
      <c r="E665" s="2" t="inlineStr">
        <is>
          <t>15:44</t>
        </is>
      </c>
      <c r="F665" s="5" t="n">
        <v>208.33</v>
      </c>
      <c r="G665" s="5" t="n"/>
      <c r="H665" s="5" t="n"/>
      <c r="I665" s="5" t="n"/>
      <c r="J665" s="5" t="n">
        <v>41.67</v>
      </c>
      <c r="K665" s="5" t="n"/>
      <c r="L665" s="5" t="n"/>
      <c r="M665" s="5" t="n"/>
      <c r="N665" s="5" t="n"/>
      <c r="O665" s="5" t="n">
        <v>250</v>
      </c>
      <c r="P665" s="5" t="n"/>
      <c r="Q665" s="5" t="n">
        <v>250</v>
      </c>
      <c r="R665" s="5" t="n"/>
      <c r="S665" s="5">
        <f>SUM(F665:I665)+N665</f>
        <v/>
      </c>
      <c r="T665" s="5">
        <f>J665</f>
        <v/>
      </c>
      <c r="U665" s="6">
        <f>YEAR(D665)</f>
        <v/>
      </c>
      <c r="V665" s="5">
        <f>TEXT(D665,"yyyy-mm")</f>
        <v/>
      </c>
    </row>
    <row r="666">
      <c r="A666" s="2" t="inlineStr">
        <is>
          <t>EJ020324.TXT</t>
        </is>
      </c>
      <c r="B666" s="3" t="inlineStr">
        <is>
          <t>005273</t>
        </is>
      </c>
      <c r="C666" s="3" t="inlineStr">
        <is>
          <t>004226</t>
        </is>
      </c>
      <c r="D666" s="4" t="n">
        <v>45344</v>
      </c>
      <c r="E666" s="2" t="inlineStr">
        <is>
          <t>17:51</t>
        </is>
      </c>
      <c r="F666" s="5" t="n">
        <v>274.17</v>
      </c>
      <c r="G666" s="5" t="n"/>
      <c r="H666" s="5" t="n"/>
      <c r="I666" s="5" t="n"/>
      <c r="J666" s="5" t="n">
        <v>54.83</v>
      </c>
      <c r="K666" s="5" t="n"/>
      <c r="L666" s="5" t="n"/>
      <c r="M666" s="5" t="n"/>
      <c r="N666" s="5" t="n"/>
      <c r="O666" s="5" t="n">
        <v>329</v>
      </c>
      <c r="P666" s="5" t="n"/>
      <c r="Q666" s="5" t="n">
        <v>329</v>
      </c>
      <c r="R666" s="5" t="n"/>
      <c r="S666" s="5">
        <f>SUM(F666:I666)+N666</f>
        <v/>
      </c>
      <c r="T666" s="5">
        <f>J666</f>
        <v/>
      </c>
      <c r="U666" s="6">
        <f>YEAR(D666)</f>
        <v/>
      </c>
      <c r="V666" s="5">
        <f>TEXT(D666,"yyyy-mm")</f>
        <v/>
      </c>
    </row>
    <row r="667">
      <c r="A667" s="2" t="inlineStr">
        <is>
          <t>EJ020324.TXT</t>
        </is>
      </c>
      <c r="B667" s="3" t="inlineStr">
        <is>
          <t>005274</t>
        </is>
      </c>
      <c r="C667" s="3" t="inlineStr">
        <is>
          <t>004227</t>
        </is>
      </c>
      <c r="D667" s="4" t="n">
        <v>45345</v>
      </c>
      <c r="E667" s="2" t="inlineStr">
        <is>
          <t>15:53</t>
        </is>
      </c>
      <c r="F667" s="5" t="n">
        <v>265.83</v>
      </c>
      <c r="G667" s="5" t="n"/>
      <c r="H667" s="5" t="n"/>
      <c r="I667" s="5" t="n"/>
      <c r="J667" s="5" t="n">
        <v>53.17</v>
      </c>
      <c r="K667" s="5" t="n"/>
      <c r="L667" s="5" t="n"/>
      <c r="M667" s="5" t="n"/>
      <c r="N667" s="5" t="n"/>
      <c r="O667" s="5" t="n">
        <v>319</v>
      </c>
      <c r="P667" s="5" t="n"/>
      <c r="Q667" s="5" t="n">
        <v>319</v>
      </c>
      <c r="R667" s="5" t="n"/>
      <c r="S667" s="5">
        <f>SUM(F667:I667)+N667</f>
        <v/>
      </c>
      <c r="T667" s="5">
        <f>J667</f>
        <v/>
      </c>
      <c r="U667" s="6">
        <f>YEAR(D667)</f>
        <v/>
      </c>
      <c r="V667" s="5">
        <f>TEXT(D667,"yyyy-mm")</f>
        <v/>
      </c>
    </row>
    <row r="668">
      <c r="A668" s="2" t="inlineStr">
        <is>
          <t>EJ020324.TXT</t>
        </is>
      </c>
      <c r="B668" s="3" t="inlineStr">
        <is>
          <t>005275</t>
        </is>
      </c>
      <c r="C668" s="3" t="inlineStr">
        <is>
          <t>004228</t>
        </is>
      </c>
      <c r="D668" s="4" t="n">
        <v>45345</v>
      </c>
      <c r="E668" s="2" t="inlineStr">
        <is>
          <t>16:10</t>
        </is>
      </c>
      <c r="F668" s="5" t="n">
        <v>265.83</v>
      </c>
      <c r="G668" s="5" t="n"/>
      <c r="H668" s="5" t="n"/>
      <c r="I668" s="5" t="n"/>
      <c r="J668" s="5" t="n">
        <v>53.17</v>
      </c>
      <c r="K668" s="5" t="n"/>
      <c r="L668" s="5" t="n"/>
      <c r="M668" s="5" t="n"/>
      <c r="N668" s="5" t="n"/>
      <c r="O668" s="5" t="n">
        <v>319</v>
      </c>
      <c r="P668" s="5" t="n"/>
      <c r="Q668" s="5" t="n">
        <v>319</v>
      </c>
      <c r="R668" s="5" t="n"/>
      <c r="S668" s="5">
        <f>SUM(F668:I668)+N668</f>
        <v/>
      </c>
      <c r="T668" s="5">
        <f>J668</f>
        <v/>
      </c>
      <c r="U668" s="6">
        <f>YEAR(D668)</f>
        <v/>
      </c>
      <c r="V668" s="5">
        <f>TEXT(D668,"yyyy-mm")</f>
        <v/>
      </c>
    </row>
    <row r="669">
      <c r="A669" s="2" t="inlineStr">
        <is>
          <t>EJ020324.TXT</t>
        </is>
      </c>
      <c r="B669" s="3" t="inlineStr">
        <is>
          <t>005276</t>
        </is>
      </c>
      <c r="C669" s="3" t="inlineStr">
        <is>
          <t>004229</t>
        </is>
      </c>
      <c r="D669" s="4" t="n">
        <v>45346</v>
      </c>
      <c r="E669" s="2" t="inlineStr">
        <is>
          <t>16:25</t>
        </is>
      </c>
      <c r="F669" s="5" t="n">
        <v>822.5</v>
      </c>
      <c r="G669" s="5" t="n"/>
      <c r="H669" s="5" t="n"/>
      <c r="I669" s="5" t="n"/>
      <c r="J669" s="5" t="n">
        <v>164.5</v>
      </c>
      <c r="K669" s="5" t="n"/>
      <c r="L669" s="5" t="n"/>
      <c r="M669" s="5" t="n"/>
      <c r="N669" s="5" t="n"/>
      <c r="O669" s="5" t="n">
        <v>987</v>
      </c>
      <c r="P669" s="5" t="n">
        <v>987</v>
      </c>
      <c r="Q669" s="5" t="n"/>
      <c r="R669" s="5" t="n"/>
      <c r="S669" s="5">
        <f>SUM(F669:I669)+N669</f>
        <v/>
      </c>
      <c r="T669" s="5">
        <f>J669</f>
        <v/>
      </c>
      <c r="U669" s="6">
        <f>YEAR(D669)</f>
        <v/>
      </c>
      <c r="V669" s="5">
        <f>TEXT(D669,"yyyy-mm")</f>
        <v/>
      </c>
    </row>
    <row r="670">
      <c r="A670" s="2" t="inlineStr">
        <is>
          <t>EJ020324.TXT</t>
        </is>
      </c>
      <c r="B670" s="3" t="inlineStr">
        <is>
          <t>005278</t>
        </is>
      </c>
      <c r="C670" s="3" t="inlineStr">
        <is>
          <t>004230</t>
        </is>
      </c>
      <c r="D670" s="4" t="n">
        <v>45348</v>
      </c>
      <c r="E670" s="2" t="inlineStr">
        <is>
          <t>15:02</t>
        </is>
      </c>
      <c r="F670" s="5" t="n">
        <v>324.17</v>
      </c>
      <c r="G670" s="5" t="n"/>
      <c r="H670" s="5" t="n"/>
      <c r="I670" s="5" t="n"/>
      <c r="J670" s="5" t="n">
        <v>64.83</v>
      </c>
      <c r="K670" s="5" t="n"/>
      <c r="L670" s="5" t="n"/>
      <c r="M670" s="5" t="n"/>
      <c r="N670" s="5" t="n"/>
      <c r="O670" s="5" t="n">
        <v>389</v>
      </c>
      <c r="P670" s="5" t="n"/>
      <c r="Q670" s="5" t="n">
        <v>389</v>
      </c>
      <c r="R670" s="5" t="n"/>
      <c r="S670" s="5">
        <f>SUM(F670:I670)+N670</f>
        <v/>
      </c>
      <c r="T670" s="5">
        <f>J670</f>
        <v/>
      </c>
      <c r="U670" s="6">
        <f>YEAR(D670)</f>
        <v/>
      </c>
      <c r="V670" s="5">
        <f>TEXT(D670,"yyyy-mm")</f>
        <v/>
      </c>
    </row>
    <row r="671">
      <c r="A671" s="2" t="inlineStr">
        <is>
          <t>EJ020324.TXT</t>
        </is>
      </c>
      <c r="B671" s="3" t="inlineStr">
        <is>
          <t>005279</t>
        </is>
      </c>
      <c r="C671" s="3" t="inlineStr">
        <is>
          <t>004231</t>
        </is>
      </c>
      <c r="D671" s="4" t="n">
        <v>45350</v>
      </c>
      <c r="E671" s="2" t="inlineStr">
        <is>
          <t>15:46</t>
        </is>
      </c>
      <c r="F671" s="5" t="n">
        <v>124.17</v>
      </c>
      <c r="G671" s="5" t="n"/>
      <c r="H671" s="5" t="n"/>
      <c r="I671" s="5" t="n"/>
      <c r="J671" s="5" t="n">
        <v>24.83</v>
      </c>
      <c r="K671" s="5" t="n"/>
      <c r="L671" s="5" t="n"/>
      <c r="M671" s="5" t="n"/>
      <c r="N671" s="5" t="n"/>
      <c r="O671" s="5" t="n">
        <v>149</v>
      </c>
      <c r="P671" s="5" t="n"/>
      <c r="Q671" s="5" t="n">
        <v>149</v>
      </c>
      <c r="R671" s="5" t="n"/>
      <c r="S671" s="5">
        <f>SUM(F671:I671)+N671</f>
        <v/>
      </c>
      <c r="T671" s="5">
        <f>J671</f>
        <v/>
      </c>
      <c r="U671" s="6">
        <f>YEAR(D671)</f>
        <v/>
      </c>
      <c r="V671" s="5">
        <f>TEXT(D671,"yyyy-mm")</f>
        <v/>
      </c>
    </row>
    <row r="672">
      <c r="A672" s="2" t="inlineStr">
        <is>
          <t>EJ020324.TXT</t>
        </is>
      </c>
      <c r="B672" s="3" t="inlineStr">
        <is>
          <t>005280</t>
        </is>
      </c>
      <c r="C672" s="3" t="inlineStr">
        <is>
          <t>004232</t>
        </is>
      </c>
      <c r="D672" s="4" t="n">
        <v>45352</v>
      </c>
      <c r="E672" s="2" t="inlineStr">
        <is>
          <t>15:59</t>
        </is>
      </c>
      <c r="F672" s="5" t="n">
        <v>73.33</v>
      </c>
      <c r="G672" s="5" t="n"/>
      <c r="H672" s="5" t="n"/>
      <c r="I672" s="5" t="n"/>
      <c r="J672" s="5" t="n">
        <v>14.67</v>
      </c>
      <c r="K672" s="5" t="n"/>
      <c r="L672" s="5" t="n"/>
      <c r="M672" s="5" t="n"/>
      <c r="N672" s="5" t="n"/>
      <c r="O672" s="5" t="n">
        <v>88</v>
      </c>
      <c r="P672" s="5" t="n">
        <v>88</v>
      </c>
      <c r="Q672" s="5" t="n"/>
      <c r="R672" s="5" t="n"/>
      <c r="S672" s="5">
        <f>SUM(F672:I672)+N672</f>
        <v/>
      </c>
      <c r="T672" s="5">
        <f>J672</f>
        <v/>
      </c>
      <c r="U672" s="6">
        <f>YEAR(D672)</f>
        <v/>
      </c>
      <c r="V672" s="5">
        <f>TEXT(D672,"yyyy-mm")</f>
        <v/>
      </c>
    </row>
    <row r="673">
      <c r="A673" s="2" t="inlineStr">
        <is>
          <t>EJ020324.TXT</t>
        </is>
      </c>
      <c r="B673" s="3" t="inlineStr">
        <is>
          <t>005281</t>
        </is>
      </c>
      <c r="C673" s="3" t="inlineStr">
        <is>
          <t>004233</t>
        </is>
      </c>
      <c r="D673" s="4" t="n">
        <v>45353</v>
      </c>
      <c r="E673" s="2" t="inlineStr">
        <is>
          <t>10:23</t>
        </is>
      </c>
      <c r="F673" s="5" t="n">
        <v>548.33</v>
      </c>
      <c r="G673" s="5" t="n"/>
      <c r="H673" s="5" t="n"/>
      <c r="I673" s="5" t="n"/>
      <c r="J673" s="5" t="n">
        <v>109.67</v>
      </c>
      <c r="K673" s="5" t="n"/>
      <c r="L673" s="5" t="n"/>
      <c r="M673" s="5" t="n"/>
      <c r="N673" s="5" t="n"/>
      <c r="O673" s="5" t="n">
        <v>658</v>
      </c>
      <c r="P673" s="5" t="n">
        <v>658</v>
      </c>
      <c r="Q673" s="5" t="n"/>
      <c r="R673" s="5" t="n"/>
      <c r="S673" s="5">
        <f>SUM(F673:I673)+N673</f>
        <v/>
      </c>
      <c r="T673" s="5">
        <f>J673</f>
        <v/>
      </c>
      <c r="U673" s="6">
        <f>YEAR(D673)</f>
        <v/>
      </c>
      <c r="V673" s="5">
        <f>TEXT(D673,"yyyy-mm")</f>
        <v/>
      </c>
    </row>
    <row r="674">
      <c r="A674" s="2" t="inlineStr">
        <is>
          <t>EJ020324.TXT</t>
        </is>
      </c>
      <c r="B674" s="3" t="inlineStr">
        <is>
          <t>005282</t>
        </is>
      </c>
      <c r="C674" s="3" t="inlineStr">
        <is>
          <t>004234</t>
        </is>
      </c>
      <c r="D674" s="4" t="n">
        <v>45353</v>
      </c>
      <c r="E674" s="2" t="inlineStr">
        <is>
          <t>14:36</t>
        </is>
      </c>
      <c r="F674" s="5" t="n">
        <v>199.17</v>
      </c>
      <c r="G674" s="5" t="n"/>
      <c r="H674" s="5" t="n"/>
      <c r="I674" s="5" t="n"/>
      <c r="J674" s="5" t="n">
        <v>39.83</v>
      </c>
      <c r="K674" s="5" t="n"/>
      <c r="L674" s="5" t="n"/>
      <c r="M674" s="5" t="n"/>
      <c r="N674" s="5" t="n"/>
      <c r="O674" s="5" t="n">
        <v>239</v>
      </c>
      <c r="P674" s="5" t="n">
        <v>239</v>
      </c>
      <c r="Q674" s="5" t="n"/>
      <c r="R674" s="5" t="n"/>
      <c r="S674" s="5">
        <f>SUM(F674:I674)+N674</f>
        <v/>
      </c>
      <c r="T674" s="5">
        <f>J674</f>
        <v/>
      </c>
      <c r="U674" s="6">
        <f>YEAR(D674)</f>
        <v/>
      </c>
      <c r="V674" s="5">
        <f>TEXT(D674,"yyyy-mm")</f>
        <v/>
      </c>
    </row>
    <row r="675">
      <c r="A675" s="2" t="inlineStr">
        <is>
          <t>EJ020424.TXT</t>
        </is>
      </c>
      <c r="B675" s="3" t="inlineStr">
        <is>
          <t>005289</t>
        </is>
      </c>
      <c r="C675" s="3" t="inlineStr">
        <is>
          <t>004235</t>
        </is>
      </c>
      <c r="D675" s="4" t="n">
        <v>45353</v>
      </c>
      <c r="E675" s="2" t="inlineStr">
        <is>
          <t>15:05</t>
        </is>
      </c>
      <c r="F675" s="5" t="n">
        <v>208.33</v>
      </c>
      <c r="G675" s="5" t="n"/>
      <c r="H675" s="5" t="n"/>
      <c r="I675" s="5" t="n"/>
      <c r="J675" s="5" t="n">
        <v>41.67</v>
      </c>
      <c r="K675" s="5" t="n"/>
      <c r="L675" s="5" t="n"/>
      <c r="M675" s="5" t="n"/>
      <c r="N675" s="5" t="n"/>
      <c r="O675" s="5" t="n">
        <v>250</v>
      </c>
      <c r="P675" s="5" t="n"/>
      <c r="Q675" s="5" t="n">
        <v>250</v>
      </c>
      <c r="R675" s="5" t="n"/>
      <c r="S675" s="5">
        <f>SUM(F675:I675)+N675</f>
        <v/>
      </c>
      <c r="T675" s="5">
        <f>J675</f>
        <v/>
      </c>
      <c r="U675" s="6">
        <f>YEAR(D675)</f>
        <v/>
      </c>
      <c r="V675" s="5">
        <f>TEXT(D675,"yyyy-mm")</f>
        <v/>
      </c>
    </row>
    <row r="676">
      <c r="A676" s="2" t="inlineStr">
        <is>
          <t>EJ020424.TXT</t>
        </is>
      </c>
      <c r="B676" s="3" t="inlineStr">
        <is>
          <t>005290</t>
        </is>
      </c>
      <c r="C676" s="3" t="inlineStr">
        <is>
          <t>004236</t>
        </is>
      </c>
      <c r="D676" s="4" t="n">
        <v>45355</v>
      </c>
      <c r="E676" s="2" t="inlineStr">
        <is>
          <t>11:13</t>
        </is>
      </c>
      <c r="F676" s="5" t="n">
        <v>208.33</v>
      </c>
      <c r="G676" s="5" t="n"/>
      <c r="H676" s="5" t="n"/>
      <c r="I676" s="5" t="n"/>
      <c r="J676" s="5" t="n">
        <v>41.67</v>
      </c>
      <c r="K676" s="5" t="n"/>
      <c r="L676" s="5" t="n"/>
      <c r="M676" s="5" t="n"/>
      <c r="N676" s="5" t="n"/>
      <c r="O676" s="5" t="n">
        <v>250</v>
      </c>
      <c r="P676" s="5" t="n"/>
      <c r="Q676" s="5" t="n">
        <v>250</v>
      </c>
      <c r="R676" s="5" t="n"/>
      <c r="S676" s="5">
        <f>SUM(F676:I676)+N676</f>
        <v/>
      </c>
      <c r="T676" s="5">
        <f>J676</f>
        <v/>
      </c>
      <c r="U676" s="6">
        <f>YEAR(D676)</f>
        <v/>
      </c>
      <c r="V676" s="5">
        <f>TEXT(D676,"yyyy-mm")</f>
        <v/>
      </c>
    </row>
    <row r="677">
      <c r="A677" s="2" t="inlineStr">
        <is>
          <t>EJ020424.TXT</t>
        </is>
      </c>
      <c r="B677" s="3" t="inlineStr">
        <is>
          <t>005291</t>
        </is>
      </c>
      <c r="C677" s="3" t="inlineStr">
        <is>
          <t>004237</t>
        </is>
      </c>
      <c r="D677" s="4" t="n">
        <v>45355</v>
      </c>
      <c r="E677" s="2" t="inlineStr">
        <is>
          <t>11:25</t>
        </is>
      </c>
      <c r="F677" s="5" t="n">
        <v>129.17</v>
      </c>
      <c r="G677" s="5" t="n"/>
      <c r="H677" s="5" t="n"/>
      <c r="I677" s="5" t="n"/>
      <c r="J677" s="5" t="n">
        <v>25.83</v>
      </c>
      <c r="K677" s="5" t="n"/>
      <c r="L677" s="5" t="n"/>
      <c r="M677" s="5" t="n"/>
      <c r="N677" s="5" t="n"/>
      <c r="O677" s="5" t="n">
        <v>155</v>
      </c>
      <c r="P677" s="5" t="n"/>
      <c r="Q677" s="5" t="n">
        <v>155</v>
      </c>
      <c r="R677" s="5" t="n"/>
      <c r="S677" s="5">
        <f>SUM(F677:I677)+N677</f>
        <v/>
      </c>
      <c r="T677" s="5">
        <f>J677</f>
        <v/>
      </c>
      <c r="U677" s="6">
        <f>YEAR(D677)</f>
        <v/>
      </c>
      <c r="V677" s="5">
        <f>TEXT(D677,"yyyy-mm")</f>
        <v/>
      </c>
    </row>
    <row r="678">
      <c r="A678" s="2" t="inlineStr">
        <is>
          <t>EJ020424.TXT</t>
        </is>
      </c>
      <c r="B678" s="3" t="inlineStr">
        <is>
          <t>005292</t>
        </is>
      </c>
      <c r="C678" s="3" t="inlineStr">
        <is>
          <t>004238</t>
        </is>
      </c>
      <c r="D678" s="4" t="n">
        <v>45355</v>
      </c>
      <c r="E678" s="2" t="inlineStr">
        <is>
          <t>11:40</t>
        </is>
      </c>
      <c r="F678" s="5" t="n">
        <v>208.33</v>
      </c>
      <c r="G678" s="5" t="n"/>
      <c r="H678" s="5" t="n"/>
      <c r="I678" s="5" t="n"/>
      <c r="J678" s="5" t="n">
        <v>41.67</v>
      </c>
      <c r="K678" s="5" t="n"/>
      <c r="L678" s="5" t="n"/>
      <c r="M678" s="5" t="n"/>
      <c r="N678" s="5" t="n"/>
      <c r="O678" s="5" t="n">
        <v>250</v>
      </c>
      <c r="P678" s="5" t="n"/>
      <c r="Q678" s="5" t="n">
        <v>250</v>
      </c>
      <c r="R678" s="5" t="n"/>
      <c r="S678" s="5">
        <f>SUM(F678:I678)+N678</f>
        <v/>
      </c>
      <c r="T678" s="5">
        <f>J678</f>
        <v/>
      </c>
      <c r="U678" s="6">
        <f>YEAR(D678)</f>
        <v/>
      </c>
      <c r="V678" s="5">
        <f>TEXT(D678,"yyyy-mm")</f>
        <v/>
      </c>
    </row>
    <row r="679">
      <c r="A679" s="2" t="inlineStr">
        <is>
          <t>EJ020424.TXT</t>
        </is>
      </c>
      <c r="B679" s="3" t="inlineStr">
        <is>
          <t>005293</t>
        </is>
      </c>
      <c r="C679" s="3" t="inlineStr">
        <is>
          <t>004239</t>
        </is>
      </c>
      <c r="D679" s="4" t="n">
        <v>45356</v>
      </c>
      <c r="E679" s="2" t="inlineStr">
        <is>
          <t>11:46</t>
        </is>
      </c>
      <c r="F679" s="5" t="n">
        <v>410</v>
      </c>
      <c r="G679" s="5" t="n"/>
      <c r="H679" s="5" t="n"/>
      <c r="I679" s="5" t="n"/>
      <c r="J679" s="5" t="n">
        <v>82</v>
      </c>
      <c r="K679" s="5" t="n"/>
      <c r="L679" s="5" t="n"/>
      <c r="M679" s="5" t="n"/>
      <c r="N679" s="5" t="n"/>
      <c r="O679" s="5" t="n">
        <v>492</v>
      </c>
      <c r="P679" s="5" t="n"/>
      <c r="Q679" s="5" t="n">
        <v>492</v>
      </c>
      <c r="R679" s="5" t="n"/>
      <c r="S679" s="5">
        <f>SUM(F679:I679)+N679</f>
        <v/>
      </c>
      <c r="T679" s="5">
        <f>J679</f>
        <v/>
      </c>
      <c r="U679" s="6">
        <f>YEAR(D679)</f>
        <v/>
      </c>
      <c r="V679" s="5">
        <f>TEXT(D679,"yyyy-mm")</f>
        <v/>
      </c>
    </row>
    <row r="680">
      <c r="A680" s="2" t="inlineStr">
        <is>
          <t>EJ020424.TXT</t>
        </is>
      </c>
      <c r="B680" s="3" t="inlineStr">
        <is>
          <t>005294</t>
        </is>
      </c>
      <c r="C680" s="3" t="inlineStr">
        <is>
          <t>004240</t>
        </is>
      </c>
      <c r="D680" s="4" t="n">
        <v>45356</v>
      </c>
      <c r="E680" s="2" t="inlineStr">
        <is>
          <t>14:51</t>
        </is>
      </c>
      <c r="F680" s="5" t="n">
        <v>274.17</v>
      </c>
      <c r="G680" s="5" t="n"/>
      <c r="H680" s="5" t="n"/>
      <c r="I680" s="5" t="n"/>
      <c r="J680" s="5" t="n">
        <v>54.83</v>
      </c>
      <c r="K680" s="5" t="n"/>
      <c r="L680" s="5" t="n"/>
      <c r="M680" s="5" t="n"/>
      <c r="N680" s="5" t="n"/>
      <c r="O680" s="5" t="n">
        <v>329</v>
      </c>
      <c r="P680" s="5" t="n"/>
      <c r="Q680" s="5" t="n">
        <v>329</v>
      </c>
      <c r="R680" s="5" t="n"/>
      <c r="S680" s="5">
        <f>SUM(F680:I680)+N680</f>
        <v/>
      </c>
      <c r="T680" s="5">
        <f>J680</f>
        <v/>
      </c>
      <c r="U680" s="6">
        <f>YEAR(D680)</f>
        <v/>
      </c>
      <c r="V680" s="5">
        <f>TEXT(D680,"yyyy-mm")</f>
        <v/>
      </c>
    </row>
    <row r="681">
      <c r="A681" s="2" t="inlineStr">
        <is>
          <t>EJ020424.TXT</t>
        </is>
      </c>
      <c r="B681" s="3" t="inlineStr">
        <is>
          <t>005295</t>
        </is>
      </c>
      <c r="C681" s="3" t="inlineStr">
        <is>
          <t>004241</t>
        </is>
      </c>
      <c r="D681" s="4" t="n">
        <v>45357</v>
      </c>
      <c r="E681" s="2" t="inlineStr">
        <is>
          <t>17:58</t>
        </is>
      </c>
      <c r="F681" s="5" t="n">
        <v>381.67</v>
      </c>
      <c r="G681" s="5" t="n"/>
      <c r="H681" s="5" t="n"/>
      <c r="I681" s="5" t="n"/>
      <c r="J681" s="5" t="n">
        <v>76.33</v>
      </c>
      <c r="K681" s="5" t="n"/>
      <c r="L681" s="5" t="n"/>
      <c r="M681" s="5" t="n"/>
      <c r="N681" s="5" t="n"/>
      <c r="O681" s="5" t="n">
        <v>458</v>
      </c>
      <c r="P681" s="5" t="n">
        <v>458</v>
      </c>
      <c r="Q681" s="5" t="n"/>
      <c r="R681" s="5" t="n"/>
      <c r="S681" s="5">
        <f>SUM(F681:I681)+N681</f>
        <v/>
      </c>
      <c r="T681" s="5">
        <f>J681</f>
        <v/>
      </c>
      <c r="U681" s="6">
        <f>YEAR(D681)</f>
        <v/>
      </c>
      <c r="V681" s="5">
        <f>TEXT(D681,"yyyy-mm")</f>
        <v/>
      </c>
    </row>
    <row r="682">
      <c r="A682" s="2" t="inlineStr">
        <is>
          <t>EJ020424.TXT</t>
        </is>
      </c>
      <c r="B682" s="3" t="inlineStr">
        <is>
          <t>005296</t>
        </is>
      </c>
      <c r="C682" s="3" t="inlineStr">
        <is>
          <t>004242</t>
        </is>
      </c>
      <c r="D682" s="4" t="n">
        <v>45359</v>
      </c>
      <c r="E682" s="2" t="inlineStr">
        <is>
          <t>17:27</t>
        </is>
      </c>
      <c r="F682" s="5" t="n">
        <v>208.33</v>
      </c>
      <c r="G682" s="5" t="n"/>
      <c r="H682" s="5" t="n"/>
      <c r="I682" s="5" t="n"/>
      <c r="J682" s="5" t="n">
        <v>41.67</v>
      </c>
      <c r="K682" s="5" t="n"/>
      <c r="L682" s="5" t="n"/>
      <c r="M682" s="5" t="n"/>
      <c r="N682" s="5" t="n"/>
      <c r="O682" s="5" t="n">
        <v>250</v>
      </c>
      <c r="P682" s="5" t="n"/>
      <c r="Q682" s="5" t="n">
        <v>250</v>
      </c>
      <c r="R682" s="5" t="n"/>
      <c r="S682" s="5">
        <f>SUM(F682:I682)+N682</f>
        <v/>
      </c>
      <c r="T682" s="5">
        <f>J682</f>
        <v/>
      </c>
      <c r="U682" s="6">
        <f>YEAR(D682)</f>
        <v/>
      </c>
      <c r="V682" s="5">
        <f>TEXT(D682,"yyyy-mm")</f>
        <v/>
      </c>
    </row>
    <row r="683">
      <c r="A683" s="2" t="inlineStr">
        <is>
          <t>EJ020424.TXT</t>
        </is>
      </c>
      <c r="B683" s="3" t="inlineStr">
        <is>
          <t>005297</t>
        </is>
      </c>
      <c r="C683" s="3" t="inlineStr">
        <is>
          <t>004243</t>
        </is>
      </c>
      <c r="D683" s="4" t="n">
        <v>45359</v>
      </c>
      <c r="E683" s="2" t="inlineStr">
        <is>
          <t>17:53</t>
        </is>
      </c>
      <c r="F683" s="5" t="n">
        <v>208.33</v>
      </c>
      <c r="G683" s="5" t="n"/>
      <c r="H683" s="5" t="n"/>
      <c r="I683" s="5" t="n"/>
      <c r="J683" s="5" t="n">
        <v>41.67</v>
      </c>
      <c r="K683" s="5" t="n"/>
      <c r="L683" s="5" t="n"/>
      <c r="M683" s="5" t="n"/>
      <c r="N683" s="5" t="n"/>
      <c r="O683" s="5" t="n">
        <v>250</v>
      </c>
      <c r="P683" s="5" t="n"/>
      <c r="Q683" s="5" t="n">
        <v>250</v>
      </c>
      <c r="R683" s="5" t="n"/>
      <c r="S683" s="5">
        <f>SUM(F683:I683)+N683</f>
        <v/>
      </c>
      <c r="T683" s="5">
        <f>J683</f>
        <v/>
      </c>
      <c r="U683" s="6">
        <f>YEAR(D683)</f>
        <v/>
      </c>
      <c r="V683" s="5">
        <f>TEXT(D683,"yyyy-mm")</f>
        <v/>
      </c>
    </row>
    <row r="684">
      <c r="A684" s="2" t="inlineStr">
        <is>
          <t>EJ020424.TXT</t>
        </is>
      </c>
      <c r="B684" s="3" t="inlineStr">
        <is>
          <t>005298</t>
        </is>
      </c>
      <c r="C684" s="3" t="inlineStr">
        <is>
          <t>004244</t>
        </is>
      </c>
      <c r="D684" s="4" t="n">
        <v>45360</v>
      </c>
      <c r="E684" s="2" t="inlineStr">
        <is>
          <t>18:26</t>
        </is>
      </c>
      <c r="F684" s="5" t="n">
        <v>548.33</v>
      </c>
      <c r="G684" s="5" t="n"/>
      <c r="H684" s="5" t="n"/>
      <c r="I684" s="5" t="n"/>
      <c r="J684" s="5" t="n">
        <v>109.67</v>
      </c>
      <c r="K684" s="5" t="n"/>
      <c r="L684" s="5" t="n"/>
      <c r="M684" s="5" t="n"/>
      <c r="N684" s="5" t="n"/>
      <c r="O684" s="5" t="n">
        <v>658</v>
      </c>
      <c r="P684" s="5" t="n"/>
      <c r="Q684" s="5" t="n">
        <v>658</v>
      </c>
      <c r="R684" s="5" t="n"/>
      <c r="S684" s="5">
        <f>SUM(F684:I684)+N684</f>
        <v/>
      </c>
      <c r="T684" s="5">
        <f>J684</f>
        <v/>
      </c>
      <c r="U684" s="6">
        <f>YEAR(D684)</f>
        <v/>
      </c>
      <c r="V684" s="5">
        <f>TEXT(D684,"yyyy-mm")</f>
        <v/>
      </c>
    </row>
    <row r="685">
      <c r="A685" s="2" t="inlineStr">
        <is>
          <t>EJ020424.TXT</t>
        </is>
      </c>
      <c r="B685" s="3" t="inlineStr">
        <is>
          <t>005299</t>
        </is>
      </c>
      <c r="C685" s="3" t="inlineStr">
        <is>
          <t>004245</t>
        </is>
      </c>
      <c r="D685" s="4" t="n">
        <v>45360</v>
      </c>
      <c r="E685" s="2" t="inlineStr">
        <is>
          <t>18:29</t>
        </is>
      </c>
      <c r="F685" s="5" t="n">
        <v>223.25</v>
      </c>
      <c r="G685" s="5" t="n"/>
      <c r="H685" s="5" t="n"/>
      <c r="I685" s="5" t="n"/>
      <c r="J685" s="5" t="n">
        <v>44.65</v>
      </c>
      <c r="K685" s="5" t="n"/>
      <c r="L685" s="5" t="n"/>
      <c r="M685" s="5" t="n"/>
      <c r="N685" s="5" t="n"/>
      <c r="O685" s="5" t="n">
        <v>267.9</v>
      </c>
      <c r="P685" s="5" t="n">
        <v>267.9</v>
      </c>
      <c r="Q685" s="5" t="n"/>
      <c r="R685" s="5" t="n"/>
      <c r="S685" s="5">
        <f>SUM(F685:I685)+N685</f>
        <v/>
      </c>
      <c r="T685" s="5">
        <f>J685</f>
        <v/>
      </c>
      <c r="U685" s="6">
        <f>YEAR(D685)</f>
        <v/>
      </c>
      <c r="V685" s="5">
        <f>TEXT(D685,"yyyy-mm")</f>
        <v/>
      </c>
    </row>
    <row r="686">
      <c r="A686" s="2" t="inlineStr">
        <is>
          <t>EJ020424.TXT</t>
        </is>
      </c>
      <c r="B686" s="3" t="inlineStr">
        <is>
          <t>005300</t>
        </is>
      </c>
      <c r="C686" s="3" t="inlineStr">
        <is>
          <t>004246</t>
        </is>
      </c>
      <c r="D686" s="4" t="n">
        <v>45366</v>
      </c>
      <c r="E686" s="2" t="inlineStr">
        <is>
          <t>11:54</t>
        </is>
      </c>
      <c r="F686" s="5" t="n">
        <v>548.33</v>
      </c>
      <c r="G686" s="5" t="n"/>
      <c r="H686" s="5" t="n"/>
      <c r="I686" s="5" t="n"/>
      <c r="J686" s="5" t="n">
        <v>109.67</v>
      </c>
      <c r="K686" s="5" t="n"/>
      <c r="L686" s="5" t="n"/>
      <c r="M686" s="5" t="n"/>
      <c r="N686" s="5" t="n"/>
      <c r="O686" s="5" t="n">
        <v>658</v>
      </c>
      <c r="P686" s="5" t="n"/>
      <c r="Q686" s="5" t="n">
        <v>658</v>
      </c>
      <c r="R686" s="5" t="n"/>
      <c r="S686" s="5">
        <f>SUM(F686:I686)+N686</f>
        <v/>
      </c>
      <c r="T686" s="5">
        <f>J686</f>
        <v/>
      </c>
      <c r="U686" s="6">
        <f>YEAR(D686)</f>
        <v/>
      </c>
      <c r="V686" s="5">
        <f>TEXT(D686,"yyyy-mm")</f>
        <v/>
      </c>
    </row>
    <row r="687">
      <c r="A687" s="2" t="inlineStr">
        <is>
          <t>EJ020424.TXT</t>
        </is>
      </c>
      <c r="B687" s="3" t="inlineStr">
        <is>
          <t>005301</t>
        </is>
      </c>
      <c r="C687" s="3" t="inlineStr">
        <is>
          <t>004247</t>
        </is>
      </c>
      <c r="D687" s="4" t="n">
        <v>45366</v>
      </c>
      <c r="E687" s="2" t="inlineStr">
        <is>
          <t>17:21</t>
        </is>
      </c>
      <c r="F687" s="5" t="n">
        <v>208.33</v>
      </c>
      <c r="G687" s="5" t="n"/>
      <c r="H687" s="5" t="n"/>
      <c r="I687" s="5" t="n"/>
      <c r="J687" s="5" t="n">
        <v>41.67</v>
      </c>
      <c r="K687" s="5" t="n"/>
      <c r="L687" s="5" t="n"/>
      <c r="M687" s="5" t="n"/>
      <c r="N687" s="5" t="n"/>
      <c r="O687" s="5" t="n">
        <v>250</v>
      </c>
      <c r="P687" s="5" t="n"/>
      <c r="Q687" s="5" t="n">
        <v>250</v>
      </c>
      <c r="R687" s="5" t="n"/>
      <c r="S687" s="5">
        <f>SUM(F687:I687)+N687</f>
        <v/>
      </c>
      <c r="T687" s="5">
        <f>J687</f>
        <v/>
      </c>
      <c r="U687" s="6">
        <f>YEAR(D687)</f>
        <v/>
      </c>
      <c r="V687" s="5">
        <f>TEXT(D687,"yyyy-mm")</f>
        <v/>
      </c>
    </row>
    <row r="688">
      <c r="A688" s="2" t="inlineStr">
        <is>
          <t>EJ020424.TXT</t>
        </is>
      </c>
      <c r="B688" s="3" t="inlineStr">
        <is>
          <t>005302</t>
        </is>
      </c>
      <c r="C688" s="3" t="inlineStr">
        <is>
          <t>004248</t>
        </is>
      </c>
      <c r="D688" s="4" t="n">
        <v>45369</v>
      </c>
      <c r="E688" s="2" t="inlineStr">
        <is>
          <t>11:00</t>
        </is>
      </c>
      <c r="F688" s="5" t="n">
        <v>548.33</v>
      </c>
      <c r="G688" s="5" t="n"/>
      <c r="H688" s="5" t="n"/>
      <c r="I688" s="5" t="n"/>
      <c r="J688" s="5" t="n">
        <v>109.67</v>
      </c>
      <c r="K688" s="5" t="n"/>
      <c r="L688" s="5" t="n"/>
      <c r="M688" s="5" t="n"/>
      <c r="N688" s="5" t="n"/>
      <c r="O688" s="5" t="n">
        <v>658</v>
      </c>
      <c r="P688" s="5" t="n"/>
      <c r="Q688" s="5" t="n">
        <v>658</v>
      </c>
      <c r="R688" s="5" t="n"/>
      <c r="S688" s="5">
        <f>SUM(F688:I688)+N688</f>
        <v/>
      </c>
      <c r="T688" s="5">
        <f>J688</f>
        <v/>
      </c>
      <c r="U688" s="6">
        <f>YEAR(D688)</f>
        <v/>
      </c>
      <c r="V688" s="5">
        <f>TEXT(D688,"yyyy-mm")</f>
        <v/>
      </c>
    </row>
    <row r="689">
      <c r="A689" s="2" t="inlineStr">
        <is>
          <t>EJ020424.TXT</t>
        </is>
      </c>
      <c r="B689" s="3" t="inlineStr">
        <is>
          <t>005303</t>
        </is>
      </c>
      <c r="C689" s="3" t="inlineStr">
        <is>
          <t>004249</t>
        </is>
      </c>
      <c r="D689" s="4" t="n">
        <v>45369</v>
      </c>
      <c r="E689" s="2" t="inlineStr">
        <is>
          <t>16:36</t>
        </is>
      </c>
      <c r="F689" s="5" t="n">
        <v>208.33</v>
      </c>
      <c r="G689" s="5" t="n"/>
      <c r="H689" s="5" t="n"/>
      <c r="I689" s="5" t="n"/>
      <c r="J689" s="5" t="n">
        <v>41.67</v>
      </c>
      <c r="K689" s="5" t="n"/>
      <c r="L689" s="5" t="n"/>
      <c r="M689" s="5" t="n"/>
      <c r="N689" s="5" t="n"/>
      <c r="O689" s="5" t="n">
        <v>250</v>
      </c>
      <c r="P689" s="5" t="n"/>
      <c r="Q689" s="5" t="n">
        <v>250</v>
      </c>
      <c r="R689" s="5" t="n"/>
      <c r="S689" s="5">
        <f>SUM(F689:I689)+N689</f>
        <v/>
      </c>
      <c r="T689" s="5">
        <f>J689</f>
        <v/>
      </c>
      <c r="U689" s="6">
        <f>YEAR(D689)</f>
        <v/>
      </c>
      <c r="V689" s="5">
        <f>TEXT(D689,"yyyy-mm")</f>
        <v/>
      </c>
    </row>
    <row r="690">
      <c r="A690" s="2" t="inlineStr">
        <is>
          <t>EJ020424.TXT</t>
        </is>
      </c>
      <c r="B690" s="3" t="inlineStr">
        <is>
          <t>005304</t>
        </is>
      </c>
      <c r="C690" s="3" t="inlineStr">
        <is>
          <t>004250</t>
        </is>
      </c>
      <c r="D690" s="4" t="n">
        <v>45370</v>
      </c>
      <c r="E690" s="2" t="inlineStr">
        <is>
          <t>17:05</t>
        </is>
      </c>
      <c r="F690" s="5" t="n">
        <v>199.17</v>
      </c>
      <c r="G690" s="5" t="n"/>
      <c r="H690" s="5" t="n"/>
      <c r="I690" s="5" t="n"/>
      <c r="J690" s="5" t="n">
        <v>39.83</v>
      </c>
      <c r="K690" s="5" t="n"/>
      <c r="L690" s="5" t="n"/>
      <c r="M690" s="5" t="n"/>
      <c r="N690" s="5" t="n"/>
      <c r="O690" s="5" t="n">
        <v>239</v>
      </c>
      <c r="P690" s="5" t="n">
        <v>239</v>
      </c>
      <c r="Q690" s="5" t="n"/>
      <c r="R690" s="5" t="n"/>
      <c r="S690" s="5">
        <f>SUM(F690:I690)+N690</f>
        <v/>
      </c>
      <c r="T690" s="5">
        <f>J690</f>
        <v/>
      </c>
      <c r="U690" s="6">
        <f>YEAR(D690)</f>
        <v/>
      </c>
      <c r="V690" s="5">
        <f>TEXT(D690,"yyyy-mm")</f>
        <v/>
      </c>
    </row>
    <row r="691">
      <c r="A691" s="2" t="inlineStr">
        <is>
          <t>EJ020424.TXT</t>
        </is>
      </c>
      <c r="B691" s="3" t="inlineStr">
        <is>
          <t>005305</t>
        </is>
      </c>
      <c r="C691" s="3" t="inlineStr">
        <is>
          <t>004251</t>
        </is>
      </c>
      <c r="D691" s="4" t="n">
        <v>45372</v>
      </c>
      <c r="E691" s="2" t="inlineStr">
        <is>
          <t>10:23</t>
        </is>
      </c>
      <c r="F691" s="5" t="n">
        <v>548.33</v>
      </c>
      <c r="G691" s="5" t="n"/>
      <c r="H691" s="5" t="n"/>
      <c r="I691" s="5" t="n"/>
      <c r="J691" s="5" t="n">
        <v>109.67</v>
      </c>
      <c r="K691" s="5" t="n"/>
      <c r="L691" s="5" t="n"/>
      <c r="M691" s="5" t="n"/>
      <c r="N691" s="5" t="n"/>
      <c r="O691" s="5" t="n">
        <v>658</v>
      </c>
      <c r="P691" s="5" t="n"/>
      <c r="Q691" s="5" t="n">
        <v>658</v>
      </c>
      <c r="R691" s="5" t="n"/>
      <c r="S691" s="5">
        <f>SUM(F691:I691)+N691</f>
        <v/>
      </c>
      <c r="T691" s="5">
        <f>J691</f>
        <v/>
      </c>
      <c r="U691" s="6">
        <f>YEAR(D691)</f>
        <v/>
      </c>
      <c r="V691" s="5">
        <f>TEXT(D691,"yyyy-mm")</f>
        <v/>
      </c>
    </row>
    <row r="692">
      <c r="A692" s="2" t="inlineStr">
        <is>
          <t>EJ020424.TXT</t>
        </is>
      </c>
      <c r="B692" s="3" t="inlineStr">
        <is>
          <t>005306</t>
        </is>
      </c>
      <c r="C692" s="3" t="inlineStr">
        <is>
          <t>004252</t>
        </is>
      </c>
      <c r="D692" s="4" t="n">
        <v>45372</v>
      </c>
      <c r="E692" s="2" t="inlineStr">
        <is>
          <t>11:16</t>
        </is>
      </c>
      <c r="F692" s="5" t="n">
        <v>66.33</v>
      </c>
      <c r="G692" s="5" t="n"/>
      <c r="H692" s="5" t="n"/>
      <c r="I692" s="5" t="n"/>
      <c r="J692" s="5" t="n">
        <v>13.27</v>
      </c>
      <c r="K692" s="5" t="n"/>
      <c r="L692" s="5" t="n"/>
      <c r="M692" s="5" t="n"/>
      <c r="N692" s="5" t="n"/>
      <c r="O692" s="5" t="n">
        <v>79.59999999999999</v>
      </c>
      <c r="P692" s="5" t="n">
        <v>79.59999999999999</v>
      </c>
      <c r="Q692" s="5" t="n"/>
      <c r="R692" s="5" t="n"/>
      <c r="S692" s="5">
        <f>SUM(F692:I692)+N692</f>
        <v/>
      </c>
      <c r="T692" s="5">
        <f>J692</f>
        <v/>
      </c>
      <c r="U692" s="6">
        <f>YEAR(D692)</f>
        <v/>
      </c>
      <c r="V692" s="5">
        <f>TEXT(D692,"yyyy-mm")</f>
        <v/>
      </c>
    </row>
    <row r="693">
      <c r="A693" s="2" t="inlineStr">
        <is>
          <t>EJ020424.TXT</t>
        </is>
      </c>
      <c r="B693" s="3" t="inlineStr">
        <is>
          <t>005307</t>
        </is>
      </c>
      <c r="C693" s="3" t="inlineStr">
        <is>
          <t>004253</t>
        </is>
      </c>
      <c r="D693" s="4" t="n">
        <v>45373</v>
      </c>
      <c r="E693" s="2" t="inlineStr">
        <is>
          <t>16:12</t>
        </is>
      </c>
      <c r="F693" s="5" t="n">
        <v>548.33</v>
      </c>
      <c r="G693" s="5" t="n"/>
      <c r="H693" s="5" t="n"/>
      <c r="I693" s="5" t="n"/>
      <c r="J693" s="5" t="n">
        <v>109.67</v>
      </c>
      <c r="K693" s="5" t="n"/>
      <c r="L693" s="5" t="n"/>
      <c r="M693" s="5" t="n"/>
      <c r="N693" s="5" t="n"/>
      <c r="O693" s="5" t="n">
        <v>658</v>
      </c>
      <c r="P693" s="5" t="n"/>
      <c r="Q693" s="5" t="n">
        <v>658</v>
      </c>
      <c r="R693" s="5" t="n"/>
      <c r="S693" s="5">
        <f>SUM(F693:I693)+N693</f>
        <v/>
      </c>
      <c r="T693" s="5">
        <f>J693</f>
        <v/>
      </c>
      <c r="U693" s="6">
        <f>YEAR(D693)</f>
        <v/>
      </c>
      <c r="V693" s="5">
        <f>TEXT(D693,"yyyy-mm")</f>
        <v/>
      </c>
    </row>
    <row r="694">
      <c r="A694" s="2" t="inlineStr">
        <is>
          <t>EJ020424.TXT</t>
        </is>
      </c>
      <c r="B694" s="3" t="inlineStr">
        <is>
          <t>005308</t>
        </is>
      </c>
      <c r="C694" s="3" t="inlineStr">
        <is>
          <t>004254</t>
        </is>
      </c>
      <c r="D694" s="4" t="n">
        <v>45373</v>
      </c>
      <c r="E694" s="2" t="inlineStr">
        <is>
          <t>16:18</t>
        </is>
      </c>
      <c r="F694" s="5" t="n">
        <v>208.33</v>
      </c>
      <c r="G694" s="5" t="n"/>
      <c r="H694" s="5" t="n"/>
      <c r="I694" s="5" t="n"/>
      <c r="J694" s="5" t="n">
        <v>41.67</v>
      </c>
      <c r="K694" s="5" t="n"/>
      <c r="L694" s="5" t="n"/>
      <c r="M694" s="5" t="n"/>
      <c r="N694" s="5" t="n"/>
      <c r="O694" s="5" t="n">
        <v>250</v>
      </c>
      <c r="P694" s="5" t="n"/>
      <c r="Q694" s="5" t="n">
        <v>250</v>
      </c>
      <c r="R694" s="5" t="n"/>
      <c r="S694" s="5">
        <f>SUM(F694:I694)+N694</f>
        <v/>
      </c>
      <c r="T694" s="5">
        <f>J694</f>
        <v/>
      </c>
      <c r="U694" s="6">
        <f>YEAR(D694)</f>
        <v/>
      </c>
      <c r="V694" s="5">
        <f>TEXT(D694,"yyyy-mm")</f>
        <v/>
      </c>
    </row>
    <row r="695">
      <c r="A695" s="2" t="inlineStr">
        <is>
          <t>EJ020424.TXT</t>
        </is>
      </c>
      <c r="B695" s="3" t="inlineStr">
        <is>
          <t>005309</t>
        </is>
      </c>
      <c r="C695" s="3" t="inlineStr">
        <is>
          <t>004255</t>
        </is>
      </c>
      <c r="D695" s="4" t="n">
        <v>45374</v>
      </c>
      <c r="E695" s="2" t="inlineStr">
        <is>
          <t>16:12</t>
        </is>
      </c>
      <c r="F695" s="5" t="n">
        <v>548.33</v>
      </c>
      <c r="G695" s="5" t="n"/>
      <c r="H695" s="5" t="n"/>
      <c r="I695" s="5" t="n"/>
      <c r="J695" s="5" t="n">
        <v>109.67</v>
      </c>
      <c r="K695" s="5" t="n"/>
      <c r="L695" s="5" t="n"/>
      <c r="M695" s="5" t="n"/>
      <c r="N695" s="5" t="n"/>
      <c r="O695" s="5" t="n">
        <v>658</v>
      </c>
      <c r="P695" s="5" t="n"/>
      <c r="Q695" s="5" t="n">
        <v>658</v>
      </c>
      <c r="R695" s="5" t="n"/>
      <c r="S695" s="5">
        <f>SUM(F695:I695)+N695</f>
        <v/>
      </c>
      <c r="T695" s="5">
        <f>J695</f>
        <v/>
      </c>
      <c r="U695" s="6">
        <f>YEAR(D695)</f>
        <v/>
      </c>
      <c r="V695" s="5">
        <f>TEXT(D695,"yyyy-mm")</f>
        <v/>
      </c>
    </row>
    <row r="696">
      <c r="A696" s="2" t="inlineStr">
        <is>
          <t>EJ020424.TXT</t>
        </is>
      </c>
      <c r="B696" s="3" t="inlineStr">
        <is>
          <t>005310</t>
        </is>
      </c>
      <c r="C696" s="3" t="inlineStr">
        <is>
          <t>004256</t>
        </is>
      </c>
      <c r="D696" s="4" t="n">
        <v>45374</v>
      </c>
      <c r="E696" s="2" t="inlineStr">
        <is>
          <t>17:11</t>
        </is>
      </c>
      <c r="F696" s="5" t="n">
        <v>265.83</v>
      </c>
      <c r="G696" s="5" t="n"/>
      <c r="H696" s="5" t="n"/>
      <c r="I696" s="5" t="n"/>
      <c r="J696" s="5" t="n">
        <v>53.17</v>
      </c>
      <c r="K696" s="5" t="n"/>
      <c r="L696" s="5" t="n"/>
      <c r="M696" s="5" t="n"/>
      <c r="N696" s="5" t="n"/>
      <c r="O696" s="5" t="n">
        <v>319</v>
      </c>
      <c r="P696" s="5" t="n"/>
      <c r="Q696" s="5" t="n">
        <v>319</v>
      </c>
      <c r="R696" s="5" t="n"/>
      <c r="S696" s="5">
        <f>SUM(F696:I696)+N696</f>
        <v/>
      </c>
      <c r="T696" s="5">
        <f>J696</f>
        <v/>
      </c>
      <c r="U696" s="6">
        <f>YEAR(D696)</f>
        <v/>
      </c>
      <c r="V696" s="5">
        <f>TEXT(D696,"yyyy-mm")</f>
        <v/>
      </c>
    </row>
    <row r="697">
      <c r="A697" s="2" t="inlineStr">
        <is>
          <t>EJ020424.TXT</t>
        </is>
      </c>
      <c r="B697" s="3" t="inlineStr">
        <is>
          <t>005311</t>
        </is>
      </c>
      <c r="C697" s="3" t="inlineStr">
        <is>
          <t>004257</t>
        </is>
      </c>
      <c r="D697" s="4" t="n">
        <v>45379</v>
      </c>
      <c r="E697" s="2" t="inlineStr">
        <is>
          <t>11:26</t>
        </is>
      </c>
      <c r="F697" s="5" t="n">
        <v>208.33</v>
      </c>
      <c r="G697" s="5" t="n"/>
      <c r="H697" s="5" t="n"/>
      <c r="I697" s="5" t="n"/>
      <c r="J697" s="5" t="n">
        <v>41.67</v>
      </c>
      <c r="K697" s="5" t="n"/>
      <c r="L697" s="5" t="n"/>
      <c r="M697" s="5" t="n"/>
      <c r="N697" s="5" t="n"/>
      <c r="O697" s="5" t="n">
        <v>250</v>
      </c>
      <c r="P697" s="5" t="n"/>
      <c r="Q697" s="5" t="n">
        <v>250</v>
      </c>
      <c r="R697" s="5" t="n"/>
      <c r="S697" s="5">
        <f>SUM(F697:I697)+N697</f>
        <v/>
      </c>
      <c r="T697" s="5">
        <f>J697</f>
        <v/>
      </c>
      <c r="U697" s="6">
        <f>YEAR(D697)</f>
        <v/>
      </c>
      <c r="V697" s="5">
        <f>TEXT(D697,"yyyy-mm")</f>
        <v/>
      </c>
    </row>
    <row r="698">
      <c r="A698" s="2" t="inlineStr">
        <is>
          <t>EJ020424.TXT</t>
        </is>
      </c>
      <c r="B698" s="3" t="inlineStr">
        <is>
          <t>005312</t>
        </is>
      </c>
      <c r="C698" s="3" t="inlineStr">
        <is>
          <t>004258</t>
        </is>
      </c>
      <c r="D698" s="4" t="n">
        <v>45379</v>
      </c>
      <c r="E698" s="2" t="inlineStr">
        <is>
          <t>15:36</t>
        </is>
      </c>
      <c r="F698" s="5" t="n">
        <v>274.17</v>
      </c>
      <c r="G698" s="5" t="n"/>
      <c r="H698" s="5" t="n"/>
      <c r="I698" s="5" t="n"/>
      <c r="J698" s="5" t="n">
        <v>54.83</v>
      </c>
      <c r="K698" s="5" t="n"/>
      <c r="L698" s="5" t="n"/>
      <c r="M698" s="5" t="n"/>
      <c r="N698" s="5" t="n"/>
      <c r="O698" s="5" t="n">
        <v>329</v>
      </c>
      <c r="P698" s="5" t="n"/>
      <c r="Q698" s="5" t="n">
        <v>329</v>
      </c>
      <c r="R698" s="5" t="n"/>
      <c r="S698" s="5">
        <f>SUM(F698:I698)+N698</f>
        <v/>
      </c>
      <c r="T698" s="5">
        <f>J698</f>
        <v/>
      </c>
      <c r="U698" s="6">
        <f>YEAR(D698)</f>
        <v/>
      </c>
      <c r="V698" s="5">
        <f>TEXT(D698,"yyyy-mm")</f>
        <v/>
      </c>
    </row>
    <row r="699">
      <c r="A699" s="2" t="inlineStr">
        <is>
          <t>EJ020424.TXT</t>
        </is>
      </c>
      <c r="B699" s="3" t="inlineStr">
        <is>
          <t>005313</t>
        </is>
      </c>
      <c r="C699" s="3" t="inlineStr">
        <is>
          <t>004259</t>
        </is>
      </c>
      <c r="D699" s="4" t="n">
        <v>45380</v>
      </c>
      <c r="E699" s="2" t="inlineStr">
        <is>
          <t>11:53</t>
        </is>
      </c>
      <c r="F699" s="5" t="n">
        <v>74</v>
      </c>
      <c r="G699" s="5" t="n"/>
      <c r="H699" s="5" t="n"/>
      <c r="I699" s="5" t="n"/>
      <c r="J699" s="5" t="n">
        <v>14.8</v>
      </c>
      <c r="K699" s="5" t="n"/>
      <c r="L699" s="5" t="n"/>
      <c r="M699" s="5" t="n"/>
      <c r="N699" s="5" t="n"/>
      <c r="O699" s="5" t="n">
        <v>88.8</v>
      </c>
      <c r="P699" s="5" t="n"/>
      <c r="Q699" s="5" t="n">
        <v>88.8</v>
      </c>
      <c r="R699" s="5" t="n"/>
      <c r="S699" s="5">
        <f>SUM(F699:I699)+N699</f>
        <v/>
      </c>
      <c r="T699" s="5">
        <f>J699</f>
        <v/>
      </c>
      <c r="U699" s="6">
        <f>YEAR(D699)</f>
        <v/>
      </c>
      <c r="V699" s="5">
        <f>TEXT(D699,"yyyy-mm")</f>
        <v/>
      </c>
    </row>
    <row r="700">
      <c r="A700" s="2" t="inlineStr">
        <is>
          <t>EJ020424.TXT</t>
        </is>
      </c>
      <c r="B700" s="3" t="inlineStr">
        <is>
          <t>005314</t>
        </is>
      </c>
      <c r="C700" s="3" t="inlineStr">
        <is>
          <t>004260</t>
        </is>
      </c>
      <c r="D700" s="4" t="n">
        <v>45380</v>
      </c>
      <c r="E700" s="2" t="inlineStr">
        <is>
          <t>17:02</t>
        </is>
      </c>
      <c r="F700" s="5" t="n">
        <v>208.33</v>
      </c>
      <c r="G700" s="5" t="n"/>
      <c r="H700" s="5" t="n"/>
      <c r="I700" s="5" t="n"/>
      <c r="J700" s="5" t="n">
        <v>41.67</v>
      </c>
      <c r="K700" s="5" t="n"/>
      <c r="L700" s="5" t="n"/>
      <c r="M700" s="5" t="n"/>
      <c r="N700" s="5" t="n"/>
      <c r="O700" s="5" t="n">
        <v>250</v>
      </c>
      <c r="P700" s="5" t="n"/>
      <c r="Q700" s="5" t="n">
        <v>250</v>
      </c>
      <c r="R700" s="5" t="n"/>
      <c r="S700" s="5">
        <f>SUM(F700:I700)+N700</f>
        <v/>
      </c>
      <c r="T700" s="5">
        <f>J700</f>
        <v/>
      </c>
      <c r="U700" s="6">
        <f>YEAR(D700)</f>
        <v/>
      </c>
      <c r="V700" s="5">
        <f>TEXT(D700,"yyyy-mm")</f>
        <v/>
      </c>
    </row>
    <row r="701">
      <c r="A701" s="2" t="inlineStr">
        <is>
          <t>EJ020424.TXT</t>
        </is>
      </c>
      <c r="B701" s="3" t="inlineStr">
        <is>
          <t>005315</t>
        </is>
      </c>
      <c r="C701" s="3" t="inlineStr">
        <is>
          <t>004261</t>
        </is>
      </c>
      <c r="D701" s="4" t="n">
        <v>45381</v>
      </c>
      <c r="E701" s="2" t="inlineStr">
        <is>
          <t>15:02</t>
        </is>
      </c>
      <c r="F701" s="5" t="n">
        <v>822.5</v>
      </c>
      <c r="G701" s="5" t="n"/>
      <c r="H701" s="5" t="n"/>
      <c r="I701" s="5" t="n"/>
      <c r="J701" s="5" t="n">
        <v>164.5</v>
      </c>
      <c r="K701" s="5" t="n"/>
      <c r="L701" s="5" t="n"/>
      <c r="M701" s="5" t="n"/>
      <c r="N701" s="5" t="n"/>
      <c r="O701" s="5" t="n">
        <v>987</v>
      </c>
      <c r="P701" s="5" t="n"/>
      <c r="Q701" s="5" t="n">
        <v>987</v>
      </c>
      <c r="R701" s="5" t="n"/>
      <c r="S701" s="5">
        <f>SUM(F701:I701)+N701</f>
        <v/>
      </c>
      <c r="T701" s="5">
        <f>J701</f>
        <v/>
      </c>
      <c r="U701" s="6">
        <f>YEAR(D701)</f>
        <v/>
      </c>
      <c r="V701" s="5">
        <f>TEXT(D701,"yyyy-mm")</f>
        <v/>
      </c>
    </row>
    <row r="702">
      <c r="A702" s="2" t="inlineStr">
        <is>
          <t>EJ020424.TXT</t>
        </is>
      </c>
      <c r="B702" s="3" t="inlineStr">
        <is>
          <t>005316</t>
        </is>
      </c>
      <c r="C702" s="3" t="inlineStr">
        <is>
          <t>004262</t>
        </is>
      </c>
      <c r="D702" s="4" t="n">
        <v>45381</v>
      </c>
      <c r="E702" s="2" t="inlineStr">
        <is>
          <t>15:03</t>
        </is>
      </c>
      <c r="F702" s="5" t="n">
        <v>548.33</v>
      </c>
      <c r="G702" s="5" t="n"/>
      <c r="H702" s="5" t="n"/>
      <c r="I702" s="5" t="n"/>
      <c r="J702" s="5" t="n">
        <v>109.67</v>
      </c>
      <c r="K702" s="5" t="n"/>
      <c r="L702" s="5" t="n"/>
      <c r="M702" s="5" t="n"/>
      <c r="N702" s="5" t="n"/>
      <c r="O702" s="5" t="n">
        <v>658</v>
      </c>
      <c r="P702" s="5" t="n"/>
      <c r="Q702" s="5" t="n">
        <v>658</v>
      </c>
      <c r="R702" s="5" t="n"/>
      <c r="S702" s="5">
        <f>SUM(F702:I702)+N702</f>
        <v/>
      </c>
      <c r="T702" s="5">
        <f>J702</f>
        <v/>
      </c>
      <c r="U702" s="6">
        <f>YEAR(D702)</f>
        <v/>
      </c>
      <c r="V702" s="5">
        <f>TEXT(D702,"yyyy-mm")</f>
        <v/>
      </c>
    </row>
    <row r="703">
      <c r="A703" s="2" t="inlineStr">
        <is>
          <t>EJ020424.TXT</t>
        </is>
      </c>
      <c r="B703" s="3" t="inlineStr">
        <is>
          <t>005317</t>
        </is>
      </c>
      <c r="C703" s="3" t="inlineStr">
        <is>
          <t>004263</t>
        </is>
      </c>
      <c r="D703" s="4" t="n">
        <v>45381</v>
      </c>
      <c r="E703" s="2" t="inlineStr">
        <is>
          <t>15:03</t>
        </is>
      </c>
      <c r="F703" s="5" t="n">
        <v>274.17</v>
      </c>
      <c r="G703" s="5" t="n"/>
      <c r="H703" s="5" t="n"/>
      <c r="I703" s="5" t="n"/>
      <c r="J703" s="5" t="n">
        <v>54.83</v>
      </c>
      <c r="K703" s="5" t="n"/>
      <c r="L703" s="5" t="n"/>
      <c r="M703" s="5" t="n"/>
      <c r="N703" s="5" t="n"/>
      <c r="O703" s="5" t="n">
        <v>329</v>
      </c>
      <c r="P703" s="5" t="n"/>
      <c r="Q703" s="5" t="n">
        <v>329</v>
      </c>
      <c r="R703" s="5" t="n"/>
      <c r="S703" s="5">
        <f>SUM(F703:I703)+N703</f>
        <v/>
      </c>
      <c r="T703" s="5">
        <f>J703</f>
        <v/>
      </c>
      <c r="U703" s="6">
        <f>YEAR(D703)</f>
        <v/>
      </c>
      <c r="V703" s="5">
        <f>TEXT(D703,"yyyy-mm")</f>
        <v/>
      </c>
    </row>
    <row r="704">
      <c r="A704" s="2" t="inlineStr">
        <is>
          <t>EJ020424.TXT</t>
        </is>
      </c>
      <c r="B704" s="3" t="inlineStr">
        <is>
          <t>005318</t>
        </is>
      </c>
      <c r="C704" s="3" t="inlineStr">
        <is>
          <t>004264</t>
        </is>
      </c>
      <c r="D704" s="4" t="n">
        <v>45381</v>
      </c>
      <c r="E704" s="2" t="inlineStr">
        <is>
          <t>15:03</t>
        </is>
      </c>
      <c r="F704" s="5" t="n">
        <v>548.33</v>
      </c>
      <c r="G704" s="5" t="n"/>
      <c r="H704" s="5" t="n"/>
      <c r="I704" s="5" t="n"/>
      <c r="J704" s="5" t="n">
        <v>109.67</v>
      </c>
      <c r="K704" s="5" t="n"/>
      <c r="L704" s="5" t="n"/>
      <c r="M704" s="5" t="n"/>
      <c r="N704" s="5" t="n"/>
      <c r="O704" s="5" t="n">
        <v>658</v>
      </c>
      <c r="P704" s="5" t="n"/>
      <c r="Q704" s="5" t="n">
        <v>658</v>
      </c>
      <c r="R704" s="5" t="n"/>
      <c r="S704" s="5">
        <f>SUM(F704:I704)+N704</f>
        <v/>
      </c>
      <c r="T704" s="5">
        <f>J704</f>
        <v/>
      </c>
      <c r="U704" s="6">
        <f>YEAR(D704)</f>
        <v/>
      </c>
      <c r="V704" s="5">
        <f>TEXT(D704,"yyyy-mm")</f>
        <v/>
      </c>
    </row>
    <row r="705">
      <c r="A705" s="2" t="inlineStr">
        <is>
          <t>EJ020424.TXT</t>
        </is>
      </c>
      <c r="B705" s="3" t="inlineStr">
        <is>
          <t>005319</t>
        </is>
      </c>
      <c r="C705" s="3" t="inlineStr">
        <is>
          <t>004265</t>
        </is>
      </c>
      <c r="D705" s="4" t="n">
        <v>45381</v>
      </c>
      <c r="E705" s="2" t="inlineStr">
        <is>
          <t>15:04</t>
        </is>
      </c>
      <c r="F705" s="5" t="n">
        <v>274.17</v>
      </c>
      <c r="G705" s="5" t="n"/>
      <c r="H705" s="5" t="n"/>
      <c r="I705" s="5" t="n"/>
      <c r="J705" s="5" t="n">
        <v>54.83</v>
      </c>
      <c r="K705" s="5" t="n"/>
      <c r="L705" s="5" t="n"/>
      <c r="M705" s="5" t="n"/>
      <c r="N705" s="5" t="n"/>
      <c r="O705" s="5" t="n">
        <v>329</v>
      </c>
      <c r="P705" s="5" t="n"/>
      <c r="Q705" s="5" t="n">
        <v>329</v>
      </c>
      <c r="R705" s="5" t="n"/>
      <c r="S705" s="5">
        <f>SUM(F705:I705)+N705</f>
        <v/>
      </c>
      <c r="T705" s="5">
        <f>J705</f>
        <v/>
      </c>
      <c r="U705" s="6">
        <f>YEAR(D705)</f>
        <v/>
      </c>
      <c r="V705" s="5">
        <f>TEXT(D705,"yyyy-mm")</f>
        <v/>
      </c>
    </row>
    <row r="706">
      <c r="A706" s="2" t="inlineStr">
        <is>
          <t>EJ020424.TXT</t>
        </is>
      </c>
      <c r="B706" s="3" t="inlineStr">
        <is>
          <t>005320</t>
        </is>
      </c>
      <c r="C706" s="3" t="inlineStr">
        <is>
          <t>004266</t>
        </is>
      </c>
      <c r="D706" s="4" t="n">
        <v>45381</v>
      </c>
      <c r="E706" s="2" t="inlineStr">
        <is>
          <t>15:04</t>
        </is>
      </c>
      <c r="F706" s="5" t="n">
        <v>548.33</v>
      </c>
      <c r="G706" s="5" t="n"/>
      <c r="H706" s="5" t="n"/>
      <c r="I706" s="5" t="n"/>
      <c r="J706" s="5" t="n">
        <v>109.67</v>
      </c>
      <c r="K706" s="5" t="n"/>
      <c r="L706" s="5" t="n"/>
      <c r="M706" s="5" t="n"/>
      <c r="N706" s="5" t="n"/>
      <c r="O706" s="5" t="n">
        <v>658</v>
      </c>
      <c r="P706" s="5" t="n"/>
      <c r="Q706" s="5" t="n">
        <v>658</v>
      </c>
      <c r="R706" s="5" t="n"/>
      <c r="S706" s="5">
        <f>SUM(F706:I706)+N706</f>
        <v/>
      </c>
      <c r="T706" s="5">
        <f>J706</f>
        <v/>
      </c>
      <c r="U706" s="6">
        <f>YEAR(D706)</f>
        <v/>
      </c>
      <c r="V706" s="5">
        <f>TEXT(D706,"yyyy-mm")</f>
        <v/>
      </c>
    </row>
    <row r="707">
      <c r="A707" s="2" t="inlineStr">
        <is>
          <t>EJ020424.TXT</t>
        </is>
      </c>
      <c r="B707" s="3" t="inlineStr">
        <is>
          <t>005321</t>
        </is>
      </c>
      <c r="C707" s="3" t="inlineStr">
        <is>
          <t>004267</t>
        </is>
      </c>
      <c r="D707" s="4" t="n">
        <v>45381</v>
      </c>
      <c r="E707" s="2" t="inlineStr">
        <is>
          <t>15:04</t>
        </is>
      </c>
      <c r="F707" s="5" t="n">
        <v>274.17</v>
      </c>
      <c r="G707" s="5" t="n"/>
      <c r="H707" s="5" t="n"/>
      <c r="I707" s="5" t="n"/>
      <c r="J707" s="5" t="n">
        <v>54.83</v>
      </c>
      <c r="K707" s="5" t="n"/>
      <c r="L707" s="5" t="n"/>
      <c r="M707" s="5" t="n"/>
      <c r="N707" s="5" t="n"/>
      <c r="O707" s="5" t="n">
        <v>329</v>
      </c>
      <c r="P707" s="5" t="n"/>
      <c r="Q707" s="5" t="n">
        <v>329</v>
      </c>
      <c r="R707" s="5" t="n"/>
      <c r="S707" s="5">
        <f>SUM(F707:I707)+N707</f>
        <v/>
      </c>
      <c r="T707" s="5">
        <f>J707</f>
        <v/>
      </c>
      <c r="U707" s="6">
        <f>YEAR(D707)</f>
        <v/>
      </c>
      <c r="V707" s="5">
        <f>TEXT(D707,"yyyy-mm")</f>
        <v/>
      </c>
    </row>
    <row r="708">
      <c r="A708" s="2" t="inlineStr">
        <is>
          <t>EJ020424.TXT</t>
        </is>
      </c>
      <c r="B708" s="3" t="inlineStr">
        <is>
          <t>005322</t>
        </is>
      </c>
      <c r="C708" s="3" t="inlineStr">
        <is>
          <t>004268</t>
        </is>
      </c>
      <c r="D708" s="4" t="n">
        <v>45381</v>
      </c>
      <c r="E708" s="2" t="inlineStr">
        <is>
          <t>15:05</t>
        </is>
      </c>
      <c r="F708" s="5" t="n">
        <v>822.5</v>
      </c>
      <c r="G708" s="5" t="n"/>
      <c r="H708" s="5" t="n"/>
      <c r="I708" s="5" t="n"/>
      <c r="J708" s="5" t="n">
        <v>164.5</v>
      </c>
      <c r="K708" s="5" t="n"/>
      <c r="L708" s="5" t="n"/>
      <c r="M708" s="5" t="n"/>
      <c r="N708" s="5" t="n"/>
      <c r="O708" s="5" t="n">
        <v>987</v>
      </c>
      <c r="P708" s="5" t="n"/>
      <c r="Q708" s="5" t="n">
        <v>987</v>
      </c>
      <c r="R708" s="5" t="n"/>
      <c r="S708" s="5">
        <f>SUM(F708:I708)+N708</f>
        <v/>
      </c>
      <c r="T708" s="5">
        <f>J708</f>
        <v/>
      </c>
      <c r="U708" s="6">
        <f>YEAR(D708)</f>
        <v/>
      </c>
      <c r="V708" s="5">
        <f>TEXT(D708,"yyyy-mm")</f>
        <v/>
      </c>
    </row>
    <row r="709">
      <c r="A709" s="2" t="inlineStr">
        <is>
          <t>EJ020424.TXT</t>
        </is>
      </c>
      <c r="B709" s="3" t="inlineStr">
        <is>
          <t>005323</t>
        </is>
      </c>
      <c r="C709" s="3" t="inlineStr">
        <is>
          <t>004269</t>
        </is>
      </c>
      <c r="D709" s="4" t="n">
        <v>45381</v>
      </c>
      <c r="E709" s="2" t="inlineStr">
        <is>
          <t>15:05</t>
        </is>
      </c>
      <c r="F709" s="5" t="n">
        <v>822.5</v>
      </c>
      <c r="G709" s="5" t="n"/>
      <c r="H709" s="5" t="n"/>
      <c r="I709" s="5" t="n"/>
      <c r="J709" s="5" t="n">
        <v>164.5</v>
      </c>
      <c r="K709" s="5" t="n"/>
      <c r="L709" s="5" t="n"/>
      <c r="M709" s="5" t="n"/>
      <c r="N709" s="5" t="n"/>
      <c r="O709" s="5" t="n">
        <v>987</v>
      </c>
      <c r="P709" s="5" t="n"/>
      <c r="Q709" s="5" t="n">
        <v>987</v>
      </c>
      <c r="R709" s="5" t="n"/>
      <c r="S709" s="5">
        <f>SUM(F709:I709)+N709</f>
        <v/>
      </c>
      <c r="T709" s="5">
        <f>J709</f>
        <v/>
      </c>
      <c r="U709" s="6">
        <f>YEAR(D709)</f>
        <v/>
      </c>
      <c r="V709" s="5">
        <f>TEXT(D709,"yyyy-mm")</f>
        <v/>
      </c>
    </row>
    <row r="710">
      <c r="A710" s="2" t="inlineStr">
        <is>
          <t>EJ020424.TXT</t>
        </is>
      </c>
      <c r="B710" s="3" t="inlineStr">
        <is>
          <t>005324</t>
        </is>
      </c>
      <c r="C710" s="3" t="inlineStr">
        <is>
          <t>004270</t>
        </is>
      </c>
      <c r="D710" s="4" t="n">
        <v>45381</v>
      </c>
      <c r="E710" s="2" t="inlineStr">
        <is>
          <t>17:42</t>
        </is>
      </c>
      <c r="F710" s="5" t="n">
        <v>58.25</v>
      </c>
      <c r="G710" s="5" t="n"/>
      <c r="H710" s="5" t="n"/>
      <c r="I710" s="5" t="n"/>
      <c r="J710" s="5" t="n">
        <v>11.65</v>
      </c>
      <c r="K710" s="5" t="n"/>
      <c r="L710" s="5" t="n"/>
      <c r="M710" s="5" t="n"/>
      <c r="N710" s="5" t="n"/>
      <c r="O710" s="5" t="n">
        <v>69.90000000000001</v>
      </c>
      <c r="P710" s="5" t="n"/>
      <c r="Q710" s="5" t="n">
        <v>69.90000000000001</v>
      </c>
      <c r="R710" s="5" t="n"/>
      <c r="S710" s="5">
        <f>SUM(F710:I710)+N710</f>
        <v/>
      </c>
      <c r="T710" s="5">
        <f>J710</f>
        <v/>
      </c>
      <c r="U710" s="6">
        <f>YEAR(D710)</f>
        <v/>
      </c>
      <c r="V710" s="5">
        <f>TEXT(D710,"yyyy-mm")</f>
        <v/>
      </c>
    </row>
    <row r="711">
      <c r="A711" s="2" t="inlineStr">
        <is>
          <t>EJ020424.TXT</t>
        </is>
      </c>
      <c r="B711" s="3" t="inlineStr">
        <is>
          <t>005325</t>
        </is>
      </c>
      <c r="C711" s="3" t="inlineStr">
        <is>
          <t>004271</t>
        </is>
      </c>
      <c r="D711" s="4" t="n">
        <v>45381</v>
      </c>
      <c r="E711" s="2" t="inlineStr">
        <is>
          <t>17:47</t>
        </is>
      </c>
      <c r="F711" s="5" t="n">
        <v>94.92</v>
      </c>
      <c r="G711" s="5" t="n"/>
      <c r="H711" s="5" t="n"/>
      <c r="I711" s="5" t="n"/>
      <c r="J711" s="5" t="n">
        <v>18.98</v>
      </c>
      <c r="K711" s="5" t="n"/>
      <c r="L711" s="5" t="n"/>
      <c r="M711" s="5" t="n"/>
      <c r="N711" s="5" t="n"/>
      <c r="O711" s="5" t="n">
        <v>113.9</v>
      </c>
      <c r="P711" s="5" t="n"/>
      <c r="Q711" s="5" t="n">
        <v>113.9</v>
      </c>
      <c r="R711" s="5" t="n"/>
      <c r="S711" s="5">
        <f>SUM(F711:I711)+N711</f>
        <v/>
      </c>
      <c r="T711" s="5">
        <f>J711</f>
        <v/>
      </c>
      <c r="U711" s="6">
        <f>YEAR(D711)</f>
        <v/>
      </c>
      <c r="V711" s="5">
        <f>TEXT(D711,"yyyy-mm")</f>
        <v/>
      </c>
    </row>
    <row r="712">
      <c r="A712" s="2" t="inlineStr">
        <is>
          <t>EJ300424.TXT</t>
        </is>
      </c>
      <c r="B712" s="3" t="inlineStr">
        <is>
          <t>005333</t>
        </is>
      </c>
      <c r="C712" s="3" t="inlineStr">
        <is>
          <t>004272</t>
        </is>
      </c>
      <c r="D712" s="4" t="n">
        <v>45385</v>
      </c>
      <c r="E712" s="2" t="inlineStr">
        <is>
          <t>09:59</t>
        </is>
      </c>
      <c r="F712" s="5" t="n">
        <v>582.5</v>
      </c>
      <c r="G712" s="5" t="n"/>
      <c r="H712" s="5" t="n"/>
      <c r="I712" s="5" t="n"/>
      <c r="J712" s="5" t="n">
        <v>116.5</v>
      </c>
      <c r="K712" s="5" t="n"/>
      <c r="L712" s="5" t="n"/>
      <c r="M712" s="5" t="n"/>
      <c r="N712" s="5" t="n"/>
      <c r="O712" s="5" t="n">
        <v>699</v>
      </c>
      <c r="P712" s="5" t="n">
        <v>699</v>
      </c>
      <c r="Q712" s="5" t="n"/>
      <c r="R712" s="5" t="n"/>
      <c r="S712" s="5">
        <f>SUM(F712:I712)+N712</f>
        <v/>
      </c>
      <c r="T712" s="5">
        <f>J712</f>
        <v/>
      </c>
      <c r="U712" s="6">
        <f>YEAR(D712)</f>
        <v/>
      </c>
      <c r="V712" s="5">
        <f>TEXT(D712,"yyyy-mm")</f>
        <v/>
      </c>
    </row>
    <row r="713">
      <c r="A713" s="2" t="inlineStr">
        <is>
          <t>EJ300424.TXT</t>
        </is>
      </c>
      <c r="B713" s="3" t="inlineStr">
        <is>
          <t>005334</t>
        </is>
      </c>
      <c r="C713" s="3" t="inlineStr">
        <is>
          <t>004273</t>
        </is>
      </c>
      <c r="D713" s="4" t="n">
        <v>45385</v>
      </c>
      <c r="E713" s="2" t="inlineStr">
        <is>
          <t>14:26</t>
        </is>
      </c>
      <c r="F713" s="5" t="n">
        <v>548.33</v>
      </c>
      <c r="G713" s="5" t="n"/>
      <c r="H713" s="5" t="n"/>
      <c r="I713" s="5" t="n"/>
      <c r="J713" s="5" t="n">
        <v>109.67</v>
      </c>
      <c r="K713" s="5" t="n"/>
      <c r="L713" s="5" t="n"/>
      <c r="M713" s="5" t="n"/>
      <c r="N713" s="5" t="n"/>
      <c r="O713" s="5" t="n">
        <v>658</v>
      </c>
      <c r="P713" s="5" t="n">
        <v>658</v>
      </c>
      <c r="Q713" s="5" t="n"/>
      <c r="R713" s="5" t="n"/>
      <c r="S713" s="5">
        <f>SUM(F713:I713)+N713</f>
        <v/>
      </c>
      <c r="T713" s="5">
        <f>J713</f>
        <v/>
      </c>
      <c r="U713" s="6">
        <f>YEAR(D713)</f>
        <v/>
      </c>
      <c r="V713" s="5">
        <f>TEXT(D713,"yyyy-mm")</f>
        <v/>
      </c>
    </row>
    <row r="714">
      <c r="A714" s="2" t="inlineStr">
        <is>
          <t>EJ300424.TXT</t>
        </is>
      </c>
      <c r="B714" s="3" t="inlineStr">
        <is>
          <t>005335</t>
        </is>
      </c>
      <c r="C714" s="3" t="inlineStr">
        <is>
          <t>004274</t>
        </is>
      </c>
      <c r="D714" s="4" t="n">
        <v>45386</v>
      </c>
      <c r="E714" s="2" t="inlineStr">
        <is>
          <t>15:16</t>
        </is>
      </c>
      <c r="F714" s="5" t="n">
        <v>41.58</v>
      </c>
      <c r="G714" s="5" t="n"/>
      <c r="H714" s="5" t="n"/>
      <c r="I714" s="5" t="n"/>
      <c r="J714" s="5" t="n">
        <v>8.32</v>
      </c>
      <c r="K714" s="5" t="n"/>
      <c r="L714" s="5" t="n"/>
      <c r="M714" s="5" t="n"/>
      <c r="N714" s="5" t="n"/>
      <c r="O714" s="5" t="n">
        <v>49.9</v>
      </c>
      <c r="P714" s="5" t="n">
        <v>49.9</v>
      </c>
      <c r="Q714" s="5" t="n"/>
      <c r="R714" s="5" t="n"/>
      <c r="S714" s="5">
        <f>SUM(F714:I714)+N714</f>
        <v/>
      </c>
      <c r="T714" s="5">
        <f>J714</f>
        <v/>
      </c>
      <c r="U714" s="6">
        <f>YEAR(D714)</f>
        <v/>
      </c>
      <c r="V714" s="5">
        <f>TEXT(D714,"yyyy-mm")</f>
        <v/>
      </c>
    </row>
    <row r="715">
      <c r="A715" s="2" t="inlineStr">
        <is>
          <t>EJ300424.TXT</t>
        </is>
      </c>
      <c r="B715" s="3" t="inlineStr">
        <is>
          <t>005336</t>
        </is>
      </c>
      <c r="C715" s="3" t="inlineStr">
        <is>
          <t>004275</t>
        </is>
      </c>
      <c r="D715" s="4" t="n">
        <v>45387</v>
      </c>
      <c r="E715" s="2" t="inlineStr">
        <is>
          <t>15:45</t>
        </is>
      </c>
      <c r="F715" s="5" t="n">
        <v>208.33</v>
      </c>
      <c r="G715" s="5" t="n"/>
      <c r="H715" s="5" t="n"/>
      <c r="I715" s="5" t="n"/>
      <c r="J715" s="5" t="n">
        <v>41.67</v>
      </c>
      <c r="K715" s="5" t="n"/>
      <c r="L715" s="5" t="n"/>
      <c r="M715" s="5" t="n"/>
      <c r="N715" s="5" t="n"/>
      <c r="O715" s="5" t="n">
        <v>250</v>
      </c>
      <c r="P715" s="5" t="n"/>
      <c r="Q715" s="5" t="n">
        <v>250</v>
      </c>
      <c r="R715" s="5" t="n"/>
      <c r="S715" s="5">
        <f>SUM(F715:I715)+N715</f>
        <v/>
      </c>
      <c r="T715" s="5">
        <f>J715</f>
        <v/>
      </c>
      <c r="U715" s="6">
        <f>YEAR(D715)</f>
        <v/>
      </c>
      <c r="V715" s="5">
        <f>TEXT(D715,"yyyy-mm")</f>
        <v/>
      </c>
    </row>
    <row r="716">
      <c r="A716" s="2" t="inlineStr">
        <is>
          <t>EJ300424.TXT</t>
        </is>
      </c>
      <c r="B716" s="3" t="inlineStr">
        <is>
          <t>005337</t>
        </is>
      </c>
      <c r="C716" s="3" t="inlineStr">
        <is>
          <t>004276</t>
        </is>
      </c>
      <c r="D716" s="4" t="n">
        <v>45388</v>
      </c>
      <c r="E716" s="2" t="inlineStr">
        <is>
          <t>15:32</t>
        </is>
      </c>
      <c r="F716" s="5" t="n">
        <v>274.17</v>
      </c>
      <c r="G716" s="5" t="n"/>
      <c r="H716" s="5" t="n"/>
      <c r="I716" s="5" t="n"/>
      <c r="J716" s="5" t="n">
        <v>54.83</v>
      </c>
      <c r="K716" s="5" t="n"/>
      <c r="L716" s="5" t="n"/>
      <c r="M716" s="5" t="n"/>
      <c r="N716" s="5" t="n"/>
      <c r="O716" s="5" t="n">
        <v>329</v>
      </c>
      <c r="P716" s="5" t="n"/>
      <c r="Q716" s="5" t="n">
        <v>329</v>
      </c>
      <c r="R716" s="5" t="n"/>
      <c r="S716" s="5">
        <f>SUM(F716:I716)+N716</f>
        <v/>
      </c>
      <c r="T716" s="5">
        <f>J716</f>
        <v/>
      </c>
      <c r="U716" s="6">
        <f>YEAR(D716)</f>
        <v/>
      </c>
      <c r="V716" s="5">
        <f>TEXT(D716,"yyyy-mm")</f>
        <v/>
      </c>
    </row>
    <row r="717">
      <c r="A717" s="2" t="inlineStr">
        <is>
          <t>EJ300424.TXT</t>
        </is>
      </c>
      <c r="B717" s="3" t="inlineStr">
        <is>
          <t>005338</t>
        </is>
      </c>
      <c r="C717" s="3" t="inlineStr">
        <is>
          <t>004277</t>
        </is>
      </c>
      <c r="D717" s="4" t="n">
        <v>45390</v>
      </c>
      <c r="E717" s="2" t="inlineStr">
        <is>
          <t>11:59</t>
        </is>
      </c>
      <c r="F717" s="5" t="n">
        <v>465</v>
      </c>
      <c r="G717" s="5" t="n"/>
      <c r="H717" s="5" t="n"/>
      <c r="I717" s="5" t="n"/>
      <c r="J717" s="5" t="n">
        <v>93</v>
      </c>
      <c r="K717" s="5" t="n"/>
      <c r="L717" s="5" t="n"/>
      <c r="M717" s="5" t="n"/>
      <c r="N717" s="5" t="n"/>
      <c r="O717" s="5" t="n">
        <v>558</v>
      </c>
      <c r="P717" s="5" t="n"/>
      <c r="Q717" s="5" t="n">
        <v>558</v>
      </c>
      <c r="R717" s="5" t="n"/>
      <c r="S717" s="5">
        <f>SUM(F717:I717)+N717</f>
        <v/>
      </c>
      <c r="T717" s="5">
        <f>J717</f>
        <v/>
      </c>
      <c r="U717" s="6">
        <f>YEAR(D717)</f>
        <v/>
      </c>
      <c r="V717" s="5">
        <f>TEXT(D717,"yyyy-mm")</f>
        <v/>
      </c>
    </row>
    <row r="718">
      <c r="A718" s="2" t="inlineStr">
        <is>
          <t>EJ300424.TXT</t>
        </is>
      </c>
      <c r="B718" s="3" t="inlineStr">
        <is>
          <t>005339</t>
        </is>
      </c>
      <c r="C718" s="3" t="inlineStr">
        <is>
          <t>004278</t>
        </is>
      </c>
      <c r="D718" s="4" t="n">
        <v>45392</v>
      </c>
      <c r="E718" s="2" t="inlineStr">
        <is>
          <t>09:38</t>
        </is>
      </c>
      <c r="F718" s="5" t="n">
        <v>548.33</v>
      </c>
      <c r="G718" s="5" t="n"/>
      <c r="H718" s="5" t="n"/>
      <c r="I718" s="5" t="n"/>
      <c r="J718" s="5" t="n">
        <v>109.67</v>
      </c>
      <c r="K718" s="5" t="n"/>
      <c r="L718" s="5" t="n"/>
      <c r="M718" s="5" t="n"/>
      <c r="N718" s="5" t="n"/>
      <c r="O718" s="5" t="n">
        <v>658</v>
      </c>
      <c r="P718" s="5" t="n">
        <v>658</v>
      </c>
      <c r="Q718" s="5" t="n"/>
      <c r="R718" s="5" t="n"/>
      <c r="S718" s="5">
        <f>SUM(F718:I718)+N718</f>
        <v/>
      </c>
      <c r="T718" s="5">
        <f>J718</f>
        <v/>
      </c>
      <c r="U718" s="6">
        <f>YEAR(D718)</f>
        <v/>
      </c>
      <c r="V718" s="5">
        <f>TEXT(D718,"yyyy-mm")</f>
        <v/>
      </c>
    </row>
    <row r="719">
      <c r="A719" s="2" t="inlineStr">
        <is>
          <t>EJ300424.TXT</t>
        </is>
      </c>
      <c r="B719" s="3" t="inlineStr">
        <is>
          <t>005340</t>
        </is>
      </c>
      <c r="C719" s="3" t="inlineStr">
        <is>
          <t>004279</t>
        </is>
      </c>
      <c r="D719" s="4" t="n">
        <v>45394</v>
      </c>
      <c r="E719" s="2" t="inlineStr">
        <is>
          <t>16:47</t>
        </is>
      </c>
      <c r="F719" s="5" t="n">
        <v>199.17</v>
      </c>
      <c r="G719" s="5" t="n"/>
      <c r="H719" s="5" t="n"/>
      <c r="I719" s="5" t="n"/>
      <c r="J719" s="5" t="n">
        <v>39.83</v>
      </c>
      <c r="K719" s="5" t="n"/>
      <c r="L719" s="5" t="n"/>
      <c r="M719" s="5" t="n"/>
      <c r="N719" s="5" t="n"/>
      <c r="O719" s="5" t="n">
        <v>239</v>
      </c>
      <c r="P719" s="5" t="n"/>
      <c r="Q719" s="5" t="n">
        <v>239</v>
      </c>
      <c r="R719" s="5" t="n"/>
      <c r="S719" s="5">
        <f>SUM(F719:I719)+N719</f>
        <v/>
      </c>
      <c r="T719" s="5">
        <f>J719</f>
        <v/>
      </c>
      <c r="U719" s="6">
        <f>YEAR(D719)</f>
        <v/>
      </c>
      <c r="V719" s="5">
        <f>TEXT(D719,"yyyy-mm")</f>
        <v/>
      </c>
    </row>
    <row r="720">
      <c r="A720" s="2" t="inlineStr">
        <is>
          <t>EJ300424.TXT</t>
        </is>
      </c>
      <c r="B720" s="3" t="inlineStr">
        <is>
          <t>005341</t>
        </is>
      </c>
      <c r="C720" s="3" t="inlineStr">
        <is>
          <t>004280</t>
        </is>
      </c>
      <c r="D720" s="4" t="n">
        <v>45395</v>
      </c>
      <c r="E720" s="2" t="inlineStr">
        <is>
          <t>13:46</t>
        </is>
      </c>
      <c r="F720" s="5" t="n">
        <v>274.17</v>
      </c>
      <c r="G720" s="5" t="n"/>
      <c r="H720" s="5" t="n"/>
      <c r="I720" s="5" t="n"/>
      <c r="J720" s="5" t="n">
        <v>54.83</v>
      </c>
      <c r="K720" s="5" t="n"/>
      <c r="L720" s="5" t="n"/>
      <c r="M720" s="5" t="n"/>
      <c r="N720" s="5" t="n"/>
      <c r="O720" s="5" t="n">
        <v>329</v>
      </c>
      <c r="P720" s="5" t="n"/>
      <c r="Q720" s="5" t="n">
        <v>329</v>
      </c>
      <c r="R720" s="5" t="n"/>
      <c r="S720" s="5">
        <f>SUM(F720:I720)+N720</f>
        <v/>
      </c>
      <c r="T720" s="5">
        <f>J720</f>
        <v/>
      </c>
      <c r="U720" s="6">
        <f>YEAR(D720)</f>
        <v/>
      </c>
      <c r="V720" s="5">
        <f>TEXT(D720,"yyyy-mm")</f>
        <v/>
      </c>
    </row>
    <row r="721">
      <c r="A721" s="2" t="inlineStr">
        <is>
          <t>EJ300424.TXT</t>
        </is>
      </c>
      <c r="B721" s="3" t="inlineStr">
        <is>
          <t>005342</t>
        </is>
      </c>
      <c r="C721" s="3" t="inlineStr">
        <is>
          <t>004281</t>
        </is>
      </c>
      <c r="D721" s="4" t="n">
        <v>45395</v>
      </c>
      <c r="E721" s="2" t="inlineStr">
        <is>
          <t>13:47</t>
        </is>
      </c>
      <c r="F721" s="5" t="n">
        <v>274.17</v>
      </c>
      <c r="G721" s="5" t="n"/>
      <c r="H721" s="5" t="n"/>
      <c r="I721" s="5" t="n"/>
      <c r="J721" s="5" t="n">
        <v>54.83</v>
      </c>
      <c r="K721" s="5" t="n"/>
      <c r="L721" s="5" t="n"/>
      <c r="M721" s="5" t="n"/>
      <c r="N721" s="5" t="n"/>
      <c r="O721" s="5" t="n">
        <v>329</v>
      </c>
      <c r="P721" s="5" t="n">
        <v>329</v>
      </c>
      <c r="Q721" s="5" t="n"/>
      <c r="R721" s="5" t="n"/>
      <c r="S721" s="5">
        <f>SUM(F721:I721)+N721</f>
        <v/>
      </c>
      <c r="T721" s="5">
        <f>J721</f>
        <v/>
      </c>
      <c r="U721" s="6">
        <f>YEAR(D721)</f>
        <v/>
      </c>
      <c r="V721" s="5">
        <f>TEXT(D721,"yyyy-mm")</f>
        <v/>
      </c>
    </row>
    <row r="722">
      <c r="A722" s="2" t="inlineStr">
        <is>
          <t>EJ300424.TXT</t>
        </is>
      </c>
      <c r="B722" s="3" t="inlineStr">
        <is>
          <t>005343</t>
        </is>
      </c>
      <c r="C722" s="3" t="inlineStr">
        <is>
          <t>004282</t>
        </is>
      </c>
      <c r="D722" s="4" t="n">
        <v>45395</v>
      </c>
      <c r="E722" s="2" t="inlineStr">
        <is>
          <t>16:11</t>
        </is>
      </c>
      <c r="F722" s="5" t="n">
        <v>2390</v>
      </c>
      <c r="G722" s="5" t="n"/>
      <c r="H722" s="5" t="n"/>
      <c r="I722" s="5" t="n"/>
      <c r="J722" s="5" t="n">
        <v>478</v>
      </c>
      <c r="K722" s="5" t="n"/>
      <c r="L722" s="5" t="n"/>
      <c r="M722" s="5" t="n"/>
      <c r="N722" s="5" t="n"/>
      <c r="O722" s="5" t="n">
        <v>2868</v>
      </c>
      <c r="P722" s="5" t="n">
        <v>2868</v>
      </c>
      <c r="Q722" s="5" t="n"/>
      <c r="R722" s="5" t="n"/>
      <c r="S722" s="5">
        <f>SUM(F722:I722)+N722</f>
        <v/>
      </c>
      <c r="T722" s="5">
        <f>J722</f>
        <v/>
      </c>
      <c r="U722" s="6">
        <f>YEAR(D722)</f>
        <v/>
      </c>
      <c r="V722" s="5">
        <f>TEXT(D722,"yyyy-mm")</f>
        <v/>
      </c>
    </row>
    <row r="723">
      <c r="A723" s="2" t="inlineStr">
        <is>
          <t>EJ300424.TXT</t>
        </is>
      </c>
      <c r="B723" s="3" t="inlineStr">
        <is>
          <t>005344</t>
        </is>
      </c>
      <c r="C723" s="3" t="inlineStr">
        <is>
          <t>004283</t>
        </is>
      </c>
      <c r="D723" s="4" t="n">
        <v>45398</v>
      </c>
      <c r="E723" s="2" t="inlineStr">
        <is>
          <t>17:19</t>
        </is>
      </c>
      <c r="F723" s="5" t="n">
        <v>41.58</v>
      </c>
      <c r="G723" s="5" t="n"/>
      <c r="H723" s="5" t="n"/>
      <c r="I723" s="5" t="n"/>
      <c r="J723" s="5" t="n">
        <v>8.32</v>
      </c>
      <c r="K723" s="5" t="n"/>
      <c r="L723" s="5" t="n"/>
      <c r="M723" s="5" t="n"/>
      <c r="N723" s="5" t="n"/>
      <c r="O723" s="5" t="n">
        <v>49.9</v>
      </c>
      <c r="P723" s="5" t="n">
        <v>49.9</v>
      </c>
      <c r="Q723" s="5" t="n"/>
      <c r="R723" s="5" t="n"/>
      <c r="S723" s="5">
        <f>SUM(F723:I723)+N723</f>
        <v/>
      </c>
      <c r="T723" s="5">
        <f>J723</f>
        <v/>
      </c>
      <c r="U723" s="6">
        <f>YEAR(D723)</f>
        <v/>
      </c>
      <c r="V723" s="5">
        <f>TEXT(D723,"yyyy-mm")</f>
        <v/>
      </c>
    </row>
    <row r="724">
      <c r="A724" s="2" t="inlineStr">
        <is>
          <t>EJ300424.TXT</t>
        </is>
      </c>
      <c r="B724" s="3" t="inlineStr">
        <is>
          <t>005345</t>
        </is>
      </c>
      <c r="C724" s="3" t="inlineStr">
        <is>
          <t>004284</t>
        </is>
      </c>
      <c r="D724" s="4" t="n">
        <v>45399</v>
      </c>
      <c r="E724" s="2" t="inlineStr">
        <is>
          <t>16:19</t>
        </is>
      </c>
      <c r="F724" s="5" t="n">
        <v>548.33</v>
      </c>
      <c r="G724" s="5" t="n"/>
      <c r="H724" s="5" t="n"/>
      <c r="I724" s="5" t="n"/>
      <c r="J724" s="5" t="n">
        <v>109.67</v>
      </c>
      <c r="K724" s="5" t="n"/>
      <c r="L724" s="5" t="n"/>
      <c r="M724" s="5" t="n"/>
      <c r="N724" s="5" t="n"/>
      <c r="O724" s="5" t="n">
        <v>658</v>
      </c>
      <c r="P724" s="5" t="n">
        <v>658</v>
      </c>
      <c r="Q724" s="5" t="n"/>
      <c r="R724" s="5" t="n"/>
      <c r="S724" s="5">
        <f>SUM(F724:I724)+N724</f>
        <v/>
      </c>
      <c r="T724" s="5">
        <f>J724</f>
        <v/>
      </c>
      <c r="U724" s="6">
        <f>YEAR(D724)</f>
        <v/>
      </c>
      <c r="V724" s="5">
        <f>TEXT(D724,"yyyy-mm")</f>
        <v/>
      </c>
    </row>
    <row r="725">
      <c r="A725" s="2" t="inlineStr">
        <is>
          <t>EJ300424.TXT</t>
        </is>
      </c>
      <c r="B725" s="3" t="inlineStr">
        <is>
          <t>005347</t>
        </is>
      </c>
      <c r="C725" s="3" t="inlineStr">
        <is>
          <t>004285</t>
        </is>
      </c>
      <c r="D725" s="4" t="n">
        <v>45402</v>
      </c>
      <c r="E725" s="2" t="inlineStr">
        <is>
          <t>13:49</t>
        </is>
      </c>
      <c r="F725" s="5" t="n">
        <v>190.83</v>
      </c>
      <c r="G725" s="5" t="n"/>
      <c r="H725" s="5" t="n"/>
      <c r="I725" s="5" t="n"/>
      <c r="J725" s="5" t="n">
        <v>38.17</v>
      </c>
      <c r="K725" s="5" t="n"/>
      <c r="L725" s="5" t="n"/>
      <c r="M725" s="5" t="n"/>
      <c r="N725" s="5" t="n"/>
      <c r="O725" s="5" t="n">
        <v>229</v>
      </c>
      <c r="P725" s="5" t="n"/>
      <c r="Q725" s="5" t="n">
        <v>229</v>
      </c>
      <c r="R725" s="5" t="n"/>
      <c r="S725" s="5">
        <f>SUM(F725:I725)+N725</f>
        <v/>
      </c>
      <c r="T725" s="5">
        <f>J725</f>
        <v/>
      </c>
      <c r="U725" s="6">
        <f>YEAR(D725)</f>
        <v/>
      </c>
      <c r="V725" s="5">
        <f>TEXT(D725,"yyyy-mm")</f>
        <v/>
      </c>
    </row>
    <row r="726">
      <c r="A726" s="2" t="inlineStr">
        <is>
          <t>EJ300424.TXT</t>
        </is>
      </c>
      <c r="B726" s="3" t="inlineStr">
        <is>
          <t>005348</t>
        </is>
      </c>
      <c r="C726" s="3" t="inlineStr">
        <is>
          <t>004286</t>
        </is>
      </c>
      <c r="D726" s="4" t="n">
        <v>45402</v>
      </c>
      <c r="E726" s="2" t="inlineStr">
        <is>
          <t>14:32</t>
        </is>
      </c>
      <c r="F726" s="5" t="n">
        <v>199.17</v>
      </c>
      <c r="G726" s="5" t="n"/>
      <c r="H726" s="5" t="n"/>
      <c r="I726" s="5" t="n"/>
      <c r="J726" s="5" t="n">
        <v>39.83</v>
      </c>
      <c r="K726" s="5" t="n"/>
      <c r="L726" s="5" t="n"/>
      <c r="M726" s="5" t="n"/>
      <c r="N726" s="5" t="n"/>
      <c r="O726" s="5" t="n">
        <v>239</v>
      </c>
      <c r="P726" s="5" t="n"/>
      <c r="Q726" s="5" t="n">
        <v>239</v>
      </c>
      <c r="R726" s="5" t="n"/>
      <c r="S726" s="5">
        <f>SUM(F726:I726)+N726</f>
        <v/>
      </c>
      <c r="T726" s="5">
        <f>J726</f>
        <v/>
      </c>
      <c r="U726" s="6">
        <f>YEAR(D726)</f>
        <v/>
      </c>
      <c r="V726" s="5">
        <f>TEXT(D726,"yyyy-mm")</f>
        <v/>
      </c>
    </row>
    <row r="727">
      <c r="A727" s="2" t="inlineStr">
        <is>
          <t>EJ300424.TXT</t>
        </is>
      </c>
      <c r="B727" s="3" t="inlineStr">
        <is>
          <t>005349</t>
        </is>
      </c>
      <c r="C727" s="3" t="inlineStr">
        <is>
          <t>004287</t>
        </is>
      </c>
      <c r="D727" s="4" t="n">
        <v>45402</v>
      </c>
      <c r="E727" s="2" t="inlineStr">
        <is>
          <t>14:37</t>
        </is>
      </c>
      <c r="F727" s="5" t="n">
        <v>124.17</v>
      </c>
      <c r="G727" s="5" t="n"/>
      <c r="H727" s="5" t="n"/>
      <c r="I727" s="5" t="n"/>
      <c r="J727" s="5" t="n">
        <v>24.83</v>
      </c>
      <c r="K727" s="5" t="n"/>
      <c r="L727" s="5" t="n"/>
      <c r="M727" s="5" t="n"/>
      <c r="N727" s="5" t="n"/>
      <c r="O727" s="5" t="n">
        <v>149</v>
      </c>
      <c r="P727" s="5" t="n">
        <v>149</v>
      </c>
      <c r="Q727" s="5" t="n"/>
      <c r="R727" s="5" t="n"/>
      <c r="S727" s="5">
        <f>SUM(F727:I727)+N727</f>
        <v/>
      </c>
      <c r="T727" s="5">
        <f>J727</f>
        <v/>
      </c>
      <c r="U727" s="6">
        <f>YEAR(D727)</f>
        <v/>
      </c>
      <c r="V727" s="5">
        <f>TEXT(D727,"yyyy-mm")</f>
        <v/>
      </c>
    </row>
    <row r="728">
      <c r="A728" s="2" t="inlineStr">
        <is>
          <t>EJ300424.TXT</t>
        </is>
      </c>
      <c r="B728" s="3" t="inlineStr">
        <is>
          <t>005350</t>
        </is>
      </c>
      <c r="C728" s="3" t="inlineStr">
        <is>
          <t>004288</t>
        </is>
      </c>
      <c r="D728" s="4" t="n">
        <v>45402</v>
      </c>
      <c r="E728" s="2" t="inlineStr">
        <is>
          <t>16:46</t>
        </is>
      </c>
      <c r="F728" s="5" t="n">
        <v>274.17</v>
      </c>
      <c r="G728" s="5" t="n"/>
      <c r="H728" s="5" t="n"/>
      <c r="I728" s="5" t="n"/>
      <c r="J728" s="5" t="n">
        <v>54.83</v>
      </c>
      <c r="K728" s="5" t="n"/>
      <c r="L728" s="5" t="n"/>
      <c r="M728" s="5" t="n"/>
      <c r="N728" s="5" t="n"/>
      <c r="O728" s="5" t="n">
        <v>329</v>
      </c>
      <c r="P728" s="5" t="n">
        <v>329</v>
      </c>
      <c r="Q728" s="5" t="n"/>
      <c r="R728" s="5" t="n"/>
      <c r="S728" s="5">
        <f>SUM(F728:I728)+N728</f>
        <v/>
      </c>
      <c r="T728" s="5">
        <f>J728</f>
        <v/>
      </c>
      <c r="U728" s="6">
        <f>YEAR(D728)</f>
        <v/>
      </c>
      <c r="V728" s="5">
        <f>TEXT(D728,"yyyy-mm")</f>
        <v/>
      </c>
    </row>
    <row r="729">
      <c r="A729" s="2" t="inlineStr">
        <is>
          <t>EJ300424.TXT</t>
        </is>
      </c>
      <c r="B729" s="3" t="inlineStr">
        <is>
          <t>005351</t>
        </is>
      </c>
      <c r="C729" s="3" t="inlineStr">
        <is>
          <t>004289</t>
        </is>
      </c>
      <c r="D729" s="4" t="n">
        <v>45404</v>
      </c>
      <c r="E729" s="2" t="inlineStr">
        <is>
          <t>15:43</t>
        </is>
      </c>
      <c r="F729" s="5" t="n">
        <v>208.33</v>
      </c>
      <c r="G729" s="5" t="n"/>
      <c r="H729" s="5" t="n"/>
      <c r="I729" s="5" t="n"/>
      <c r="J729" s="5" t="n">
        <v>41.67</v>
      </c>
      <c r="K729" s="5" t="n"/>
      <c r="L729" s="5" t="n"/>
      <c r="M729" s="5" t="n"/>
      <c r="N729" s="5" t="n"/>
      <c r="O729" s="5" t="n">
        <v>250</v>
      </c>
      <c r="P729" s="5" t="n"/>
      <c r="Q729" s="5" t="n">
        <v>250</v>
      </c>
      <c r="R729" s="5" t="n"/>
      <c r="S729" s="5">
        <f>SUM(F729:I729)+N729</f>
        <v/>
      </c>
      <c r="T729" s="5">
        <f>J729</f>
        <v/>
      </c>
      <c r="U729" s="6">
        <f>YEAR(D729)</f>
        <v/>
      </c>
      <c r="V729" s="5">
        <f>TEXT(D729,"yyyy-mm")</f>
        <v/>
      </c>
    </row>
    <row r="730">
      <c r="A730" s="2" t="inlineStr">
        <is>
          <t>EJ300424.TXT</t>
        </is>
      </c>
      <c r="B730" s="3" t="inlineStr">
        <is>
          <t>005352</t>
        </is>
      </c>
      <c r="C730" s="3" t="inlineStr">
        <is>
          <t>004290</t>
        </is>
      </c>
      <c r="D730" s="4" t="n">
        <v>45407</v>
      </c>
      <c r="E730" s="2" t="inlineStr">
        <is>
          <t>15:00</t>
        </is>
      </c>
      <c r="F730" s="5" t="n">
        <v>1096.67</v>
      </c>
      <c r="G730" s="5" t="n"/>
      <c r="H730" s="5" t="n"/>
      <c r="I730" s="5" t="n"/>
      <c r="J730" s="5" t="n">
        <v>219.33</v>
      </c>
      <c r="K730" s="5" t="n"/>
      <c r="L730" s="5" t="n"/>
      <c r="M730" s="5" t="n"/>
      <c r="N730" s="5" t="n"/>
      <c r="O730" s="5" t="n">
        <v>1316</v>
      </c>
      <c r="P730" s="5" t="n">
        <v>1316</v>
      </c>
      <c r="Q730" s="5" t="n"/>
      <c r="R730" s="5" t="n"/>
      <c r="S730" s="5">
        <f>SUM(F730:I730)+N730</f>
        <v/>
      </c>
      <c r="T730" s="5">
        <f>J730</f>
        <v/>
      </c>
      <c r="U730" s="6">
        <f>YEAR(D730)</f>
        <v/>
      </c>
      <c r="V730" s="5">
        <f>TEXT(D730,"yyyy-mm")</f>
        <v/>
      </c>
    </row>
    <row r="731">
      <c r="A731" s="2" t="inlineStr">
        <is>
          <t>EJ300424.TXT</t>
        </is>
      </c>
      <c r="B731" s="3" t="inlineStr">
        <is>
          <t>005353</t>
        </is>
      </c>
      <c r="C731" s="3" t="inlineStr">
        <is>
          <t>004291</t>
        </is>
      </c>
      <c r="D731" s="4" t="n">
        <v>45407</v>
      </c>
      <c r="E731" s="2" t="inlineStr">
        <is>
          <t>15:07</t>
        </is>
      </c>
      <c r="F731" s="5" t="n">
        <v>548.33</v>
      </c>
      <c r="G731" s="5" t="n"/>
      <c r="H731" s="5" t="n"/>
      <c r="I731" s="5" t="n"/>
      <c r="J731" s="5" t="n">
        <v>109.67</v>
      </c>
      <c r="K731" s="5" t="n"/>
      <c r="L731" s="5" t="n"/>
      <c r="M731" s="5" t="n"/>
      <c r="N731" s="5" t="n"/>
      <c r="O731" s="5" t="n">
        <v>658</v>
      </c>
      <c r="P731" s="5" t="n">
        <v>658</v>
      </c>
      <c r="Q731" s="5" t="n"/>
      <c r="R731" s="5" t="n"/>
      <c r="S731" s="5">
        <f>SUM(F731:I731)+N731</f>
        <v/>
      </c>
      <c r="T731" s="5">
        <f>J731</f>
        <v/>
      </c>
      <c r="U731" s="6">
        <f>YEAR(D731)</f>
        <v/>
      </c>
      <c r="V731" s="5">
        <f>TEXT(D731,"yyyy-mm")</f>
        <v/>
      </c>
    </row>
    <row r="732">
      <c r="A732" s="2" t="inlineStr">
        <is>
          <t>EJ300424.TXT</t>
        </is>
      </c>
      <c r="B732" s="3" t="inlineStr">
        <is>
          <t>005354</t>
        </is>
      </c>
      <c r="C732" s="3" t="inlineStr">
        <is>
          <t>004292</t>
        </is>
      </c>
      <c r="D732" s="4" t="n">
        <v>45407</v>
      </c>
      <c r="E732" s="2" t="inlineStr">
        <is>
          <t>15:27</t>
        </is>
      </c>
      <c r="F732" s="5" t="n">
        <v>124.17</v>
      </c>
      <c r="G732" s="5" t="n"/>
      <c r="H732" s="5" t="n"/>
      <c r="I732" s="5" t="n"/>
      <c r="J732" s="5" t="n">
        <v>24.83</v>
      </c>
      <c r="K732" s="5" t="n"/>
      <c r="L732" s="5" t="n"/>
      <c r="M732" s="5" t="n"/>
      <c r="N732" s="5" t="n"/>
      <c r="O732" s="5" t="n">
        <v>149</v>
      </c>
      <c r="P732" s="5" t="n">
        <v>149</v>
      </c>
      <c r="Q732" s="5" t="n"/>
      <c r="R732" s="5" t="n"/>
      <c r="S732" s="5">
        <f>SUM(F732:I732)+N732</f>
        <v/>
      </c>
      <c r="T732" s="5">
        <f>J732</f>
        <v/>
      </c>
      <c r="U732" s="6">
        <f>YEAR(D732)</f>
        <v/>
      </c>
      <c r="V732" s="5">
        <f>TEXT(D732,"yyyy-mm")</f>
        <v/>
      </c>
    </row>
    <row r="733">
      <c r="A733" s="2" t="inlineStr">
        <is>
          <t>EJ300424.TXT</t>
        </is>
      </c>
      <c r="B733" s="3" t="inlineStr">
        <is>
          <t>005355</t>
        </is>
      </c>
      <c r="C733" s="3" t="inlineStr">
        <is>
          <t>004293</t>
        </is>
      </c>
      <c r="D733" s="4" t="n">
        <v>45409</v>
      </c>
      <c r="E733" s="2" t="inlineStr">
        <is>
          <t>14:51</t>
        </is>
      </c>
      <c r="F733" s="5" t="n">
        <v>82.5</v>
      </c>
      <c r="G733" s="5" t="n"/>
      <c r="H733" s="5" t="n"/>
      <c r="I733" s="5" t="n"/>
      <c r="J733" s="5" t="n">
        <v>16.5</v>
      </c>
      <c r="K733" s="5" t="n"/>
      <c r="L733" s="5" t="n"/>
      <c r="M733" s="5" t="n"/>
      <c r="N733" s="5" t="n"/>
      <c r="O733" s="5" t="n">
        <v>99</v>
      </c>
      <c r="P733" s="5" t="n"/>
      <c r="Q733" s="5" t="n">
        <v>99</v>
      </c>
      <c r="R733" s="5" t="n"/>
      <c r="S733" s="5">
        <f>SUM(F733:I733)+N733</f>
        <v/>
      </c>
      <c r="T733" s="5">
        <f>J733</f>
        <v/>
      </c>
      <c r="U733" s="6">
        <f>YEAR(D733)</f>
        <v/>
      </c>
      <c r="V733" s="5">
        <f>TEXT(D733,"yyyy-mm")</f>
        <v/>
      </c>
    </row>
    <row r="734">
      <c r="A734" s="2" t="inlineStr">
        <is>
          <t>EJ300424.TXT</t>
        </is>
      </c>
      <c r="B734" s="3" t="inlineStr">
        <is>
          <t>005356</t>
        </is>
      </c>
      <c r="C734" s="3" t="inlineStr">
        <is>
          <t>004294</t>
        </is>
      </c>
      <c r="D734" s="4" t="n">
        <v>45411</v>
      </c>
      <c r="E734" s="2" t="inlineStr">
        <is>
          <t>11:22</t>
        </is>
      </c>
      <c r="F734" s="5" t="n">
        <v>41.58</v>
      </c>
      <c r="G734" s="5" t="n"/>
      <c r="H734" s="5" t="n"/>
      <c r="I734" s="5" t="n"/>
      <c r="J734" s="5" t="n">
        <v>8.32</v>
      </c>
      <c r="K734" s="5" t="n"/>
      <c r="L734" s="5" t="n"/>
      <c r="M734" s="5" t="n"/>
      <c r="N734" s="5" t="n"/>
      <c r="O734" s="5" t="n">
        <v>49.9</v>
      </c>
      <c r="P734" s="5" t="n"/>
      <c r="Q734" s="5" t="n">
        <v>49.9</v>
      </c>
      <c r="R734" s="5" t="n"/>
      <c r="S734" s="5">
        <f>SUM(F734:I734)+N734</f>
        <v/>
      </c>
      <c r="T734" s="5">
        <f>J734</f>
        <v/>
      </c>
      <c r="U734" s="6">
        <f>YEAR(D734)</f>
        <v/>
      </c>
      <c r="V734" s="5">
        <f>TEXT(D734,"yyyy-mm")</f>
        <v/>
      </c>
    </row>
    <row r="735">
      <c r="A735" s="2" t="inlineStr">
        <is>
          <t>EJ300424.TXT</t>
        </is>
      </c>
      <c r="B735" s="3" t="inlineStr">
        <is>
          <t>005357</t>
        </is>
      </c>
      <c r="C735" s="3" t="inlineStr">
        <is>
          <t>004295</t>
        </is>
      </c>
      <c r="D735" s="4" t="n">
        <v>45412</v>
      </c>
      <c r="E735" s="2" t="inlineStr">
        <is>
          <t>15:10</t>
        </is>
      </c>
      <c r="F735" s="5" t="n">
        <v>208.33</v>
      </c>
      <c r="G735" s="5" t="n"/>
      <c r="H735" s="5" t="n"/>
      <c r="I735" s="5" t="n"/>
      <c r="J735" s="5" t="n">
        <v>41.67</v>
      </c>
      <c r="K735" s="5" t="n"/>
      <c r="L735" s="5" t="n"/>
      <c r="M735" s="5" t="n"/>
      <c r="N735" s="5" t="n"/>
      <c r="O735" s="5" t="n">
        <v>250</v>
      </c>
      <c r="P735" s="5" t="n"/>
      <c r="Q735" s="5" t="n">
        <v>250</v>
      </c>
      <c r="R735" s="5" t="n"/>
      <c r="S735" s="5">
        <f>SUM(F735:I735)+N735</f>
        <v/>
      </c>
      <c r="T735" s="5">
        <f>J735</f>
        <v/>
      </c>
      <c r="U735" s="6">
        <f>YEAR(D735)</f>
        <v/>
      </c>
      <c r="V735" s="5">
        <f>TEXT(D735,"yyyy-mm")</f>
        <v/>
      </c>
    </row>
    <row r="736">
      <c r="A736" s="2" t="inlineStr">
        <is>
          <t>EJ300424.TXT</t>
        </is>
      </c>
      <c r="B736" s="3" t="inlineStr">
        <is>
          <t>005358</t>
        </is>
      </c>
      <c r="C736" s="3" t="inlineStr">
        <is>
          <t>004296</t>
        </is>
      </c>
      <c r="D736" s="4" t="n">
        <v>45412</v>
      </c>
      <c r="E736" s="2" t="inlineStr">
        <is>
          <t>17:08</t>
        </is>
      </c>
      <c r="F736" s="5" t="n">
        <v>82.5</v>
      </c>
      <c r="G736" s="5" t="n"/>
      <c r="H736" s="5" t="n"/>
      <c r="I736" s="5" t="n"/>
      <c r="J736" s="5" t="n">
        <v>16.5</v>
      </c>
      <c r="K736" s="5" t="n"/>
      <c r="L736" s="5" t="n"/>
      <c r="M736" s="5" t="n"/>
      <c r="N736" s="5" t="n"/>
      <c r="O736" s="5" t="n">
        <v>99</v>
      </c>
      <c r="P736" s="5" t="n">
        <v>99</v>
      </c>
      <c r="Q736" s="5" t="n"/>
      <c r="R736" s="5" t="n"/>
      <c r="S736" s="5">
        <f>SUM(F736:I736)+N736</f>
        <v/>
      </c>
      <c r="T736" s="5">
        <f>J736</f>
        <v/>
      </c>
      <c r="U736" s="6">
        <f>YEAR(D736)</f>
        <v/>
      </c>
      <c r="V736" s="5">
        <f>TEXT(D736,"yyyy-mm")</f>
        <v/>
      </c>
    </row>
    <row r="737">
      <c r="A737" s="2" t="inlineStr">
        <is>
          <t>EJ010624.TXT</t>
        </is>
      </c>
      <c r="B737" s="3" t="inlineStr">
        <is>
          <t>005367</t>
        </is>
      </c>
      <c r="C737" s="3" t="inlineStr">
        <is>
          <t>004297</t>
        </is>
      </c>
      <c r="D737" s="4" t="n">
        <v>45416</v>
      </c>
      <c r="E737" s="2" t="inlineStr">
        <is>
          <t>14:56</t>
        </is>
      </c>
      <c r="F737" s="5" t="n">
        <v>1480</v>
      </c>
      <c r="G737" s="5" t="n"/>
      <c r="H737" s="5" t="n"/>
      <c r="I737" s="5" t="n"/>
      <c r="J737" s="5" t="n">
        <v>296</v>
      </c>
      <c r="K737" s="5" t="n"/>
      <c r="L737" s="5" t="n"/>
      <c r="M737" s="5" t="n"/>
      <c r="N737" s="5" t="n"/>
      <c r="O737" s="5" t="n">
        <v>1776</v>
      </c>
      <c r="P737" s="5" t="n">
        <v>1776</v>
      </c>
      <c r="Q737" s="5" t="n"/>
      <c r="R737" s="5" t="n"/>
      <c r="S737" s="5">
        <f>SUM(F737:I737)+N737</f>
        <v/>
      </c>
      <c r="T737" s="5">
        <f>J737</f>
        <v/>
      </c>
      <c r="U737" s="6">
        <f>YEAR(D737)</f>
        <v/>
      </c>
      <c r="V737" s="5">
        <f>TEXT(D737,"yyyy-mm")</f>
        <v/>
      </c>
    </row>
    <row r="738">
      <c r="A738" s="2" t="inlineStr">
        <is>
          <t>EJ010624.TXT</t>
        </is>
      </c>
      <c r="B738" s="3" t="inlineStr">
        <is>
          <t>005368</t>
        </is>
      </c>
      <c r="C738" s="3" t="inlineStr">
        <is>
          <t>004298</t>
        </is>
      </c>
      <c r="D738" s="4" t="n">
        <v>45416</v>
      </c>
      <c r="E738" s="2" t="inlineStr">
        <is>
          <t>16:33</t>
        </is>
      </c>
      <c r="F738" s="5" t="n">
        <v>822.5</v>
      </c>
      <c r="G738" s="5" t="n"/>
      <c r="H738" s="5" t="n"/>
      <c r="I738" s="5" t="n"/>
      <c r="J738" s="5" t="n">
        <v>164.5</v>
      </c>
      <c r="K738" s="5" t="n"/>
      <c r="L738" s="5" t="n"/>
      <c r="M738" s="5" t="n"/>
      <c r="N738" s="5" t="n"/>
      <c r="O738" s="5" t="n">
        <v>987</v>
      </c>
      <c r="P738" s="5" t="n"/>
      <c r="Q738" s="5" t="n">
        <v>987</v>
      </c>
      <c r="R738" s="5" t="n"/>
      <c r="S738" s="5">
        <f>SUM(F738:I738)+N738</f>
        <v/>
      </c>
      <c r="T738" s="5">
        <f>J738</f>
        <v/>
      </c>
      <c r="U738" s="6">
        <f>YEAR(D738)</f>
        <v/>
      </c>
      <c r="V738" s="5">
        <f>TEXT(D738,"yyyy-mm")</f>
        <v/>
      </c>
    </row>
    <row r="739">
      <c r="A739" s="2" t="inlineStr">
        <is>
          <t>EJ010624.TXT</t>
        </is>
      </c>
      <c r="B739" s="3" t="inlineStr">
        <is>
          <t>005369</t>
        </is>
      </c>
      <c r="C739" s="3" t="inlineStr">
        <is>
          <t>004299</t>
        </is>
      </c>
      <c r="D739" s="4" t="n">
        <v>45416</v>
      </c>
      <c r="E739" s="2" t="inlineStr">
        <is>
          <t>16:34</t>
        </is>
      </c>
      <c r="F739" s="5" t="n">
        <v>548.33</v>
      </c>
      <c r="G739" s="5" t="n"/>
      <c r="H739" s="5" t="n"/>
      <c r="I739" s="5" t="n"/>
      <c r="J739" s="5" t="n">
        <v>109.67</v>
      </c>
      <c r="K739" s="5" t="n"/>
      <c r="L739" s="5" t="n"/>
      <c r="M739" s="5" t="n"/>
      <c r="N739" s="5" t="n"/>
      <c r="O739" s="5" t="n">
        <v>658</v>
      </c>
      <c r="P739" s="5" t="n"/>
      <c r="Q739" s="5" t="n">
        <v>658</v>
      </c>
      <c r="R739" s="5" t="n"/>
      <c r="S739" s="5">
        <f>SUM(F739:I739)+N739</f>
        <v/>
      </c>
      <c r="T739" s="5">
        <f>J739</f>
        <v/>
      </c>
      <c r="U739" s="6">
        <f>YEAR(D739)</f>
        <v/>
      </c>
      <c r="V739" s="5">
        <f>TEXT(D739,"yyyy-mm")</f>
        <v/>
      </c>
    </row>
    <row r="740">
      <c r="A740" s="2" t="inlineStr">
        <is>
          <t>EJ010624.TXT</t>
        </is>
      </c>
      <c r="B740" s="3" t="inlineStr">
        <is>
          <t>005370</t>
        </is>
      </c>
      <c r="C740" s="3" t="inlineStr">
        <is>
          <t>004300</t>
        </is>
      </c>
      <c r="D740" s="4" t="n">
        <v>45416</v>
      </c>
      <c r="E740" s="2" t="inlineStr">
        <is>
          <t>16:34</t>
        </is>
      </c>
      <c r="F740" s="5" t="n">
        <v>540</v>
      </c>
      <c r="G740" s="5" t="n"/>
      <c r="H740" s="5" t="n"/>
      <c r="I740" s="5" t="n"/>
      <c r="J740" s="5" t="n">
        <v>108</v>
      </c>
      <c r="K740" s="5" t="n"/>
      <c r="L740" s="5" t="n"/>
      <c r="M740" s="5" t="n"/>
      <c r="N740" s="5" t="n"/>
      <c r="O740" s="5" t="n">
        <v>648</v>
      </c>
      <c r="P740" s="5" t="n"/>
      <c r="Q740" s="5" t="n">
        <v>648</v>
      </c>
      <c r="R740" s="5" t="n"/>
      <c r="S740" s="5">
        <f>SUM(F740:I740)+N740</f>
        <v/>
      </c>
      <c r="T740" s="5">
        <f>J740</f>
        <v/>
      </c>
      <c r="U740" s="6">
        <f>YEAR(D740)</f>
        <v/>
      </c>
      <c r="V740" s="5">
        <f>TEXT(D740,"yyyy-mm")</f>
        <v/>
      </c>
    </row>
    <row r="741">
      <c r="A741" s="2" t="inlineStr">
        <is>
          <t>EJ010624.TXT</t>
        </is>
      </c>
      <c r="B741" s="3" t="inlineStr">
        <is>
          <t>005371</t>
        </is>
      </c>
      <c r="C741" s="3" t="inlineStr">
        <is>
          <t>004301</t>
        </is>
      </c>
      <c r="D741" s="4" t="n">
        <v>45419</v>
      </c>
      <c r="E741" s="2" t="inlineStr">
        <is>
          <t>18:01</t>
        </is>
      </c>
      <c r="F741" s="5" t="n">
        <v>548.33</v>
      </c>
      <c r="G741" s="5" t="n"/>
      <c r="H741" s="5" t="n"/>
      <c r="I741" s="5" t="n"/>
      <c r="J741" s="5" t="n">
        <v>109.67</v>
      </c>
      <c r="K741" s="5" t="n"/>
      <c r="L741" s="5" t="n"/>
      <c r="M741" s="5" t="n"/>
      <c r="N741" s="5" t="n"/>
      <c r="O741" s="5" t="n">
        <v>658</v>
      </c>
      <c r="P741" s="5" t="n">
        <v>658</v>
      </c>
      <c r="Q741" s="5" t="n"/>
      <c r="R741" s="5" t="n"/>
      <c r="S741" s="5">
        <f>SUM(F741:I741)+N741</f>
        <v/>
      </c>
      <c r="T741" s="5">
        <f>J741</f>
        <v/>
      </c>
      <c r="U741" s="6">
        <f>YEAR(D741)</f>
        <v/>
      </c>
      <c r="V741" s="5">
        <f>TEXT(D741,"yyyy-mm")</f>
        <v/>
      </c>
    </row>
    <row r="742">
      <c r="A742" s="2" t="inlineStr">
        <is>
          <t>EJ010624.TXT</t>
        </is>
      </c>
      <c r="B742" s="3" t="inlineStr">
        <is>
          <t>005372</t>
        </is>
      </c>
      <c r="C742" s="3" t="inlineStr">
        <is>
          <t>004302</t>
        </is>
      </c>
      <c r="D742" s="4" t="n">
        <v>45423</v>
      </c>
      <c r="E742" s="2" t="inlineStr">
        <is>
          <t>16:04</t>
        </is>
      </c>
      <c r="F742" s="5" t="n">
        <v>548.33</v>
      </c>
      <c r="G742" s="5" t="n"/>
      <c r="H742" s="5" t="n"/>
      <c r="I742" s="5" t="n"/>
      <c r="J742" s="5" t="n">
        <v>109.67</v>
      </c>
      <c r="K742" s="5" t="n"/>
      <c r="L742" s="5" t="n"/>
      <c r="M742" s="5" t="n"/>
      <c r="N742" s="5" t="n"/>
      <c r="O742" s="5" t="n">
        <v>658</v>
      </c>
      <c r="P742" s="5" t="n">
        <v>658</v>
      </c>
      <c r="Q742" s="5" t="n"/>
      <c r="R742" s="5" t="n"/>
      <c r="S742" s="5">
        <f>SUM(F742:I742)+N742</f>
        <v/>
      </c>
      <c r="T742" s="5">
        <f>J742</f>
        <v/>
      </c>
      <c r="U742" s="6">
        <f>YEAR(D742)</f>
        <v/>
      </c>
      <c r="V742" s="5">
        <f>TEXT(D742,"yyyy-mm")</f>
        <v/>
      </c>
    </row>
    <row r="743">
      <c r="A743" s="2" t="inlineStr">
        <is>
          <t>EJ010624.TXT</t>
        </is>
      </c>
      <c r="B743" s="3" t="inlineStr">
        <is>
          <t>005373</t>
        </is>
      </c>
      <c r="C743" s="3" t="inlineStr">
        <is>
          <t>004303</t>
        </is>
      </c>
      <c r="D743" s="4" t="n">
        <v>45423</v>
      </c>
      <c r="E743" s="2" t="inlineStr">
        <is>
          <t>17:03</t>
        </is>
      </c>
      <c r="F743" s="5" t="n">
        <v>350</v>
      </c>
      <c r="G743" s="5" t="n"/>
      <c r="H743" s="5" t="n"/>
      <c r="I743" s="5" t="n"/>
      <c r="J743" s="5" t="n">
        <v>70</v>
      </c>
      <c r="K743" s="5" t="n"/>
      <c r="L743" s="5" t="n"/>
      <c r="M743" s="5" t="n"/>
      <c r="N743" s="5" t="n"/>
      <c r="O743" s="5" t="n">
        <v>420</v>
      </c>
      <c r="P743" s="5" t="n">
        <v>420</v>
      </c>
      <c r="Q743" s="5" t="n"/>
      <c r="R743" s="5" t="n"/>
      <c r="S743" s="5">
        <f>SUM(F743:I743)+N743</f>
        <v/>
      </c>
      <c r="T743" s="5">
        <f>J743</f>
        <v/>
      </c>
      <c r="U743" s="6">
        <f>YEAR(D743)</f>
        <v/>
      </c>
      <c r="V743" s="5">
        <f>TEXT(D743,"yyyy-mm")</f>
        <v/>
      </c>
    </row>
    <row r="744">
      <c r="A744" s="2" t="inlineStr">
        <is>
          <t>EJ010624.TXT</t>
        </is>
      </c>
      <c r="B744" s="3" t="inlineStr">
        <is>
          <t>005374</t>
        </is>
      </c>
      <c r="C744" s="3" t="inlineStr">
        <is>
          <t>004304</t>
        </is>
      </c>
      <c r="D744" s="4" t="n">
        <v>45423</v>
      </c>
      <c r="E744" s="2" t="inlineStr">
        <is>
          <t>17:04</t>
        </is>
      </c>
      <c r="F744" s="5" t="n">
        <v>175</v>
      </c>
      <c r="G744" s="5" t="n"/>
      <c r="H744" s="5" t="n"/>
      <c r="I744" s="5" t="n"/>
      <c r="J744" s="5" t="n">
        <v>35</v>
      </c>
      <c r="K744" s="5" t="n"/>
      <c r="L744" s="5" t="n"/>
      <c r="M744" s="5" t="n"/>
      <c r="N744" s="5" t="n"/>
      <c r="O744" s="5" t="n">
        <v>210</v>
      </c>
      <c r="P744" s="5" t="n">
        <v>210</v>
      </c>
      <c r="Q744" s="5" t="n"/>
      <c r="R744" s="5" t="n"/>
      <c r="S744" s="5">
        <f>SUM(F744:I744)+N744</f>
        <v/>
      </c>
      <c r="T744" s="5">
        <f>J744</f>
        <v/>
      </c>
      <c r="U744" s="6">
        <f>YEAR(D744)</f>
        <v/>
      </c>
      <c r="V744" s="5">
        <f>TEXT(D744,"yyyy-mm")</f>
        <v/>
      </c>
    </row>
    <row r="745">
      <c r="A745" s="2" t="inlineStr">
        <is>
          <t>EJ010624.TXT</t>
        </is>
      </c>
      <c r="B745" s="3" t="inlineStr">
        <is>
          <t>005375</t>
        </is>
      </c>
      <c r="C745" s="3" t="inlineStr">
        <is>
          <t>004305</t>
        </is>
      </c>
      <c r="D745" s="4" t="n">
        <v>45423</v>
      </c>
      <c r="E745" s="2" t="inlineStr">
        <is>
          <t>17:08</t>
        </is>
      </c>
      <c r="F745" s="5" t="n">
        <v>548.33</v>
      </c>
      <c r="G745" s="5" t="n"/>
      <c r="H745" s="5" t="n"/>
      <c r="I745" s="5" t="n"/>
      <c r="J745" s="5" t="n">
        <v>109.67</v>
      </c>
      <c r="K745" s="5" t="n"/>
      <c r="L745" s="5" t="n"/>
      <c r="M745" s="5" t="n"/>
      <c r="N745" s="5" t="n"/>
      <c r="O745" s="5" t="n">
        <v>658</v>
      </c>
      <c r="P745" s="5" t="n"/>
      <c r="Q745" s="5" t="n">
        <v>658</v>
      </c>
      <c r="R745" s="5" t="n"/>
      <c r="S745" s="5">
        <f>SUM(F745:I745)+N745</f>
        <v/>
      </c>
      <c r="T745" s="5">
        <f>J745</f>
        <v/>
      </c>
      <c r="U745" s="6">
        <f>YEAR(D745)</f>
        <v/>
      </c>
      <c r="V745" s="5">
        <f>TEXT(D745,"yyyy-mm")</f>
        <v/>
      </c>
    </row>
    <row r="746">
      <c r="A746" s="2" t="inlineStr">
        <is>
          <t>EJ010624.TXT</t>
        </is>
      </c>
      <c r="B746" s="3" t="inlineStr">
        <is>
          <t>005376</t>
        </is>
      </c>
      <c r="C746" s="3" t="inlineStr">
        <is>
          <t>004306</t>
        </is>
      </c>
      <c r="D746" s="4" t="n">
        <v>45429</v>
      </c>
      <c r="E746" s="2" t="inlineStr">
        <is>
          <t>16:22</t>
        </is>
      </c>
      <c r="F746" s="5" t="n">
        <v>274.17</v>
      </c>
      <c r="G746" s="5" t="n"/>
      <c r="H746" s="5" t="n"/>
      <c r="I746" s="5" t="n"/>
      <c r="J746" s="5" t="n">
        <v>54.83</v>
      </c>
      <c r="K746" s="5" t="n"/>
      <c r="L746" s="5" t="n"/>
      <c r="M746" s="5" t="n"/>
      <c r="N746" s="5" t="n"/>
      <c r="O746" s="5" t="n">
        <v>329</v>
      </c>
      <c r="P746" s="5" t="n">
        <v>329</v>
      </c>
      <c r="Q746" s="5" t="n"/>
      <c r="R746" s="5" t="n"/>
      <c r="S746" s="5">
        <f>SUM(F746:I746)+N746</f>
        <v/>
      </c>
      <c r="T746" s="5">
        <f>J746</f>
        <v/>
      </c>
      <c r="U746" s="6">
        <f>YEAR(D746)</f>
        <v/>
      </c>
      <c r="V746" s="5">
        <f>TEXT(D746,"yyyy-mm")</f>
        <v/>
      </c>
    </row>
    <row r="747">
      <c r="A747" s="2" t="inlineStr">
        <is>
          <t>EJ010624.TXT</t>
        </is>
      </c>
      <c r="B747" s="3" t="inlineStr">
        <is>
          <t>005377</t>
        </is>
      </c>
      <c r="C747" s="3" t="inlineStr">
        <is>
          <t>004307</t>
        </is>
      </c>
      <c r="D747" s="4" t="n">
        <v>45429</v>
      </c>
      <c r="E747" s="2" t="inlineStr">
        <is>
          <t>16:26</t>
        </is>
      </c>
      <c r="F747" s="5" t="n">
        <v>208.33</v>
      </c>
      <c r="G747" s="5" t="n"/>
      <c r="H747" s="5" t="n"/>
      <c r="I747" s="5" t="n"/>
      <c r="J747" s="5" t="n">
        <v>41.67</v>
      </c>
      <c r="K747" s="5" t="n"/>
      <c r="L747" s="5" t="n"/>
      <c r="M747" s="5" t="n"/>
      <c r="N747" s="5" t="n"/>
      <c r="O747" s="5" t="n">
        <v>250</v>
      </c>
      <c r="P747" s="5" t="n"/>
      <c r="Q747" s="5" t="n">
        <v>250</v>
      </c>
      <c r="R747" s="5" t="n"/>
      <c r="S747" s="5">
        <f>SUM(F747:I747)+N747</f>
        <v/>
      </c>
      <c r="T747" s="5">
        <f>J747</f>
        <v/>
      </c>
      <c r="U747" s="6">
        <f>YEAR(D747)</f>
        <v/>
      </c>
      <c r="V747" s="5">
        <f>TEXT(D747,"yyyy-mm")</f>
        <v/>
      </c>
    </row>
    <row r="748">
      <c r="A748" s="2" t="inlineStr">
        <is>
          <t>EJ010624.TXT</t>
        </is>
      </c>
      <c r="B748" s="3" t="inlineStr">
        <is>
          <t>005378</t>
        </is>
      </c>
      <c r="C748" s="3" t="inlineStr">
        <is>
          <t>004308</t>
        </is>
      </c>
      <c r="D748" s="4" t="n">
        <v>45433</v>
      </c>
      <c r="E748" s="2" t="inlineStr">
        <is>
          <t>14:25</t>
        </is>
      </c>
      <c r="F748" s="5" t="n">
        <v>208.33</v>
      </c>
      <c r="G748" s="5" t="n"/>
      <c r="H748" s="5" t="n"/>
      <c r="I748" s="5" t="n"/>
      <c r="J748" s="5" t="n">
        <v>41.67</v>
      </c>
      <c r="K748" s="5" t="n"/>
      <c r="L748" s="5" t="n"/>
      <c r="M748" s="5" t="n"/>
      <c r="N748" s="5" t="n"/>
      <c r="O748" s="5" t="n">
        <v>250</v>
      </c>
      <c r="P748" s="5" t="n"/>
      <c r="Q748" s="5" t="n">
        <v>250</v>
      </c>
      <c r="R748" s="5" t="n"/>
      <c r="S748" s="5">
        <f>SUM(F748:I748)+N748</f>
        <v/>
      </c>
      <c r="T748" s="5">
        <f>J748</f>
        <v/>
      </c>
      <c r="U748" s="6">
        <f>YEAR(D748)</f>
        <v/>
      </c>
      <c r="V748" s="5">
        <f>TEXT(D748,"yyyy-mm")</f>
        <v/>
      </c>
    </row>
    <row r="749">
      <c r="A749" s="2" t="inlineStr">
        <is>
          <t>EJ010624.TXT</t>
        </is>
      </c>
      <c r="B749" s="3" t="inlineStr">
        <is>
          <t>005379</t>
        </is>
      </c>
      <c r="C749" s="3" t="inlineStr">
        <is>
          <t>004309</t>
        </is>
      </c>
      <c r="D749" s="4" t="n">
        <v>45434</v>
      </c>
      <c r="E749" s="2" t="inlineStr">
        <is>
          <t>09:57</t>
        </is>
      </c>
      <c r="F749" s="5" t="n">
        <v>548.33</v>
      </c>
      <c r="G749" s="5" t="n"/>
      <c r="H749" s="5" t="n"/>
      <c r="I749" s="5" t="n"/>
      <c r="J749" s="5" t="n">
        <v>109.67</v>
      </c>
      <c r="K749" s="5" t="n"/>
      <c r="L749" s="5" t="n"/>
      <c r="M749" s="5" t="n"/>
      <c r="N749" s="5" t="n"/>
      <c r="O749" s="5" t="n">
        <v>658</v>
      </c>
      <c r="P749" s="5" t="n"/>
      <c r="Q749" s="5" t="n">
        <v>658</v>
      </c>
      <c r="R749" s="5" t="n"/>
      <c r="S749" s="5">
        <f>SUM(F749:I749)+N749</f>
        <v/>
      </c>
      <c r="T749" s="5">
        <f>J749</f>
        <v/>
      </c>
      <c r="U749" s="6">
        <f>YEAR(D749)</f>
        <v/>
      </c>
      <c r="V749" s="5">
        <f>TEXT(D749,"yyyy-mm")</f>
        <v/>
      </c>
    </row>
    <row r="750">
      <c r="A750" s="2" t="inlineStr">
        <is>
          <t>EJ010624.TXT</t>
        </is>
      </c>
      <c r="B750" s="3" t="inlineStr">
        <is>
          <t>005380</t>
        </is>
      </c>
      <c r="C750" s="3" t="inlineStr">
        <is>
          <t>004310</t>
        </is>
      </c>
      <c r="D750" s="4" t="n">
        <v>45434</v>
      </c>
      <c r="E750" s="2" t="inlineStr">
        <is>
          <t>10:00</t>
        </is>
      </c>
      <c r="F750" s="5" t="n">
        <v>208.33</v>
      </c>
      <c r="G750" s="5" t="n"/>
      <c r="H750" s="5" t="n"/>
      <c r="I750" s="5" t="n"/>
      <c r="J750" s="5" t="n">
        <v>41.67</v>
      </c>
      <c r="K750" s="5" t="n"/>
      <c r="L750" s="5" t="n"/>
      <c r="M750" s="5" t="n"/>
      <c r="N750" s="5" t="n"/>
      <c r="O750" s="5" t="n">
        <v>250</v>
      </c>
      <c r="P750" s="5" t="n"/>
      <c r="Q750" s="5" t="n">
        <v>250</v>
      </c>
      <c r="R750" s="5" t="n"/>
      <c r="S750" s="5">
        <f>SUM(F750:I750)+N750</f>
        <v/>
      </c>
      <c r="T750" s="5">
        <f>J750</f>
        <v/>
      </c>
      <c r="U750" s="6">
        <f>YEAR(D750)</f>
        <v/>
      </c>
      <c r="V750" s="5">
        <f>TEXT(D750,"yyyy-mm")</f>
        <v/>
      </c>
    </row>
    <row r="751">
      <c r="A751" s="2" t="inlineStr">
        <is>
          <t>EJ010624.TXT</t>
        </is>
      </c>
      <c r="B751" s="3" t="inlineStr">
        <is>
          <t>005381</t>
        </is>
      </c>
      <c r="C751" s="3" t="inlineStr">
        <is>
          <t>004311</t>
        </is>
      </c>
      <c r="D751" s="4" t="n">
        <v>45435</v>
      </c>
      <c r="E751" s="2" t="inlineStr">
        <is>
          <t>14:27</t>
        </is>
      </c>
      <c r="F751" s="5" t="n">
        <v>797.5</v>
      </c>
      <c r="G751" s="5" t="n"/>
      <c r="H751" s="5" t="n"/>
      <c r="I751" s="5" t="n"/>
      <c r="J751" s="5" t="n">
        <v>159.5</v>
      </c>
      <c r="K751" s="5" t="n"/>
      <c r="L751" s="5" t="n"/>
      <c r="M751" s="5" t="n"/>
      <c r="N751" s="5" t="n"/>
      <c r="O751" s="5" t="n">
        <v>957</v>
      </c>
      <c r="P751" s="5" t="n"/>
      <c r="Q751" s="5" t="n">
        <v>957</v>
      </c>
      <c r="R751" s="5" t="n"/>
      <c r="S751" s="5">
        <f>SUM(F751:I751)+N751</f>
        <v/>
      </c>
      <c r="T751" s="5">
        <f>J751</f>
        <v/>
      </c>
      <c r="U751" s="6">
        <f>YEAR(D751)</f>
        <v/>
      </c>
      <c r="V751" s="5">
        <f>TEXT(D751,"yyyy-mm")</f>
        <v/>
      </c>
    </row>
    <row r="752">
      <c r="A752" s="2" t="inlineStr">
        <is>
          <t>EJ010624.TXT</t>
        </is>
      </c>
      <c r="B752" s="3" t="inlineStr">
        <is>
          <t>005382</t>
        </is>
      </c>
      <c r="C752" s="3" t="inlineStr">
        <is>
          <t>004312</t>
        </is>
      </c>
      <c r="D752" s="4" t="n">
        <v>45435</v>
      </c>
      <c r="E752" s="2" t="inlineStr">
        <is>
          <t>14:27</t>
        </is>
      </c>
      <c r="F752" s="5" t="n">
        <v>797.5</v>
      </c>
      <c r="G752" s="5" t="n"/>
      <c r="H752" s="5" t="n"/>
      <c r="I752" s="5" t="n"/>
      <c r="J752" s="5" t="n">
        <v>159.5</v>
      </c>
      <c r="K752" s="5" t="n"/>
      <c r="L752" s="5" t="n"/>
      <c r="M752" s="5" t="n"/>
      <c r="N752" s="5" t="n"/>
      <c r="O752" s="5" t="n">
        <v>957</v>
      </c>
      <c r="P752" s="5" t="n"/>
      <c r="Q752" s="5" t="n">
        <v>957</v>
      </c>
      <c r="R752" s="5" t="n"/>
      <c r="S752" s="5">
        <f>SUM(F752:I752)+N752</f>
        <v/>
      </c>
      <c r="T752" s="5">
        <f>J752</f>
        <v/>
      </c>
      <c r="U752" s="6">
        <f>YEAR(D752)</f>
        <v/>
      </c>
      <c r="V752" s="5">
        <f>TEXT(D752,"yyyy-mm")</f>
        <v/>
      </c>
    </row>
    <row r="753">
      <c r="A753" s="2" t="inlineStr">
        <is>
          <t>EJ010624.TXT</t>
        </is>
      </c>
      <c r="B753" s="3" t="inlineStr">
        <is>
          <t>005383</t>
        </is>
      </c>
      <c r="C753" s="3" t="inlineStr">
        <is>
          <t>004313</t>
        </is>
      </c>
      <c r="D753" s="4" t="n">
        <v>45436</v>
      </c>
      <c r="E753" s="2" t="inlineStr">
        <is>
          <t>10:00</t>
        </is>
      </c>
      <c r="F753" s="5" t="n">
        <v>822.5</v>
      </c>
      <c r="G753" s="5" t="n"/>
      <c r="H753" s="5" t="n"/>
      <c r="I753" s="5" t="n"/>
      <c r="J753" s="5" t="n">
        <v>164.5</v>
      </c>
      <c r="K753" s="5" t="n"/>
      <c r="L753" s="5" t="n"/>
      <c r="M753" s="5" t="n"/>
      <c r="N753" s="5" t="n"/>
      <c r="O753" s="5" t="n">
        <v>987</v>
      </c>
      <c r="P753" s="5" t="n"/>
      <c r="Q753" s="5" t="n">
        <v>987</v>
      </c>
      <c r="R753" s="5" t="n"/>
      <c r="S753" s="5">
        <f>SUM(F753:I753)+N753</f>
        <v/>
      </c>
      <c r="T753" s="5">
        <f>J753</f>
        <v/>
      </c>
      <c r="U753" s="6">
        <f>YEAR(D753)</f>
        <v/>
      </c>
      <c r="V753" s="5">
        <f>TEXT(D753,"yyyy-mm")</f>
        <v/>
      </c>
    </row>
    <row r="754">
      <c r="A754" s="2" t="inlineStr">
        <is>
          <t>EJ010624.TXT</t>
        </is>
      </c>
      <c r="B754" s="3" t="inlineStr">
        <is>
          <t>005384</t>
        </is>
      </c>
      <c r="C754" s="3" t="inlineStr">
        <is>
          <t>004314</t>
        </is>
      </c>
      <c r="D754" s="4" t="n">
        <v>45436</v>
      </c>
      <c r="E754" s="2" t="inlineStr">
        <is>
          <t>10:01</t>
        </is>
      </c>
      <c r="F754" s="5" t="n">
        <v>822.5</v>
      </c>
      <c r="G754" s="5" t="n"/>
      <c r="H754" s="5" t="n"/>
      <c r="I754" s="5" t="n"/>
      <c r="J754" s="5" t="n">
        <v>164.5</v>
      </c>
      <c r="K754" s="5" t="n"/>
      <c r="L754" s="5" t="n"/>
      <c r="M754" s="5" t="n"/>
      <c r="N754" s="5" t="n"/>
      <c r="O754" s="5" t="n">
        <v>987</v>
      </c>
      <c r="P754" s="5" t="n">
        <v>987</v>
      </c>
      <c r="Q754" s="5" t="n"/>
      <c r="R754" s="5" t="n"/>
      <c r="S754" s="5">
        <f>SUM(F754:I754)+N754</f>
        <v/>
      </c>
      <c r="T754" s="5">
        <f>J754</f>
        <v/>
      </c>
      <c r="U754" s="6">
        <f>YEAR(D754)</f>
        <v/>
      </c>
      <c r="V754" s="5">
        <f>TEXT(D754,"yyyy-mm")</f>
        <v/>
      </c>
    </row>
    <row r="755">
      <c r="A755" s="2" t="inlineStr">
        <is>
          <t>EJ010624.TXT</t>
        </is>
      </c>
      <c r="B755" s="3" t="inlineStr">
        <is>
          <t>005385</t>
        </is>
      </c>
      <c r="C755" s="3" t="inlineStr">
        <is>
          <t>004315</t>
        </is>
      </c>
      <c r="D755" s="4" t="n">
        <v>45436</v>
      </c>
      <c r="E755" s="2" t="inlineStr">
        <is>
          <t>14:16</t>
        </is>
      </c>
      <c r="F755" s="5" t="n">
        <v>3190</v>
      </c>
      <c r="G755" s="5" t="n"/>
      <c r="H755" s="5" t="n"/>
      <c r="I755" s="5" t="n"/>
      <c r="J755" s="5" t="n">
        <v>638</v>
      </c>
      <c r="K755" s="5" t="n"/>
      <c r="L755" s="5" t="n"/>
      <c r="M755" s="5" t="n"/>
      <c r="N755" s="5" t="n"/>
      <c r="O755" s="5" t="n">
        <v>3828</v>
      </c>
      <c r="P755" s="5" t="n">
        <v>3828</v>
      </c>
      <c r="Q755" s="5" t="n"/>
      <c r="R755" s="5" t="n"/>
      <c r="S755" s="5">
        <f>SUM(F755:I755)+N755</f>
        <v/>
      </c>
      <c r="T755" s="5">
        <f>J755</f>
        <v/>
      </c>
      <c r="U755" s="6">
        <f>YEAR(D755)</f>
        <v/>
      </c>
      <c r="V755" s="5">
        <f>TEXT(D755,"yyyy-mm")</f>
        <v/>
      </c>
    </row>
    <row r="756">
      <c r="A756" s="2" t="inlineStr">
        <is>
          <t>EJ010624.TXT</t>
        </is>
      </c>
      <c r="B756" s="3" t="inlineStr">
        <is>
          <t>005386</t>
        </is>
      </c>
      <c r="C756" s="3" t="inlineStr">
        <is>
          <t>004316</t>
        </is>
      </c>
      <c r="D756" s="4" t="n">
        <v>45436</v>
      </c>
      <c r="E756" s="2" t="inlineStr">
        <is>
          <t>16:29</t>
        </is>
      </c>
      <c r="F756" s="5" t="n">
        <v>208.33</v>
      </c>
      <c r="G756" s="5" t="n"/>
      <c r="H756" s="5" t="n"/>
      <c r="I756" s="5" t="n"/>
      <c r="J756" s="5" t="n">
        <v>41.67</v>
      </c>
      <c r="K756" s="5" t="n"/>
      <c r="L756" s="5" t="n"/>
      <c r="M756" s="5" t="n"/>
      <c r="N756" s="5" t="n"/>
      <c r="O756" s="5" t="n">
        <v>250</v>
      </c>
      <c r="P756" s="5" t="n"/>
      <c r="Q756" s="5" t="n">
        <v>250</v>
      </c>
      <c r="R756" s="5" t="n"/>
      <c r="S756" s="5">
        <f>SUM(F756:I756)+N756</f>
        <v/>
      </c>
      <c r="T756" s="5">
        <f>J756</f>
        <v/>
      </c>
      <c r="U756" s="6">
        <f>YEAR(D756)</f>
        <v/>
      </c>
      <c r="V756" s="5">
        <f>TEXT(D756,"yyyy-mm")</f>
        <v/>
      </c>
    </row>
    <row r="757">
      <c r="A757" s="2" t="inlineStr">
        <is>
          <t>EJ010624.TXT</t>
        </is>
      </c>
      <c r="B757" s="3" t="inlineStr">
        <is>
          <t>005387</t>
        </is>
      </c>
      <c r="C757" s="3" t="inlineStr">
        <is>
          <t>004317</t>
        </is>
      </c>
      <c r="D757" s="4" t="n">
        <v>45437</v>
      </c>
      <c r="E757" s="2" t="inlineStr">
        <is>
          <t>15:17</t>
        </is>
      </c>
      <c r="F757" s="5" t="n">
        <v>274.17</v>
      </c>
      <c r="G757" s="5" t="n"/>
      <c r="H757" s="5" t="n"/>
      <c r="I757" s="5" t="n"/>
      <c r="J757" s="5" t="n">
        <v>54.83</v>
      </c>
      <c r="K757" s="5" t="n"/>
      <c r="L757" s="5" t="n"/>
      <c r="M757" s="5" t="n"/>
      <c r="N757" s="5" t="n"/>
      <c r="O757" s="5" t="n">
        <v>329</v>
      </c>
      <c r="P757" s="5" t="n">
        <v>329</v>
      </c>
      <c r="Q757" s="5" t="n"/>
      <c r="R757" s="5" t="n"/>
      <c r="S757" s="5">
        <f>SUM(F757:I757)+N757</f>
        <v/>
      </c>
      <c r="T757" s="5">
        <f>J757</f>
        <v/>
      </c>
      <c r="U757" s="6">
        <f>YEAR(D757)</f>
        <v/>
      </c>
      <c r="V757" s="5">
        <f>TEXT(D757,"yyyy-mm")</f>
        <v/>
      </c>
    </row>
    <row r="758">
      <c r="A758" s="2" t="inlineStr">
        <is>
          <t>EJ010624.TXT</t>
        </is>
      </c>
      <c r="B758" s="3" t="inlineStr">
        <is>
          <t>005388</t>
        </is>
      </c>
      <c r="C758" s="3" t="inlineStr">
        <is>
          <t>004318</t>
        </is>
      </c>
      <c r="D758" s="4" t="n">
        <v>45437</v>
      </c>
      <c r="E758" s="2" t="inlineStr">
        <is>
          <t>15:25</t>
        </is>
      </c>
      <c r="F758" s="5" t="n">
        <v>316.08</v>
      </c>
      <c r="G758" s="5" t="n"/>
      <c r="H758" s="5" t="n"/>
      <c r="I758" s="5" t="n"/>
      <c r="J758" s="5" t="n">
        <v>63.22</v>
      </c>
      <c r="K758" s="5" t="n"/>
      <c r="L758" s="5" t="n"/>
      <c r="M758" s="5" t="n"/>
      <c r="N758" s="5" t="n"/>
      <c r="O758" s="5" t="n">
        <v>379.3</v>
      </c>
      <c r="P758" s="5" t="n">
        <v>379.3</v>
      </c>
      <c r="Q758" s="5" t="n"/>
      <c r="R758" s="5" t="n"/>
      <c r="S758" s="5">
        <f>SUM(F758:I758)+N758</f>
        <v/>
      </c>
      <c r="T758" s="5">
        <f>J758</f>
        <v/>
      </c>
      <c r="U758" s="6">
        <f>YEAR(D758)</f>
        <v/>
      </c>
      <c r="V758" s="5">
        <f>TEXT(D758,"yyyy-mm")</f>
        <v/>
      </c>
    </row>
    <row r="759">
      <c r="A759" s="2" t="inlineStr">
        <is>
          <t>EJ010624.TXT</t>
        </is>
      </c>
      <c r="B759" s="3" t="inlineStr">
        <is>
          <t>005389</t>
        </is>
      </c>
      <c r="C759" s="3" t="inlineStr">
        <is>
          <t>004319</t>
        </is>
      </c>
      <c r="D759" s="4" t="n">
        <v>45440</v>
      </c>
      <c r="E759" s="2" t="inlineStr">
        <is>
          <t>14:40</t>
        </is>
      </c>
      <c r="F759" s="5" t="n">
        <v>548.33</v>
      </c>
      <c r="G759" s="5" t="n"/>
      <c r="H759" s="5" t="n"/>
      <c r="I759" s="5" t="n"/>
      <c r="J759" s="5" t="n">
        <v>109.67</v>
      </c>
      <c r="K759" s="5" t="n"/>
      <c r="L759" s="5" t="n"/>
      <c r="M759" s="5" t="n"/>
      <c r="N759" s="5" t="n"/>
      <c r="O759" s="5" t="n">
        <v>658</v>
      </c>
      <c r="P759" s="5" t="n"/>
      <c r="Q759" s="5" t="n">
        <v>658</v>
      </c>
      <c r="R759" s="5" t="n"/>
      <c r="S759" s="5">
        <f>SUM(F759:I759)+N759</f>
        <v/>
      </c>
      <c r="T759" s="5">
        <f>J759</f>
        <v/>
      </c>
      <c r="U759" s="6">
        <f>YEAR(D759)</f>
        <v/>
      </c>
      <c r="V759" s="5">
        <f>TEXT(D759,"yyyy-mm")</f>
        <v/>
      </c>
    </row>
    <row r="760">
      <c r="A760" s="2" t="inlineStr">
        <is>
          <t>EJ010624.TXT</t>
        </is>
      </c>
      <c r="B760" s="3" t="inlineStr">
        <is>
          <t>005390</t>
        </is>
      </c>
      <c r="C760" s="3" t="inlineStr">
        <is>
          <t>004320</t>
        </is>
      </c>
      <c r="D760" s="4" t="n">
        <v>45440</v>
      </c>
      <c r="E760" s="2" t="inlineStr">
        <is>
          <t>14:42</t>
        </is>
      </c>
      <c r="F760" s="5" t="n">
        <v>548.33</v>
      </c>
      <c r="G760" s="5" t="n"/>
      <c r="H760" s="5" t="n"/>
      <c r="I760" s="5" t="n"/>
      <c r="J760" s="5" t="n">
        <v>109.67</v>
      </c>
      <c r="K760" s="5" t="n"/>
      <c r="L760" s="5" t="n"/>
      <c r="M760" s="5" t="n"/>
      <c r="N760" s="5" t="n"/>
      <c r="O760" s="5" t="n">
        <v>658</v>
      </c>
      <c r="P760" s="5" t="n">
        <v>658</v>
      </c>
      <c r="Q760" s="5" t="n"/>
      <c r="R760" s="5" t="n"/>
      <c r="S760" s="5">
        <f>SUM(F760:I760)+N760</f>
        <v/>
      </c>
      <c r="T760" s="5">
        <f>J760</f>
        <v/>
      </c>
      <c r="U760" s="6">
        <f>YEAR(D760)</f>
        <v/>
      </c>
      <c r="V760" s="5">
        <f>TEXT(D760,"yyyy-mm")</f>
        <v/>
      </c>
    </row>
    <row r="761">
      <c r="A761" s="2" t="inlineStr">
        <is>
          <t>EJ010624.TXT</t>
        </is>
      </c>
      <c r="B761" s="3" t="inlineStr">
        <is>
          <t>005391</t>
        </is>
      </c>
      <c r="C761" s="3" t="inlineStr">
        <is>
          <t>004321</t>
        </is>
      </c>
      <c r="D761" s="4" t="n">
        <v>45441</v>
      </c>
      <c r="E761" s="2" t="inlineStr">
        <is>
          <t>15:47</t>
        </is>
      </c>
      <c r="F761" s="5" t="n">
        <v>41.58</v>
      </c>
      <c r="G761" s="5" t="n"/>
      <c r="H761" s="5" t="n"/>
      <c r="I761" s="5" t="n"/>
      <c r="J761" s="5" t="n">
        <v>8.32</v>
      </c>
      <c r="K761" s="5" t="n"/>
      <c r="L761" s="5" t="n"/>
      <c r="M761" s="5" t="n"/>
      <c r="N761" s="5" t="n"/>
      <c r="O761" s="5" t="n">
        <v>49.9</v>
      </c>
      <c r="P761" s="5" t="n"/>
      <c r="Q761" s="5" t="n">
        <v>49.9</v>
      </c>
      <c r="R761" s="5" t="n"/>
      <c r="S761" s="5">
        <f>SUM(F761:I761)+N761</f>
        <v/>
      </c>
      <c r="T761" s="5">
        <f>J761</f>
        <v/>
      </c>
      <c r="U761" s="6">
        <f>YEAR(D761)</f>
        <v/>
      </c>
      <c r="V761" s="5">
        <f>TEXT(D761,"yyyy-mm")</f>
        <v/>
      </c>
    </row>
    <row r="762">
      <c r="A762" s="2" t="inlineStr">
        <is>
          <t>EJ010624.TXT</t>
        </is>
      </c>
      <c r="B762" s="3" t="inlineStr">
        <is>
          <t>005392</t>
        </is>
      </c>
      <c r="C762" s="3" t="inlineStr">
        <is>
          <t>004322</t>
        </is>
      </c>
      <c r="D762" s="4" t="n">
        <v>45441</v>
      </c>
      <c r="E762" s="2" t="inlineStr">
        <is>
          <t>15:47</t>
        </is>
      </c>
      <c r="F762" s="5" t="n">
        <v>208.33</v>
      </c>
      <c r="G762" s="5" t="n"/>
      <c r="H762" s="5" t="n"/>
      <c r="I762" s="5" t="n"/>
      <c r="J762" s="5" t="n">
        <v>41.67</v>
      </c>
      <c r="K762" s="5" t="n"/>
      <c r="L762" s="5" t="n"/>
      <c r="M762" s="5" t="n"/>
      <c r="N762" s="5" t="n"/>
      <c r="O762" s="5" t="n">
        <v>250</v>
      </c>
      <c r="P762" s="5" t="n"/>
      <c r="Q762" s="5" t="n">
        <v>250</v>
      </c>
      <c r="R762" s="5" t="n"/>
      <c r="S762" s="5">
        <f>SUM(F762:I762)+N762</f>
        <v/>
      </c>
      <c r="T762" s="5">
        <f>J762</f>
        <v/>
      </c>
      <c r="U762" s="6">
        <f>YEAR(D762)</f>
        <v/>
      </c>
      <c r="V762" s="5">
        <f>TEXT(D762,"yyyy-mm")</f>
        <v/>
      </c>
    </row>
    <row r="763">
      <c r="A763" s="2" t="inlineStr">
        <is>
          <t>EJ010624.TXT</t>
        </is>
      </c>
      <c r="B763" s="3" t="inlineStr">
        <is>
          <t>005393</t>
        </is>
      </c>
      <c r="C763" s="3" t="inlineStr">
        <is>
          <t>004323</t>
        </is>
      </c>
      <c r="D763" s="4" t="n">
        <v>45441</v>
      </c>
      <c r="E763" s="2" t="inlineStr">
        <is>
          <t>15:51</t>
        </is>
      </c>
      <c r="F763" s="5" t="n">
        <v>208.33</v>
      </c>
      <c r="G763" s="5" t="n"/>
      <c r="H763" s="5" t="n"/>
      <c r="I763" s="5" t="n"/>
      <c r="J763" s="5" t="n">
        <v>41.67</v>
      </c>
      <c r="K763" s="5" t="n"/>
      <c r="L763" s="5" t="n"/>
      <c r="M763" s="5" t="n"/>
      <c r="N763" s="5" t="n"/>
      <c r="O763" s="5" t="n">
        <v>250</v>
      </c>
      <c r="P763" s="5" t="n"/>
      <c r="Q763" s="5" t="n">
        <v>250</v>
      </c>
      <c r="R763" s="5" t="n"/>
      <c r="S763" s="5">
        <f>SUM(F763:I763)+N763</f>
        <v/>
      </c>
      <c r="T763" s="5">
        <f>J763</f>
        <v/>
      </c>
      <c r="U763" s="6">
        <f>YEAR(D763)</f>
        <v/>
      </c>
      <c r="V763" s="5">
        <f>TEXT(D763,"yyyy-mm")</f>
        <v/>
      </c>
    </row>
    <row r="764">
      <c r="A764" s="2" t="inlineStr">
        <is>
          <t>EJ010624.TXT</t>
        </is>
      </c>
      <c r="B764" s="3" t="inlineStr">
        <is>
          <t>005394</t>
        </is>
      </c>
      <c r="C764" s="3" t="inlineStr">
        <is>
          <t>004324</t>
        </is>
      </c>
      <c r="D764" s="4" t="n">
        <v>45443</v>
      </c>
      <c r="E764" s="2" t="inlineStr">
        <is>
          <t>16:07</t>
        </is>
      </c>
      <c r="F764" s="5" t="n">
        <v>208.33</v>
      </c>
      <c r="G764" s="5" t="n"/>
      <c r="H764" s="5" t="n"/>
      <c r="I764" s="5" t="n"/>
      <c r="J764" s="5" t="n">
        <v>41.67</v>
      </c>
      <c r="K764" s="5" t="n"/>
      <c r="L764" s="5" t="n"/>
      <c r="M764" s="5" t="n"/>
      <c r="N764" s="5" t="n"/>
      <c r="O764" s="5" t="n">
        <v>250</v>
      </c>
      <c r="P764" s="5" t="n"/>
      <c r="Q764" s="5" t="n">
        <v>250</v>
      </c>
      <c r="R764" s="5" t="n"/>
      <c r="S764" s="5">
        <f>SUM(F764:I764)+N764</f>
        <v/>
      </c>
      <c r="T764" s="5">
        <f>J764</f>
        <v/>
      </c>
      <c r="U764" s="6">
        <f>YEAR(D764)</f>
        <v/>
      </c>
      <c r="V764" s="5">
        <f>TEXT(D764,"yyyy-mm")</f>
        <v/>
      </c>
    </row>
    <row r="765">
      <c r="A765" s="2" t="inlineStr">
        <is>
          <t>EJ010724.TXT</t>
        </is>
      </c>
      <c r="B765" s="3" t="inlineStr">
        <is>
          <t>005401</t>
        </is>
      </c>
      <c r="C765" s="3" t="inlineStr">
        <is>
          <t>004325</t>
        </is>
      </c>
      <c r="D765" s="4" t="n">
        <v>45444</v>
      </c>
      <c r="E765" s="2" t="inlineStr">
        <is>
          <t>16:18</t>
        </is>
      </c>
      <c r="F765" s="5" t="n">
        <v>830</v>
      </c>
      <c r="G765" s="5" t="n"/>
      <c r="H765" s="5" t="n"/>
      <c r="I765" s="5" t="n"/>
      <c r="J765" s="5" t="n">
        <v>166</v>
      </c>
      <c r="K765" s="5" t="n"/>
      <c r="L765" s="5" t="n"/>
      <c r="M765" s="5" t="n"/>
      <c r="N765" s="5" t="n"/>
      <c r="O765" s="5" t="n">
        <v>996</v>
      </c>
      <c r="P765" s="5" t="n"/>
      <c r="Q765" s="5" t="n">
        <v>996</v>
      </c>
      <c r="R765" s="5" t="n"/>
      <c r="S765" s="5">
        <f>SUM(F765:I765)+N765</f>
        <v/>
      </c>
      <c r="T765" s="5">
        <f>J765</f>
        <v/>
      </c>
      <c r="U765" s="6">
        <f>YEAR(D765)</f>
        <v/>
      </c>
      <c r="V765" s="5">
        <f>TEXT(D765,"yyyy-mm")</f>
        <v/>
      </c>
    </row>
    <row r="766">
      <c r="A766" s="2" t="inlineStr">
        <is>
          <t>EJ010724.TXT</t>
        </is>
      </c>
      <c r="B766" s="3" t="inlineStr">
        <is>
          <t>005402</t>
        </is>
      </c>
      <c r="C766" s="3" t="inlineStr">
        <is>
          <t>004326</t>
        </is>
      </c>
      <c r="D766" s="4" t="n">
        <v>45445</v>
      </c>
      <c r="E766" s="2" t="inlineStr">
        <is>
          <t>12:42</t>
        </is>
      </c>
      <c r="F766" s="5" t="n">
        <v>1063.33</v>
      </c>
      <c r="G766" s="5" t="n"/>
      <c r="H766" s="5" t="n"/>
      <c r="I766" s="5" t="n"/>
      <c r="J766" s="5" t="n">
        <v>212.67</v>
      </c>
      <c r="K766" s="5" t="n"/>
      <c r="L766" s="5" t="n"/>
      <c r="M766" s="5" t="n"/>
      <c r="N766" s="5" t="n"/>
      <c r="O766" s="5" t="n">
        <v>1276</v>
      </c>
      <c r="P766" s="5" t="n">
        <v>1276</v>
      </c>
      <c r="Q766" s="5" t="n"/>
      <c r="R766" s="5" t="n"/>
      <c r="S766" s="5">
        <f>SUM(F766:I766)+N766</f>
        <v/>
      </c>
      <c r="T766" s="5">
        <f>J766</f>
        <v/>
      </c>
      <c r="U766" s="6">
        <f>YEAR(D766)</f>
        <v/>
      </c>
      <c r="V766" s="5">
        <f>TEXT(D766,"yyyy-mm")</f>
        <v/>
      </c>
    </row>
    <row r="767">
      <c r="A767" s="2" t="inlineStr">
        <is>
          <t>EJ010724.TXT</t>
        </is>
      </c>
      <c r="B767" s="3" t="inlineStr">
        <is>
          <t>005403</t>
        </is>
      </c>
      <c r="C767" s="3" t="inlineStr">
        <is>
          <t>004327</t>
        </is>
      </c>
      <c r="D767" s="4" t="n">
        <v>45446</v>
      </c>
      <c r="E767" s="2" t="inlineStr">
        <is>
          <t>10:47</t>
        </is>
      </c>
      <c r="F767" s="5" t="n">
        <v>582.5</v>
      </c>
      <c r="G767" s="5" t="n"/>
      <c r="H767" s="5" t="n"/>
      <c r="I767" s="5" t="n"/>
      <c r="J767" s="5" t="n">
        <v>116.5</v>
      </c>
      <c r="K767" s="5" t="n"/>
      <c r="L767" s="5" t="n"/>
      <c r="M767" s="5" t="n"/>
      <c r="N767" s="5" t="n"/>
      <c r="O767" s="5" t="n">
        <v>699</v>
      </c>
      <c r="P767" s="5" t="n">
        <v>699</v>
      </c>
      <c r="Q767" s="5" t="n"/>
      <c r="R767" s="5" t="n"/>
      <c r="S767" s="5">
        <f>SUM(F767:I767)+N767</f>
        <v/>
      </c>
      <c r="T767" s="5">
        <f>J767</f>
        <v/>
      </c>
      <c r="U767" s="6">
        <f>YEAR(D767)</f>
        <v/>
      </c>
      <c r="V767" s="5">
        <f>TEXT(D767,"yyyy-mm")</f>
        <v/>
      </c>
    </row>
    <row r="768">
      <c r="A768" s="2" t="inlineStr">
        <is>
          <t>EJ010724.TXT</t>
        </is>
      </c>
      <c r="B768" s="3" t="inlineStr">
        <is>
          <t>005404</t>
        </is>
      </c>
      <c r="C768" s="3" t="inlineStr">
        <is>
          <t>004328</t>
        </is>
      </c>
      <c r="D768" s="4" t="n">
        <v>45446</v>
      </c>
      <c r="E768" s="2" t="inlineStr">
        <is>
          <t>10:47</t>
        </is>
      </c>
      <c r="F768" s="5" t="n">
        <v>582.5</v>
      </c>
      <c r="G768" s="5" t="n"/>
      <c r="H768" s="5" t="n"/>
      <c r="I768" s="5" t="n"/>
      <c r="J768" s="5" t="n">
        <v>116.5</v>
      </c>
      <c r="K768" s="5" t="n"/>
      <c r="L768" s="5" t="n"/>
      <c r="M768" s="5" t="n"/>
      <c r="N768" s="5" t="n"/>
      <c r="O768" s="5" t="n">
        <v>699</v>
      </c>
      <c r="P768" s="5" t="n">
        <v>699</v>
      </c>
      <c r="Q768" s="5" t="n"/>
      <c r="R768" s="5" t="n"/>
      <c r="S768" s="5">
        <f>SUM(F768:I768)+N768</f>
        <v/>
      </c>
      <c r="T768" s="5">
        <f>J768</f>
        <v/>
      </c>
      <c r="U768" s="6">
        <f>YEAR(D768)</f>
        <v/>
      </c>
      <c r="V768" s="5">
        <f>TEXT(D768,"yyyy-mm")</f>
        <v/>
      </c>
    </row>
    <row r="769">
      <c r="A769" s="2" t="inlineStr">
        <is>
          <t>EJ010724.TXT</t>
        </is>
      </c>
      <c r="B769" s="3" t="inlineStr">
        <is>
          <t>005405</t>
        </is>
      </c>
      <c r="C769" s="3" t="inlineStr">
        <is>
          <t>004329</t>
        </is>
      </c>
      <c r="D769" s="4" t="n">
        <v>45447</v>
      </c>
      <c r="E769" s="2" t="inlineStr">
        <is>
          <t>10:49</t>
        </is>
      </c>
      <c r="F769" s="5" t="n">
        <v>797.5</v>
      </c>
      <c r="G769" s="5" t="n"/>
      <c r="H769" s="5" t="n"/>
      <c r="I769" s="5" t="n"/>
      <c r="J769" s="5" t="n">
        <v>159.5</v>
      </c>
      <c r="K769" s="5" t="n"/>
      <c r="L769" s="5" t="n"/>
      <c r="M769" s="5" t="n"/>
      <c r="N769" s="5" t="n"/>
      <c r="O769" s="5" t="n">
        <v>957</v>
      </c>
      <c r="P769" s="5" t="n"/>
      <c r="Q769" s="5" t="n">
        <v>957</v>
      </c>
      <c r="R769" s="5" t="n"/>
      <c r="S769" s="5">
        <f>SUM(F769:I769)+N769</f>
        <v/>
      </c>
      <c r="T769" s="5">
        <f>J769</f>
        <v/>
      </c>
      <c r="U769" s="6">
        <f>YEAR(D769)</f>
        <v/>
      </c>
      <c r="V769" s="5">
        <f>TEXT(D769,"yyyy-mm")</f>
        <v/>
      </c>
    </row>
    <row r="770">
      <c r="A770" s="2" t="inlineStr">
        <is>
          <t>EJ010724.TXT</t>
        </is>
      </c>
      <c r="B770" s="3" t="inlineStr">
        <is>
          <t>005406</t>
        </is>
      </c>
      <c r="C770" s="3" t="inlineStr">
        <is>
          <t>004330</t>
        </is>
      </c>
      <c r="D770" s="4" t="n">
        <v>45447</v>
      </c>
      <c r="E770" s="2" t="inlineStr">
        <is>
          <t>10:50</t>
        </is>
      </c>
      <c r="F770" s="5" t="n">
        <v>2356.67</v>
      </c>
      <c r="G770" s="5" t="n"/>
      <c r="H770" s="5" t="n"/>
      <c r="I770" s="5" t="n"/>
      <c r="J770" s="5" t="n">
        <v>471.33</v>
      </c>
      <c r="K770" s="5" t="n"/>
      <c r="L770" s="5" t="n"/>
      <c r="M770" s="5" t="n"/>
      <c r="N770" s="5" t="n"/>
      <c r="O770" s="5" t="n">
        <v>2828</v>
      </c>
      <c r="P770" s="5" t="n">
        <v>2828</v>
      </c>
      <c r="Q770" s="5" t="n"/>
      <c r="R770" s="5" t="n"/>
      <c r="S770" s="5">
        <f>SUM(F770:I770)+N770</f>
        <v/>
      </c>
      <c r="T770" s="5">
        <f>J770</f>
        <v/>
      </c>
      <c r="U770" s="6">
        <f>YEAR(D770)</f>
        <v/>
      </c>
      <c r="V770" s="5">
        <f>TEXT(D770,"yyyy-mm")</f>
        <v/>
      </c>
    </row>
    <row r="771">
      <c r="A771" s="2" t="inlineStr">
        <is>
          <t>EJ010724.TXT</t>
        </is>
      </c>
      <c r="B771" s="3" t="inlineStr">
        <is>
          <t>005407</t>
        </is>
      </c>
      <c r="C771" s="3" t="inlineStr">
        <is>
          <t>004331</t>
        </is>
      </c>
      <c r="D771" s="4" t="n">
        <v>45447</v>
      </c>
      <c r="E771" s="2" t="inlineStr">
        <is>
          <t>10:52</t>
        </is>
      </c>
      <c r="F771" s="5" t="n">
        <v>35.83</v>
      </c>
      <c r="G771" s="5" t="n"/>
      <c r="H771" s="5" t="n"/>
      <c r="I771" s="5" t="n"/>
      <c r="J771" s="5" t="n">
        <v>7.17</v>
      </c>
      <c r="K771" s="5" t="n"/>
      <c r="L771" s="5" t="n"/>
      <c r="M771" s="5" t="n"/>
      <c r="N771" s="5" t="n"/>
      <c r="O771" s="5" t="n">
        <v>43</v>
      </c>
      <c r="P771" s="5" t="n"/>
      <c r="Q771" s="5" t="n">
        <v>43</v>
      </c>
      <c r="R771" s="5" t="n"/>
      <c r="S771" s="5">
        <f>SUM(F771:I771)+N771</f>
        <v/>
      </c>
      <c r="T771" s="5">
        <f>J771</f>
        <v/>
      </c>
      <c r="U771" s="6">
        <f>YEAR(D771)</f>
        <v/>
      </c>
      <c r="V771" s="5">
        <f>TEXT(D771,"yyyy-mm")</f>
        <v/>
      </c>
    </row>
    <row r="772">
      <c r="A772" s="2" t="inlineStr">
        <is>
          <t>EJ010724.TXT</t>
        </is>
      </c>
      <c r="B772" s="3" t="inlineStr">
        <is>
          <t>005408</t>
        </is>
      </c>
      <c r="C772" s="3" t="inlineStr">
        <is>
          <t>004332</t>
        </is>
      </c>
      <c r="D772" s="4" t="n">
        <v>45447</v>
      </c>
      <c r="E772" s="2" t="inlineStr">
        <is>
          <t>10:53</t>
        </is>
      </c>
      <c r="F772" s="5" t="n">
        <v>625</v>
      </c>
      <c r="G772" s="5" t="n"/>
      <c r="H772" s="5" t="n"/>
      <c r="I772" s="5" t="n"/>
      <c r="J772" s="5" t="n">
        <v>125</v>
      </c>
      <c r="K772" s="5" t="n"/>
      <c r="L772" s="5" t="n"/>
      <c r="M772" s="5" t="n"/>
      <c r="N772" s="5" t="n"/>
      <c r="O772" s="5" t="n">
        <v>750</v>
      </c>
      <c r="P772" s="5" t="n"/>
      <c r="Q772" s="5" t="n">
        <v>750</v>
      </c>
      <c r="R772" s="5" t="n"/>
      <c r="S772" s="5">
        <f>SUM(F772:I772)+N772</f>
        <v/>
      </c>
      <c r="T772" s="5">
        <f>J772</f>
        <v/>
      </c>
      <c r="U772" s="6">
        <f>YEAR(D772)</f>
        <v/>
      </c>
      <c r="V772" s="5">
        <f>TEXT(D772,"yyyy-mm")</f>
        <v/>
      </c>
    </row>
    <row r="773">
      <c r="A773" s="2" t="inlineStr">
        <is>
          <t>EJ010724.TXT</t>
        </is>
      </c>
      <c r="B773" s="3" t="inlineStr">
        <is>
          <t>005409</t>
        </is>
      </c>
      <c r="C773" s="3" t="inlineStr">
        <is>
          <t>004333</t>
        </is>
      </c>
      <c r="D773" s="4" t="n">
        <v>45447</v>
      </c>
      <c r="E773" s="2" t="inlineStr">
        <is>
          <t>11:00</t>
        </is>
      </c>
      <c r="F773" s="5" t="n">
        <v>172.5</v>
      </c>
      <c r="G773" s="5" t="n"/>
      <c r="H773" s="5" t="n"/>
      <c r="I773" s="5" t="n"/>
      <c r="J773" s="5" t="n">
        <v>34.5</v>
      </c>
      <c r="K773" s="5" t="n"/>
      <c r="L773" s="5" t="n"/>
      <c r="M773" s="5" t="n"/>
      <c r="N773" s="5" t="n"/>
      <c r="O773" s="5" t="n">
        <v>207</v>
      </c>
      <c r="P773" s="5" t="n"/>
      <c r="Q773" s="5" t="n">
        <v>207</v>
      </c>
      <c r="R773" s="5" t="n"/>
      <c r="S773" s="5">
        <f>SUM(F773:I773)+N773</f>
        <v/>
      </c>
      <c r="T773" s="5">
        <f>J773</f>
        <v/>
      </c>
      <c r="U773" s="6">
        <f>YEAR(D773)</f>
        <v/>
      </c>
      <c r="V773" s="5">
        <f>TEXT(D773,"yyyy-mm")</f>
        <v/>
      </c>
    </row>
    <row r="774">
      <c r="A774" s="2" t="inlineStr">
        <is>
          <t>EJ010724.TXT</t>
        </is>
      </c>
      <c r="B774" s="3" t="inlineStr">
        <is>
          <t>005410</t>
        </is>
      </c>
      <c r="C774" s="3" t="inlineStr">
        <is>
          <t>004334</t>
        </is>
      </c>
      <c r="D774" s="4" t="n">
        <v>45447</v>
      </c>
      <c r="E774" s="2" t="inlineStr">
        <is>
          <t>11:01</t>
        </is>
      </c>
      <c r="F774" s="5" t="n">
        <v>265.83</v>
      </c>
      <c r="G774" s="5" t="n"/>
      <c r="H774" s="5" t="n"/>
      <c r="I774" s="5" t="n"/>
      <c r="J774" s="5" t="n">
        <v>53.17</v>
      </c>
      <c r="K774" s="5" t="n"/>
      <c r="L774" s="5" t="n"/>
      <c r="M774" s="5" t="n"/>
      <c r="N774" s="5" t="n"/>
      <c r="O774" s="5" t="n">
        <v>319</v>
      </c>
      <c r="P774" s="5" t="n"/>
      <c r="Q774" s="5" t="n">
        <v>319</v>
      </c>
      <c r="R774" s="5" t="n"/>
      <c r="S774" s="5">
        <f>SUM(F774:I774)+N774</f>
        <v/>
      </c>
      <c r="T774" s="5">
        <f>J774</f>
        <v/>
      </c>
      <c r="U774" s="6">
        <f>YEAR(D774)</f>
        <v/>
      </c>
      <c r="V774" s="5">
        <f>TEXT(D774,"yyyy-mm")</f>
        <v/>
      </c>
    </row>
    <row r="775">
      <c r="A775" s="2" t="inlineStr">
        <is>
          <t>EJ010724.TXT</t>
        </is>
      </c>
      <c r="B775" s="3" t="inlineStr">
        <is>
          <t>005411</t>
        </is>
      </c>
      <c r="C775" s="3" t="inlineStr">
        <is>
          <t>004335</t>
        </is>
      </c>
      <c r="D775" s="4" t="n">
        <v>45447</v>
      </c>
      <c r="E775" s="2" t="inlineStr">
        <is>
          <t>14:46</t>
        </is>
      </c>
      <c r="F775" s="5" t="n">
        <v>833.33</v>
      </c>
      <c r="G775" s="5" t="n"/>
      <c r="H775" s="5" t="n"/>
      <c r="I775" s="5" t="n"/>
      <c r="J775" s="5" t="n">
        <v>166.67</v>
      </c>
      <c r="K775" s="5" t="n"/>
      <c r="L775" s="5" t="n"/>
      <c r="M775" s="5" t="n"/>
      <c r="N775" s="5" t="n"/>
      <c r="O775" s="5" t="n">
        <v>1000</v>
      </c>
      <c r="P775" s="5" t="n"/>
      <c r="Q775" s="5" t="n">
        <v>1000</v>
      </c>
      <c r="R775" s="5" t="n"/>
      <c r="S775" s="5">
        <f>SUM(F775:I775)+N775</f>
        <v/>
      </c>
      <c r="T775" s="5">
        <f>J775</f>
        <v/>
      </c>
      <c r="U775" s="6">
        <f>YEAR(D775)</f>
        <v/>
      </c>
      <c r="V775" s="5">
        <f>TEXT(D775,"yyyy-mm")</f>
        <v/>
      </c>
    </row>
    <row r="776">
      <c r="A776" s="2" t="inlineStr">
        <is>
          <t>EJ010724.TXT</t>
        </is>
      </c>
      <c r="B776" s="3" t="inlineStr">
        <is>
          <t>005412</t>
        </is>
      </c>
      <c r="C776" s="3" t="inlineStr">
        <is>
          <t>004336</t>
        </is>
      </c>
      <c r="D776" s="4" t="n">
        <v>45447</v>
      </c>
      <c r="E776" s="2" t="inlineStr">
        <is>
          <t>14:48</t>
        </is>
      </c>
      <c r="F776" s="5" t="n">
        <v>2356.67</v>
      </c>
      <c r="G776" s="5" t="n"/>
      <c r="H776" s="5" t="n"/>
      <c r="I776" s="5" t="n"/>
      <c r="J776" s="5" t="n">
        <v>471.33</v>
      </c>
      <c r="K776" s="5" t="n"/>
      <c r="L776" s="5" t="n"/>
      <c r="M776" s="5" t="n"/>
      <c r="N776" s="5" t="n"/>
      <c r="O776" s="5" t="n">
        <v>2828</v>
      </c>
      <c r="P776" s="5" t="n">
        <v>2828</v>
      </c>
      <c r="Q776" s="5" t="n"/>
      <c r="R776" s="5" t="n"/>
      <c r="S776" s="5">
        <f>SUM(F776:I776)+N776</f>
        <v/>
      </c>
      <c r="T776" s="5">
        <f>J776</f>
        <v/>
      </c>
      <c r="U776" s="6">
        <f>YEAR(D776)</f>
        <v/>
      </c>
      <c r="V776" s="5">
        <f>TEXT(D776,"yyyy-mm")</f>
        <v/>
      </c>
    </row>
    <row r="777">
      <c r="A777" s="2" t="inlineStr">
        <is>
          <t>EJ010724.TXT</t>
        </is>
      </c>
      <c r="B777" s="3" t="inlineStr">
        <is>
          <t>005413</t>
        </is>
      </c>
      <c r="C777" s="3" t="inlineStr">
        <is>
          <t>004337</t>
        </is>
      </c>
      <c r="D777" s="4" t="n">
        <v>45448</v>
      </c>
      <c r="E777" s="2" t="inlineStr">
        <is>
          <t>14:14</t>
        </is>
      </c>
      <c r="F777" s="5" t="n">
        <v>274.17</v>
      </c>
      <c r="G777" s="5" t="n"/>
      <c r="H777" s="5" t="n"/>
      <c r="I777" s="5" t="n"/>
      <c r="J777" s="5" t="n">
        <v>54.83</v>
      </c>
      <c r="K777" s="5" t="n"/>
      <c r="L777" s="5" t="n"/>
      <c r="M777" s="5" t="n"/>
      <c r="N777" s="5" t="n"/>
      <c r="O777" s="5" t="n">
        <v>329</v>
      </c>
      <c r="P777" s="5" t="n"/>
      <c r="Q777" s="5" t="n">
        <v>329</v>
      </c>
      <c r="R777" s="5" t="n"/>
      <c r="S777" s="5">
        <f>SUM(F777:I777)+N777</f>
        <v/>
      </c>
      <c r="T777" s="5">
        <f>J777</f>
        <v/>
      </c>
      <c r="U777" s="6">
        <f>YEAR(D777)</f>
        <v/>
      </c>
      <c r="V777" s="5">
        <f>TEXT(D777,"yyyy-mm")</f>
        <v/>
      </c>
    </row>
    <row r="778">
      <c r="A778" s="2" t="inlineStr">
        <is>
          <t>EJ010724.TXT</t>
        </is>
      </c>
      <c r="B778" s="3" t="inlineStr">
        <is>
          <t>005414</t>
        </is>
      </c>
      <c r="C778" s="3" t="inlineStr">
        <is>
          <t>004338</t>
        </is>
      </c>
      <c r="D778" s="4" t="n">
        <v>45448</v>
      </c>
      <c r="E778" s="2" t="inlineStr">
        <is>
          <t>15:47</t>
        </is>
      </c>
      <c r="F778" s="5" t="n">
        <v>208.33</v>
      </c>
      <c r="G778" s="5" t="n"/>
      <c r="H778" s="5" t="n"/>
      <c r="I778" s="5" t="n"/>
      <c r="J778" s="5" t="n">
        <v>41.67</v>
      </c>
      <c r="K778" s="5" t="n"/>
      <c r="L778" s="5" t="n"/>
      <c r="M778" s="5" t="n"/>
      <c r="N778" s="5" t="n"/>
      <c r="O778" s="5" t="n">
        <v>250</v>
      </c>
      <c r="P778" s="5" t="n"/>
      <c r="Q778" s="5" t="n">
        <v>250</v>
      </c>
      <c r="R778" s="5" t="n"/>
      <c r="S778" s="5">
        <f>SUM(F778:I778)+N778</f>
        <v/>
      </c>
      <c r="T778" s="5">
        <f>J778</f>
        <v/>
      </c>
      <c r="U778" s="6">
        <f>YEAR(D778)</f>
        <v/>
      </c>
      <c r="V778" s="5">
        <f>TEXT(D778,"yyyy-mm")</f>
        <v/>
      </c>
    </row>
    <row r="779">
      <c r="A779" s="2" t="inlineStr">
        <is>
          <t>EJ010724.TXT</t>
        </is>
      </c>
      <c r="B779" s="3" t="inlineStr">
        <is>
          <t>005415</t>
        </is>
      </c>
      <c r="C779" s="3" t="inlineStr">
        <is>
          <t>004339</t>
        </is>
      </c>
      <c r="D779" s="4" t="n">
        <v>45449</v>
      </c>
      <c r="E779" s="2" t="inlineStr">
        <is>
          <t>16:36</t>
        </is>
      </c>
      <c r="F779" s="5" t="n">
        <v>175</v>
      </c>
      <c r="G779" s="5" t="n"/>
      <c r="H779" s="5" t="n"/>
      <c r="I779" s="5" t="n"/>
      <c r="J779" s="5" t="n">
        <v>35</v>
      </c>
      <c r="K779" s="5" t="n"/>
      <c r="L779" s="5" t="n"/>
      <c r="M779" s="5" t="n"/>
      <c r="N779" s="5" t="n"/>
      <c r="O779" s="5" t="n">
        <v>210</v>
      </c>
      <c r="P779" s="5" t="n">
        <v>210</v>
      </c>
      <c r="Q779" s="5" t="n"/>
      <c r="R779" s="5" t="n"/>
      <c r="S779" s="5">
        <f>SUM(F779:I779)+N779</f>
        <v/>
      </c>
      <c r="T779" s="5">
        <f>J779</f>
        <v/>
      </c>
      <c r="U779" s="6">
        <f>YEAR(D779)</f>
        <v/>
      </c>
      <c r="V779" s="5">
        <f>TEXT(D779,"yyyy-mm")</f>
        <v/>
      </c>
    </row>
    <row r="780">
      <c r="A780" s="2" t="inlineStr">
        <is>
          <t>EJ010724.TXT</t>
        </is>
      </c>
      <c r="B780" s="3" t="inlineStr">
        <is>
          <t>005416</t>
        </is>
      </c>
      <c r="C780" s="3" t="inlineStr">
        <is>
          <t>004340</t>
        </is>
      </c>
      <c r="D780" s="4" t="n">
        <v>45449</v>
      </c>
      <c r="E780" s="2" t="inlineStr">
        <is>
          <t>16:48</t>
        </is>
      </c>
      <c r="F780" s="5" t="n">
        <v>1096.67</v>
      </c>
      <c r="G780" s="5" t="n"/>
      <c r="H780" s="5" t="n"/>
      <c r="I780" s="5" t="n"/>
      <c r="J780" s="5" t="n">
        <v>219.33</v>
      </c>
      <c r="K780" s="5" t="n"/>
      <c r="L780" s="5" t="n"/>
      <c r="M780" s="5" t="n"/>
      <c r="N780" s="5" t="n"/>
      <c r="O780" s="5" t="n">
        <v>1316</v>
      </c>
      <c r="P780" s="5" t="n">
        <v>1316</v>
      </c>
      <c r="Q780" s="5" t="n"/>
      <c r="R780" s="5" t="n"/>
      <c r="S780" s="5">
        <f>SUM(F780:I780)+N780</f>
        <v/>
      </c>
      <c r="T780" s="5">
        <f>J780</f>
        <v/>
      </c>
      <c r="U780" s="6">
        <f>YEAR(D780)</f>
        <v/>
      </c>
      <c r="V780" s="5">
        <f>TEXT(D780,"yyyy-mm")</f>
        <v/>
      </c>
    </row>
    <row r="781">
      <c r="A781" s="2" t="inlineStr">
        <is>
          <t>EJ010724.TXT</t>
        </is>
      </c>
      <c r="B781" s="3" t="inlineStr">
        <is>
          <t>005417</t>
        </is>
      </c>
      <c r="C781" s="3" t="inlineStr">
        <is>
          <t>004341</t>
        </is>
      </c>
      <c r="D781" s="4" t="n">
        <v>45450</v>
      </c>
      <c r="E781" s="2" t="inlineStr">
        <is>
          <t>16:36</t>
        </is>
      </c>
      <c r="F781" s="5" t="n">
        <v>208.33</v>
      </c>
      <c r="G781" s="5" t="n"/>
      <c r="H781" s="5" t="n"/>
      <c r="I781" s="5" t="n"/>
      <c r="J781" s="5" t="n">
        <v>41.67</v>
      </c>
      <c r="K781" s="5" t="n"/>
      <c r="L781" s="5" t="n"/>
      <c r="M781" s="5" t="n"/>
      <c r="N781" s="5" t="n"/>
      <c r="O781" s="5" t="n">
        <v>250</v>
      </c>
      <c r="P781" s="5" t="n"/>
      <c r="Q781" s="5" t="n">
        <v>250</v>
      </c>
      <c r="R781" s="5" t="n"/>
      <c r="S781" s="5">
        <f>SUM(F781:I781)+N781</f>
        <v/>
      </c>
      <c r="T781" s="5">
        <f>J781</f>
        <v/>
      </c>
      <c r="U781" s="6">
        <f>YEAR(D781)</f>
        <v/>
      </c>
      <c r="V781" s="5">
        <f>TEXT(D781,"yyyy-mm")</f>
        <v/>
      </c>
    </row>
    <row r="782">
      <c r="A782" s="2" t="inlineStr">
        <is>
          <t>EJ010724.TXT</t>
        </is>
      </c>
      <c r="B782" s="3" t="inlineStr">
        <is>
          <t>005418</t>
        </is>
      </c>
      <c r="C782" s="3" t="inlineStr">
        <is>
          <t>004342</t>
        </is>
      </c>
      <c r="D782" s="4" t="n">
        <v>45451</v>
      </c>
      <c r="E782" s="2" t="inlineStr">
        <is>
          <t>17:58</t>
        </is>
      </c>
      <c r="F782" s="5" t="n">
        <v>208.33</v>
      </c>
      <c r="G782" s="5" t="n"/>
      <c r="H782" s="5" t="n"/>
      <c r="I782" s="5" t="n"/>
      <c r="J782" s="5" t="n">
        <v>41.67</v>
      </c>
      <c r="K782" s="5" t="n"/>
      <c r="L782" s="5" t="n"/>
      <c r="M782" s="5" t="n"/>
      <c r="N782" s="5" t="n"/>
      <c r="O782" s="5" t="n">
        <v>250</v>
      </c>
      <c r="P782" s="5" t="n"/>
      <c r="Q782" s="5" t="n">
        <v>250</v>
      </c>
      <c r="R782" s="5" t="n"/>
      <c r="S782" s="5">
        <f>SUM(F782:I782)+N782</f>
        <v/>
      </c>
      <c r="T782" s="5">
        <f>J782</f>
        <v/>
      </c>
      <c r="U782" s="6">
        <f>YEAR(D782)</f>
        <v/>
      </c>
      <c r="V782" s="5">
        <f>TEXT(D782,"yyyy-mm")</f>
        <v/>
      </c>
    </row>
    <row r="783">
      <c r="A783" s="2" t="inlineStr">
        <is>
          <t>EJ010724.TXT</t>
        </is>
      </c>
      <c r="B783" s="3" t="inlineStr">
        <is>
          <t>005419</t>
        </is>
      </c>
      <c r="C783" s="3" t="inlineStr">
        <is>
          <t>004343</t>
        </is>
      </c>
      <c r="D783" s="4" t="n">
        <v>45453</v>
      </c>
      <c r="E783" s="2" t="inlineStr">
        <is>
          <t>15:35</t>
        </is>
      </c>
      <c r="F783" s="5" t="n">
        <v>208.33</v>
      </c>
      <c r="G783" s="5" t="n"/>
      <c r="H783" s="5" t="n"/>
      <c r="I783" s="5" t="n"/>
      <c r="J783" s="5" t="n">
        <v>41.67</v>
      </c>
      <c r="K783" s="5" t="n"/>
      <c r="L783" s="5" t="n"/>
      <c r="M783" s="5" t="n"/>
      <c r="N783" s="5" t="n"/>
      <c r="O783" s="5" t="n">
        <v>250</v>
      </c>
      <c r="P783" s="5" t="n"/>
      <c r="Q783" s="5" t="n">
        <v>250</v>
      </c>
      <c r="R783" s="5" t="n"/>
      <c r="S783" s="5">
        <f>SUM(F783:I783)+N783</f>
        <v/>
      </c>
      <c r="T783" s="5">
        <f>J783</f>
        <v/>
      </c>
      <c r="U783" s="6">
        <f>YEAR(D783)</f>
        <v/>
      </c>
      <c r="V783" s="5">
        <f>TEXT(D783,"yyyy-mm")</f>
        <v/>
      </c>
    </row>
    <row r="784">
      <c r="A784" s="2" t="inlineStr">
        <is>
          <t>EJ010724.TXT</t>
        </is>
      </c>
      <c r="B784" s="3" t="inlineStr">
        <is>
          <t>005420</t>
        </is>
      </c>
      <c r="C784" s="3" t="inlineStr">
        <is>
          <t>004344</t>
        </is>
      </c>
      <c r="D784" s="4" t="n">
        <v>45455</v>
      </c>
      <c r="E784" s="2" t="inlineStr">
        <is>
          <t>10:47</t>
        </is>
      </c>
      <c r="F784" s="5" t="n">
        <v>548.33</v>
      </c>
      <c r="G784" s="5" t="n"/>
      <c r="H784" s="5" t="n"/>
      <c r="I784" s="5" t="n"/>
      <c r="J784" s="5" t="n">
        <v>109.67</v>
      </c>
      <c r="K784" s="5" t="n"/>
      <c r="L784" s="5" t="n"/>
      <c r="M784" s="5" t="n"/>
      <c r="N784" s="5" t="n"/>
      <c r="O784" s="5" t="n">
        <v>658</v>
      </c>
      <c r="P784" s="5" t="n"/>
      <c r="Q784" s="5" t="n">
        <v>658</v>
      </c>
      <c r="R784" s="5" t="n"/>
      <c r="S784" s="5">
        <f>SUM(F784:I784)+N784</f>
        <v/>
      </c>
      <c r="T784" s="5">
        <f>J784</f>
        <v/>
      </c>
      <c r="U784" s="6">
        <f>YEAR(D784)</f>
        <v/>
      </c>
      <c r="V784" s="5">
        <f>TEXT(D784,"yyyy-mm")</f>
        <v/>
      </c>
    </row>
    <row r="785">
      <c r="A785" s="2" t="inlineStr">
        <is>
          <t>EJ010724.TXT</t>
        </is>
      </c>
      <c r="B785" s="3" t="inlineStr">
        <is>
          <t>005421</t>
        </is>
      </c>
      <c r="C785" s="3" t="inlineStr">
        <is>
          <t>004345</t>
        </is>
      </c>
      <c r="D785" s="4" t="n">
        <v>45456</v>
      </c>
      <c r="E785" s="2" t="inlineStr">
        <is>
          <t>14:01</t>
        </is>
      </c>
      <c r="F785" s="5" t="n">
        <v>45.75</v>
      </c>
      <c r="G785" s="5" t="n"/>
      <c r="H785" s="5" t="n"/>
      <c r="I785" s="5" t="n"/>
      <c r="J785" s="5" t="n">
        <v>9.15</v>
      </c>
      <c r="K785" s="5" t="n"/>
      <c r="L785" s="5" t="n"/>
      <c r="M785" s="5" t="n"/>
      <c r="N785" s="5" t="n"/>
      <c r="O785" s="5" t="n">
        <v>54.9</v>
      </c>
      <c r="P785" s="5" t="n"/>
      <c r="Q785" s="5" t="n">
        <v>54.9</v>
      </c>
      <c r="R785" s="5" t="n"/>
      <c r="S785" s="5">
        <f>SUM(F785:I785)+N785</f>
        <v/>
      </c>
      <c r="T785" s="5">
        <f>J785</f>
        <v/>
      </c>
      <c r="U785" s="6">
        <f>YEAR(D785)</f>
        <v/>
      </c>
      <c r="V785" s="5">
        <f>TEXT(D785,"yyyy-mm")</f>
        <v/>
      </c>
    </row>
    <row r="786">
      <c r="A786" s="2" t="inlineStr">
        <is>
          <t>EJ010724.TXT</t>
        </is>
      </c>
      <c r="B786" s="3" t="inlineStr">
        <is>
          <t>005422</t>
        </is>
      </c>
      <c r="C786" s="3" t="inlineStr">
        <is>
          <t>004346</t>
        </is>
      </c>
      <c r="D786" s="4" t="n">
        <v>45457</v>
      </c>
      <c r="E786" s="2" t="inlineStr">
        <is>
          <t>15:03</t>
        </is>
      </c>
      <c r="F786" s="5" t="n">
        <v>208.33</v>
      </c>
      <c r="G786" s="5" t="n"/>
      <c r="H786" s="5" t="n"/>
      <c r="I786" s="5" t="n"/>
      <c r="J786" s="5" t="n">
        <v>41.67</v>
      </c>
      <c r="K786" s="5" t="n"/>
      <c r="L786" s="5" t="n"/>
      <c r="M786" s="5" t="n"/>
      <c r="N786" s="5" t="n"/>
      <c r="O786" s="5" t="n">
        <v>250</v>
      </c>
      <c r="P786" s="5" t="n"/>
      <c r="Q786" s="5" t="n">
        <v>250</v>
      </c>
      <c r="R786" s="5" t="n"/>
      <c r="S786" s="5">
        <f>SUM(F786:I786)+N786</f>
        <v/>
      </c>
      <c r="T786" s="5">
        <f>J786</f>
        <v/>
      </c>
      <c r="U786" s="6">
        <f>YEAR(D786)</f>
        <v/>
      </c>
      <c r="V786" s="5">
        <f>TEXT(D786,"yyyy-mm")</f>
        <v/>
      </c>
    </row>
    <row r="787">
      <c r="A787" s="2" t="inlineStr">
        <is>
          <t>EJ010724.TXT</t>
        </is>
      </c>
      <c r="B787" s="3" t="inlineStr">
        <is>
          <t>005423</t>
        </is>
      </c>
      <c r="C787" s="3" t="inlineStr">
        <is>
          <t>004347</t>
        </is>
      </c>
      <c r="D787" s="4" t="n">
        <v>45457</v>
      </c>
      <c r="E787" s="2" t="inlineStr">
        <is>
          <t>15:44</t>
        </is>
      </c>
      <c r="F787" s="5" t="n">
        <v>329.17</v>
      </c>
      <c r="G787" s="5" t="n"/>
      <c r="H787" s="5" t="n"/>
      <c r="I787" s="5" t="n"/>
      <c r="J787" s="5" t="n">
        <v>65.83</v>
      </c>
      <c r="K787" s="5" t="n"/>
      <c r="L787" s="5" t="n"/>
      <c r="M787" s="5" t="n"/>
      <c r="N787" s="5" t="n"/>
      <c r="O787" s="5" t="n">
        <v>395</v>
      </c>
      <c r="P787" s="5" t="n"/>
      <c r="Q787" s="5" t="n">
        <v>395</v>
      </c>
      <c r="R787" s="5" t="n"/>
      <c r="S787" s="5">
        <f>SUM(F787:I787)+N787</f>
        <v/>
      </c>
      <c r="T787" s="5">
        <f>J787</f>
        <v/>
      </c>
      <c r="U787" s="6">
        <f>YEAR(D787)</f>
        <v/>
      </c>
      <c r="V787" s="5">
        <f>TEXT(D787,"yyyy-mm")</f>
        <v/>
      </c>
    </row>
    <row r="788">
      <c r="A788" s="2" t="inlineStr">
        <is>
          <t>EJ010724.TXT</t>
        </is>
      </c>
      <c r="B788" s="3" t="inlineStr">
        <is>
          <t>005424</t>
        </is>
      </c>
      <c r="C788" s="3" t="inlineStr">
        <is>
          <t>004348</t>
        </is>
      </c>
      <c r="D788" s="4" t="n">
        <v>45461</v>
      </c>
      <c r="E788" s="2" t="inlineStr">
        <is>
          <t>15:13</t>
        </is>
      </c>
      <c r="F788" s="5" t="n">
        <v>797.5</v>
      </c>
      <c r="G788" s="5" t="n"/>
      <c r="H788" s="5" t="n"/>
      <c r="I788" s="5" t="n"/>
      <c r="J788" s="5" t="n">
        <v>159.5</v>
      </c>
      <c r="K788" s="5" t="n"/>
      <c r="L788" s="5" t="n"/>
      <c r="M788" s="5" t="n"/>
      <c r="N788" s="5" t="n"/>
      <c r="O788" s="5" t="n">
        <v>957</v>
      </c>
      <c r="P788" s="5" t="n"/>
      <c r="Q788" s="5" t="n">
        <v>957</v>
      </c>
      <c r="R788" s="5" t="n"/>
      <c r="S788" s="5">
        <f>SUM(F788:I788)+N788</f>
        <v/>
      </c>
      <c r="T788" s="5">
        <f>J788</f>
        <v/>
      </c>
      <c r="U788" s="6">
        <f>YEAR(D788)</f>
        <v/>
      </c>
      <c r="V788" s="5">
        <f>TEXT(D788,"yyyy-mm")</f>
        <v/>
      </c>
    </row>
    <row r="789">
      <c r="A789" s="2" t="inlineStr">
        <is>
          <t>EJ010724.TXT</t>
        </is>
      </c>
      <c r="B789" s="3" t="inlineStr">
        <is>
          <t>005425</t>
        </is>
      </c>
      <c r="C789" s="3" t="inlineStr">
        <is>
          <t>004349</t>
        </is>
      </c>
      <c r="D789" s="4" t="n">
        <v>45461</v>
      </c>
      <c r="E789" s="2" t="inlineStr">
        <is>
          <t>15:16</t>
        </is>
      </c>
      <c r="F789" s="5" t="n">
        <v>797.5</v>
      </c>
      <c r="G789" s="5" t="n"/>
      <c r="H789" s="5" t="n"/>
      <c r="I789" s="5" t="n"/>
      <c r="J789" s="5" t="n">
        <v>159.5</v>
      </c>
      <c r="K789" s="5" t="n"/>
      <c r="L789" s="5" t="n"/>
      <c r="M789" s="5" t="n"/>
      <c r="N789" s="5" t="n"/>
      <c r="O789" s="5" t="n">
        <v>957</v>
      </c>
      <c r="P789" s="5" t="n"/>
      <c r="Q789" s="5" t="n">
        <v>957</v>
      </c>
      <c r="R789" s="5" t="n"/>
      <c r="S789" s="5">
        <f>SUM(F789:I789)+N789</f>
        <v/>
      </c>
      <c r="T789" s="5">
        <f>J789</f>
        <v/>
      </c>
      <c r="U789" s="6">
        <f>YEAR(D789)</f>
        <v/>
      </c>
      <c r="V789" s="5">
        <f>TEXT(D789,"yyyy-mm")</f>
        <v/>
      </c>
    </row>
    <row r="790">
      <c r="A790" s="2" t="inlineStr">
        <is>
          <t>EJ010724.TXT</t>
        </is>
      </c>
      <c r="B790" s="3" t="inlineStr">
        <is>
          <t>005426</t>
        </is>
      </c>
      <c r="C790" s="3" t="inlineStr">
        <is>
          <t>004350</t>
        </is>
      </c>
      <c r="D790" s="4" t="n">
        <v>45461</v>
      </c>
      <c r="E790" s="2" t="inlineStr">
        <is>
          <t>16:00</t>
        </is>
      </c>
      <c r="F790" s="5" t="n">
        <v>548.33</v>
      </c>
      <c r="G790" s="5" t="n"/>
      <c r="H790" s="5" t="n"/>
      <c r="I790" s="5" t="n"/>
      <c r="J790" s="5" t="n">
        <v>109.67</v>
      </c>
      <c r="K790" s="5" t="n"/>
      <c r="L790" s="5" t="n"/>
      <c r="M790" s="5" t="n"/>
      <c r="N790" s="5" t="n"/>
      <c r="O790" s="5" t="n">
        <v>658</v>
      </c>
      <c r="P790" s="5" t="n">
        <v>658</v>
      </c>
      <c r="Q790" s="5" t="n"/>
      <c r="R790" s="5" t="n"/>
      <c r="S790" s="5">
        <f>SUM(F790:I790)+N790</f>
        <v/>
      </c>
      <c r="T790" s="5">
        <f>J790</f>
        <v/>
      </c>
      <c r="U790" s="6">
        <f>YEAR(D790)</f>
        <v/>
      </c>
      <c r="V790" s="5">
        <f>TEXT(D790,"yyyy-mm")</f>
        <v/>
      </c>
    </row>
    <row r="791">
      <c r="A791" s="2" t="inlineStr">
        <is>
          <t>EJ010724.TXT</t>
        </is>
      </c>
      <c r="B791" s="3" t="inlineStr">
        <is>
          <t>005427</t>
        </is>
      </c>
      <c r="C791" s="3" t="inlineStr">
        <is>
          <t>004351</t>
        </is>
      </c>
      <c r="D791" s="4" t="n">
        <v>45461</v>
      </c>
      <c r="E791" s="2" t="inlineStr">
        <is>
          <t>16:00</t>
        </is>
      </c>
      <c r="F791" s="5" t="n">
        <v>548.33</v>
      </c>
      <c r="G791" s="5" t="n"/>
      <c r="H791" s="5" t="n"/>
      <c r="I791" s="5" t="n"/>
      <c r="J791" s="5" t="n">
        <v>109.67</v>
      </c>
      <c r="K791" s="5" t="n"/>
      <c r="L791" s="5" t="n"/>
      <c r="M791" s="5" t="n"/>
      <c r="N791" s="5" t="n"/>
      <c r="O791" s="5" t="n">
        <v>658</v>
      </c>
      <c r="P791" s="5" t="n">
        <v>658</v>
      </c>
      <c r="Q791" s="5" t="n"/>
      <c r="R791" s="5" t="n"/>
      <c r="S791" s="5">
        <f>SUM(F791:I791)+N791</f>
        <v/>
      </c>
      <c r="T791" s="5">
        <f>J791</f>
        <v/>
      </c>
      <c r="U791" s="6">
        <f>YEAR(D791)</f>
        <v/>
      </c>
      <c r="V791" s="5">
        <f>TEXT(D791,"yyyy-mm")</f>
        <v/>
      </c>
    </row>
    <row r="792">
      <c r="A792" s="2" t="inlineStr">
        <is>
          <t>EJ010724.TXT</t>
        </is>
      </c>
      <c r="B792" s="3" t="inlineStr">
        <is>
          <t>005428</t>
        </is>
      </c>
      <c r="C792" s="3" t="inlineStr">
        <is>
          <t>004352</t>
        </is>
      </c>
      <c r="D792" s="4" t="n">
        <v>45462</v>
      </c>
      <c r="E792" s="2" t="inlineStr">
        <is>
          <t>14:06</t>
        </is>
      </c>
      <c r="F792" s="5" t="n">
        <v>548.33</v>
      </c>
      <c r="G792" s="5" t="n"/>
      <c r="H792" s="5" t="n"/>
      <c r="I792" s="5" t="n"/>
      <c r="J792" s="5" t="n">
        <v>109.67</v>
      </c>
      <c r="K792" s="5" t="n"/>
      <c r="L792" s="5" t="n"/>
      <c r="M792" s="5" t="n"/>
      <c r="N792" s="5" t="n"/>
      <c r="O792" s="5" t="n">
        <v>658</v>
      </c>
      <c r="P792" s="5" t="n">
        <v>658</v>
      </c>
      <c r="Q792" s="5" t="n"/>
      <c r="R792" s="5" t="n"/>
      <c r="S792" s="5">
        <f>SUM(F792:I792)+N792</f>
        <v/>
      </c>
      <c r="T792" s="5">
        <f>J792</f>
        <v/>
      </c>
      <c r="U792" s="6">
        <f>YEAR(D792)</f>
        <v/>
      </c>
      <c r="V792" s="5">
        <f>TEXT(D792,"yyyy-mm")</f>
        <v/>
      </c>
    </row>
    <row r="793">
      <c r="A793" s="2" t="inlineStr">
        <is>
          <t>EJ010724.TXT</t>
        </is>
      </c>
      <c r="B793" s="3" t="inlineStr">
        <is>
          <t>005429</t>
        </is>
      </c>
      <c r="C793" s="3" t="inlineStr">
        <is>
          <t>004353</t>
        </is>
      </c>
      <c r="D793" s="4" t="n">
        <v>45463</v>
      </c>
      <c r="E793" s="2" t="inlineStr">
        <is>
          <t>11:19</t>
        </is>
      </c>
      <c r="F793" s="5" t="n">
        <v>381.67</v>
      </c>
      <c r="G793" s="5" t="n"/>
      <c r="H793" s="5" t="n"/>
      <c r="I793" s="5" t="n"/>
      <c r="J793" s="5" t="n">
        <v>76.33</v>
      </c>
      <c r="K793" s="5" t="n"/>
      <c r="L793" s="5" t="n"/>
      <c r="M793" s="5" t="n"/>
      <c r="N793" s="5" t="n"/>
      <c r="O793" s="5" t="n">
        <v>458</v>
      </c>
      <c r="P793" s="5" t="n">
        <v>458</v>
      </c>
      <c r="Q793" s="5" t="n"/>
      <c r="R793" s="5" t="n"/>
      <c r="S793" s="5">
        <f>SUM(F793:I793)+N793</f>
        <v/>
      </c>
      <c r="T793" s="5">
        <f>J793</f>
        <v/>
      </c>
      <c r="U793" s="6">
        <f>YEAR(D793)</f>
        <v/>
      </c>
      <c r="V793" s="5">
        <f>TEXT(D793,"yyyy-mm")</f>
        <v/>
      </c>
    </row>
    <row r="794">
      <c r="A794" s="2" t="inlineStr">
        <is>
          <t>EJ010724.TXT</t>
        </is>
      </c>
      <c r="B794" s="3" t="inlineStr">
        <is>
          <t>005430</t>
        </is>
      </c>
      <c r="C794" s="3" t="inlineStr">
        <is>
          <t>004354</t>
        </is>
      </c>
      <c r="D794" s="4" t="n">
        <v>45464</v>
      </c>
      <c r="E794" s="2" t="inlineStr">
        <is>
          <t>16:13</t>
        </is>
      </c>
      <c r="F794" s="5" t="n">
        <v>208.33</v>
      </c>
      <c r="G794" s="5" t="n"/>
      <c r="H794" s="5" t="n"/>
      <c r="I794" s="5" t="n"/>
      <c r="J794" s="5" t="n">
        <v>41.67</v>
      </c>
      <c r="K794" s="5" t="n"/>
      <c r="L794" s="5" t="n"/>
      <c r="M794" s="5" t="n"/>
      <c r="N794" s="5" t="n"/>
      <c r="O794" s="5" t="n">
        <v>250</v>
      </c>
      <c r="P794" s="5" t="n"/>
      <c r="Q794" s="5" t="n">
        <v>250</v>
      </c>
      <c r="R794" s="5" t="n"/>
      <c r="S794" s="5">
        <f>SUM(F794:I794)+N794</f>
        <v/>
      </c>
      <c r="T794" s="5">
        <f>J794</f>
        <v/>
      </c>
      <c r="U794" s="6">
        <f>YEAR(D794)</f>
        <v/>
      </c>
      <c r="V794" s="5">
        <f>TEXT(D794,"yyyy-mm")</f>
        <v/>
      </c>
    </row>
    <row r="795">
      <c r="A795" s="2" t="inlineStr">
        <is>
          <t>EJ010724.TXT</t>
        </is>
      </c>
      <c r="B795" s="3" t="inlineStr">
        <is>
          <t>005431</t>
        </is>
      </c>
      <c r="C795" s="3" t="inlineStr">
        <is>
          <t>004355</t>
        </is>
      </c>
      <c r="D795" s="4" t="n">
        <v>45464</v>
      </c>
      <c r="E795" s="2" t="inlineStr">
        <is>
          <t>17:41</t>
        </is>
      </c>
      <c r="F795" s="5" t="n">
        <v>822.5</v>
      </c>
      <c r="G795" s="5" t="n"/>
      <c r="H795" s="5" t="n"/>
      <c r="I795" s="5" t="n"/>
      <c r="J795" s="5" t="n">
        <v>164.5</v>
      </c>
      <c r="K795" s="5" t="n"/>
      <c r="L795" s="5" t="n"/>
      <c r="M795" s="5" t="n"/>
      <c r="N795" s="5" t="n"/>
      <c r="O795" s="5" t="n">
        <v>987</v>
      </c>
      <c r="P795" s="5" t="n"/>
      <c r="Q795" s="5" t="n">
        <v>987</v>
      </c>
      <c r="R795" s="5" t="n"/>
      <c r="S795" s="5">
        <f>SUM(F795:I795)+N795</f>
        <v/>
      </c>
      <c r="T795" s="5">
        <f>J795</f>
        <v/>
      </c>
      <c r="U795" s="6">
        <f>YEAR(D795)</f>
        <v/>
      </c>
      <c r="V795" s="5">
        <f>TEXT(D795,"yyyy-mm")</f>
        <v/>
      </c>
    </row>
    <row r="796">
      <c r="A796" s="2" t="inlineStr">
        <is>
          <t>EJ010724.TXT</t>
        </is>
      </c>
      <c r="B796" s="3" t="inlineStr">
        <is>
          <t>005432</t>
        </is>
      </c>
      <c r="C796" s="3" t="inlineStr">
        <is>
          <t>004356</t>
        </is>
      </c>
      <c r="D796" s="4" t="n">
        <v>45464</v>
      </c>
      <c r="E796" s="2" t="inlineStr">
        <is>
          <t>17:42</t>
        </is>
      </c>
      <c r="F796" s="5" t="n">
        <v>797.5</v>
      </c>
      <c r="G796" s="5" t="n"/>
      <c r="H796" s="5" t="n"/>
      <c r="I796" s="5" t="n"/>
      <c r="J796" s="5" t="n">
        <v>159.5</v>
      </c>
      <c r="K796" s="5" t="n"/>
      <c r="L796" s="5" t="n"/>
      <c r="M796" s="5" t="n"/>
      <c r="N796" s="5" t="n"/>
      <c r="O796" s="5" t="n">
        <v>957</v>
      </c>
      <c r="P796" s="5" t="n"/>
      <c r="Q796" s="5" t="n">
        <v>957</v>
      </c>
      <c r="R796" s="5" t="n"/>
      <c r="S796" s="5">
        <f>SUM(F796:I796)+N796</f>
        <v/>
      </c>
      <c r="T796" s="5">
        <f>J796</f>
        <v/>
      </c>
      <c r="U796" s="6">
        <f>YEAR(D796)</f>
        <v/>
      </c>
      <c r="V796" s="5">
        <f>TEXT(D796,"yyyy-mm")</f>
        <v/>
      </c>
    </row>
    <row r="797">
      <c r="A797" s="2" t="inlineStr">
        <is>
          <t>EJ010724.TXT</t>
        </is>
      </c>
      <c r="B797" s="3" t="inlineStr">
        <is>
          <t>005433</t>
        </is>
      </c>
      <c r="C797" s="3" t="inlineStr">
        <is>
          <t>004357</t>
        </is>
      </c>
      <c r="D797" s="4" t="n">
        <v>45464</v>
      </c>
      <c r="E797" s="2" t="inlineStr">
        <is>
          <t>17:43</t>
        </is>
      </c>
      <c r="F797" s="5" t="n">
        <v>822.5</v>
      </c>
      <c r="G797" s="5" t="n"/>
      <c r="H797" s="5" t="n"/>
      <c r="I797" s="5" t="n"/>
      <c r="J797" s="5" t="n">
        <v>164.5</v>
      </c>
      <c r="K797" s="5" t="n"/>
      <c r="L797" s="5" t="n"/>
      <c r="M797" s="5" t="n"/>
      <c r="N797" s="5" t="n"/>
      <c r="O797" s="5" t="n">
        <v>987</v>
      </c>
      <c r="P797" s="5" t="n"/>
      <c r="Q797" s="5" t="n">
        <v>987</v>
      </c>
      <c r="R797" s="5" t="n"/>
      <c r="S797" s="5">
        <f>SUM(F797:I797)+N797</f>
        <v/>
      </c>
      <c r="T797" s="5">
        <f>J797</f>
        <v/>
      </c>
      <c r="U797" s="6">
        <f>YEAR(D797)</f>
        <v/>
      </c>
      <c r="V797" s="5">
        <f>TEXT(D797,"yyyy-mm")</f>
        <v/>
      </c>
    </row>
    <row r="798">
      <c r="A798" s="2" t="inlineStr">
        <is>
          <t>EJ010724.TXT</t>
        </is>
      </c>
      <c r="B798" s="3" t="inlineStr">
        <is>
          <t>005434</t>
        </is>
      </c>
      <c r="C798" s="3" t="inlineStr">
        <is>
          <t>004358</t>
        </is>
      </c>
      <c r="D798" s="4" t="n">
        <v>45464</v>
      </c>
      <c r="E798" s="2" t="inlineStr">
        <is>
          <t>17:43</t>
        </is>
      </c>
      <c r="F798" s="5" t="n">
        <v>265.83</v>
      </c>
      <c r="G798" s="5" t="n"/>
      <c r="H798" s="5" t="n"/>
      <c r="I798" s="5" t="n"/>
      <c r="J798" s="5" t="n">
        <v>53.17</v>
      </c>
      <c r="K798" s="5" t="n"/>
      <c r="L798" s="5" t="n"/>
      <c r="M798" s="5" t="n"/>
      <c r="N798" s="5" t="n"/>
      <c r="O798" s="5" t="n">
        <v>319</v>
      </c>
      <c r="P798" s="5" t="n"/>
      <c r="Q798" s="5" t="n">
        <v>319</v>
      </c>
      <c r="R798" s="5" t="n"/>
      <c r="S798" s="5">
        <f>SUM(F798:I798)+N798</f>
        <v/>
      </c>
      <c r="T798" s="5">
        <f>J798</f>
        <v/>
      </c>
      <c r="U798" s="6">
        <f>YEAR(D798)</f>
        <v/>
      </c>
      <c r="V798" s="5">
        <f>TEXT(D798,"yyyy-mm")</f>
        <v/>
      </c>
    </row>
    <row r="799">
      <c r="A799" s="2" t="inlineStr">
        <is>
          <t>EJ010724.TXT</t>
        </is>
      </c>
      <c r="B799" s="3" t="inlineStr">
        <is>
          <t>005435</t>
        </is>
      </c>
      <c r="C799" s="3" t="inlineStr">
        <is>
          <t>004359</t>
        </is>
      </c>
      <c r="D799" s="4" t="n">
        <v>45464</v>
      </c>
      <c r="E799" s="2" t="inlineStr">
        <is>
          <t>17:43</t>
        </is>
      </c>
      <c r="F799" s="5" t="n">
        <v>531.67</v>
      </c>
      <c r="G799" s="5" t="n"/>
      <c r="H799" s="5" t="n"/>
      <c r="I799" s="5" t="n"/>
      <c r="J799" s="5" t="n">
        <v>106.33</v>
      </c>
      <c r="K799" s="5" t="n"/>
      <c r="L799" s="5" t="n"/>
      <c r="M799" s="5" t="n"/>
      <c r="N799" s="5" t="n"/>
      <c r="O799" s="5" t="n">
        <v>638</v>
      </c>
      <c r="P799" s="5" t="n"/>
      <c r="Q799" s="5" t="n">
        <v>638</v>
      </c>
      <c r="R799" s="5" t="n"/>
      <c r="S799" s="5">
        <f>SUM(F799:I799)+N799</f>
        <v/>
      </c>
      <c r="T799" s="5">
        <f>J799</f>
        <v/>
      </c>
      <c r="U799" s="6">
        <f>YEAR(D799)</f>
        <v/>
      </c>
      <c r="V799" s="5">
        <f>TEXT(D799,"yyyy-mm")</f>
        <v/>
      </c>
    </row>
    <row r="800">
      <c r="A800" s="2" t="inlineStr">
        <is>
          <t>EJ010724.TXT</t>
        </is>
      </c>
      <c r="B800" s="3" t="inlineStr">
        <is>
          <t>005436</t>
        </is>
      </c>
      <c r="C800" s="3" t="inlineStr">
        <is>
          <t>004360</t>
        </is>
      </c>
      <c r="D800" s="4" t="n">
        <v>45465</v>
      </c>
      <c r="E800" s="2" t="inlineStr">
        <is>
          <t>12:58</t>
        </is>
      </c>
      <c r="F800" s="5" t="n">
        <v>1595</v>
      </c>
      <c r="G800" s="5" t="n"/>
      <c r="H800" s="5" t="n"/>
      <c r="I800" s="5" t="n"/>
      <c r="J800" s="5" t="n">
        <v>319</v>
      </c>
      <c r="K800" s="5" t="n"/>
      <c r="L800" s="5" t="n"/>
      <c r="M800" s="5" t="n"/>
      <c r="N800" s="5" t="n"/>
      <c r="O800" s="5" t="n">
        <v>1914</v>
      </c>
      <c r="P800" s="5" t="n">
        <v>1914</v>
      </c>
      <c r="Q800" s="5" t="n"/>
      <c r="R800" s="5" t="n"/>
      <c r="S800" s="5">
        <f>SUM(F800:I800)+N800</f>
        <v/>
      </c>
      <c r="T800" s="5">
        <f>J800</f>
        <v/>
      </c>
      <c r="U800" s="6">
        <f>YEAR(D800)</f>
        <v/>
      </c>
      <c r="V800" s="5">
        <f>TEXT(D800,"yyyy-mm")</f>
        <v/>
      </c>
    </row>
    <row r="801">
      <c r="A801" s="2" t="inlineStr">
        <is>
          <t>EJ010724.TXT</t>
        </is>
      </c>
      <c r="B801" s="3" t="inlineStr">
        <is>
          <t>005437</t>
        </is>
      </c>
      <c r="C801" s="3" t="inlineStr">
        <is>
          <t>004361</t>
        </is>
      </c>
      <c r="D801" s="4" t="n">
        <v>45467</v>
      </c>
      <c r="E801" s="2" t="inlineStr">
        <is>
          <t>15:37</t>
        </is>
      </c>
      <c r="F801" s="5" t="n">
        <v>797.5</v>
      </c>
      <c r="G801" s="5" t="n"/>
      <c r="H801" s="5" t="n"/>
      <c r="I801" s="5" t="n"/>
      <c r="J801" s="5" t="n">
        <v>159.5</v>
      </c>
      <c r="K801" s="5" t="n"/>
      <c r="L801" s="5" t="n"/>
      <c r="M801" s="5" t="n"/>
      <c r="N801" s="5" t="n"/>
      <c r="O801" s="5" t="n">
        <v>957</v>
      </c>
      <c r="P801" s="5" t="n"/>
      <c r="Q801" s="5" t="n">
        <v>957</v>
      </c>
      <c r="R801" s="5" t="n"/>
      <c r="S801" s="5">
        <f>SUM(F801:I801)+N801</f>
        <v/>
      </c>
      <c r="T801" s="5">
        <f>J801</f>
        <v/>
      </c>
      <c r="U801" s="6">
        <f>YEAR(D801)</f>
        <v/>
      </c>
      <c r="V801" s="5">
        <f>TEXT(D801,"yyyy-mm")</f>
        <v/>
      </c>
    </row>
    <row r="802">
      <c r="A802" s="2" t="inlineStr">
        <is>
          <t>EJ010724.TXT</t>
        </is>
      </c>
      <c r="B802" s="3" t="inlineStr">
        <is>
          <t>005438</t>
        </is>
      </c>
      <c r="C802" s="3" t="inlineStr">
        <is>
          <t>004362</t>
        </is>
      </c>
      <c r="D802" s="4" t="n">
        <v>45467</v>
      </c>
      <c r="E802" s="2" t="inlineStr">
        <is>
          <t>15:38</t>
        </is>
      </c>
      <c r="F802" s="5" t="n">
        <v>797.5</v>
      </c>
      <c r="G802" s="5" t="n"/>
      <c r="H802" s="5" t="n"/>
      <c r="I802" s="5" t="n"/>
      <c r="J802" s="5" t="n">
        <v>159.5</v>
      </c>
      <c r="K802" s="5" t="n"/>
      <c r="L802" s="5" t="n"/>
      <c r="M802" s="5" t="n"/>
      <c r="N802" s="5" t="n"/>
      <c r="O802" s="5" t="n">
        <v>957</v>
      </c>
      <c r="P802" s="5" t="n"/>
      <c r="Q802" s="5" t="n">
        <v>957</v>
      </c>
      <c r="R802" s="5" t="n"/>
      <c r="S802" s="5">
        <f>SUM(F802:I802)+N802</f>
        <v/>
      </c>
      <c r="T802" s="5">
        <f>J802</f>
        <v/>
      </c>
      <c r="U802" s="6">
        <f>YEAR(D802)</f>
        <v/>
      </c>
      <c r="V802" s="5">
        <f>TEXT(D802,"yyyy-mm")</f>
        <v/>
      </c>
    </row>
    <row r="803">
      <c r="A803" s="2" t="inlineStr">
        <is>
          <t>EJ010724.TXT</t>
        </is>
      </c>
      <c r="B803" s="3" t="inlineStr">
        <is>
          <t>005439</t>
        </is>
      </c>
      <c r="C803" s="3" t="inlineStr">
        <is>
          <t>004363</t>
        </is>
      </c>
      <c r="D803" s="4" t="n">
        <v>45467</v>
      </c>
      <c r="E803" s="2" t="inlineStr">
        <is>
          <t>15:38</t>
        </is>
      </c>
      <c r="F803" s="5" t="n">
        <v>797.5</v>
      </c>
      <c r="G803" s="5" t="n"/>
      <c r="H803" s="5" t="n"/>
      <c r="I803" s="5" t="n"/>
      <c r="J803" s="5" t="n">
        <v>159.5</v>
      </c>
      <c r="K803" s="5" t="n"/>
      <c r="L803" s="5" t="n"/>
      <c r="M803" s="5" t="n"/>
      <c r="N803" s="5" t="n"/>
      <c r="O803" s="5" t="n">
        <v>957</v>
      </c>
      <c r="P803" s="5" t="n"/>
      <c r="Q803" s="5" t="n">
        <v>957</v>
      </c>
      <c r="R803" s="5" t="n"/>
      <c r="S803" s="5">
        <f>SUM(F803:I803)+N803</f>
        <v/>
      </c>
      <c r="T803" s="5">
        <f>J803</f>
        <v/>
      </c>
      <c r="U803" s="6">
        <f>YEAR(D803)</f>
        <v/>
      </c>
      <c r="V803" s="5">
        <f>TEXT(D803,"yyyy-mm")</f>
        <v/>
      </c>
    </row>
    <row r="804">
      <c r="A804" s="2" t="inlineStr">
        <is>
          <t>EJ010724.TXT</t>
        </is>
      </c>
      <c r="B804" s="3" t="inlineStr">
        <is>
          <t>005440</t>
        </is>
      </c>
      <c r="C804" s="3" t="inlineStr">
        <is>
          <t>004364</t>
        </is>
      </c>
      <c r="D804" s="4" t="n">
        <v>45467</v>
      </c>
      <c r="E804" s="2" t="inlineStr">
        <is>
          <t>17:02</t>
        </is>
      </c>
      <c r="F804" s="5" t="n">
        <v>208.33</v>
      </c>
      <c r="G804" s="5" t="n"/>
      <c r="H804" s="5" t="n"/>
      <c r="I804" s="5" t="n"/>
      <c r="J804" s="5" t="n">
        <v>41.67</v>
      </c>
      <c r="K804" s="5" t="n"/>
      <c r="L804" s="5" t="n"/>
      <c r="M804" s="5" t="n"/>
      <c r="N804" s="5" t="n"/>
      <c r="O804" s="5" t="n">
        <v>250</v>
      </c>
      <c r="P804" s="5" t="n"/>
      <c r="Q804" s="5" t="n">
        <v>250</v>
      </c>
      <c r="R804" s="5" t="n"/>
      <c r="S804" s="5">
        <f>SUM(F804:I804)+N804</f>
        <v/>
      </c>
      <c r="T804" s="5">
        <f>J804</f>
        <v/>
      </c>
      <c r="U804" s="6">
        <f>YEAR(D804)</f>
        <v/>
      </c>
      <c r="V804" s="5">
        <f>TEXT(D804,"yyyy-mm")</f>
        <v/>
      </c>
    </row>
    <row r="805">
      <c r="A805" s="2" t="inlineStr">
        <is>
          <t>EJ010724.TXT</t>
        </is>
      </c>
      <c r="B805" s="3" t="inlineStr">
        <is>
          <t>005441</t>
        </is>
      </c>
      <c r="C805" s="3" t="inlineStr">
        <is>
          <t>004365</t>
        </is>
      </c>
      <c r="D805" s="4" t="n">
        <v>45468</v>
      </c>
      <c r="E805" s="2" t="inlineStr">
        <is>
          <t>11:01</t>
        </is>
      </c>
      <c r="F805" s="5" t="n">
        <v>190.83</v>
      </c>
      <c r="G805" s="5" t="n"/>
      <c r="H805" s="5" t="n"/>
      <c r="I805" s="5" t="n"/>
      <c r="J805" s="5" t="n">
        <v>38.17</v>
      </c>
      <c r="K805" s="5" t="n"/>
      <c r="L805" s="5" t="n"/>
      <c r="M805" s="5" t="n"/>
      <c r="N805" s="5" t="n"/>
      <c r="O805" s="5" t="n">
        <v>229</v>
      </c>
      <c r="P805" s="5" t="n">
        <v>229</v>
      </c>
      <c r="Q805" s="5" t="n"/>
      <c r="R805" s="5" t="n"/>
      <c r="S805" s="5">
        <f>SUM(F805:I805)+N805</f>
        <v/>
      </c>
      <c r="T805" s="5">
        <f>J805</f>
        <v/>
      </c>
      <c r="U805" s="6">
        <f>YEAR(D805)</f>
        <v/>
      </c>
      <c r="V805" s="5">
        <f>TEXT(D805,"yyyy-mm")</f>
        <v/>
      </c>
    </row>
    <row r="806">
      <c r="A806" s="2" t="inlineStr">
        <is>
          <t>EJ010724.TXT</t>
        </is>
      </c>
      <c r="B806" s="3" t="inlineStr">
        <is>
          <t>005442</t>
        </is>
      </c>
      <c r="C806" s="3" t="inlineStr">
        <is>
          <t>004366</t>
        </is>
      </c>
      <c r="D806" s="4" t="n">
        <v>45469</v>
      </c>
      <c r="E806" s="2" t="inlineStr">
        <is>
          <t>09:31</t>
        </is>
      </c>
      <c r="F806" s="5" t="n">
        <v>548.33</v>
      </c>
      <c r="G806" s="5" t="n"/>
      <c r="H806" s="5" t="n"/>
      <c r="I806" s="5" t="n"/>
      <c r="J806" s="5" t="n">
        <v>109.67</v>
      </c>
      <c r="K806" s="5" t="n"/>
      <c r="L806" s="5" t="n"/>
      <c r="M806" s="5" t="n"/>
      <c r="N806" s="5" t="n"/>
      <c r="O806" s="5" t="n">
        <v>658</v>
      </c>
      <c r="P806" s="5" t="n">
        <v>658</v>
      </c>
      <c r="Q806" s="5" t="n"/>
      <c r="R806" s="5" t="n"/>
      <c r="S806" s="5">
        <f>SUM(F806:I806)+N806</f>
        <v/>
      </c>
      <c r="T806" s="5">
        <f>J806</f>
        <v/>
      </c>
      <c r="U806" s="6">
        <f>YEAR(D806)</f>
        <v/>
      </c>
      <c r="V806" s="5">
        <f>TEXT(D806,"yyyy-mm")</f>
        <v/>
      </c>
    </row>
    <row r="807">
      <c r="A807" s="2" t="inlineStr">
        <is>
          <t>EJ010724.TXT</t>
        </is>
      </c>
      <c r="B807" s="3" t="inlineStr">
        <is>
          <t>005443</t>
        </is>
      </c>
      <c r="C807" s="3" t="inlineStr">
        <is>
          <t>004367</t>
        </is>
      </c>
      <c r="D807" s="4" t="n">
        <v>45469</v>
      </c>
      <c r="E807" s="2" t="inlineStr">
        <is>
          <t>13:43</t>
        </is>
      </c>
      <c r="F807" s="5" t="n">
        <v>190.83</v>
      </c>
      <c r="G807" s="5" t="n"/>
      <c r="H807" s="5" t="n"/>
      <c r="I807" s="5" t="n"/>
      <c r="J807" s="5" t="n">
        <v>38.17</v>
      </c>
      <c r="K807" s="5" t="n"/>
      <c r="L807" s="5" t="n"/>
      <c r="M807" s="5" t="n"/>
      <c r="N807" s="5" t="n"/>
      <c r="O807" s="5" t="n">
        <v>229</v>
      </c>
      <c r="P807" s="5" t="n">
        <v>229</v>
      </c>
      <c r="Q807" s="5" t="n"/>
      <c r="R807" s="5" t="n"/>
      <c r="S807" s="5">
        <f>SUM(F807:I807)+N807</f>
        <v/>
      </c>
      <c r="T807" s="5">
        <f>J807</f>
        <v/>
      </c>
      <c r="U807" s="6">
        <f>YEAR(D807)</f>
        <v/>
      </c>
      <c r="V807" s="5">
        <f>TEXT(D807,"yyyy-mm")</f>
        <v/>
      </c>
    </row>
    <row r="808">
      <c r="A808" s="2" t="inlineStr">
        <is>
          <t>EJ010724.TXT</t>
        </is>
      </c>
      <c r="B808" s="3" t="inlineStr">
        <is>
          <t>005444</t>
        </is>
      </c>
      <c r="C808" s="3" t="inlineStr">
        <is>
          <t>004368</t>
        </is>
      </c>
      <c r="D808" s="4" t="n">
        <v>45471</v>
      </c>
      <c r="E808" s="2" t="inlineStr">
        <is>
          <t>16:15</t>
        </is>
      </c>
      <c r="F808" s="5" t="n">
        <v>208.33</v>
      </c>
      <c r="G808" s="5" t="n"/>
      <c r="H808" s="5" t="n"/>
      <c r="I808" s="5" t="n"/>
      <c r="J808" s="5" t="n">
        <v>41.67</v>
      </c>
      <c r="K808" s="5" t="n"/>
      <c r="L808" s="5" t="n"/>
      <c r="M808" s="5" t="n"/>
      <c r="N808" s="5" t="n"/>
      <c r="O808" s="5" t="n">
        <v>250</v>
      </c>
      <c r="P808" s="5" t="n"/>
      <c r="Q808" s="5" t="n">
        <v>250</v>
      </c>
      <c r="R808" s="5" t="n"/>
      <c r="S808" s="5">
        <f>SUM(F808:I808)+N808</f>
        <v/>
      </c>
      <c r="T808" s="5">
        <f>J808</f>
        <v/>
      </c>
      <c r="U808" s="6">
        <f>YEAR(D808)</f>
        <v/>
      </c>
      <c r="V808" s="5">
        <f>TEXT(D808,"yyyy-mm")</f>
        <v/>
      </c>
    </row>
    <row r="809">
      <c r="A809" s="2" t="inlineStr">
        <is>
          <t>EJ010724.TXT</t>
        </is>
      </c>
      <c r="B809" s="3" t="inlineStr">
        <is>
          <t>005445</t>
        </is>
      </c>
      <c r="C809" s="3" t="inlineStr">
        <is>
          <t>004369</t>
        </is>
      </c>
      <c r="D809" s="4" t="n">
        <v>45472</v>
      </c>
      <c r="E809" s="2" t="inlineStr">
        <is>
          <t>16:53</t>
        </is>
      </c>
      <c r="F809" s="5" t="n">
        <v>797.5</v>
      </c>
      <c r="G809" s="5" t="n"/>
      <c r="H809" s="5" t="n"/>
      <c r="I809" s="5" t="n"/>
      <c r="J809" s="5" t="n">
        <v>159.5</v>
      </c>
      <c r="K809" s="5" t="n"/>
      <c r="L809" s="5" t="n"/>
      <c r="M809" s="5" t="n"/>
      <c r="N809" s="5" t="n"/>
      <c r="O809" s="5" t="n">
        <v>957</v>
      </c>
      <c r="P809" s="5" t="n"/>
      <c r="Q809" s="5" t="n">
        <v>957</v>
      </c>
      <c r="R809" s="5" t="n"/>
      <c r="S809" s="5">
        <f>SUM(F809:I809)+N809</f>
        <v/>
      </c>
      <c r="T809" s="5">
        <f>J809</f>
        <v/>
      </c>
      <c r="U809" s="6">
        <f>YEAR(D809)</f>
        <v/>
      </c>
      <c r="V809" s="5">
        <f>TEXT(D809,"yyyy-mm")</f>
        <v/>
      </c>
    </row>
    <row r="810">
      <c r="A810" s="2" t="inlineStr">
        <is>
          <t>EJ010724.TXT</t>
        </is>
      </c>
      <c r="B810" s="3" t="inlineStr">
        <is>
          <t>005446</t>
        </is>
      </c>
      <c r="C810" s="3" t="inlineStr">
        <is>
          <t>004370</t>
        </is>
      </c>
      <c r="D810" s="4" t="n">
        <v>45472</v>
      </c>
      <c r="E810" s="2" t="inlineStr">
        <is>
          <t>16:53</t>
        </is>
      </c>
      <c r="F810" s="5" t="n">
        <v>797.5</v>
      </c>
      <c r="G810" s="5" t="n"/>
      <c r="H810" s="5" t="n"/>
      <c r="I810" s="5" t="n"/>
      <c r="J810" s="5" t="n">
        <v>159.5</v>
      </c>
      <c r="K810" s="5" t="n"/>
      <c r="L810" s="5" t="n"/>
      <c r="M810" s="5" t="n"/>
      <c r="N810" s="5" t="n"/>
      <c r="O810" s="5" t="n">
        <v>957</v>
      </c>
      <c r="P810" s="5" t="n"/>
      <c r="Q810" s="5" t="n">
        <v>957</v>
      </c>
      <c r="R810" s="5" t="n"/>
      <c r="S810" s="5">
        <f>SUM(F810:I810)+N810</f>
        <v/>
      </c>
      <c r="T810" s="5">
        <f>J810</f>
        <v/>
      </c>
      <c r="U810" s="6">
        <f>YEAR(D810)</f>
        <v/>
      </c>
      <c r="V810" s="5">
        <f>TEXT(D810,"yyyy-mm")</f>
        <v/>
      </c>
    </row>
    <row r="811">
      <c r="A811" s="2" t="inlineStr">
        <is>
          <t>EJ010724.TXT</t>
        </is>
      </c>
      <c r="B811" s="3" t="inlineStr">
        <is>
          <t>005447</t>
        </is>
      </c>
      <c r="C811" s="3" t="inlineStr">
        <is>
          <t>004371</t>
        </is>
      </c>
      <c r="D811" s="4" t="n">
        <v>45472</v>
      </c>
      <c r="E811" s="2" t="inlineStr">
        <is>
          <t>16:57</t>
        </is>
      </c>
      <c r="F811" s="5" t="n">
        <v>53.33</v>
      </c>
      <c r="G811" s="5" t="n"/>
      <c r="H811" s="5" t="n"/>
      <c r="I811" s="5" t="n"/>
      <c r="J811" s="5" t="n">
        <v>10.67</v>
      </c>
      <c r="K811" s="5" t="n"/>
      <c r="L811" s="5" t="n"/>
      <c r="M811" s="5" t="n"/>
      <c r="N811" s="5" t="n"/>
      <c r="O811" s="5" t="n">
        <v>64</v>
      </c>
      <c r="P811" s="5" t="n">
        <v>64</v>
      </c>
      <c r="Q811" s="5" t="n"/>
      <c r="R811" s="5" t="n"/>
      <c r="S811" s="5">
        <f>SUM(F811:I811)+N811</f>
        <v/>
      </c>
      <c r="T811" s="5">
        <f>J811</f>
        <v/>
      </c>
      <c r="U811" s="6">
        <f>YEAR(D811)</f>
        <v/>
      </c>
      <c r="V811" s="5">
        <f>TEXT(D811,"yyyy-mm")</f>
        <v/>
      </c>
    </row>
    <row r="812">
      <c r="A812" s="2" t="inlineStr">
        <is>
          <t>EJ030824.TXT</t>
        </is>
      </c>
      <c r="B812" s="3" t="inlineStr">
        <is>
          <t>005455</t>
        </is>
      </c>
      <c r="C812" s="3" t="inlineStr">
        <is>
          <t>004372</t>
        </is>
      </c>
      <c r="D812" s="4" t="n">
        <v>45478</v>
      </c>
      <c r="E812" s="2" t="inlineStr">
        <is>
          <t>16:53</t>
        </is>
      </c>
      <c r="F812" s="5" t="n">
        <v>208.33</v>
      </c>
      <c r="G812" s="5" t="n"/>
      <c r="H812" s="5" t="n"/>
      <c r="I812" s="5" t="n"/>
      <c r="J812" s="5" t="n">
        <v>41.67</v>
      </c>
      <c r="K812" s="5" t="n"/>
      <c r="L812" s="5" t="n"/>
      <c r="M812" s="5" t="n"/>
      <c r="N812" s="5" t="n"/>
      <c r="O812" s="5" t="n">
        <v>250</v>
      </c>
      <c r="P812" s="5" t="n"/>
      <c r="Q812" s="5" t="n">
        <v>250</v>
      </c>
      <c r="R812" s="5" t="n"/>
      <c r="S812" s="5">
        <f>SUM(F812:I812)+N812</f>
        <v/>
      </c>
      <c r="T812" s="5">
        <f>J812</f>
        <v/>
      </c>
      <c r="U812" s="6">
        <f>YEAR(D812)</f>
        <v/>
      </c>
      <c r="V812" s="5">
        <f>TEXT(D812,"yyyy-mm")</f>
        <v/>
      </c>
    </row>
    <row r="813">
      <c r="A813" s="2" t="inlineStr">
        <is>
          <t>EJ030824.TXT</t>
        </is>
      </c>
      <c r="B813" s="3" t="inlineStr">
        <is>
          <t>005456</t>
        </is>
      </c>
      <c r="C813" s="3" t="inlineStr">
        <is>
          <t>004373</t>
        </is>
      </c>
      <c r="D813" s="4" t="n">
        <v>45482</v>
      </c>
      <c r="E813" s="2" t="inlineStr">
        <is>
          <t>13:35</t>
        </is>
      </c>
      <c r="F813" s="5" t="n">
        <v>415</v>
      </c>
      <c r="G813" s="5" t="n"/>
      <c r="H813" s="5" t="n"/>
      <c r="I813" s="5" t="n"/>
      <c r="J813" s="5" t="n">
        <v>83</v>
      </c>
      <c r="K813" s="5" t="n"/>
      <c r="L813" s="5" t="n"/>
      <c r="M813" s="5" t="n"/>
      <c r="N813" s="5" t="n"/>
      <c r="O813" s="5" t="n">
        <v>498</v>
      </c>
      <c r="P813" s="5" t="n"/>
      <c r="Q813" s="5" t="n">
        <v>498</v>
      </c>
      <c r="R813" s="5" t="n"/>
      <c r="S813" s="5">
        <f>SUM(F813:I813)+N813</f>
        <v/>
      </c>
      <c r="T813" s="5">
        <f>J813</f>
        <v/>
      </c>
      <c r="U813" s="6">
        <f>YEAR(D813)</f>
        <v/>
      </c>
      <c r="V813" s="5">
        <f>TEXT(D813,"yyyy-mm")</f>
        <v/>
      </c>
    </row>
    <row r="814">
      <c r="A814" s="2" t="inlineStr">
        <is>
          <t>EJ030824.TXT</t>
        </is>
      </c>
      <c r="B814" s="3" t="inlineStr">
        <is>
          <t>005457</t>
        </is>
      </c>
      <c r="C814" s="3" t="inlineStr">
        <is>
          <t>004374</t>
        </is>
      </c>
      <c r="D814" s="4" t="n">
        <v>45482</v>
      </c>
      <c r="E814" s="2" t="inlineStr">
        <is>
          <t>15:21</t>
        </is>
      </c>
      <c r="F814" s="5" t="n">
        <v>822.5</v>
      </c>
      <c r="G814" s="5" t="n"/>
      <c r="H814" s="5" t="n"/>
      <c r="I814" s="5" t="n"/>
      <c r="J814" s="5" t="n">
        <v>164.5</v>
      </c>
      <c r="K814" s="5" t="n"/>
      <c r="L814" s="5" t="n"/>
      <c r="M814" s="5" t="n"/>
      <c r="N814" s="5" t="n"/>
      <c r="O814" s="5" t="n">
        <v>987</v>
      </c>
      <c r="P814" s="5" t="n">
        <v>987</v>
      </c>
      <c r="Q814" s="5" t="n"/>
      <c r="R814" s="5" t="n"/>
      <c r="S814" s="5">
        <f>SUM(F814:I814)+N814</f>
        <v/>
      </c>
      <c r="T814" s="5">
        <f>J814</f>
        <v/>
      </c>
      <c r="U814" s="6">
        <f>YEAR(D814)</f>
        <v/>
      </c>
      <c r="V814" s="5">
        <f>TEXT(D814,"yyyy-mm")</f>
        <v/>
      </c>
    </row>
    <row r="815">
      <c r="A815" s="2" t="inlineStr">
        <is>
          <t>EJ030824.TXT</t>
        </is>
      </c>
      <c r="B815" s="3" t="inlineStr">
        <is>
          <t>005458</t>
        </is>
      </c>
      <c r="C815" s="3" t="inlineStr">
        <is>
          <t>004375</t>
        </is>
      </c>
      <c r="D815" s="4" t="n">
        <v>45484</v>
      </c>
      <c r="E815" s="2" t="inlineStr">
        <is>
          <t>11:07</t>
        </is>
      </c>
      <c r="F815" s="5" t="n">
        <v>791.67</v>
      </c>
      <c r="G815" s="5" t="n"/>
      <c r="H815" s="5" t="n"/>
      <c r="I815" s="5" t="n"/>
      <c r="J815" s="5" t="n">
        <v>158.33</v>
      </c>
      <c r="K815" s="5" t="n"/>
      <c r="L815" s="5" t="n"/>
      <c r="M815" s="5" t="n"/>
      <c r="N815" s="5" t="n"/>
      <c r="O815" s="5" t="n">
        <v>950</v>
      </c>
      <c r="P815" s="5" t="n"/>
      <c r="Q815" s="5" t="n">
        <v>950</v>
      </c>
      <c r="R815" s="5" t="n"/>
      <c r="S815" s="5">
        <f>SUM(F815:I815)+N815</f>
        <v/>
      </c>
      <c r="T815" s="5">
        <f>J815</f>
        <v/>
      </c>
      <c r="U815" s="6">
        <f>YEAR(D815)</f>
        <v/>
      </c>
      <c r="V815" s="5">
        <f>TEXT(D815,"yyyy-mm")</f>
        <v/>
      </c>
    </row>
    <row r="816">
      <c r="A816" s="2" t="inlineStr">
        <is>
          <t>EJ030824.TXT</t>
        </is>
      </c>
      <c r="B816" s="3" t="inlineStr">
        <is>
          <t>005459</t>
        </is>
      </c>
      <c r="C816" s="3" t="inlineStr">
        <is>
          <t>004376</t>
        </is>
      </c>
      <c r="D816" s="4" t="n">
        <v>45484</v>
      </c>
      <c r="E816" s="2" t="inlineStr">
        <is>
          <t>11:07</t>
        </is>
      </c>
      <c r="F816" s="5" t="n">
        <v>791.67</v>
      </c>
      <c r="G816" s="5" t="n"/>
      <c r="H816" s="5" t="n"/>
      <c r="I816" s="5" t="n"/>
      <c r="J816" s="5" t="n">
        <v>158.33</v>
      </c>
      <c r="K816" s="5" t="n"/>
      <c r="L816" s="5" t="n"/>
      <c r="M816" s="5" t="n"/>
      <c r="N816" s="5" t="n"/>
      <c r="O816" s="5" t="n">
        <v>950</v>
      </c>
      <c r="P816" s="5" t="n"/>
      <c r="Q816" s="5" t="n">
        <v>950</v>
      </c>
      <c r="R816" s="5" t="n"/>
      <c r="S816" s="5">
        <f>SUM(F816:I816)+N816</f>
        <v/>
      </c>
      <c r="T816" s="5">
        <f>J816</f>
        <v/>
      </c>
      <c r="U816" s="6">
        <f>YEAR(D816)</f>
        <v/>
      </c>
      <c r="V816" s="5">
        <f>TEXT(D816,"yyyy-mm")</f>
        <v/>
      </c>
    </row>
    <row r="817">
      <c r="A817" s="2" t="inlineStr">
        <is>
          <t>EJ030824.TXT</t>
        </is>
      </c>
      <c r="B817" s="3" t="inlineStr">
        <is>
          <t>005460</t>
        </is>
      </c>
      <c r="C817" s="3" t="inlineStr">
        <is>
          <t>004377</t>
        </is>
      </c>
      <c r="D817" s="4" t="n">
        <v>45484</v>
      </c>
      <c r="E817" s="2" t="inlineStr">
        <is>
          <t>11:07</t>
        </is>
      </c>
      <c r="F817" s="5" t="n">
        <v>791.67</v>
      </c>
      <c r="G817" s="5" t="n"/>
      <c r="H817" s="5" t="n"/>
      <c r="I817" s="5" t="n"/>
      <c r="J817" s="5" t="n">
        <v>158.33</v>
      </c>
      <c r="K817" s="5" t="n"/>
      <c r="L817" s="5" t="n"/>
      <c r="M817" s="5" t="n"/>
      <c r="N817" s="5" t="n"/>
      <c r="O817" s="5" t="n">
        <v>950</v>
      </c>
      <c r="P817" s="5" t="n"/>
      <c r="Q817" s="5" t="n">
        <v>950</v>
      </c>
      <c r="R817" s="5" t="n"/>
      <c r="S817" s="5">
        <f>SUM(F817:I817)+N817</f>
        <v/>
      </c>
      <c r="T817" s="5">
        <f>J817</f>
        <v/>
      </c>
      <c r="U817" s="6">
        <f>YEAR(D817)</f>
        <v/>
      </c>
      <c r="V817" s="5">
        <f>TEXT(D817,"yyyy-mm")</f>
        <v/>
      </c>
    </row>
    <row r="818">
      <c r="A818" s="2" t="inlineStr">
        <is>
          <t>EJ030824.TXT</t>
        </is>
      </c>
      <c r="B818" s="3" t="inlineStr">
        <is>
          <t>005461</t>
        </is>
      </c>
      <c r="C818" s="3" t="inlineStr">
        <is>
          <t>004378</t>
        </is>
      </c>
      <c r="D818" s="4" t="n">
        <v>45484</v>
      </c>
      <c r="E818" s="2" t="inlineStr">
        <is>
          <t>11:07</t>
        </is>
      </c>
      <c r="F818" s="5" t="n">
        <v>791.67</v>
      </c>
      <c r="G818" s="5" t="n"/>
      <c r="H818" s="5" t="n"/>
      <c r="I818" s="5" t="n"/>
      <c r="J818" s="5" t="n">
        <v>158.33</v>
      </c>
      <c r="K818" s="5" t="n"/>
      <c r="L818" s="5" t="n"/>
      <c r="M818" s="5" t="n"/>
      <c r="N818" s="5" t="n"/>
      <c r="O818" s="5" t="n">
        <v>950</v>
      </c>
      <c r="P818" s="5" t="n"/>
      <c r="Q818" s="5" t="n">
        <v>950</v>
      </c>
      <c r="R818" s="5" t="n"/>
      <c r="S818" s="5">
        <f>SUM(F818:I818)+N818</f>
        <v/>
      </c>
      <c r="T818" s="5">
        <f>J818</f>
        <v/>
      </c>
      <c r="U818" s="6">
        <f>YEAR(D818)</f>
        <v/>
      </c>
      <c r="V818" s="5">
        <f>TEXT(D818,"yyyy-mm")</f>
        <v/>
      </c>
    </row>
    <row r="819">
      <c r="A819" s="2" t="inlineStr">
        <is>
          <t>EJ030824.TXT</t>
        </is>
      </c>
      <c r="B819" s="3" t="inlineStr">
        <is>
          <t>005462</t>
        </is>
      </c>
      <c r="C819" s="3" t="inlineStr">
        <is>
          <t>004379</t>
        </is>
      </c>
      <c r="D819" s="4" t="n">
        <v>45484</v>
      </c>
      <c r="E819" s="2" t="inlineStr">
        <is>
          <t>11:08</t>
        </is>
      </c>
      <c r="F819" s="5" t="n">
        <v>791.67</v>
      </c>
      <c r="G819" s="5" t="n"/>
      <c r="H819" s="5" t="n"/>
      <c r="I819" s="5" t="n"/>
      <c r="J819" s="5" t="n">
        <v>158.33</v>
      </c>
      <c r="K819" s="5" t="n"/>
      <c r="L819" s="5" t="n"/>
      <c r="M819" s="5" t="n"/>
      <c r="N819" s="5" t="n"/>
      <c r="O819" s="5" t="n">
        <v>950</v>
      </c>
      <c r="P819" s="5" t="n"/>
      <c r="Q819" s="5" t="n">
        <v>950</v>
      </c>
      <c r="R819" s="5" t="n"/>
      <c r="S819" s="5">
        <f>SUM(F819:I819)+N819</f>
        <v/>
      </c>
      <c r="T819" s="5">
        <f>J819</f>
        <v/>
      </c>
      <c r="U819" s="6">
        <f>YEAR(D819)</f>
        <v/>
      </c>
      <c r="V819" s="5">
        <f>TEXT(D819,"yyyy-mm")</f>
        <v/>
      </c>
    </row>
    <row r="820">
      <c r="A820" s="2" t="inlineStr">
        <is>
          <t>EJ030824.TXT</t>
        </is>
      </c>
      <c r="B820" s="3" t="inlineStr">
        <is>
          <t>005463</t>
        </is>
      </c>
      <c r="C820" s="3" t="inlineStr">
        <is>
          <t>004380</t>
        </is>
      </c>
      <c r="D820" s="4" t="n">
        <v>45484</v>
      </c>
      <c r="E820" s="2" t="inlineStr">
        <is>
          <t>11:08</t>
        </is>
      </c>
      <c r="F820" s="5" t="n">
        <v>791.67</v>
      </c>
      <c r="G820" s="5" t="n"/>
      <c r="H820" s="5" t="n"/>
      <c r="I820" s="5" t="n"/>
      <c r="J820" s="5" t="n">
        <v>158.33</v>
      </c>
      <c r="K820" s="5" t="n"/>
      <c r="L820" s="5" t="n"/>
      <c r="M820" s="5" t="n"/>
      <c r="N820" s="5" t="n"/>
      <c r="O820" s="5" t="n">
        <v>950</v>
      </c>
      <c r="P820" s="5" t="n"/>
      <c r="Q820" s="5" t="n">
        <v>950</v>
      </c>
      <c r="R820" s="5" t="n"/>
      <c r="S820" s="5">
        <f>SUM(F820:I820)+N820</f>
        <v/>
      </c>
      <c r="T820" s="5">
        <f>J820</f>
        <v/>
      </c>
      <c r="U820" s="6">
        <f>YEAR(D820)</f>
        <v/>
      </c>
      <c r="V820" s="5">
        <f>TEXT(D820,"yyyy-mm")</f>
        <v/>
      </c>
    </row>
    <row r="821">
      <c r="A821" s="2" t="inlineStr">
        <is>
          <t>EJ030824.TXT</t>
        </is>
      </c>
      <c r="B821" s="3" t="inlineStr">
        <is>
          <t>005464</t>
        </is>
      </c>
      <c r="C821" s="3" t="inlineStr">
        <is>
          <t>004381</t>
        </is>
      </c>
      <c r="D821" s="4" t="n">
        <v>45485</v>
      </c>
      <c r="E821" s="2" t="inlineStr">
        <is>
          <t>11:48</t>
        </is>
      </c>
      <c r="F821" s="5" t="n">
        <v>2173.33</v>
      </c>
      <c r="G821" s="5" t="n"/>
      <c r="H821" s="5" t="n"/>
      <c r="I821" s="5" t="n"/>
      <c r="J821" s="5" t="n">
        <v>434.67</v>
      </c>
      <c r="K821" s="5" t="n"/>
      <c r="L821" s="5" t="n"/>
      <c r="M821" s="5" t="n"/>
      <c r="N821" s="5" t="n"/>
      <c r="O821" s="5" t="n">
        <v>2608</v>
      </c>
      <c r="P821" s="5" t="n">
        <v>2608</v>
      </c>
      <c r="Q821" s="5" t="n"/>
      <c r="R821" s="5" t="n"/>
      <c r="S821" s="5">
        <f>SUM(F821:I821)+N821</f>
        <v/>
      </c>
      <c r="T821" s="5">
        <f>J821</f>
        <v/>
      </c>
      <c r="U821" s="6">
        <f>YEAR(D821)</f>
        <v/>
      </c>
      <c r="V821" s="5">
        <f>TEXT(D821,"yyyy-mm")</f>
        <v/>
      </c>
    </row>
    <row r="822">
      <c r="A822" s="2" t="inlineStr">
        <is>
          <t>EJ030824.TXT</t>
        </is>
      </c>
      <c r="B822" s="3" t="inlineStr">
        <is>
          <t>005465</t>
        </is>
      </c>
      <c r="C822" s="3" t="inlineStr">
        <is>
          <t>004382</t>
        </is>
      </c>
      <c r="D822" s="4" t="n">
        <v>45486</v>
      </c>
      <c r="E822" s="2" t="inlineStr">
        <is>
          <t>15:20</t>
        </is>
      </c>
      <c r="F822" s="5" t="n">
        <v>548.33</v>
      </c>
      <c r="G822" s="5" t="n"/>
      <c r="H822" s="5" t="n"/>
      <c r="I822" s="5" t="n"/>
      <c r="J822" s="5" t="n">
        <v>109.67</v>
      </c>
      <c r="K822" s="5" t="n"/>
      <c r="L822" s="5" t="n"/>
      <c r="M822" s="5" t="n"/>
      <c r="N822" s="5" t="n"/>
      <c r="O822" s="5" t="n">
        <v>658</v>
      </c>
      <c r="P822" s="5" t="n"/>
      <c r="Q822" s="5" t="n">
        <v>658</v>
      </c>
      <c r="R822" s="5" t="n"/>
      <c r="S822" s="5">
        <f>SUM(F822:I822)+N822</f>
        <v/>
      </c>
      <c r="T822" s="5">
        <f>J822</f>
        <v/>
      </c>
      <c r="U822" s="6">
        <f>YEAR(D822)</f>
        <v/>
      </c>
      <c r="V822" s="5">
        <f>TEXT(D822,"yyyy-mm")</f>
        <v/>
      </c>
    </row>
    <row r="823">
      <c r="A823" s="2" t="inlineStr">
        <is>
          <t>EJ030824.TXT</t>
        </is>
      </c>
      <c r="B823" s="3" t="inlineStr">
        <is>
          <t>005466</t>
        </is>
      </c>
      <c r="C823" s="3" t="inlineStr">
        <is>
          <t>004383</t>
        </is>
      </c>
      <c r="D823" s="4" t="n">
        <v>45486</v>
      </c>
      <c r="E823" s="2" t="inlineStr">
        <is>
          <t>15:20</t>
        </is>
      </c>
      <c r="F823" s="5" t="n">
        <v>548.33</v>
      </c>
      <c r="G823" s="5" t="n"/>
      <c r="H823" s="5" t="n"/>
      <c r="I823" s="5" t="n"/>
      <c r="J823" s="5" t="n">
        <v>109.67</v>
      </c>
      <c r="K823" s="5" t="n"/>
      <c r="L823" s="5" t="n"/>
      <c r="M823" s="5" t="n"/>
      <c r="N823" s="5" t="n"/>
      <c r="O823" s="5" t="n">
        <v>658</v>
      </c>
      <c r="P823" s="5" t="n"/>
      <c r="Q823" s="5" t="n">
        <v>658</v>
      </c>
      <c r="R823" s="5" t="n"/>
      <c r="S823" s="5">
        <f>SUM(F823:I823)+N823</f>
        <v/>
      </c>
      <c r="T823" s="5">
        <f>J823</f>
        <v/>
      </c>
      <c r="U823" s="6">
        <f>YEAR(D823)</f>
        <v/>
      </c>
      <c r="V823" s="5">
        <f>TEXT(D823,"yyyy-mm")</f>
        <v/>
      </c>
    </row>
    <row r="824">
      <c r="A824" s="2" t="inlineStr">
        <is>
          <t>EJ030824.TXT</t>
        </is>
      </c>
      <c r="B824" s="3" t="inlineStr">
        <is>
          <t>005467</t>
        </is>
      </c>
      <c r="C824" s="3" t="inlineStr">
        <is>
          <t>004384</t>
        </is>
      </c>
      <c r="D824" s="4" t="n">
        <v>45488</v>
      </c>
      <c r="E824" s="2" t="inlineStr">
        <is>
          <t>10:15</t>
        </is>
      </c>
      <c r="F824" s="5" t="n">
        <v>208.33</v>
      </c>
      <c r="G824" s="5" t="n"/>
      <c r="H824" s="5" t="n"/>
      <c r="I824" s="5" t="n"/>
      <c r="J824" s="5" t="n">
        <v>41.67</v>
      </c>
      <c r="K824" s="5" t="n"/>
      <c r="L824" s="5" t="n"/>
      <c r="M824" s="5" t="n"/>
      <c r="N824" s="5" t="n"/>
      <c r="O824" s="5" t="n">
        <v>250</v>
      </c>
      <c r="P824" s="5" t="n"/>
      <c r="Q824" s="5" t="n">
        <v>250</v>
      </c>
      <c r="R824" s="5" t="n"/>
      <c r="S824" s="5">
        <f>SUM(F824:I824)+N824</f>
        <v/>
      </c>
      <c r="T824" s="5">
        <f>J824</f>
        <v/>
      </c>
      <c r="U824" s="6">
        <f>YEAR(D824)</f>
        <v/>
      </c>
      <c r="V824" s="5">
        <f>TEXT(D824,"yyyy-mm")</f>
        <v/>
      </c>
    </row>
    <row r="825">
      <c r="A825" s="2" t="inlineStr">
        <is>
          <t>EJ030824.TXT</t>
        </is>
      </c>
      <c r="B825" s="3" t="inlineStr">
        <is>
          <t>005468</t>
        </is>
      </c>
      <c r="C825" s="3" t="inlineStr">
        <is>
          <t>004385</t>
        </is>
      </c>
      <c r="D825" s="4" t="n">
        <v>45488</v>
      </c>
      <c r="E825" s="2" t="inlineStr">
        <is>
          <t>10:36</t>
        </is>
      </c>
      <c r="F825" s="5" t="n">
        <v>208.33</v>
      </c>
      <c r="G825" s="5" t="n"/>
      <c r="H825" s="5" t="n"/>
      <c r="I825" s="5" t="n"/>
      <c r="J825" s="5" t="n">
        <v>41.67</v>
      </c>
      <c r="K825" s="5" t="n"/>
      <c r="L825" s="5" t="n"/>
      <c r="M825" s="5" t="n"/>
      <c r="N825" s="5" t="n"/>
      <c r="O825" s="5" t="n">
        <v>250</v>
      </c>
      <c r="P825" s="5" t="n"/>
      <c r="Q825" s="5" t="n">
        <v>250</v>
      </c>
      <c r="R825" s="5" t="n"/>
      <c r="S825" s="5">
        <f>SUM(F825:I825)+N825</f>
        <v/>
      </c>
      <c r="T825" s="5">
        <f>J825</f>
        <v/>
      </c>
      <c r="U825" s="6">
        <f>YEAR(D825)</f>
        <v/>
      </c>
      <c r="V825" s="5">
        <f>TEXT(D825,"yyyy-mm")</f>
        <v/>
      </c>
    </row>
    <row r="826">
      <c r="A826" s="2" t="inlineStr">
        <is>
          <t>EJ030824.TXT</t>
        </is>
      </c>
      <c r="B826" s="3" t="inlineStr">
        <is>
          <t>005469</t>
        </is>
      </c>
      <c r="C826" s="3" t="inlineStr">
        <is>
          <t>004386</t>
        </is>
      </c>
      <c r="D826" s="4" t="n">
        <v>45492</v>
      </c>
      <c r="E826" s="2" t="inlineStr">
        <is>
          <t>15:06</t>
        </is>
      </c>
      <c r="F826" s="5" t="n">
        <v>208.33</v>
      </c>
      <c r="G826" s="5" t="n"/>
      <c r="H826" s="5" t="n"/>
      <c r="I826" s="5" t="n"/>
      <c r="J826" s="5" t="n">
        <v>41.67</v>
      </c>
      <c r="K826" s="5" t="n"/>
      <c r="L826" s="5" t="n"/>
      <c r="M826" s="5" t="n"/>
      <c r="N826" s="5" t="n"/>
      <c r="O826" s="5" t="n">
        <v>250</v>
      </c>
      <c r="P826" s="5" t="n"/>
      <c r="Q826" s="5" t="n">
        <v>250</v>
      </c>
      <c r="R826" s="5" t="n"/>
      <c r="S826" s="5">
        <f>SUM(F826:I826)+N826</f>
        <v/>
      </c>
      <c r="T826" s="5">
        <f>J826</f>
        <v/>
      </c>
      <c r="U826" s="6">
        <f>YEAR(D826)</f>
        <v/>
      </c>
      <c r="V826" s="5">
        <f>TEXT(D826,"yyyy-mm")</f>
        <v/>
      </c>
    </row>
    <row r="827">
      <c r="A827" s="2" t="inlineStr">
        <is>
          <t>EJ030824.TXT</t>
        </is>
      </c>
      <c r="B827" s="3" t="inlineStr">
        <is>
          <t>005470</t>
        </is>
      </c>
      <c r="C827" s="3" t="inlineStr">
        <is>
          <t>004387</t>
        </is>
      </c>
      <c r="D827" s="4" t="n">
        <v>45495</v>
      </c>
      <c r="E827" s="2" t="inlineStr">
        <is>
          <t>16:15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/>
      <c r="Q827" s="5" t="n">
        <v>658</v>
      </c>
      <c r="R827" s="5" t="n"/>
      <c r="S827" s="5">
        <f>SUM(F827:I827)+N827</f>
        <v/>
      </c>
      <c r="T827" s="5">
        <f>J827</f>
        <v/>
      </c>
      <c r="U827" s="6">
        <f>YEAR(D827)</f>
        <v/>
      </c>
      <c r="V827" s="5">
        <f>TEXT(D827,"yyyy-mm")</f>
        <v/>
      </c>
    </row>
    <row r="828">
      <c r="A828" s="2" t="inlineStr">
        <is>
          <t>EJ030824.TXT</t>
        </is>
      </c>
      <c r="B828" s="3" t="inlineStr">
        <is>
          <t>005471</t>
        </is>
      </c>
      <c r="C828" s="3" t="inlineStr">
        <is>
          <t>004388</t>
        </is>
      </c>
      <c r="D828" s="4" t="n">
        <v>45496</v>
      </c>
      <c r="E828" s="2" t="inlineStr">
        <is>
          <t>10:43</t>
        </is>
      </c>
      <c r="F828" s="5" t="n">
        <v>1096.67</v>
      </c>
      <c r="G828" s="5" t="n"/>
      <c r="H828" s="5" t="n"/>
      <c r="I828" s="5" t="n"/>
      <c r="J828" s="5" t="n">
        <v>219.33</v>
      </c>
      <c r="K828" s="5" t="n"/>
      <c r="L828" s="5" t="n"/>
      <c r="M828" s="5" t="n"/>
      <c r="N828" s="5" t="n"/>
      <c r="O828" s="5" t="n">
        <v>1316</v>
      </c>
      <c r="P828" s="5" t="n">
        <v>1316</v>
      </c>
      <c r="Q828" s="5" t="n"/>
      <c r="R828" s="5" t="n"/>
      <c r="S828" s="5">
        <f>SUM(F828:I828)+N828</f>
        <v/>
      </c>
      <c r="T828" s="5">
        <f>J828</f>
        <v/>
      </c>
      <c r="U828" s="6">
        <f>YEAR(D828)</f>
        <v/>
      </c>
      <c r="V828" s="5">
        <f>TEXT(D828,"yyyy-mm")</f>
        <v/>
      </c>
    </row>
    <row r="829">
      <c r="A829" s="2" t="inlineStr">
        <is>
          <t>EJ030824.TXT</t>
        </is>
      </c>
      <c r="B829" s="3" t="inlineStr">
        <is>
          <t>005472</t>
        </is>
      </c>
      <c r="C829" s="3" t="inlineStr">
        <is>
          <t>004389</t>
        </is>
      </c>
      <c r="D829" s="4" t="n">
        <v>45497</v>
      </c>
      <c r="E829" s="2" t="inlineStr">
        <is>
          <t>09:59</t>
        </is>
      </c>
      <c r="F829" s="5" t="n">
        <v>797.5</v>
      </c>
      <c r="G829" s="5" t="n"/>
      <c r="H829" s="5" t="n"/>
      <c r="I829" s="5" t="n"/>
      <c r="J829" s="5" t="n">
        <v>159.5</v>
      </c>
      <c r="K829" s="5" t="n"/>
      <c r="L829" s="5" t="n"/>
      <c r="M829" s="5" t="n"/>
      <c r="N829" s="5" t="n"/>
      <c r="O829" s="5" t="n">
        <v>957</v>
      </c>
      <c r="P829" s="5" t="n"/>
      <c r="Q829" s="5" t="n">
        <v>957</v>
      </c>
      <c r="R829" s="5" t="n"/>
      <c r="S829" s="5">
        <f>SUM(F829:I829)+N829</f>
        <v/>
      </c>
      <c r="T829" s="5">
        <f>J829</f>
        <v/>
      </c>
      <c r="U829" s="6">
        <f>YEAR(D829)</f>
        <v/>
      </c>
      <c r="V829" s="5">
        <f>TEXT(D829,"yyyy-mm")</f>
        <v/>
      </c>
    </row>
    <row r="830">
      <c r="A830" s="2" t="inlineStr">
        <is>
          <t>EJ030824.TXT</t>
        </is>
      </c>
      <c r="B830" s="3" t="inlineStr">
        <is>
          <t>005473</t>
        </is>
      </c>
      <c r="C830" s="3" t="inlineStr">
        <is>
          <t>004390</t>
        </is>
      </c>
      <c r="D830" s="4" t="n">
        <v>45497</v>
      </c>
      <c r="E830" s="2" t="inlineStr">
        <is>
          <t>09:59</t>
        </is>
      </c>
      <c r="F830" s="5" t="n">
        <v>2392.5</v>
      </c>
      <c r="G830" s="5" t="n"/>
      <c r="H830" s="5" t="n"/>
      <c r="I830" s="5" t="n"/>
      <c r="J830" s="5" t="n">
        <v>478.5</v>
      </c>
      <c r="K830" s="5" t="n"/>
      <c r="L830" s="5" t="n"/>
      <c r="M830" s="5" t="n"/>
      <c r="N830" s="5" t="n"/>
      <c r="O830" s="5" t="n">
        <v>2871</v>
      </c>
      <c r="P830" s="5" t="n">
        <v>2871</v>
      </c>
      <c r="Q830" s="5" t="n"/>
      <c r="R830" s="5" t="n"/>
      <c r="S830" s="5">
        <f>SUM(F830:I830)+N830</f>
        <v/>
      </c>
      <c r="T830" s="5">
        <f>J830</f>
        <v/>
      </c>
      <c r="U830" s="6">
        <f>YEAR(D830)</f>
        <v/>
      </c>
      <c r="V830" s="5">
        <f>TEXT(D830,"yyyy-mm")</f>
        <v/>
      </c>
    </row>
    <row r="831">
      <c r="A831" s="2" t="inlineStr">
        <is>
          <t>EJ030824.TXT</t>
        </is>
      </c>
      <c r="B831" s="3" t="inlineStr">
        <is>
          <t>005474</t>
        </is>
      </c>
      <c r="C831" s="3" t="inlineStr">
        <is>
          <t>004391</t>
        </is>
      </c>
      <c r="D831" s="4" t="n">
        <v>45497</v>
      </c>
      <c r="E831" s="2" t="inlineStr">
        <is>
          <t>10:01</t>
        </is>
      </c>
      <c r="F831" s="5" t="n">
        <v>531.67</v>
      </c>
      <c r="G831" s="5" t="n"/>
      <c r="H831" s="5" t="n"/>
      <c r="I831" s="5" t="n"/>
      <c r="J831" s="5" t="n">
        <v>106.33</v>
      </c>
      <c r="K831" s="5" t="n"/>
      <c r="L831" s="5" t="n"/>
      <c r="M831" s="5" t="n"/>
      <c r="N831" s="5" t="n"/>
      <c r="O831" s="5" t="n">
        <v>638</v>
      </c>
      <c r="P831" s="5" t="n"/>
      <c r="Q831" s="5" t="n">
        <v>638</v>
      </c>
      <c r="R831" s="5" t="n"/>
      <c r="S831" s="5">
        <f>SUM(F831:I831)+N831</f>
        <v/>
      </c>
      <c r="T831" s="5">
        <f>J831</f>
        <v/>
      </c>
      <c r="U831" s="6">
        <f>YEAR(D831)</f>
        <v/>
      </c>
      <c r="V831" s="5">
        <f>TEXT(D831,"yyyy-mm")</f>
        <v/>
      </c>
    </row>
    <row r="832">
      <c r="A832" s="2" t="inlineStr">
        <is>
          <t>EJ030824.TXT</t>
        </is>
      </c>
      <c r="B832" s="3" t="inlineStr">
        <is>
          <t>005475</t>
        </is>
      </c>
      <c r="C832" s="3" t="inlineStr">
        <is>
          <t>004392</t>
        </is>
      </c>
      <c r="D832" s="4" t="n">
        <v>45498</v>
      </c>
      <c r="E832" s="2" t="inlineStr">
        <is>
          <t>17:44</t>
        </is>
      </c>
      <c r="F832" s="5" t="n">
        <v>548.33</v>
      </c>
      <c r="G832" s="5" t="n"/>
      <c r="H832" s="5" t="n"/>
      <c r="I832" s="5" t="n"/>
      <c r="J832" s="5" t="n">
        <v>109.67</v>
      </c>
      <c r="K832" s="5" t="n"/>
      <c r="L832" s="5" t="n"/>
      <c r="M832" s="5" t="n"/>
      <c r="N832" s="5" t="n"/>
      <c r="O832" s="5" t="n">
        <v>658</v>
      </c>
      <c r="P832" s="5" t="n"/>
      <c r="Q832" s="5" t="n">
        <v>658</v>
      </c>
      <c r="R832" s="5" t="n"/>
      <c r="S832" s="5">
        <f>SUM(F832:I832)+N832</f>
        <v/>
      </c>
      <c r="T832" s="5">
        <f>J832</f>
        <v/>
      </c>
      <c r="U832" s="6">
        <f>YEAR(D832)</f>
        <v/>
      </c>
      <c r="V832" s="5">
        <f>TEXT(D832,"yyyy-mm")</f>
        <v/>
      </c>
    </row>
    <row r="833">
      <c r="A833" s="2" t="inlineStr">
        <is>
          <t>EJ030824.TXT</t>
        </is>
      </c>
      <c r="B833" s="3" t="inlineStr">
        <is>
          <t>005476</t>
        </is>
      </c>
      <c r="C833" s="3" t="inlineStr">
        <is>
          <t>004393</t>
        </is>
      </c>
      <c r="D833" s="4" t="n">
        <v>45499</v>
      </c>
      <c r="E833" s="2" t="inlineStr">
        <is>
          <t>10:46</t>
        </is>
      </c>
      <c r="F833" s="5" t="n">
        <v>156.67</v>
      </c>
      <c r="G833" s="5" t="n"/>
      <c r="H833" s="5" t="n"/>
      <c r="I833" s="5" t="n"/>
      <c r="J833" s="5" t="n">
        <v>31.33</v>
      </c>
      <c r="K833" s="5" t="n"/>
      <c r="L833" s="5" t="n"/>
      <c r="M833" s="5" t="n"/>
      <c r="N833" s="5" t="n"/>
      <c r="O833" s="5" t="n">
        <v>188</v>
      </c>
      <c r="P833" s="5" t="n"/>
      <c r="Q833" s="5" t="n">
        <v>188</v>
      </c>
      <c r="R833" s="5" t="n"/>
      <c r="S833" s="5">
        <f>SUM(F833:I833)+N833</f>
        <v/>
      </c>
      <c r="T833" s="5">
        <f>J833</f>
        <v/>
      </c>
      <c r="U833" s="6">
        <f>YEAR(D833)</f>
        <v/>
      </c>
      <c r="V833" s="5">
        <f>TEXT(D833,"yyyy-mm")</f>
        <v/>
      </c>
    </row>
    <row r="834">
      <c r="A834" s="2" t="inlineStr">
        <is>
          <t>EJ030824.TXT</t>
        </is>
      </c>
      <c r="B834" s="3" t="inlineStr">
        <is>
          <t>005477</t>
        </is>
      </c>
      <c r="C834" s="3" t="inlineStr">
        <is>
          <t>004394</t>
        </is>
      </c>
      <c r="D834" s="4" t="n">
        <v>45500</v>
      </c>
      <c r="E834" s="2" t="inlineStr">
        <is>
          <t>15:42</t>
        </is>
      </c>
      <c r="F834" s="5" t="n">
        <v>36.67</v>
      </c>
      <c r="G834" s="5" t="n"/>
      <c r="H834" s="5" t="n"/>
      <c r="I834" s="5" t="n"/>
      <c r="J834" s="5" t="n">
        <v>7.33</v>
      </c>
      <c r="K834" s="5" t="n"/>
      <c r="L834" s="5" t="n"/>
      <c r="M834" s="5" t="n"/>
      <c r="N834" s="5" t="n"/>
      <c r="O834" s="5" t="n">
        <v>44</v>
      </c>
      <c r="P834" s="5" t="n"/>
      <c r="Q834" s="5" t="n">
        <v>44</v>
      </c>
      <c r="R834" s="5" t="n"/>
      <c r="S834" s="5">
        <f>SUM(F834:I834)+N834</f>
        <v/>
      </c>
      <c r="T834" s="5">
        <f>J834</f>
        <v/>
      </c>
      <c r="U834" s="6">
        <f>YEAR(D834)</f>
        <v/>
      </c>
      <c r="V834" s="5">
        <f>TEXT(D834,"yyyy-mm")</f>
        <v/>
      </c>
    </row>
    <row r="835">
      <c r="A835" s="2" t="inlineStr">
        <is>
          <t>EJ030824.TXT</t>
        </is>
      </c>
      <c r="B835" s="3" t="inlineStr">
        <is>
          <t>005478</t>
        </is>
      </c>
      <c r="C835" s="3" t="inlineStr">
        <is>
          <t>004395</t>
        </is>
      </c>
      <c r="D835" s="4" t="n">
        <v>45502</v>
      </c>
      <c r="E835" s="2" t="inlineStr">
        <is>
          <t>11:30</t>
        </is>
      </c>
      <c r="F835" s="5" t="n">
        <v>208.33</v>
      </c>
      <c r="G835" s="5" t="n"/>
      <c r="H835" s="5" t="n"/>
      <c r="I835" s="5" t="n"/>
      <c r="J835" s="5" t="n">
        <v>41.67</v>
      </c>
      <c r="K835" s="5" t="n"/>
      <c r="L835" s="5" t="n"/>
      <c r="M835" s="5" t="n"/>
      <c r="N835" s="5" t="n"/>
      <c r="O835" s="5" t="n">
        <v>250</v>
      </c>
      <c r="P835" s="5" t="n"/>
      <c r="Q835" s="5" t="n">
        <v>250</v>
      </c>
      <c r="R835" s="5" t="n"/>
      <c r="S835" s="5">
        <f>SUM(F835:I835)+N835</f>
        <v/>
      </c>
      <c r="T835" s="5">
        <f>J835</f>
        <v/>
      </c>
      <c r="U835" s="6">
        <f>YEAR(D835)</f>
        <v/>
      </c>
      <c r="V835" s="5">
        <f>TEXT(D835,"yyyy-mm")</f>
        <v/>
      </c>
    </row>
    <row r="836">
      <c r="A836" s="2" t="inlineStr">
        <is>
          <t>EJ030824.TXT</t>
        </is>
      </c>
      <c r="B836" s="3" t="inlineStr">
        <is>
          <t>005479</t>
        </is>
      </c>
      <c r="C836" s="3" t="inlineStr">
        <is>
          <t>004396</t>
        </is>
      </c>
      <c r="D836" s="4" t="n">
        <v>45502</v>
      </c>
      <c r="E836" s="2" t="inlineStr">
        <is>
          <t>12:07</t>
        </is>
      </c>
      <c r="F836" s="5" t="n">
        <v>582.5</v>
      </c>
      <c r="G836" s="5" t="n"/>
      <c r="H836" s="5" t="n"/>
      <c r="I836" s="5" t="n"/>
      <c r="J836" s="5" t="n">
        <v>116.5</v>
      </c>
      <c r="K836" s="5" t="n"/>
      <c r="L836" s="5" t="n"/>
      <c r="M836" s="5" t="n"/>
      <c r="N836" s="5" t="n"/>
      <c r="O836" s="5" t="n">
        <v>699</v>
      </c>
      <c r="P836" s="5" t="n">
        <v>699</v>
      </c>
      <c r="Q836" s="5" t="n"/>
      <c r="R836" s="5" t="n"/>
      <c r="S836" s="5">
        <f>SUM(F836:I836)+N836</f>
        <v/>
      </c>
      <c r="T836" s="5">
        <f>J836</f>
        <v/>
      </c>
      <c r="U836" s="6">
        <f>YEAR(D836)</f>
        <v/>
      </c>
      <c r="V836" s="5">
        <f>TEXT(D836,"yyyy-mm")</f>
        <v/>
      </c>
    </row>
    <row r="837">
      <c r="A837" s="2" t="inlineStr">
        <is>
          <t>EJ030824.TXT</t>
        </is>
      </c>
      <c r="B837" s="3" t="inlineStr">
        <is>
          <t>005480</t>
        </is>
      </c>
      <c r="C837" s="3" t="inlineStr">
        <is>
          <t>004397</t>
        </is>
      </c>
      <c r="D837" s="4" t="n">
        <v>45503</v>
      </c>
      <c r="E837" s="2" t="inlineStr">
        <is>
          <t>09:01</t>
        </is>
      </c>
      <c r="F837" s="5" t="n">
        <v>199.17</v>
      </c>
      <c r="G837" s="5" t="n"/>
      <c r="H837" s="5" t="n"/>
      <c r="I837" s="5" t="n"/>
      <c r="J837" s="5" t="n">
        <v>39.83</v>
      </c>
      <c r="K837" s="5" t="n"/>
      <c r="L837" s="5" t="n"/>
      <c r="M837" s="5" t="n"/>
      <c r="N837" s="5" t="n"/>
      <c r="O837" s="5" t="n">
        <v>239</v>
      </c>
      <c r="P837" s="5" t="n"/>
      <c r="Q837" s="5" t="n">
        <v>239</v>
      </c>
      <c r="R837" s="5" t="n"/>
      <c r="S837" s="5">
        <f>SUM(F837:I837)+N837</f>
        <v/>
      </c>
      <c r="T837" s="5">
        <f>J837</f>
        <v/>
      </c>
      <c r="U837" s="6">
        <f>YEAR(D837)</f>
        <v/>
      </c>
      <c r="V837" s="5">
        <f>TEXT(D837,"yyyy-mm")</f>
        <v/>
      </c>
    </row>
    <row r="838">
      <c r="A838" s="2" t="inlineStr">
        <is>
          <t>EJ030824.TXT</t>
        </is>
      </c>
      <c r="B838" s="3" t="inlineStr">
        <is>
          <t>005481</t>
        </is>
      </c>
      <c r="C838" s="3" t="inlineStr">
        <is>
          <t>004398</t>
        </is>
      </c>
      <c r="D838" s="4" t="n">
        <v>45505</v>
      </c>
      <c r="E838" s="2" t="inlineStr">
        <is>
          <t>11:03</t>
        </is>
      </c>
      <c r="F838" s="5" t="n">
        <v>274.17</v>
      </c>
      <c r="G838" s="5" t="n"/>
      <c r="H838" s="5" t="n"/>
      <c r="I838" s="5" t="n"/>
      <c r="J838" s="5" t="n">
        <v>54.83</v>
      </c>
      <c r="K838" s="5" t="n"/>
      <c r="L838" s="5" t="n"/>
      <c r="M838" s="5" t="n"/>
      <c r="N838" s="5" t="n"/>
      <c r="O838" s="5" t="n">
        <v>329</v>
      </c>
      <c r="P838" s="5" t="n"/>
      <c r="Q838" s="5" t="n">
        <v>329</v>
      </c>
      <c r="R838" s="5" t="n"/>
      <c r="S838" s="5">
        <f>SUM(F838:I838)+N838</f>
        <v/>
      </c>
      <c r="T838" s="5">
        <f>J838</f>
        <v/>
      </c>
      <c r="U838" s="6">
        <f>YEAR(D838)</f>
        <v/>
      </c>
      <c r="V838" s="5">
        <f>TEXT(D838,"yyyy-mm")</f>
        <v/>
      </c>
    </row>
    <row r="839">
      <c r="A839" s="2" t="inlineStr">
        <is>
          <t>EJ030824.TXT</t>
        </is>
      </c>
      <c r="B839" s="3" t="inlineStr">
        <is>
          <t>005482</t>
        </is>
      </c>
      <c r="C839" s="3" t="inlineStr">
        <is>
          <t>004399</t>
        </is>
      </c>
      <c r="D839" s="4" t="n">
        <v>45506</v>
      </c>
      <c r="E839" s="2" t="inlineStr">
        <is>
          <t>14:03</t>
        </is>
      </c>
      <c r="F839" s="5" t="n">
        <v>548.33</v>
      </c>
      <c r="G839" s="5" t="n"/>
      <c r="H839" s="5" t="n"/>
      <c r="I839" s="5" t="n"/>
      <c r="J839" s="5" t="n">
        <v>109.67</v>
      </c>
      <c r="K839" s="5" t="n"/>
      <c r="L839" s="5" t="n"/>
      <c r="M839" s="5" t="n"/>
      <c r="N839" s="5" t="n"/>
      <c r="O839" s="5" t="n">
        <v>658</v>
      </c>
      <c r="P839" s="5" t="n"/>
      <c r="Q839" s="5" t="n">
        <v>658</v>
      </c>
      <c r="R839" s="5" t="n"/>
      <c r="S839" s="5">
        <f>SUM(F839:I839)+N839</f>
        <v/>
      </c>
      <c r="T839" s="5">
        <f>J839</f>
        <v/>
      </c>
      <c r="U839" s="6">
        <f>YEAR(D839)</f>
        <v/>
      </c>
      <c r="V839" s="5">
        <f>TEXT(D839,"yyyy-mm")</f>
        <v/>
      </c>
    </row>
    <row r="840">
      <c r="A840" s="2" t="inlineStr">
        <is>
          <t>EJ030824.TXT</t>
        </is>
      </c>
      <c r="B840" s="3" t="inlineStr">
        <is>
          <t>005483</t>
        </is>
      </c>
      <c r="C840" s="3" t="inlineStr">
        <is>
          <t>004400</t>
        </is>
      </c>
      <c r="D840" s="4" t="n">
        <v>45506</v>
      </c>
      <c r="E840" s="2" t="inlineStr">
        <is>
          <t>14:05</t>
        </is>
      </c>
      <c r="F840" s="5" t="n">
        <v>548.33</v>
      </c>
      <c r="G840" s="5" t="n"/>
      <c r="H840" s="5" t="n"/>
      <c r="I840" s="5" t="n"/>
      <c r="J840" s="5" t="n">
        <v>109.67</v>
      </c>
      <c r="K840" s="5" t="n"/>
      <c r="L840" s="5" t="n"/>
      <c r="M840" s="5" t="n"/>
      <c r="N840" s="5" t="n"/>
      <c r="O840" s="5" t="n">
        <v>658</v>
      </c>
      <c r="P840" s="5" t="n">
        <v>658</v>
      </c>
      <c r="Q840" s="5" t="n"/>
      <c r="R840" s="5" t="n"/>
      <c r="S840" s="5">
        <f>SUM(F840:I840)+N840</f>
        <v/>
      </c>
      <c r="T840" s="5">
        <f>J840</f>
        <v/>
      </c>
      <c r="U840" s="6">
        <f>YEAR(D840)</f>
        <v/>
      </c>
      <c r="V840" s="5">
        <f>TEXT(D840,"yyyy-mm")</f>
        <v/>
      </c>
    </row>
    <row r="841">
      <c r="A841" s="2" t="inlineStr">
        <is>
          <t>EJ030824.TXT</t>
        </is>
      </c>
      <c r="B841" s="3" t="inlineStr">
        <is>
          <t>005484</t>
        </is>
      </c>
      <c r="C841" s="3" t="inlineStr">
        <is>
          <t>004401</t>
        </is>
      </c>
      <c r="D841" s="4" t="n">
        <v>45506</v>
      </c>
      <c r="E841" s="2" t="inlineStr">
        <is>
          <t>15:20</t>
        </is>
      </c>
      <c r="F841" s="5" t="n">
        <v>208.33</v>
      </c>
      <c r="G841" s="5" t="n"/>
      <c r="H841" s="5" t="n"/>
      <c r="I841" s="5" t="n"/>
      <c r="J841" s="5" t="n">
        <v>41.67</v>
      </c>
      <c r="K841" s="5" t="n"/>
      <c r="L841" s="5" t="n"/>
      <c r="M841" s="5" t="n"/>
      <c r="N841" s="5" t="n"/>
      <c r="O841" s="5" t="n">
        <v>250</v>
      </c>
      <c r="P841" s="5" t="n"/>
      <c r="Q841" s="5" t="n">
        <v>250</v>
      </c>
      <c r="R841" s="5" t="n"/>
      <c r="S841" s="5">
        <f>SUM(F841:I841)+N841</f>
        <v/>
      </c>
      <c r="T841" s="5">
        <f>J841</f>
        <v/>
      </c>
      <c r="U841" s="6">
        <f>YEAR(D841)</f>
        <v/>
      </c>
      <c r="V841" s="5">
        <f>TEXT(D841,"yyyy-mm")</f>
        <v/>
      </c>
    </row>
    <row r="842">
      <c r="A842" s="2" t="inlineStr">
        <is>
          <t>EJ030824.TXT</t>
        </is>
      </c>
      <c r="B842" s="3" t="inlineStr">
        <is>
          <t>005485</t>
        </is>
      </c>
      <c r="C842" s="3" t="inlineStr">
        <is>
          <t>004402</t>
        </is>
      </c>
      <c r="D842" s="4" t="n">
        <v>45507</v>
      </c>
      <c r="E842" s="2" t="inlineStr">
        <is>
          <t>16:03</t>
        </is>
      </c>
      <c r="F842" s="5" t="n">
        <v>797.5</v>
      </c>
      <c r="G842" s="5" t="n"/>
      <c r="H842" s="5" t="n"/>
      <c r="I842" s="5" t="n"/>
      <c r="J842" s="5" t="n">
        <v>159.5</v>
      </c>
      <c r="K842" s="5" t="n"/>
      <c r="L842" s="5" t="n"/>
      <c r="M842" s="5" t="n"/>
      <c r="N842" s="5" t="n"/>
      <c r="O842" s="5" t="n">
        <v>957</v>
      </c>
      <c r="P842" s="5" t="n"/>
      <c r="Q842" s="5" t="n">
        <v>957</v>
      </c>
      <c r="R842" s="5" t="n"/>
      <c r="S842" s="5">
        <f>SUM(F842:I842)+N842</f>
        <v/>
      </c>
      <c r="T842" s="5">
        <f>J842</f>
        <v/>
      </c>
      <c r="U842" s="6">
        <f>YEAR(D842)</f>
        <v/>
      </c>
      <c r="V842" s="5">
        <f>TEXT(D842,"yyyy-mm")</f>
        <v/>
      </c>
    </row>
    <row r="843">
      <c r="A843" s="2" t="inlineStr">
        <is>
          <t>EJ030824.TXT</t>
        </is>
      </c>
      <c r="B843" s="3" t="inlineStr">
        <is>
          <t>005486</t>
        </is>
      </c>
      <c r="C843" s="3" t="inlineStr">
        <is>
          <t>004403</t>
        </is>
      </c>
      <c r="D843" s="4" t="n">
        <v>45507</v>
      </c>
      <c r="E843" s="2" t="inlineStr">
        <is>
          <t>16:03</t>
        </is>
      </c>
      <c r="F843" s="5" t="n">
        <v>566.67</v>
      </c>
      <c r="G843" s="5" t="n"/>
      <c r="H843" s="5" t="n"/>
      <c r="I843" s="5" t="n"/>
      <c r="J843" s="5" t="n">
        <v>113.33</v>
      </c>
      <c r="K843" s="5" t="n"/>
      <c r="L843" s="5" t="n"/>
      <c r="M843" s="5" t="n"/>
      <c r="N843" s="5" t="n"/>
      <c r="O843" s="5" t="n">
        <v>680</v>
      </c>
      <c r="P843" s="5" t="n"/>
      <c r="Q843" s="5" t="n">
        <v>680</v>
      </c>
      <c r="R843" s="5" t="n"/>
      <c r="S843" s="5">
        <f>SUM(F843:I843)+N843</f>
        <v/>
      </c>
      <c r="T843" s="5">
        <f>J843</f>
        <v/>
      </c>
      <c r="U843" s="6">
        <f>YEAR(D843)</f>
        <v/>
      </c>
      <c r="V843" s="5">
        <f>TEXT(D843,"yyyy-mm")</f>
        <v/>
      </c>
    </row>
    <row r="844">
      <c r="A844" s="2" t="inlineStr">
        <is>
          <t>EJ030824.TXT</t>
        </is>
      </c>
      <c r="B844" s="3" t="inlineStr">
        <is>
          <t>005487</t>
        </is>
      </c>
      <c r="C844" s="3" t="inlineStr">
        <is>
          <t>004404</t>
        </is>
      </c>
      <c r="D844" s="4" t="n">
        <v>45507</v>
      </c>
      <c r="E844" s="2" t="inlineStr">
        <is>
          <t>16:04</t>
        </is>
      </c>
      <c r="F844" s="5" t="n">
        <v>531.67</v>
      </c>
      <c r="G844" s="5" t="n"/>
      <c r="H844" s="5" t="n"/>
      <c r="I844" s="5" t="n"/>
      <c r="J844" s="5" t="n">
        <v>106.33</v>
      </c>
      <c r="K844" s="5" t="n"/>
      <c r="L844" s="5" t="n"/>
      <c r="M844" s="5" t="n"/>
      <c r="N844" s="5" t="n"/>
      <c r="O844" s="5" t="n">
        <v>638</v>
      </c>
      <c r="P844" s="5" t="n"/>
      <c r="Q844" s="5" t="n">
        <v>638</v>
      </c>
      <c r="R844" s="5" t="n"/>
      <c r="S844" s="5">
        <f>SUM(F844:I844)+N844</f>
        <v/>
      </c>
      <c r="T844" s="5">
        <f>J844</f>
        <v/>
      </c>
      <c r="U844" s="6">
        <f>YEAR(D844)</f>
        <v/>
      </c>
      <c r="V844" s="5">
        <f>TEXT(D844,"yyyy-mm")</f>
        <v/>
      </c>
    </row>
    <row r="845">
      <c r="A845" s="2" t="inlineStr">
        <is>
          <t>EJ030824.TXT</t>
        </is>
      </c>
      <c r="B845" s="3" t="inlineStr">
        <is>
          <t>005488</t>
        </is>
      </c>
      <c r="C845" s="3" t="inlineStr">
        <is>
          <t>004405</t>
        </is>
      </c>
      <c r="D845" s="4" t="n">
        <v>45507</v>
      </c>
      <c r="E845" s="2" t="inlineStr">
        <is>
          <t>16:04</t>
        </is>
      </c>
      <c r="F845" s="5" t="n">
        <v>531.67</v>
      </c>
      <c r="G845" s="5" t="n"/>
      <c r="H845" s="5" t="n"/>
      <c r="I845" s="5" t="n"/>
      <c r="J845" s="5" t="n">
        <v>106.33</v>
      </c>
      <c r="K845" s="5" t="n"/>
      <c r="L845" s="5" t="n"/>
      <c r="M845" s="5" t="n"/>
      <c r="N845" s="5" t="n"/>
      <c r="O845" s="5" t="n">
        <v>638</v>
      </c>
      <c r="P845" s="5" t="n"/>
      <c r="Q845" s="5" t="n">
        <v>638</v>
      </c>
      <c r="R845" s="5" t="n"/>
      <c r="S845" s="5">
        <f>SUM(F845:I845)+N845</f>
        <v/>
      </c>
      <c r="T845" s="5">
        <f>J845</f>
        <v/>
      </c>
      <c r="U845" s="6">
        <f>YEAR(D845)</f>
        <v/>
      </c>
      <c r="V845" s="5">
        <f>TEXT(D845,"yyyy-mm")</f>
        <v/>
      </c>
    </row>
    <row r="846">
      <c r="A846" s="2" t="inlineStr">
        <is>
          <t>EJ030824.TXT</t>
        </is>
      </c>
      <c r="B846" s="3" t="inlineStr">
        <is>
          <t>005489</t>
        </is>
      </c>
      <c r="C846" s="3" t="inlineStr">
        <is>
          <t>004406</t>
        </is>
      </c>
      <c r="D846" s="4" t="n">
        <v>45507</v>
      </c>
      <c r="E846" s="2" t="inlineStr">
        <is>
          <t>16:04</t>
        </is>
      </c>
      <c r="F846" s="5" t="n">
        <v>797.5</v>
      </c>
      <c r="G846" s="5" t="n"/>
      <c r="H846" s="5" t="n"/>
      <c r="I846" s="5" t="n"/>
      <c r="J846" s="5" t="n">
        <v>159.5</v>
      </c>
      <c r="K846" s="5" t="n"/>
      <c r="L846" s="5" t="n"/>
      <c r="M846" s="5" t="n"/>
      <c r="N846" s="5" t="n"/>
      <c r="O846" s="5" t="n">
        <v>957</v>
      </c>
      <c r="P846" s="5" t="n"/>
      <c r="Q846" s="5" t="n">
        <v>957</v>
      </c>
      <c r="R846" s="5" t="n"/>
      <c r="S846" s="5">
        <f>SUM(F846:I846)+N846</f>
        <v/>
      </c>
      <c r="T846" s="5">
        <f>J846</f>
        <v/>
      </c>
      <c r="U846" s="6">
        <f>YEAR(D846)</f>
        <v/>
      </c>
      <c r="V846" s="5">
        <f>TEXT(D846,"yyyy-mm")</f>
        <v/>
      </c>
    </row>
    <row r="847">
      <c r="A847" s="2" t="inlineStr">
        <is>
          <t>EJ030824.TXT</t>
        </is>
      </c>
      <c r="B847" s="3" t="inlineStr">
        <is>
          <t>005490</t>
        </is>
      </c>
      <c r="C847" s="3" t="inlineStr">
        <is>
          <t>004407</t>
        </is>
      </c>
      <c r="D847" s="4" t="n">
        <v>45507</v>
      </c>
      <c r="E847" s="2" t="inlineStr">
        <is>
          <t>16:05</t>
        </is>
      </c>
      <c r="F847" s="5" t="n">
        <v>797.5</v>
      </c>
      <c r="G847" s="5" t="n"/>
      <c r="H847" s="5" t="n"/>
      <c r="I847" s="5" t="n"/>
      <c r="J847" s="5" t="n">
        <v>159.5</v>
      </c>
      <c r="K847" s="5" t="n"/>
      <c r="L847" s="5" t="n"/>
      <c r="M847" s="5" t="n"/>
      <c r="N847" s="5" t="n"/>
      <c r="O847" s="5" t="n">
        <v>957</v>
      </c>
      <c r="P847" s="5" t="n"/>
      <c r="Q847" s="5" t="n">
        <v>957</v>
      </c>
      <c r="R847" s="5" t="n"/>
      <c r="S847" s="5">
        <f>SUM(F847:I847)+N847</f>
        <v/>
      </c>
      <c r="T847" s="5">
        <f>J847</f>
        <v/>
      </c>
      <c r="U847" s="6">
        <f>YEAR(D847)</f>
        <v/>
      </c>
      <c r="V847" s="5">
        <f>TEXT(D847,"yyyy-mm")</f>
        <v/>
      </c>
    </row>
    <row r="848">
      <c r="A848" s="2" t="inlineStr">
        <is>
          <t>EJ020924.TXT</t>
        </is>
      </c>
      <c r="B848" s="3" t="inlineStr">
        <is>
          <t>005499</t>
        </is>
      </c>
      <c r="C848" s="3" t="inlineStr">
        <is>
          <t>004408</t>
        </is>
      </c>
      <c r="D848" s="4" t="n">
        <v>45509</v>
      </c>
      <c r="E848" s="2" t="inlineStr">
        <is>
          <t>14:53</t>
        </is>
      </c>
      <c r="F848" s="5" t="n">
        <v>208.33</v>
      </c>
      <c r="G848" s="5" t="n"/>
      <c r="H848" s="5" t="n"/>
      <c r="I848" s="5" t="n"/>
      <c r="J848" s="5" t="n">
        <v>41.67</v>
      </c>
      <c r="K848" s="5" t="n"/>
      <c r="L848" s="5" t="n"/>
      <c r="M848" s="5" t="n"/>
      <c r="N848" s="5" t="n"/>
      <c r="O848" s="5" t="n">
        <v>250</v>
      </c>
      <c r="P848" s="5" t="n"/>
      <c r="Q848" s="5" t="n">
        <v>250</v>
      </c>
      <c r="R848" s="5" t="n"/>
      <c r="S848" s="5">
        <f>SUM(F848:I848)+N848</f>
        <v/>
      </c>
      <c r="T848" s="5">
        <f>J848</f>
        <v/>
      </c>
      <c r="U848" s="6">
        <f>YEAR(D848)</f>
        <v/>
      </c>
      <c r="V848" s="5">
        <f>TEXT(D848,"yyyy-mm")</f>
        <v/>
      </c>
    </row>
    <row r="849">
      <c r="A849" s="2" t="inlineStr">
        <is>
          <t>EJ020924.TXT</t>
        </is>
      </c>
      <c r="B849" s="3" t="inlineStr">
        <is>
          <t>005500</t>
        </is>
      </c>
      <c r="C849" s="3" t="inlineStr">
        <is>
          <t>004409</t>
        </is>
      </c>
      <c r="D849" s="4" t="n">
        <v>45510</v>
      </c>
      <c r="E849" s="2" t="inlineStr">
        <is>
          <t>11:41</t>
        </is>
      </c>
      <c r="F849" s="5" t="n">
        <v>208.33</v>
      </c>
      <c r="G849" s="5" t="n"/>
      <c r="H849" s="5" t="n"/>
      <c r="I849" s="5" t="n"/>
      <c r="J849" s="5" t="n">
        <v>41.67</v>
      </c>
      <c r="K849" s="5" t="n"/>
      <c r="L849" s="5" t="n"/>
      <c r="M849" s="5" t="n"/>
      <c r="N849" s="5" t="n"/>
      <c r="O849" s="5" t="n">
        <v>250</v>
      </c>
      <c r="P849" s="5" t="n"/>
      <c r="Q849" s="5" t="n">
        <v>250</v>
      </c>
      <c r="R849" s="5" t="n"/>
      <c r="S849" s="5">
        <f>SUM(F849:I849)+N849</f>
        <v/>
      </c>
      <c r="T849" s="5">
        <f>J849</f>
        <v/>
      </c>
      <c r="U849" s="6">
        <f>YEAR(D849)</f>
        <v/>
      </c>
      <c r="V849" s="5">
        <f>TEXT(D849,"yyyy-mm")</f>
        <v/>
      </c>
    </row>
    <row r="850">
      <c r="A850" s="2" t="inlineStr">
        <is>
          <t>EJ020924.TXT</t>
        </is>
      </c>
      <c r="B850" s="3" t="inlineStr">
        <is>
          <t>005501</t>
        </is>
      </c>
      <c r="C850" s="3" t="inlineStr">
        <is>
          <t>004410</t>
        </is>
      </c>
      <c r="D850" s="4" t="n">
        <v>45510</v>
      </c>
      <c r="E850" s="2" t="inlineStr">
        <is>
          <t>14:21</t>
        </is>
      </c>
      <c r="F850" s="5" t="n">
        <v>82.5</v>
      </c>
      <c r="G850" s="5" t="n"/>
      <c r="H850" s="5" t="n"/>
      <c r="I850" s="5" t="n"/>
      <c r="J850" s="5" t="n">
        <v>16.5</v>
      </c>
      <c r="K850" s="5" t="n"/>
      <c r="L850" s="5" t="n"/>
      <c r="M850" s="5" t="n"/>
      <c r="N850" s="5" t="n"/>
      <c r="O850" s="5" t="n">
        <v>99</v>
      </c>
      <c r="P850" s="5" t="n"/>
      <c r="Q850" s="5" t="n">
        <v>99</v>
      </c>
      <c r="R850" s="5" t="n"/>
      <c r="S850" s="5">
        <f>SUM(F850:I850)+N850</f>
        <v/>
      </c>
      <c r="T850" s="5">
        <f>J850</f>
        <v/>
      </c>
      <c r="U850" s="6">
        <f>YEAR(D850)</f>
        <v/>
      </c>
      <c r="V850" s="5">
        <f>TEXT(D850,"yyyy-mm")</f>
        <v/>
      </c>
    </row>
    <row r="851">
      <c r="A851" s="2" t="inlineStr">
        <is>
          <t>EJ020924.TXT</t>
        </is>
      </c>
      <c r="B851" s="3" t="inlineStr">
        <is>
          <t>005502</t>
        </is>
      </c>
      <c r="C851" s="3" t="inlineStr">
        <is>
          <t>004411</t>
        </is>
      </c>
      <c r="D851" s="4" t="n">
        <v>45510</v>
      </c>
      <c r="E851" s="2" t="inlineStr">
        <is>
          <t>14:36</t>
        </is>
      </c>
      <c r="F851" s="5" t="n">
        <v>274.17</v>
      </c>
      <c r="G851" s="5" t="n"/>
      <c r="H851" s="5" t="n"/>
      <c r="I851" s="5" t="n"/>
      <c r="J851" s="5" t="n">
        <v>54.83</v>
      </c>
      <c r="K851" s="5" t="n"/>
      <c r="L851" s="5" t="n"/>
      <c r="M851" s="5" t="n"/>
      <c r="N851" s="5" t="n"/>
      <c r="O851" s="5" t="n">
        <v>329</v>
      </c>
      <c r="P851" s="5" t="n"/>
      <c r="Q851" s="5" t="n">
        <v>329</v>
      </c>
      <c r="R851" s="5" t="n"/>
      <c r="S851" s="5">
        <f>SUM(F851:I851)+N851</f>
        <v/>
      </c>
      <c r="T851" s="5">
        <f>J851</f>
        <v/>
      </c>
      <c r="U851" s="6">
        <f>YEAR(D851)</f>
        <v/>
      </c>
      <c r="V851" s="5">
        <f>TEXT(D851,"yyyy-mm")</f>
        <v/>
      </c>
    </row>
    <row r="852">
      <c r="A852" s="2" t="inlineStr">
        <is>
          <t>EJ020924.TXT</t>
        </is>
      </c>
      <c r="B852" s="3" t="inlineStr">
        <is>
          <t>005503</t>
        </is>
      </c>
      <c r="C852" s="3" t="inlineStr">
        <is>
          <t>004412</t>
        </is>
      </c>
      <c r="D852" s="4" t="n">
        <v>45512</v>
      </c>
      <c r="E852" s="2" t="inlineStr">
        <is>
          <t>16:14</t>
        </is>
      </c>
      <c r="F852" s="5" t="n">
        <v>548.33</v>
      </c>
      <c r="G852" s="5" t="n"/>
      <c r="H852" s="5" t="n"/>
      <c r="I852" s="5" t="n"/>
      <c r="J852" s="5" t="n">
        <v>109.67</v>
      </c>
      <c r="K852" s="5" t="n"/>
      <c r="L852" s="5" t="n"/>
      <c r="M852" s="5" t="n"/>
      <c r="N852" s="5" t="n"/>
      <c r="O852" s="5" t="n">
        <v>658</v>
      </c>
      <c r="P852" s="5" t="n"/>
      <c r="Q852" s="5" t="n">
        <v>658</v>
      </c>
      <c r="R852" s="5" t="n"/>
      <c r="S852" s="5">
        <f>SUM(F852:I852)+N852</f>
        <v/>
      </c>
      <c r="T852" s="5">
        <f>J852</f>
        <v/>
      </c>
      <c r="U852" s="6">
        <f>YEAR(D852)</f>
        <v/>
      </c>
      <c r="V852" s="5">
        <f>TEXT(D852,"yyyy-mm")</f>
        <v/>
      </c>
    </row>
    <row r="853">
      <c r="A853" s="2" t="inlineStr">
        <is>
          <t>EJ020924.TXT</t>
        </is>
      </c>
      <c r="B853" s="3" t="inlineStr">
        <is>
          <t>005504</t>
        </is>
      </c>
      <c r="C853" s="3" t="inlineStr">
        <is>
          <t>004413</t>
        </is>
      </c>
      <c r="D853" s="4" t="n">
        <v>45513</v>
      </c>
      <c r="E853" s="2" t="inlineStr">
        <is>
          <t>16:20</t>
        </is>
      </c>
      <c r="F853" s="5" t="n">
        <v>208.33</v>
      </c>
      <c r="G853" s="5" t="n"/>
      <c r="H853" s="5" t="n"/>
      <c r="I853" s="5" t="n"/>
      <c r="J853" s="5" t="n">
        <v>41.67</v>
      </c>
      <c r="K853" s="5" t="n"/>
      <c r="L853" s="5" t="n"/>
      <c r="M853" s="5" t="n"/>
      <c r="N853" s="5" t="n"/>
      <c r="O853" s="5" t="n">
        <v>250</v>
      </c>
      <c r="P853" s="5" t="n"/>
      <c r="Q853" s="5" t="n">
        <v>250</v>
      </c>
      <c r="R853" s="5" t="n"/>
      <c r="S853" s="5">
        <f>SUM(F853:I853)+N853</f>
        <v/>
      </c>
      <c r="T853" s="5">
        <f>J853</f>
        <v/>
      </c>
      <c r="U853" s="6">
        <f>YEAR(D853)</f>
        <v/>
      </c>
      <c r="V853" s="5">
        <f>TEXT(D853,"yyyy-mm")</f>
        <v/>
      </c>
    </row>
    <row r="854">
      <c r="A854" s="2" t="inlineStr">
        <is>
          <t>EJ020924.TXT</t>
        </is>
      </c>
      <c r="B854" s="3" t="inlineStr">
        <is>
          <t>005505</t>
        </is>
      </c>
      <c r="C854" s="3" t="inlineStr">
        <is>
          <t>004414</t>
        </is>
      </c>
      <c r="D854" s="4" t="n">
        <v>45513</v>
      </c>
      <c r="E854" s="2" t="inlineStr">
        <is>
          <t>16:54</t>
        </is>
      </c>
      <c r="F854" s="5" t="n">
        <v>208.33</v>
      </c>
      <c r="G854" s="5" t="n"/>
      <c r="H854" s="5" t="n"/>
      <c r="I854" s="5" t="n"/>
      <c r="J854" s="5" t="n">
        <v>41.67</v>
      </c>
      <c r="K854" s="5" t="n"/>
      <c r="L854" s="5" t="n"/>
      <c r="M854" s="5" t="n"/>
      <c r="N854" s="5" t="n"/>
      <c r="O854" s="5" t="n">
        <v>250</v>
      </c>
      <c r="P854" s="5" t="n"/>
      <c r="Q854" s="5" t="n">
        <v>250</v>
      </c>
      <c r="R854" s="5" t="n"/>
      <c r="S854" s="5">
        <f>SUM(F854:I854)+N854</f>
        <v/>
      </c>
      <c r="T854" s="5">
        <f>J854</f>
        <v/>
      </c>
      <c r="U854" s="6">
        <f>YEAR(D854)</f>
        <v/>
      </c>
      <c r="V854" s="5">
        <f>TEXT(D854,"yyyy-mm")</f>
        <v/>
      </c>
    </row>
    <row r="855">
      <c r="A855" s="2" t="inlineStr">
        <is>
          <t>EJ020924.TXT</t>
        </is>
      </c>
      <c r="B855" s="3" t="inlineStr">
        <is>
          <t>005506</t>
        </is>
      </c>
      <c r="C855" s="3" t="inlineStr">
        <is>
          <t>004415</t>
        </is>
      </c>
      <c r="D855" s="4" t="n">
        <v>45514</v>
      </c>
      <c r="E855" s="2" t="inlineStr">
        <is>
          <t>13:58</t>
        </is>
      </c>
      <c r="F855" s="5" t="n">
        <v>689.17</v>
      </c>
      <c r="G855" s="5" t="n"/>
      <c r="H855" s="5" t="n"/>
      <c r="I855" s="5" t="n"/>
      <c r="J855" s="5" t="n">
        <v>137.83</v>
      </c>
      <c r="K855" s="5" t="n"/>
      <c r="L855" s="5" t="n"/>
      <c r="M855" s="5" t="n"/>
      <c r="N855" s="5" t="n"/>
      <c r="O855" s="5" t="n">
        <v>827</v>
      </c>
      <c r="P855" s="5" t="n"/>
      <c r="Q855" s="5" t="n">
        <v>827</v>
      </c>
      <c r="R855" s="5" t="n"/>
      <c r="S855" s="5">
        <f>SUM(F855:I855)+N855</f>
        <v/>
      </c>
      <c r="T855" s="5">
        <f>J855</f>
        <v/>
      </c>
      <c r="U855" s="6">
        <f>YEAR(D855)</f>
        <v/>
      </c>
      <c r="V855" s="5">
        <f>TEXT(D855,"yyyy-mm")</f>
        <v/>
      </c>
    </row>
    <row r="856">
      <c r="A856" s="2" t="inlineStr">
        <is>
          <t>EJ020924.TXT</t>
        </is>
      </c>
      <c r="B856" s="3" t="inlineStr">
        <is>
          <t>005507</t>
        </is>
      </c>
      <c r="C856" s="3" t="inlineStr">
        <is>
          <t>004416</t>
        </is>
      </c>
      <c r="D856" s="4" t="n">
        <v>45514</v>
      </c>
      <c r="E856" s="2" t="inlineStr">
        <is>
          <t>14:08</t>
        </is>
      </c>
      <c r="F856" s="5" t="n">
        <v>830</v>
      </c>
      <c r="G856" s="5" t="n"/>
      <c r="H856" s="5" t="n"/>
      <c r="I856" s="5" t="n"/>
      <c r="J856" s="5" t="n">
        <v>166</v>
      </c>
      <c r="K856" s="5" t="n"/>
      <c r="L856" s="5" t="n"/>
      <c r="M856" s="5" t="n"/>
      <c r="N856" s="5" t="n"/>
      <c r="O856" s="5" t="n">
        <v>996</v>
      </c>
      <c r="P856" s="5" t="n"/>
      <c r="Q856" s="5" t="n">
        <v>996</v>
      </c>
      <c r="R856" s="5" t="n"/>
      <c r="S856" s="5">
        <f>SUM(F856:I856)+N856</f>
        <v/>
      </c>
      <c r="T856" s="5">
        <f>J856</f>
        <v/>
      </c>
      <c r="U856" s="6">
        <f>YEAR(D856)</f>
        <v/>
      </c>
      <c r="V856" s="5">
        <f>TEXT(D856,"yyyy-mm")</f>
        <v/>
      </c>
    </row>
    <row r="857">
      <c r="A857" s="2" t="inlineStr">
        <is>
          <t>EJ020924.TXT</t>
        </is>
      </c>
      <c r="B857" s="3" t="inlineStr">
        <is>
          <t>005508</t>
        </is>
      </c>
      <c r="C857" s="3" t="inlineStr">
        <is>
          <t>004417</t>
        </is>
      </c>
      <c r="D857" s="4" t="n">
        <v>45514</v>
      </c>
      <c r="E857" s="2" t="inlineStr">
        <is>
          <t>14:08</t>
        </is>
      </c>
      <c r="F857" s="5" t="n">
        <v>614.17</v>
      </c>
      <c r="G857" s="5" t="n"/>
      <c r="H857" s="5" t="n"/>
      <c r="I857" s="5" t="n"/>
      <c r="J857" s="5" t="n">
        <v>122.83</v>
      </c>
      <c r="K857" s="5" t="n"/>
      <c r="L857" s="5" t="n"/>
      <c r="M857" s="5" t="n"/>
      <c r="N857" s="5" t="n"/>
      <c r="O857" s="5" t="n">
        <v>737</v>
      </c>
      <c r="P857" s="5" t="n"/>
      <c r="Q857" s="5" t="n">
        <v>737</v>
      </c>
      <c r="R857" s="5" t="n"/>
      <c r="S857" s="5">
        <f>SUM(F857:I857)+N857</f>
        <v/>
      </c>
      <c r="T857" s="5">
        <f>J857</f>
        <v/>
      </c>
      <c r="U857" s="6">
        <f>YEAR(D857)</f>
        <v/>
      </c>
      <c r="V857" s="5">
        <f>TEXT(D857,"yyyy-mm")</f>
        <v/>
      </c>
    </row>
    <row r="858">
      <c r="A858" s="2" t="inlineStr">
        <is>
          <t>EJ020924.TXT</t>
        </is>
      </c>
      <c r="B858" s="3" t="inlineStr">
        <is>
          <t>005509</t>
        </is>
      </c>
      <c r="C858" s="3" t="inlineStr">
        <is>
          <t>004418</t>
        </is>
      </c>
      <c r="D858" s="4" t="n">
        <v>45514</v>
      </c>
      <c r="E858" s="2" t="inlineStr">
        <is>
          <t>14:09</t>
        </is>
      </c>
      <c r="F858" s="5" t="n">
        <v>398.33</v>
      </c>
      <c r="G858" s="5" t="n"/>
      <c r="H858" s="5" t="n"/>
      <c r="I858" s="5" t="n"/>
      <c r="J858" s="5" t="n">
        <v>79.67</v>
      </c>
      <c r="K858" s="5" t="n"/>
      <c r="L858" s="5" t="n"/>
      <c r="M858" s="5" t="n"/>
      <c r="N858" s="5" t="n"/>
      <c r="O858" s="5" t="n">
        <v>478</v>
      </c>
      <c r="P858" s="5" t="n"/>
      <c r="Q858" s="5" t="n">
        <v>478</v>
      </c>
      <c r="R858" s="5" t="n"/>
      <c r="S858" s="5">
        <f>SUM(F858:I858)+N858</f>
        <v/>
      </c>
      <c r="T858" s="5">
        <f>J858</f>
        <v/>
      </c>
      <c r="U858" s="6">
        <f>YEAR(D858)</f>
        <v/>
      </c>
      <c r="V858" s="5">
        <f>TEXT(D858,"yyyy-mm")</f>
        <v/>
      </c>
    </row>
    <row r="859">
      <c r="A859" s="2" t="inlineStr">
        <is>
          <t>EJ020924.TXT</t>
        </is>
      </c>
      <c r="B859" s="3" t="inlineStr">
        <is>
          <t>005510</t>
        </is>
      </c>
      <c r="C859" s="3" t="inlineStr">
        <is>
          <t>004419</t>
        </is>
      </c>
      <c r="D859" s="4" t="n">
        <v>45514</v>
      </c>
      <c r="E859" s="2" t="inlineStr">
        <is>
          <t>14:12</t>
        </is>
      </c>
      <c r="F859" s="5" t="n">
        <v>173.33</v>
      </c>
      <c r="G859" s="5" t="n"/>
      <c r="H859" s="5" t="n"/>
      <c r="I859" s="5" t="n"/>
      <c r="J859" s="5" t="n">
        <v>34.67</v>
      </c>
      <c r="K859" s="5" t="n"/>
      <c r="L859" s="5" t="n"/>
      <c r="M859" s="5" t="n"/>
      <c r="N859" s="5" t="n"/>
      <c r="O859" s="5" t="n">
        <v>208</v>
      </c>
      <c r="P859" s="5" t="n"/>
      <c r="Q859" s="5" t="n">
        <v>208</v>
      </c>
      <c r="R859" s="5" t="n"/>
      <c r="S859" s="5">
        <f>SUM(F859:I859)+N859</f>
        <v/>
      </c>
      <c r="T859" s="5">
        <f>J859</f>
        <v/>
      </c>
      <c r="U859" s="6">
        <f>YEAR(D859)</f>
        <v/>
      </c>
      <c r="V859" s="5">
        <f>TEXT(D859,"yyyy-mm")</f>
        <v/>
      </c>
    </row>
    <row r="860">
      <c r="A860" s="2" t="inlineStr">
        <is>
          <t>EJ020924.TXT</t>
        </is>
      </c>
      <c r="B860" s="3" t="inlineStr">
        <is>
          <t>005511</t>
        </is>
      </c>
      <c r="C860" s="3" t="inlineStr">
        <is>
          <t>004420</t>
        </is>
      </c>
      <c r="D860" s="4" t="n">
        <v>45514</v>
      </c>
      <c r="E860" s="2" t="inlineStr">
        <is>
          <t>14:57</t>
        </is>
      </c>
      <c r="F860" s="5" t="n">
        <v>830</v>
      </c>
      <c r="G860" s="5" t="n"/>
      <c r="H860" s="5" t="n"/>
      <c r="I860" s="5" t="n"/>
      <c r="J860" s="5" t="n">
        <v>166</v>
      </c>
      <c r="K860" s="5" t="n"/>
      <c r="L860" s="5" t="n"/>
      <c r="M860" s="5" t="n"/>
      <c r="N860" s="5" t="n"/>
      <c r="O860" s="5" t="n">
        <v>996</v>
      </c>
      <c r="P860" s="5" t="n">
        <v>996</v>
      </c>
      <c r="Q860" s="5" t="n"/>
      <c r="R860" s="5" t="n"/>
      <c r="S860" s="5">
        <f>SUM(F860:I860)+N860</f>
        <v/>
      </c>
      <c r="T860" s="5">
        <f>J860</f>
        <v/>
      </c>
      <c r="U860" s="6">
        <f>YEAR(D860)</f>
        <v/>
      </c>
      <c r="V860" s="5">
        <f>TEXT(D860,"yyyy-mm")</f>
        <v/>
      </c>
    </row>
    <row r="861">
      <c r="A861" s="2" t="inlineStr">
        <is>
          <t>EJ020924.TXT</t>
        </is>
      </c>
      <c r="B861" s="3" t="inlineStr">
        <is>
          <t>005512</t>
        </is>
      </c>
      <c r="C861" s="3" t="inlineStr">
        <is>
          <t>004421</t>
        </is>
      </c>
      <c r="D861" s="4" t="n">
        <v>45516</v>
      </c>
      <c r="E861" s="2" t="inlineStr">
        <is>
          <t>15:07</t>
        </is>
      </c>
      <c r="F861" s="5" t="n">
        <v>548.33</v>
      </c>
      <c r="G861" s="5" t="n"/>
      <c r="H861" s="5" t="n"/>
      <c r="I861" s="5" t="n"/>
      <c r="J861" s="5" t="n">
        <v>109.67</v>
      </c>
      <c r="K861" s="5" t="n"/>
      <c r="L861" s="5" t="n"/>
      <c r="M861" s="5" t="n"/>
      <c r="N861" s="5" t="n"/>
      <c r="O861" s="5" t="n">
        <v>658</v>
      </c>
      <c r="P861" s="5" t="n"/>
      <c r="Q861" s="5" t="n">
        <v>658</v>
      </c>
      <c r="R861" s="5" t="n"/>
      <c r="S861" s="5">
        <f>SUM(F861:I861)+N861</f>
        <v/>
      </c>
      <c r="T861" s="5">
        <f>J861</f>
        <v/>
      </c>
      <c r="U861" s="6">
        <f>YEAR(D861)</f>
        <v/>
      </c>
      <c r="V861" s="5">
        <f>TEXT(D861,"yyyy-mm")</f>
        <v/>
      </c>
    </row>
    <row r="862">
      <c r="A862" s="2" t="inlineStr">
        <is>
          <t>EJ020924.TXT</t>
        </is>
      </c>
      <c r="B862" s="3" t="inlineStr">
        <is>
          <t>005513</t>
        </is>
      </c>
      <c r="C862" s="3" t="inlineStr">
        <is>
          <t>004422</t>
        </is>
      </c>
      <c r="D862" s="4" t="n">
        <v>45516</v>
      </c>
      <c r="E862" s="2" t="inlineStr">
        <is>
          <t>15:08</t>
        </is>
      </c>
      <c r="F862" s="5" t="n">
        <v>825</v>
      </c>
      <c r="G862" s="5" t="n"/>
      <c r="H862" s="5" t="n"/>
      <c r="I862" s="5" t="n"/>
      <c r="J862" s="5" t="n">
        <v>165</v>
      </c>
      <c r="K862" s="5" t="n"/>
      <c r="L862" s="5" t="n"/>
      <c r="M862" s="5" t="n"/>
      <c r="N862" s="5" t="n"/>
      <c r="O862" s="5" t="n">
        <v>990</v>
      </c>
      <c r="P862" s="5" t="n"/>
      <c r="Q862" s="5" t="n">
        <v>990</v>
      </c>
      <c r="R862" s="5" t="n"/>
      <c r="S862" s="5">
        <f>SUM(F862:I862)+N862</f>
        <v/>
      </c>
      <c r="T862" s="5">
        <f>J862</f>
        <v/>
      </c>
      <c r="U862" s="6">
        <f>YEAR(D862)</f>
        <v/>
      </c>
      <c r="V862" s="5">
        <f>TEXT(D862,"yyyy-mm")</f>
        <v/>
      </c>
    </row>
    <row r="863">
      <c r="A863" s="2" t="inlineStr">
        <is>
          <t>EJ020924.TXT</t>
        </is>
      </c>
      <c r="B863" s="3" t="inlineStr">
        <is>
          <t>005514</t>
        </is>
      </c>
      <c r="C863" s="3" t="inlineStr">
        <is>
          <t>004423</t>
        </is>
      </c>
      <c r="D863" s="4" t="n">
        <v>45516</v>
      </c>
      <c r="E863" s="2" t="inlineStr">
        <is>
          <t>15:32</t>
        </is>
      </c>
      <c r="F863" s="5" t="n">
        <v>875</v>
      </c>
      <c r="G863" s="5" t="n"/>
      <c r="H863" s="5" t="n"/>
      <c r="I863" s="5" t="n"/>
      <c r="J863" s="5" t="n">
        <v>175</v>
      </c>
      <c r="K863" s="5" t="n"/>
      <c r="L863" s="5" t="n"/>
      <c r="M863" s="5" t="n"/>
      <c r="N863" s="5" t="n"/>
      <c r="O863" s="5" t="n">
        <v>1050</v>
      </c>
      <c r="P863" s="5" t="n"/>
      <c r="Q863" s="5" t="n">
        <v>1050</v>
      </c>
      <c r="R863" s="5" t="n"/>
      <c r="S863" s="5">
        <f>SUM(F863:I863)+N863</f>
        <v/>
      </c>
      <c r="T863" s="5">
        <f>J863</f>
        <v/>
      </c>
      <c r="U863" s="6">
        <f>YEAR(D863)</f>
        <v/>
      </c>
      <c r="V863" s="5">
        <f>TEXT(D863,"yyyy-mm")</f>
        <v/>
      </c>
    </row>
    <row r="864">
      <c r="A864" s="2" t="inlineStr">
        <is>
          <t>EJ020924.TXT</t>
        </is>
      </c>
      <c r="B864" s="3" t="inlineStr">
        <is>
          <t>005515</t>
        </is>
      </c>
      <c r="C864" s="3" t="inlineStr">
        <is>
          <t>004424</t>
        </is>
      </c>
      <c r="D864" s="4" t="n">
        <v>45516</v>
      </c>
      <c r="E864" s="2" t="inlineStr">
        <is>
          <t>16:02</t>
        </is>
      </c>
      <c r="F864" s="5" t="n">
        <v>274.17</v>
      </c>
      <c r="G864" s="5" t="n"/>
      <c r="H864" s="5" t="n"/>
      <c r="I864" s="5" t="n"/>
      <c r="J864" s="5" t="n">
        <v>54.83</v>
      </c>
      <c r="K864" s="5" t="n"/>
      <c r="L864" s="5" t="n"/>
      <c r="M864" s="5" t="n"/>
      <c r="N864" s="5" t="n"/>
      <c r="O864" s="5" t="n">
        <v>329</v>
      </c>
      <c r="P864" s="5" t="n">
        <v>329</v>
      </c>
      <c r="Q864" s="5" t="n"/>
      <c r="R864" s="5" t="n"/>
      <c r="S864" s="5">
        <f>SUM(F864:I864)+N864</f>
        <v/>
      </c>
      <c r="T864" s="5">
        <f>J864</f>
        <v/>
      </c>
      <c r="U864" s="6">
        <f>YEAR(D864)</f>
        <v/>
      </c>
      <c r="V864" s="5">
        <f>TEXT(D864,"yyyy-mm")</f>
        <v/>
      </c>
    </row>
    <row r="865">
      <c r="A865" s="2" t="inlineStr">
        <is>
          <t>EJ020924.TXT</t>
        </is>
      </c>
      <c r="B865" s="3" t="inlineStr">
        <is>
          <t>005516</t>
        </is>
      </c>
      <c r="C865" s="3" t="inlineStr">
        <is>
          <t>004425</t>
        </is>
      </c>
      <c r="D865" s="4" t="n">
        <v>45517</v>
      </c>
      <c r="E865" s="2" t="inlineStr">
        <is>
          <t>14:16</t>
        </is>
      </c>
      <c r="F865" s="5" t="n">
        <v>583.33</v>
      </c>
      <c r="G865" s="5" t="n"/>
      <c r="H865" s="5" t="n"/>
      <c r="I865" s="5" t="n"/>
      <c r="J865" s="5" t="n">
        <v>116.67</v>
      </c>
      <c r="K865" s="5" t="n"/>
      <c r="L865" s="5" t="n"/>
      <c r="M865" s="5" t="n"/>
      <c r="N865" s="5" t="n"/>
      <c r="O865" s="5" t="n">
        <v>700</v>
      </c>
      <c r="P865" s="5" t="n"/>
      <c r="Q865" s="5" t="n">
        <v>700</v>
      </c>
      <c r="R865" s="5" t="n"/>
      <c r="S865" s="5">
        <f>SUM(F865:I865)+N865</f>
        <v/>
      </c>
      <c r="T865" s="5">
        <f>J865</f>
        <v/>
      </c>
      <c r="U865" s="6">
        <f>YEAR(D865)</f>
        <v/>
      </c>
      <c r="V865" s="5">
        <f>TEXT(D865,"yyyy-mm")</f>
        <v/>
      </c>
    </row>
    <row r="866">
      <c r="A866" s="2" t="inlineStr">
        <is>
          <t>EJ020924.TXT</t>
        </is>
      </c>
      <c r="B866" s="3" t="inlineStr">
        <is>
          <t>005517</t>
        </is>
      </c>
      <c r="C866" s="3" t="inlineStr">
        <is>
          <t>004426</t>
        </is>
      </c>
      <c r="D866" s="4" t="n">
        <v>45517</v>
      </c>
      <c r="E866" s="2" t="inlineStr">
        <is>
          <t>14:17</t>
        </is>
      </c>
      <c r="F866" s="5" t="n">
        <v>833.33</v>
      </c>
      <c r="G866" s="5" t="n"/>
      <c r="H866" s="5" t="n"/>
      <c r="I866" s="5" t="n"/>
      <c r="J866" s="5" t="n">
        <v>166.67</v>
      </c>
      <c r="K866" s="5" t="n"/>
      <c r="L866" s="5" t="n"/>
      <c r="M866" s="5" t="n"/>
      <c r="N866" s="5" t="n"/>
      <c r="O866" s="5" t="n">
        <v>1000</v>
      </c>
      <c r="P866" s="5" t="n"/>
      <c r="Q866" s="5" t="n">
        <v>1000</v>
      </c>
      <c r="R866" s="5" t="n"/>
      <c r="S866" s="5">
        <f>SUM(F866:I866)+N866</f>
        <v/>
      </c>
      <c r="T866" s="5">
        <f>J866</f>
        <v/>
      </c>
      <c r="U866" s="6">
        <f>YEAR(D866)</f>
        <v/>
      </c>
      <c r="V866" s="5">
        <f>TEXT(D866,"yyyy-mm")</f>
        <v/>
      </c>
    </row>
    <row r="867">
      <c r="A867" s="2" t="inlineStr">
        <is>
          <t>EJ020924.TXT</t>
        </is>
      </c>
      <c r="B867" s="3" t="inlineStr">
        <is>
          <t>005518</t>
        </is>
      </c>
      <c r="C867" s="3" t="inlineStr">
        <is>
          <t>004427</t>
        </is>
      </c>
      <c r="D867" s="4" t="n">
        <v>45517</v>
      </c>
      <c r="E867" s="2" t="inlineStr">
        <is>
          <t>14:17</t>
        </is>
      </c>
      <c r="F867" s="5" t="n">
        <v>625</v>
      </c>
      <c r="G867" s="5" t="n"/>
      <c r="H867" s="5" t="n"/>
      <c r="I867" s="5" t="n"/>
      <c r="J867" s="5" t="n">
        <v>125</v>
      </c>
      <c r="K867" s="5" t="n"/>
      <c r="L867" s="5" t="n"/>
      <c r="M867" s="5" t="n"/>
      <c r="N867" s="5" t="n"/>
      <c r="O867" s="5" t="n">
        <v>750</v>
      </c>
      <c r="P867" s="5" t="n"/>
      <c r="Q867" s="5" t="n">
        <v>750</v>
      </c>
      <c r="R867" s="5" t="n"/>
      <c r="S867" s="5">
        <f>SUM(F867:I867)+N867</f>
        <v/>
      </c>
      <c r="T867" s="5">
        <f>J867</f>
        <v/>
      </c>
      <c r="U867" s="6">
        <f>YEAR(D867)</f>
        <v/>
      </c>
      <c r="V867" s="5">
        <f>TEXT(D867,"yyyy-mm")</f>
        <v/>
      </c>
    </row>
    <row r="868">
      <c r="A868" s="2" t="inlineStr">
        <is>
          <t>EJ020924.TXT</t>
        </is>
      </c>
      <c r="B868" s="3" t="inlineStr">
        <is>
          <t>005519</t>
        </is>
      </c>
      <c r="C868" s="3" t="inlineStr">
        <is>
          <t>004428</t>
        </is>
      </c>
      <c r="D868" s="4" t="n">
        <v>45517</v>
      </c>
      <c r="E868" s="2" t="inlineStr">
        <is>
          <t>14:18</t>
        </is>
      </c>
      <c r="F868" s="5" t="n">
        <v>583.33</v>
      </c>
      <c r="G868" s="5" t="n"/>
      <c r="H868" s="5" t="n"/>
      <c r="I868" s="5" t="n"/>
      <c r="J868" s="5" t="n">
        <v>116.67</v>
      </c>
      <c r="K868" s="5" t="n"/>
      <c r="L868" s="5" t="n"/>
      <c r="M868" s="5" t="n"/>
      <c r="N868" s="5" t="n"/>
      <c r="O868" s="5" t="n">
        <v>700</v>
      </c>
      <c r="P868" s="5" t="n"/>
      <c r="Q868" s="5" t="n">
        <v>700</v>
      </c>
      <c r="R868" s="5" t="n"/>
      <c r="S868" s="5">
        <f>SUM(F868:I868)+N868</f>
        <v/>
      </c>
      <c r="T868" s="5">
        <f>J868</f>
        <v/>
      </c>
      <c r="U868" s="6">
        <f>YEAR(D868)</f>
        <v/>
      </c>
      <c r="V868" s="5">
        <f>TEXT(D868,"yyyy-mm")</f>
        <v/>
      </c>
    </row>
    <row r="869">
      <c r="A869" s="2" t="inlineStr">
        <is>
          <t>EJ020924.TXT</t>
        </is>
      </c>
      <c r="B869" s="3" t="inlineStr">
        <is>
          <t>005520</t>
        </is>
      </c>
      <c r="C869" s="3" t="inlineStr">
        <is>
          <t>004429</t>
        </is>
      </c>
      <c r="D869" s="4" t="n">
        <v>45517</v>
      </c>
      <c r="E869" s="2" t="inlineStr">
        <is>
          <t>14:19</t>
        </is>
      </c>
      <c r="F869" s="5" t="n">
        <v>291.67</v>
      </c>
      <c r="G869" s="5" t="n"/>
      <c r="H869" s="5" t="n"/>
      <c r="I869" s="5" t="n"/>
      <c r="J869" s="5" t="n">
        <v>58.33</v>
      </c>
      <c r="K869" s="5" t="n"/>
      <c r="L869" s="5" t="n"/>
      <c r="M869" s="5" t="n"/>
      <c r="N869" s="5" t="n"/>
      <c r="O869" s="5" t="n">
        <v>350</v>
      </c>
      <c r="P869" s="5" t="n"/>
      <c r="Q869" s="5" t="n">
        <v>350</v>
      </c>
      <c r="R869" s="5" t="n"/>
      <c r="S869" s="5">
        <f>SUM(F869:I869)+N869</f>
        <v/>
      </c>
      <c r="T869" s="5">
        <f>J869</f>
        <v/>
      </c>
      <c r="U869" s="6">
        <f>YEAR(D869)</f>
        <v/>
      </c>
      <c r="V869" s="5">
        <f>TEXT(D869,"yyyy-mm")</f>
        <v/>
      </c>
    </row>
    <row r="870">
      <c r="A870" s="2" t="inlineStr">
        <is>
          <t>EJ020924.TXT</t>
        </is>
      </c>
      <c r="B870" s="3" t="inlineStr">
        <is>
          <t>005521</t>
        </is>
      </c>
      <c r="C870" s="3" t="inlineStr">
        <is>
          <t>004430</t>
        </is>
      </c>
      <c r="D870" s="4" t="n">
        <v>45517</v>
      </c>
      <c r="E870" s="2" t="inlineStr">
        <is>
          <t>14:20</t>
        </is>
      </c>
      <c r="F870" s="5" t="n">
        <v>625</v>
      </c>
      <c r="G870" s="5" t="n"/>
      <c r="H870" s="5" t="n"/>
      <c r="I870" s="5" t="n"/>
      <c r="J870" s="5" t="n">
        <v>125</v>
      </c>
      <c r="K870" s="5" t="n"/>
      <c r="L870" s="5" t="n"/>
      <c r="M870" s="5" t="n"/>
      <c r="N870" s="5" t="n"/>
      <c r="O870" s="5" t="n">
        <v>750</v>
      </c>
      <c r="P870" s="5" t="n"/>
      <c r="Q870" s="5" t="n">
        <v>750</v>
      </c>
      <c r="R870" s="5" t="n"/>
      <c r="S870" s="5">
        <f>SUM(F870:I870)+N870</f>
        <v/>
      </c>
      <c r="T870" s="5">
        <f>J870</f>
        <v/>
      </c>
      <c r="U870" s="6">
        <f>YEAR(D870)</f>
        <v/>
      </c>
      <c r="V870" s="5">
        <f>TEXT(D870,"yyyy-mm")</f>
        <v/>
      </c>
    </row>
    <row r="871">
      <c r="A871" s="2" t="inlineStr">
        <is>
          <t>EJ020924.TXT</t>
        </is>
      </c>
      <c r="B871" s="3" t="inlineStr">
        <is>
          <t>005522</t>
        </is>
      </c>
      <c r="C871" s="3" t="inlineStr">
        <is>
          <t>004431</t>
        </is>
      </c>
      <c r="D871" s="4" t="n">
        <v>45517</v>
      </c>
      <c r="E871" s="2" t="inlineStr">
        <is>
          <t>14:33</t>
        </is>
      </c>
      <c r="F871" s="5" t="n">
        <v>780</v>
      </c>
      <c r="G871" s="5" t="n"/>
      <c r="H871" s="5" t="n"/>
      <c r="I871" s="5" t="n"/>
      <c r="J871" s="5" t="n">
        <v>156</v>
      </c>
      <c r="K871" s="5" t="n"/>
      <c r="L871" s="5" t="n"/>
      <c r="M871" s="5" t="n"/>
      <c r="N871" s="5" t="n"/>
      <c r="O871" s="5" t="n">
        <v>936</v>
      </c>
      <c r="P871" s="5" t="n"/>
      <c r="Q871" s="5" t="n">
        <v>936</v>
      </c>
      <c r="R871" s="5" t="n"/>
      <c r="S871" s="5">
        <f>SUM(F871:I871)+N871</f>
        <v/>
      </c>
      <c r="T871" s="5">
        <f>J871</f>
        <v/>
      </c>
      <c r="U871" s="6">
        <f>YEAR(D871)</f>
        <v/>
      </c>
      <c r="V871" s="5">
        <f>TEXT(D871,"yyyy-mm")</f>
        <v/>
      </c>
    </row>
    <row r="872">
      <c r="A872" s="2" t="inlineStr">
        <is>
          <t>EJ020924.TXT</t>
        </is>
      </c>
      <c r="B872" s="3" t="inlineStr">
        <is>
          <t>005523</t>
        </is>
      </c>
      <c r="C872" s="3" t="inlineStr">
        <is>
          <t>004432</t>
        </is>
      </c>
      <c r="D872" s="4" t="n">
        <v>45517</v>
      </c>
      <c r="E872" s="2" t="inlineStr">
        <is>
          <t>14:34</t>
        </is>
      </c>
      <c r="F872" s="5" t="n">
        <v>780</v>
      </c>
      <c r="G872" s="5" t="n"/>
      <c r="H872" s="5" t="n"/>
      <c r="I872" s="5" t="n"/>
      <c r="J872" s="5" t="n">
        <v>156</v>
      </c>
      <c r="K872" s="5" t="n"/>
      <c r="L872" s="5" t="n"/>
      <c r="M872" s="5" t="n"/>
      <c r="N872" s="5" t="n"/>
      <c r="O872" s="5" t="n">
        <v>936</v>
      </c>
      <c r="P872" s="5" t="n"/>
      <c r="Q872" s="5" t="n">
        <v>936</v>
      </c>
      <c r="R872" s="5" t="n"/>
      <c r="S872" s="5">
        <f>SUM(F872:I872)+N872</f>
        <v/>
      </c>
      <c r="T872" s="5">
        <f>J872</f>
        <v/>
      </c>
      <c r="U872" s="6">
        <f>YEAR(D872)</f>
        <v/>
      </c>
      <c r="V872" s="5">
        <f>TEXT(D872,"yyyy-mm")</f>
        <v/>
      </c>
    </row>
    <row r="873">
      <c r="A873" s="2" t="inlineStr">
        <is>
          <t>EJ020924.TXT</t>
        </is>
      </c>
      <c r="B873" s="3" t="inlineStr">
        <is>
          <t>005524</t>
        </is>
      </c>
      <c r="C873" s="3" t="inlineStr">
        <is>
          <t>004433</t>
        </is>
      </c>
      <c r="D873" s="4" t="n">
        <v>45517</v>
      </c>
      <c r="E873" s="2" t="inlineStr">
        <is>
          <t>14:34</t>
        </is>
      </c>
      <c r="F873" s="5" t="n">
        <v>745.83</v>
      </c>
      <c r="G873" s="5" t="n"/>
      <c r="H873" s="5" t="n"/>
      <c r="I873" s="5" t="n"/>
      <c r="J873" s="5" t="n">
        <v>149.17</v>
      </c>
      <c r="K873" s="5" t="n"/>
      <c r="L873" s="5" t="n"/>
      <c r="M873" s="5" t="n"/>
      <c r="N873" s="5" t="n"/>
      <c r="O873" s="5" t="n">
        <v>895</v>
      </c>
      <c r="P873" s="5" t="n"/>
      <c r="Q873" s="5" t="n">
        <v>895</v>
      </c>
      <c r="R873" s="5" t="n"/>
      <c r="S873" s="5">
        <f>SUM(F873:I873)+N873</f>
        <v/>
      </c>
      <c r="T873" s="5">
        <f>J873</f>
        <v/>
      </c>
      <c r="U873" s="6">
        <f>YEAR(D873)</f>
        <v/>
      </c>
      <c r="V873" s="5">
        <f>TEXT(D873,"yyyy-mm")</f>
        <v/>
      </c>
    </row>
    <row r="874">
      <c r="A874" s="2" t="inlineStr">
        <is>
          <t>EJ020924.TXT</t>
        </is>
      </c>
      <c r="B874" s="3" t="inlineStr">
        <is>
          <t>005525</t>
        </is>
      </c>
      <c r="C874" s="3" t="inlineStr">
        <is>
          <t>004434</t>
        </is>
      </c>
      <c r="D874" s="4" t="n">
        <v>45517</v>
      </c>
      <c r="E874" s="2" t="inlineStr">
        <is>
          <t>14:34</t>
        </is>
      </c>
      <c r="F874" s="5" t="n">
        <v>745</v>
      </c>
      <c r="G874" s="5" t="n"/>
      <c r="H874" s="5" t="n"/>
      <c r="I874" s="5" t="n"/>
      <c r="J874" s="5" t="n">
        <v>149</v>
      </c>
      <c r="K874" s="5" t="n"/>
      <c r="L874" s="5" t="n"/>
      <c r="M874" s="5" t="n"/>
      <c r="N874" s="5" t="n"/>
      <c r="O874" s="5" t="n">
        <v>894</v>
      </c>
      <c r="P874" s="5" t="n"/>
      <c r="Q874" s="5" t="n">
        <v>894</v>
      </c>
      <c r="R874" s="5" t="n"/>
      <c r="S874" s="5">
        <f>SUM(F874:I874)+N874</f>
        <v/>
      </c>
      <c r="T874" s="5">
        <f>J874</f>
        <v/>
      </c>
      <c r="U874" s="6">
        <f>YEAR(D874)</f>
        <v/>
      </c>
      <c r="V874" s="5">
        <f>TEXT(D874,"yyyy-mm")</f>
        <v/>
      </c>
    </row>
    <row r="875">
      <c r="A875" s="2" t="inlineStr">
        <is>
          <t>EJ020924.TXT</t>
        </is>
      </c>
      <c r="B875" s="3" t="inlineStr">
        <is>
          <t>005526</t>
        </is>
      </c>
      <c r="C875" s="3" t="inlineStr">
        <is>
          <t>004435</t>
        </is>
      </c>
      <c r="D875" s="4" t="n">
        <v>45517</v>
      </c>
      <c r="E875" s="2" t="inlineStr">
        <is>
          <t>14:34</t>
        </is>
      </c>
      <c r="F875" s="5" t="n">
        <v>822.5</v>
      </c>
      <c r="G875" s="5" t="n"/>
      <c r="H875" s="5" t="n"/>
      <c r="I875" s="5" t="n"/>
      <c r="J875" s="5" t="n">
        <v>164.5</v>
      </c>
      <c r="K875" s="5" t="n"/>
      <c r="L875" s="5" t="n"/>
      <c r="M875" s="5" t="n"/>
      <c r="N875" s="5" t="n"/>
      <c r="O875" s="5" t="n">
        <v>987</v>
      </c>
      <c r="P875" s="5" t="n"/>
      <c r="Q875" s="5" t="n">
        <v>987</v>
      </c>
      <c r="R875" s="5" t="n"/>
      <c r="S875" s="5">
        <f>SUM(F875:I875)+N875</f>
        <v/>
      </c>
      <c r="T875" s="5">
        <f>J875</f>
        <v/>
      </c>
      <c r="U875" s="6">
        <f>YEAR(D875)</f>
        <v/>
      </c>
      <c r="V875" s="5">
        <f>TEXT(D875,"yyyy-mm")</f>
        <v/>
      </c>
    </row>
    <row r="876">
      <c r="A876" s="2" t="inlineStr">
        <is>
          <t>EJ020924.TXT</t>
        </is>
      </c>
      <c r="B876" s="3" t="inlineStr">
        <is>
          <t>005527</t>
        </is>
      </c>
      <c r="C876" s="3" t="inlineStr">
        <is>
          <t>004436</t>
        </is>
      </c>
      <c r="D876" s="4" t="n">
        <v>45517</v>
      </c>
      <c r="E876" s="2" t="inlineStr">
        <is>
          <t>14:35</t>
        </is>
      </c>
      <c r="F876" s="5" t="n">
        <v>822.5</v>
      </c>
      <c r="G876" s="5" t="n"/>
      <c r="H876" s="5" t="n"/>
      <c r="I876" s="5" t="n"/>
      <c r="J876" s="5" t="n">
        <v>164.5</v>
      </c>
      <c r="K876" s="5" t="n"/>
      <c r="L876" s="5" t="n"/>
      <c r="M876" s="5" t="n"/>
      <c r="N876" s="5" t="n"/>
      <c r="O876" s="5" t="n">
        <v>987</v>
      </c>
      <c r="P876" s="5" t="n"/>
      <c r="Q876" s="5" t="n">
        <v>987</v>
      </c>
      <c r="R876" s="5" t="n"/>
      <c r="S876" s="5">
        <f>SUM(F876:I876)+N876</f>
        <v/>
      </c>
      <c r="T876" s="5">
        <f>J876</f>
        <v/>
      </c>
      <c r="U876" s="6">
        <f>YEAR(D876)</f>
        <v/>
      </c>
      <c r="V876" s="5">
        <f>TEXT(D876,"yyyy-mm")</f>
        <v/>
      </c>
    </row>
    <row r="877">
      <c r="A877" s="2" t="inlineStr">
        <is>
          <t>EJ020924.TXT</t>
        </is>
      </c>
      <c r="B877" s="3" t="inlineStr">
        <is>
          <t>005528</t>
        </is>
      </c>
      <c r="C877" s="3" t="inlineStr">
        <is>
          <t>004437</t>
        </is>
      </c>
      <c r="D877" s="4" t="n">
        <v>45517</v>
      </c>
      <c r="E877" s="2" t="inlineStr">
        <is>
          <t>14:35</t>
        </is>
      </c>
      <c r="F877" s="5" t="n">
        <v>822.5</v>
      </c>
      <c r="G877" s="5" t="n"/>
      <c r="H877" s="5" t="n"/>
      <c r="I877" s="5" t="n"/>
      <c r="J877" s="5" t="n">
        <v>164.5</v>
      </c>
      <c r="K877" s="5" t="n"/>
      <c r="L877" s="5" t="n"/>
      <c r="M877" s="5" t="n"/>
      <c r="N877" s="5" t="n"/>
      <c r="O877" s="5" t="n">
        <v>987</v>
      </c>
      <c r="P877" s="5" t="n"/>
      <c r="Q877" s="5" t="n">
        <v>987</v>
      </c>
      <c r="R877" s="5" t="n"/>
      <c r="S877" s="5">
        <f>SUM(F877:I877)+N877</f>
        <v/>
      </c>
      <c r="T877" s="5">
        <f>J877</f>
        <v/>
      </c>
      <c r="U877" s="6">
        <f>YEAR(D877)</f>
        <v/>
      </c>
      <c r="V877" s="5">
        <f>TEXT(D877,"yyyy-mm")</f>
        <v/>
      </c>
    </row>
    <row r="878">
      <c r="A878" s="2" t="inlineStr">
        <is>
          <t>EJ020924.TXT</t>
        </is>
      </c>
      <c r="B878" s="3" t="inlineStr">
        <is>
          <t>005529</t>
        </is>
      </c>
      <c r="C878" s="3" t="inlineStr">
        <is>
          <t>004438</t>
        </is>
      </c>
      <c r="D878" s="4" t="n">
        <v>45517</v>
      </c>
      <c r="E878" s="2" t="inlineStr">
        <is>
          <t>14:35</t>
        </is>
      </c>
      <c r="F878" s="5" t="n">
        <v>822.5</v>
      </c>
      <c r="G878" s="5" t="n"/>
      <c r="H878" s="5" t="n"/>
      <c r="I878" s="5" t="n"/>
      <c r="J878" s="5" t="n">
        <v>164.5</v>
      </c>
      <c r="K878" s="5" t="n"/>
      <c r="L878" s="5" t="n"/>
      <c r="M878" s="5" t="n"/>
      <c r="N878" s="5" t="n"/>
      <c r="O878" s="5" t="n">
        <v>987</v>
      </c>
      <c r="P878" s="5" t="n"/>
      <c r="Q878" s="5" t="n">
        <v>987</v>
      </c>
      <c r="R878" s="5" t="n"/>
      <c r="S878" s="5">
        <f>SUM(F878:I878)+N878</f>
        <v/>
      </c>
      <c r="T878" s="5">
        <f>J878</f>
        <v/>
      </c>
      <c r="U878" s="6">
        <f>YEAR(D878)</f>
        <v/>
      </c>
      <c r="V878" s="5">
        <f>TEXT(D878,"yyyy-mm")</f>
        <v/>
      </c>
    </row>
    <row r="879">
      <c r="A879" s="2" t="inlineStr">
        <is>
          <t>EJ020924.TXT</t>
        </is>
      </c>
      <c r="B879" s="3" t="inlineStr">
        <is>
          <t>005530</t>
        </is>
      </c>
      <c r="C879" s="3" t="inlineStr">
        <is>
          <t>004439</t>
        </is>
      </c>
      <c r="D879" s="4" t="n">
        <v>45517</v>
      </c>
      <c r="E879" s="2" t="inlineStr">
        <is>
          <t>14:36</t>
        </is>
      </c>
      <c r="F879" s="5" t="n">
        <v>815</v>
      </c>
      <c r="G879" s="5" t="n"/>
      <c r="H879" s="5" t="n"/>
      <c r="I879" s="5" t="n"/>
      <c r="J879" s="5" t="n">
        <v>163</v>
      </c>
      <c r="K879" s="5" t="n"/>
      <c r="L879" s="5" t="n"/>
      <c r="M879" s="5" t="n"/>
      <c r="N879" s="5" t="n"/>
      <c r="O879" s="5" t="n">
        <v>978</v>
      </c>
      <c r="P879" s="5" t="n"/>
      <c r="Q879" s="5" t="n">
        <v>978</v>
      </c>
      <c r="R879" s="5" t="n"/>
      <c r="S879" s="5">
        <f>SUM(F879:I879)+N879</f>
        <v/>
      </c>
      <c r="T879" s="5">
        <f>J879</f>
        <v/>
      </c>
      <c r="U879" s="6">
        <f>YEAR(D879)</f>
        <v/>
      </c>
      <c r="V879" s="5">
        <f>TEXT(D879,"yyyy-mm")</f>
        <v/>
      </c>
    </row>
    <row r="880">
      <c r="A880" s="2" t="inlineStr">
        <is>
          <t>EJ020924.TXT</t>
        </is>
      </c>
      <c r="B880" s="3" t="inlineStr">
        <is>
          <t>005531</t>
        </is>
      </c>
      <c r="C880" s="3" t="inlineStr">
        <is>
          <t>004440</t>
        </is>
      </c>
      <c r="D880" s="4" t="n">
        <v>45517</v>
      </c>
      <c r="E880" s="2" t="inlineStr">
        <is>
          <t>14:51</t>
        </is>
      </c>
      <c r="F880" s="5" t="n">
        <v>633.33</v>
      </c>
      <c r="G880" s="5" t="n"/>
      <c r="H880" s="5" t="n"/>
      <c r="I880" s="5" t="n"/>
      <c r="J880" s="5" t="n">
        <v>126.67</v>
      </c>
      <c r="K880" s="5" t="n"/>
      <c r="L880" s="5" t="n"/>
      <c r="M880" s="5" t="n"/>
      <c r="N880" s="5" t="n"/>
      <c r="O880" s="5" t="n">
        <v>760</v>
      </c>
      <c r="P880" s="5" t="n"/>
      <c r="Q880" s="5" t="n">
        <v>760</v>
      </c>
      <c r="R880" s="5" t="n"/>
      <c r="S880" s="5">
        <f>SUM(F880:I880)+N880</f>
        <v/>
      </c>
      <c r="T880" s="5">
        <f>J880</f>
        <v/>
      </c>
      <c r="U880" s="6">
        <f>YEAR(D880)</f>
        <v/>
      </c>
      <c r="V880" s="5">
        <f>TEXT(D880,"yyyy-mm")</f>
        <v/>
      </c>
    </row>
    <row r="881">
      <c r="A881" s="2" t="inlineStr">
        <is>
          <t>EJ020924.TXT</t>
        </is>
      </c>
      <c r="B881" s="3" t="inlineStr">
        <is>
          <t>005532</t>
        </is>
      </c>
      <c r="C881" s="3" t="inlineStr">
        <is>
          <t>004441</t>
        </is>
      </c>
      <c r="D881" s="4" t="n">
        <v>45517</v>
      </c>
      <c r="E881" s="2" t="inlineStr">
        <is>
          <t>15:33</t>
        </is>
      </c>
      <c r="F881" s="5" t="n">
        <v>208.33</v>
      </c>
      <c r="G881" s="5" t="n"/>
      <c r="H881" s="5" t="n"/>
      <c r="I881" s="5" t="n"/>
      <c r="J881" s="5" t="n">
        <v>41.67</v>
      </c>
      <c r="K881" s="5" t="n"/>
      <c r="L881" s="5" t="n"/>
      <c r="M881" s="5" t="n"/>
      <c r="N881" s="5" t="n"/>
      <c r="O881" s="5" t="n">
        <v>250</v>
      </c>
      <c r="P881" s="5" t="n"/>
      <c r="Q881" s="5" t="n">
        <v>250</v>
      </c>
      <c r="R881" s="5" t="n"/>
      <c r="S881" s="5">
        <f>SUM(F881:I881)+N881</f>
        <v/>
      </c>
      <c r="T881" s="5">
        <f>J881</f>
        <v/>
      </c>
      <c r="U881" s="6">
        <f>YEAR(D881)</f>
        <v/>
      </c>
      <c r="V881" s="5">
        <f>TEXT(D881,"yyyy-mm")</f>
        <v/>
      </c>
    </row>
    <row r="882">
      <c r="A882" s="2" t="inlineStr">
        <is>
          <t>EJ020924.TXT</t>
        </is>
      </c>
      <c r="B882" s="3" t="inlineStr">
        <is>
          <t>005533</t>
        </is>
      </c>
      <c r="C882" s="3" t="inlineStr">
        <is>
          <t>004442</t>
        </is>
      </c>
      <c r="D882" s="4" t="n">
        <v>45518</v>
      </c>
      <c r="E882" s="2" t="inlineStr">
        <is>
          <t>15:41</t>
        </is>
      </c>
      <c r="F882" s="5" t="n">
        <v>208.33</v>
      </c>
      <c r="G882" s="5" t="n"/>
      <c r="H882" s="5" t="n"/>
      <c r="I882" s="5" t="n"/>
      <c r="J882" s="5" t="n">
        <v>41.67</v>
      </c>
      <c r="K882" s="5" t="n"/>
      <c r="L882" s="5" t="n"/>
      <c r="M882" s="5" t="n"/>
      <c r="N882" s="5" t="n"/>
      <c r="O882" s="5" t="n">
        <v>250</v>
      </c>
      <c r="P882" s="5" t="n"/>
      <c r="Q882" s="5" t="n">
        <v>250</v>
      </c>
      <c r="R882" s="5" t="n"/>
      <c r="S882" s="5">
        <f>SUM(F882:I882)+N882</f>
        <v/>
      </c>
      <c r="T882" s="5">
        <f>J882</f>
        <v/>
      </c>
      <c r="U882" s="6">
        <f>YEAR(D882)</f>
        <v/>
      </c>
      <c r="V882" s="5">
        <f>TEXT(D882,"yyyy-mm")</f>
        <v/>
      </c>
    </row>
    <row r="883">
      <c r="A883" s="2" t="inlineStr">
        <is>
          <t>EJ020924.TXT</t>
        </is>
      </c>
      <c r="B883" s="3" t="inlineStr">
        <is>
          <t>005534</t>
        </is>
      </c>
      <c r="C883" s="3" t="inlineStr">
        <is>
          <t>004443</t>
        </is>
      </c>
      <c r="D883" s="4" t="n">
        <v>45520</v>
      </c>
      <c r="E883" s="2" t="inlineStr">
        <is>
          <t>15:32</t>
        </is>
      </c>
      <c r="F883" s="5" t="n">
        <v>190.83</v>
      </c>
      <c r="G883" s="5" t="n"/>
      <c r="H883" s="5" t="n"/>
      <c r="I883" s="5" t="n"/>
      <c r="J883" s="5" t="n">
        <v>38.17</v>
      </c>
      <c r="K883" s="5" t="n"/>
      <c r="L883" s="5" t="n"/>
      <c r="M883" s="5" t="n"/>
      <c r="N883" s="5" t="n"/>
      <c r="O883" s="5" t="n">
        <v>229</v>
      </c>
      <c r="P883" s="5" t="n"/>
      <c r="Q883" s="5" t="n">
        <v>229</v>
      </c>
      <c r="R883" s="5" t="n"/>
      <c r="S883" s="5">
        <f>SUM(F883:I883)+N883</f>
        <v/>
      </c>
      <c r="T883" s="5">
        <f>J883</f>
        <v/>
      </c>
      <c r="U883" s="6">
        <f>YEAR(D883)</f>
        <v/>
      </c>
      <c r="V883" s="5">
        <f>TEXT(D883,"yyyy-mm")</f>
        <v/>
      </c>
    </row>
    <row r="884">
      <c r="A884" s="2" t="inlineStr">
        <is>
          <t>EJ020924.TXT</t>
        </is>
      </c>
      <c r="B884" s="3" t="inlineStr">
        <is>
          <t>005535</t>
        </is>
      </c>
      <c r="C884" s="3" t="inlineStr">
        <is>
          <t>004444</t>
        </is>
      </c>
      <c r="D884" s="4" t="n">
        <v>45524</v>
      </c>
      <c r="E884" s="2" t="inlineStr">
        <is>
          <t>14:03</t>
        </is>
      </c>
      <c r="F884" s="5" t="n">
        <v>107.5</v>
      </c>
      <c r="G884" s="5" t="n"/>
      <c r="H884" s="5" t="n"/>
      <c r="I884" s="5" t="n"/>
      <c r="J884" s="5" t="n">
        <v>21.5</v>
      </c>
      <c r="K884" s="5" t="n"/>
      <c r="L884" s="5" t="n"/>
      <c r="M884" s="5" t="n"/>
      <c r="N884" s="5" t="n"/>
      <c r="O884" s="5" t="n">
        <v>129</v>
      </c>
      <c r="P884" s="5" t="n">
        <v>129</v>
      </c>
      <c r="Q884" s="5" t="n"/>
      <c r="R884" s="5" t="n"/>
      <c r="S884" s="5">
        <f>SUM(F884:I884)+N884</f>
        <v/>
      </c>
      <c r="T884" s="5">
        <f>J884</f>
        <v/>
      </c>
      <c r="U884" s="6">
        <f>YEAR(D884)</f>
        <v/>
      </c>
      <c r="V884" s="5">
        <f>TEXT(D884,"yyyy-mm")</f>
        <v/>
      </c>
    </row>
    <row r="885">
      <c r="A885" s="2" t="inlineStr">
        <is>
          <t>EJ020924.TXT</t>
        </is>
      </c>
      <c r="B885" s="3" t="inlineStr">
        <is>
          <t>005536</t>
        </is>
      </c>
      <c r="C885" s="3" t="inlineStr">
        <is>
          <t>004445</t>
        </is>
      </c>
      <c r="D885" s="4" t="n">
        <v>45524</v>
      </c>
      <c r="E885" s="2" t="inlineStr">
        <is>
          <t>14:03</t>
        </is>
      </c>
      <c r="F885" s="5" t="n">
        <v>166.67</v>
      </c>
      <c r="G885" s="5" t="n"/>
      <c r="H885" s="5" t="n"/>
      <c r="I885" s="5" t="n"/>
      <c r="J885" s="5" t="n">
        <v>33.33</v>
      </c>
      <c r="K885" s="5" t="n"/>
      <c r="L885" s="5" t="n"/>
      <c r="M885" s="5" t="n"/>
      <c r="N885" s="5" t="n"/>
      <c r="O885" s="5" t="n">
        <v>200</v>
      </c>
      <c r="P885" s="5" t="n"/>
      <c r="Q885" s="5" t="n">
        <v>200</v>
      </c>
      <c r="R885" s="5" t="n"/>
      <c r="S885" s="5">
        <f>SUM(F885:I885)+N885</f>
        <v/>
      </c>
      <c r="T885" s="5">
        <f>J885</f>
        <v/>
      </c>
      <c r="U885" s="6">
        <f>YEAR(D885)</f>
        <v/>
      </c>
      <c r="V885" s="5">
        <f>TEXT(D885,"yyyy-mm")</f>
        <v/>
      </c>
    </row>
    <row r="886">
      <c r="A886" s="2" t="inlineStr">
        <is>
          <t>EJ020924.TXT</t>
        </is>
      </c>
      <c r="B886" s="3" t="inlineStr">
        <is>
          <t>005537</t>
        </is>
      </c>
      <c r="C886" s="3" t="inlineStr">
        <is>
          <t>004446</t>
        </is>
      </c>
      <c r="D886" s="4" t="n">
        <v>45524</v>
      </c>
      <c r="E886" s="2" t="inlineStr">
        <is>
          <t>15:09</t>
        </is>
      </c>
      <c r="F886" s="5" t="n">
        <v>99.83</v>
      </c>
      <c r="G886" s="5" t="n"/>
      <c r="H886" s="5" t="n"/>
      <c r="I886" s="5" t="n"/>
      <c r="J886" s="5" t="n">
        <v>19.97</v>
      </c>
      <c r="K886" s="5" t="n"/>
      <c r="L886" s="5" t="n"/>
      <c r="M886" s="5" t="n"/>
      <c r="N886" s="5" t="n"/>
      <c r="O886" s="5" t="n">
        <v>119.8</v>
      </c>
      <c r="P886" s="5" t="n"/>
      <c r="Q886" s="5" t="n">
        <v>119.8</v>
      </c>
      <c r="R886" s="5" t="n"/>
      <c r="S886" s="5">
        <f>SUM(F886:I886)+N886</f>
        <v/>
      </c>
      <c r="T886" s="5">
        <f>J886</f>
        <v/>
      </c>
      <c r="U886" s="6">
        <f>YEAR(D886)</f>
        <v/>
      </c>
      <c r="V886" s="5">
        <f>TEXT(D886,"yyyy-mm")</f>
        <v/>
      </c>
    </row>
    <row r="887">
      <c r="A887" s="2" t="inlineStr">
        <is>
          <t>EJ020924.TXT</t>
        </is>
      </c>
      <c r="B887" s="3" t="inlineStr">
        <is>
          <t>005538</t>
        </is>
      </c>
      <c r="C887" s="3" t="inlineStr">
        <is>
          <t>004447</t>
        </is>
      </c>
      <c r="D887" s="4" t="n">
        <v>45524</v>
      </c>
      <c r="E887" s="2" t="inlineStr">
        <is>
          <t>15:43</t>
        </is>
      </c>
      <c r="F887" s="5" t="n">
        <v>208.33</v>
      </c>
      <c r="G887" s="5" t="n"/>
      <c r="H887" s="5" t="n"/>
      <c r="I887" s="5" t="n"/>
      <c r="J887" s="5" t="n">
        <v>41.67</v>
      </c>
      <c r="K887" s="5" t="n"/>
      <c r="L887" s="5" t="n"/>
      <c r="M887" s="5" t="n"/>
      <c r="N887" s="5" t="n"/>
      <c r="O887" s="5" t="n">
        <v>250</v>
      </c>
      <c r="P887" s="5" t="n"/>
      <c r="Q887" s="5" t="n">
        <v>250</v>
      </c>
      <c r="R887" s="5" t="n"/>
      <c r="S887" s="5">
        <f>SUM(F887:I887)+N887</f>
        <v/>
      </c>
      <c r="T887" s="5">
        <f>J887</f>
        <v/>
      </c>
      <c r="U887" s="6">
        <f>YEAR(D887)</f>
        <v/>
      </c>
      <c r="V887" s="5">
        <f>TEXT(D887,"yyyy-mm")</f>
        <v/>
      </c>
    </row>
    <row r="888">
      <c r="A888" s="2" t="inlineStr">
        <is>
          <t>EJ020924.TXT</t>
        </is>
      </c>
      <c r="B888" s="3" t="inlineStr">
        <is>
          <t>005539</t>
        </is>
      </c>
      <c r="C888" s="3" t="inlineStr">
        <is>
          <t>004448</t>
        </is>
      </c>
      <c r="D888" s="4" t="n">
        <v>45525</v>
      </c>
      <c r="E888" s="2" t="inlineStr">
        <is>
          <t>14:47</t>
        </is>
      </c>
      <c r="F888" s="5" t="n">
        <v>3610.33</v>
      </c>
      <c r="G888" s="5" t="n"/>
      <c r="H888" s="5" t="n"/>
      <c r="I888" s="5" t="n"/>
      <c r="J888" s="5" t="n">
        <v>722.0700000000001</v>
      </c>
      <c r="K888" s="5" t="n"/>
      <c r="L888" s="5" t="n"/>
      <c r="M888" s="5" t="n"/>
      <c r="N888" s="5" t="n"/>
      <c r="O888" s="5" t="n">
        <v>4332.4</v>
      </c>
      <c r="P888" s="5" t="n">
        <v>4332.4</v>
      </c>
      <c r="Q888" s="5" t="n"/>
      <c r="R888" s="5" t="n"/>
      <c r="S888" s="5">
        <f>SUM(F888:I888)+N888</f>
        <v/>
      </c>
      <c r="T888" s="5">
        <f>J888</f>
        <v/>
      </c>
      <c r="U888" s="6">
        <f>YEAR(D888)</f>
        <v/>
      </c>
      <c r="V888" s="5">
        <f>TEXT(D888,"yyyy-mm")</f>
        <v/>
      </c>
    </row>
    <row r="889">
      <c r="A889" s="2" t="inlineStr">
        <is>
          <t>EJ020924.TXT</t>
        </is>
      </c>
      <c r="B889" s="3" t="inlineStr">
        <is>
          <t>005540</t>
        </is>
      </c>
      <c r="C889" s="3" t="inlineStr">
        <is>
          <t>004449</t>
        </is>
      </c>
      <c r="D889" s="4" t="n">
        <v>45527</v>
      </c>
      <c r="E889" s="2" t="inlineStr">
        <is>
          <t>15:29</t>
        </is>
      </c>
      <c r="F889" s="5" t="n">
        <v>531.67</v>
      </c>
      <c r="G889" s="5" t="n"/>
      <c r="H889" s="5" t="n"/>
      <c r="I889" s="5" t="n"/>
      <c r="J889" s="5" t="n">
        <v>106.33</v>
      </c>
      <c r="K889" s="5" t="n"/>
      <c r="L889" s="5" t="n"/>
      <c r="M889" s="5" t="n"/>
      <c r="N889" s="5" t="n"/>
      <c r="O889" s="5" t="n">
        <v>638</v>
      </c>
      <c r="P889" s="5" t="n"/>
      <c r="Q889" s="5" t="n">
        <v>638</v>
      </c>
      <c r="R889" s="5" t="n"/>
      <c r="S889" s="5">
        <f>SUM(F889:I889)+N889</f>
        <v/>
      </c>
      <c r="T889" s="5">
        <f>J889</f>
        <v/>
      </c>
      <c r="U889" s="6">
        <f>YEAR(D889)</f>
        <v/>
      </c>
      <c r="V889" s="5">
        <f>TEXT(D889,"yyyy-mm")</f>
        <v/>
      </c>
    </row>
    <row r="890">
      <c r="A890" s="2" t="inlineStr">
        <is>
          <t>EJ020924.TXT</t>
        </is>
      </c>
      <c r="B890" s="3" t="inlineStr">
        <is>
          <t>005541</t>
        </is>
      </c>
      <c r="C890" s="3" t="inlineStr">
        <is>
          <t>004450</t>
        </is>
      </c>
      <c r="D890" s="4" t="n">
        <v>45528</v>
      </c>
      <c r="E890" s="2" t="inlineStr">
        <is>
          <t>16:10</t>
        </is>
      </c>
      <c r="F890" s="5" t="n">
        <v>531.67</v>
      </c>
      <c r="G890" s="5" t="n"/>
      <c r="H890" s="5" t="n"/>
      <c r="I890" s="5" t="n"/>
      <c r="J890" s="5" t="n">
        <v>106.33</v>
      </c>
      <c r="K890" s="5" t="n"/>
      <c r="L890" s="5" t="n"/>
      <c r="M890" s="5" t="n"/>
      <c r="N890" s="5" t="n"/>
      <c r="O890" s="5" t="n">
        <v>638</v>
      </c>
      <c r="P890" s="5" t="n"/>
      <c r="Q890" s="5" t="n">
        <v>638</v>
      </c>
      <c r="R890" s="5" t="n"/>
      <c r="S890" s="5">
        <f>SUM(F890:I890)+N890</f>
        <v/>
      </c>
      <c r="T890" s="5">
        <f>J890</f>
        <v/>
      </c>
      <c r="U890" s="6">
        <f>YEAR(D890)</f>
        <v/>
      </c>
      <c r="V890" s="5">
        <f>TEXT(D890,"yyyy-mm")</f>
        <v/>
      </c>
    </row>
    <row r="891">
      <c r="A891" s="2" t="inlineStr">
        <is>
          <t>EJ020924.TXT</t>
        </is>
      </c>
      <c r="B891" s="3" t="inlineStr">
        <is>
          <t>005542</t>
        </is>
      </c>
      <c r="C891" s="3" t="inlineStr">
        <is>
          <t>004451</t>
        </is>
      </c>
      <c r="D891" s="4" t="n">
        <v>45530</v>
      </c>
      <c r="E891" s="2" t="inlineStr">
        <is>
          <t>15:02</t>
        </is>
      </c>
      <c r="F891" s="5" t="n">
        <v>208.33</v>
      </c>
      <c r="G891" s="5" t="n"/>
      <c r="H891" s="5" t="n"/>
      <c r="I891" s="5" t="n"/>
      <c r="J891" s="5" t="n">
        <v>41.67</v>
      </c>
      <c r="K891" s="5" t="n"/>
      <c r="L891" s="5" t="n"/>
      <c r="M891" s="5" t="n"/>
      <c r="N891" s="5" t="n"/>
      <c r="O891" s="5" t="n">
        <v>250</v>
      </c>
      <c r="P891" s="5" t="n"/>
      <c r="Q891" s="5" t="n">
        <v>250</v>
      </c>
      <c r="R891" s="5" t="n"/>
      <c r="S891" s="5">
        <f>SUM(F891:I891)+N891</f>
        <v/>
      </c>
      <c r="T891" s="5">
        <f>J891</f>
        <v/>
      </c>
      <c r="U891" s="6">
        <f>YEAR(D891)</f>
        <v/>
      </c>
      <c r="V891" s="5">
        <f>TEXT(D891,"yyyy-mm")</f>
        <v/>
      </c>
    </row>
    <row r="892">
      <c r="A892" s="2" t="inlineStr">
        <is>
          <t>EJ020924.TXT</t>
        </is>
      </c>
      <c r="B892" s="3" t="inlineStr">
        <is>
          <t>005543</t>
        </is>
      </c>
      <c r="C892" s="3" t="inlineStr">
        <is>
          <t>004452</t>
        </is>
      </c>
      <c r="D892" s="4" t="n">
        <v>45530</v>
      </c>
      <c r="E892" s="2" t="inlineStr">
        <is>
          <t>15:13</t>
        </is>
      </c>
      <c r="F892" s="5" t="n">
        <v>274.17</v>
      </c>
      <c r="G892" s="5" t="n"/>
      <c r="H892" s="5" t="n"/>
      <c r="I892" s="5" t="n"/>
      <c r="J892" s="5" t="n">
        <v>54.83</v>
      </c>
      <c r="K892" s="5" t="n"/>
      <c r="L892" s="5" t="n"/>
      <c r="M892" s="5" t="n"/>
      <c r="N892" s="5" t="n"/>
      <c r="O892" s="5" t="n">
        <v>329</v>
      </c>
      <c r="P892" s="5" t="n">
        <v>329</v>
      </c>
      <c r="Q892" s="5" t="n"/>
      <c r="R892" s="5" t="n"/>
      <c r="S892" s="5">
        <f>SUM(F892:I892)+N892</f>
        <v/>
      </c>
      <c r="T892" s="5">
        <f>J892</f>
        <v/>
      </c>
      <c r="U892" s="6">
        <f>YEAR(D892)</f>
        <v/>
      </c>
      <c r="V892" s="5">
        <f>TEXT(D892,"yyyy-mm")</f>
        <v/>
      </c>
    </row>
    <row r="893">
      <c r="A893" s="2" t="inlineStr">
        <is>
          <t>EJ020924.TXT</t>
        </is>
      </c>
      <c r="B893" s="3" t="inlineStr">
        <is>
          <t>005544</t>
        </is>
      </c>
      <c r="C893" s="3" t="inlineStr">
        <is>
          <t>004453</t>
        </is>
      </c>
      <c r="D893" s="4" t="n">
        <v>45531</v>
      </c>
      <c r="E893" s="2" t="inlineStr">
        <is>
          <t>09:24</t>
        </is>
      </c>
      <c r="F893" s="5" t="n">
        <v>548.33</v>
      </c>
      <c r="G893" s="5" t="n"/>
      <c r="H893" s="5" t="n"/>
      <c r="I893" s="5" t="n"/>
      <c r="J893" s="5" t="n">
        <v>109.67</v>
      </c>
      <c r="K893" s="5" t="n"/>
      <c r="L893" s="5" t="n"/>
      <c r="M893" s="5" t="n"/>
      <c r="N893" s="5" t="n"/>
      <c r="O893" s="5" t="n">
        <v>658</v>
      </c>
      <c r="P893" s="5" t="n">
        <v>658</v>
      </c>
      <c r="Q893" s="5" t="n"/>
      <c r="R893" s="5" t="n"/>
      <c r="S893" s="5">
        <f>SUM(F893:I893)+N893</f>
        <v/>
      </c>
      <c r="T893" s="5">
        <f>J893</f>
        <v/>
      </c>
      <c r="U893" s="6">
        <f>YEAR(D893)</f>
        <v/>
      </c>
      <c r="V893" s="5">
        <f>TEXT(D893,"yyyy-mm")</f>
        <v/>
      </c>
    </row>
    <row r="894">
      <c r="A894" s="2" t="inlineStr">
        <is>
          <t>EJ020924.TXT</t>
        </is>
      </c>
      <c r="B894" s="3" t="inlineStr">
        <is>
          <t>005545</t>
        </is>
      </c>
      <c r="C894" s="3" t="inlineStr">
        <is>
          <t>004454</t>
        </is>
      </c>
      <c r="D894" s="4" t="n">
        <v>45533</v>
      </c>
      <c r="E894" s="2" t="inlineStr">
        <is>
          <t>09:36</t>
        </is>
      </c>
      <c r="F894" s="5" t="n">
        <v>3240</v>
      </c>
      <c r="G894" s="5" t="n"/>
      <c r="H894" s="5" t="n"/>
      <c r="I894" s="5" t="n"/>
      <c r="J894" s="5" t="n">
        <v>648</v>
      </c>
      <c r="K894" s="5" t="n"/>
      <c r="L894" s="5" t="n"/>
      <c r="M894" s="5" t="n"/>
      <c r="N894" s="5" t="n"/>
      <c r="O894" s="5" t="n">
        <v>3888</v>
      </c>
      <c r="P894" s="5" t="n">
        <v>3888</v>
      </c>
      <c r="Q894" s="5" t="n"/>
      <c r="R894" s="5" t="n"/>
      <c r="S894" s="5">
        <f>SUM(F894:I894)+N894</f>
        <v/>
      </c>
      <c r="T894" s="5">
        <f>J894</f>
        <v/>
      </c>
      <c r="U894" s="6">
        <f>YEAR(D894)</f>
        <v/>
      </c>
      <c r="V894" s="5">
        <f>TEXT(D894,"yyyy-mm")</f>
        <v/>
      </c>
    </row>
    <row r="895">
      <c r="A895" s="2" t="inlineStr">
        <is>
          <t>EJ020924.TXT</t>
        </is>
      </c>
      <c r="B895" s="3" t="inlineStr">
        <is>
          <t>005546</t>
        </is>
      </c>
      <c r="C895" s="3" t="inlineStr">
        <is>
          <t>004455</t>
        </is>
      </c>
      <c r="D895" s="4" t="n">
        <v>45533</v>
      </c>
      <c r="E895" s="2" t="inlineStr">
        <is>
          <t>14:49</t>
        </is>
      </c>
      <c r="F895" s="5" t="n">
        <v>946.67</v>
      </c>
      <c r="G895" s="5" t="n"/>
      <c r="H895" s="5" t="n"/>
      <c r="I895" s="5" t="n"/>
      <c r="J895" s="5" t="n">
        <v>189.33</v>
      </c>
      <c r="K895" s="5" t="n"/>
      <c r="L895" s="5" t="n"/>
      <c r="M895" s="5" t="n"/>
      <c r="N895" s="5" t="n"/>
      <c r="O895" s="5" t="n">
        <v>1136</v>
      </c>
      <c r="P895" s="5" t="n">
        <v>1136</v>
      </c>
      <c r="Q895" s="5" t="n"/>
      <c r="R895" s="5" t="n"/>
      <c r="S895" s="5">
        <f>SUM(F895:I895)+N895</f>
        <v/>
      </c>
      <c r="T895" s="5">
        <f>J895</f>
        <v/>
      </c>
      <c r="U895" s="6">
        <f>YEAR(D895)</f>
        <v/>
      </c>
      <c r="V895" s="5">
        <f>TEXT(D895,"yyyy-mm")</f>
        <v/>
      </c>
    </row>
    <row r="896">
      <c r="A896" s="2" t="inlineStr">
        <is>
          <t>EJ020924.TXT</t>
        </is>
      </c>
      <c r="B896" s="3" t="inlineStr">
        <is>
          <t>005547</t>
        </is>
      </c>
      <c r="C896" s="3" t="inlineStr">
        <is>
          <t>004456</t>
        </is>
      </c>
      <c r="D896" s="4" t="n">
        <v>45534</v>
      </c>
      <c r="E896" s="2" t="inlineStr">
        <is>
          <t>16:30</t>
        </is>
      </c>
      <c r="F896" s="5" t="n">
        <v>208.33</v>
      </c>
      <c r="G896" s="5" t="n"/>
      <c r="H896" s="5" t="n"/>
      <c r="I896" s="5" t="n"/>
      <c r="J896" s="5" t="n">
        <v>41.67</v>
      </c>
      <c r="K896" s="5" t="n"/>
      <c r="L896" s="5" t="n"/>
      <c r="M896" s="5" t="n"/>
      <c r="N896" s="5" t="n"/>
      <c r="O896" s="5" t="n">
        <v>250</v>
      </c>
      <c r="P896" s="5" t="n"/>
      <c r="Q896" s="5" t="n">
        <v>250</v>
      </c>
      <c r="R896" s="5" t="n"/>
      <c r="S896" s="5">
        <f>SUM(F896:I896)+N896</f>
        <v/>
      </c>
      <c r="T896" s="5">
        <f>J896</f>
        <v/>
      </c>
      <c r="U896" s="6">
        <f>YEAR(D896)</f>
        <v/>
      </c>
      <c r="V896" s="5">
        <f>TEXT(D896,"yyyy-mm")</f>
        <v/>
      </c>
    </row>
    <row r="897">
      <c r="A897" s="2" t="inlineStr">
        <is>
          <t>EJ011024.TXT</t>
        </is>
      </c>
      <c r="B897" s="3" t="inlineStr">
        <is>
          <t>005555</t>
        </is>
      </c>
      <c r="C897" s="3" t="inlineStr">
        <is>
          <t>004457</t>
        </is>
      </c>
      <c r="D897" s="4" t="n">
        <v>45537</v>
      </c>
      <c r="E897" s="2" t="inlineStr">
        <is>
          <t>15:08</t>
        </is>
      </c>
      <c r="F897" s="5" t="n">
        <v>208.33</v>
      </c>
      <c r="G897" s="5" t="n"/>
      <c r="H897" s="5" t="n"/>
      <c r="I897" s="5" t="n"/>
      <c r="J897" s="5" t="n">
        <v>41.67</v>
      </c>
      <c r="K897" s="5" t="n"/>
      <c r="L897" s="5" t="n"/>
      <c r="M897" s="5" t="n"/>
      <c r="N897" s="5" t="n"/>
      <c r="O897" s="5" t="n">
        <v>250</v>
      </c>
      <c r="P897" s="5" t="n"/>
      <c r="Q897" s="5" t="n">
        <v>250</v>
      </c>
      <c r="R897" s="5" t="n"/>
      <c r="S897" s="5">
        <f>SUM(F897:I897)+N897</f>
        <v/>
      </c>
      <c r="T897" s="5">
        <f>J897</f>
        <v/>
      </c>
      <c r="U897" s="6">
        <f>YEAR(D897)</f>
        <v/>
      </c>
      <c r="V897" s="5">
        <f>TEXT(D897,"yyyy-mm")</f>
        <v/>
      </c>
    </row>
    <row r="898">
      <c r="A898" s="2" t="inlineStr">
        <is>
          <t>EJ011024.TXT</t>
        </is>
      </c>
      <c r="B898" s="3" t="inlineStr">
        <is>
          <t>005556</t>
        </is>
      </c>
      <c r="C898" s="3" t="inlineStr">
        <is>
          <t>004458</t>
        </is>
      </c>
      <c r="D898" s="4" t="n">
        <v>45539</v>
      </c>
      <c r="E898" s="2" t="inlineStr">
        <is>
          <t>16:54</t>
        </is>
      </c>
      <c r="F898" s="5" t="n">
        <v>548.33</v>
      </c>
      <c r="G898" s="5" t="n"/>
      <c r="H898" s="5" t="n"/>
      <c r="I898" s="5" t="n"/>
      <c r="J898" s="5" t="n">
        <v>109.67</v>
      </c>
      <c r="K898" s="5" t="n"/>
      <c r="L898" s="5" t="n"/>
      <c r="M898" s="5" t="n"/>
      <c r="N898" s="5" t="n"/>
      <c r="O898" s="5" t="n">
        <v>658</v>
      </c>
      <c r="P898" s="5" t="n"/>
      <c r="Q898" s="5" t="n">
        <v>658</v>
      </c>
      <c r="R898" s="5" t="n"/>
      <c r="S898" s="5">
        <f>SUM(F898:I898)+N898</f>
        <v/>
      </c>
      <c r="T898" s="5">
        <f>J898</f>
        <v/>
      </c>
      <c r="U898" s="6">
        <f>YEAR(D898)</f>
        <v/>
      </c>
      <c r="V898" s="5">
        <f>TEXT(D898,"yyyy-mm")</f>
        <v/>
      </c>
    </row>
    <row r="899">
      <c r="A899" s="2" t="inlineStr">
        <is>
          <t>EJ011024.TXT</t>
        </is>
      </c>
      <c r="B899" s="3" t="inlineStr">
        <is>
          <t>005557</t>
        </is>
      </c>
      <c r="C899" s="3" t="inlineStr">
        <is>
          <t>004459</t>
        </is>
      </c>
      <c r="D899" s="4" t="n">
        <v>45541</v>
      </c>
      <c r="E899" s="2" t="inlineStr">
        <is>
          <t>15:42</t>
        </is>
      </c>
      <c r="F899" s="5" t="n">
        <v>208.33</v>
      </c>
      <c r="G899" s="5" t="n"/>
      <c r="H899" s="5" t="n"/>
      <c r="I899" s="5" t="n"/>
      <c r="J899" s="5" t="n">
        <v>41.67</v>
      </c>
      <c r="K899" s="5" t="n"/>
      <c r="L899" s="5" t="n"/>
      <c r="M899" s="5" t="n"/>
      <c r="N899" s="5" t="n"/>
      <c r="O899" s="5" t="n">
        <v>250</v>
      </c>
      <c r="P899" s="5" t="n"/>
      <c r="Q899" s="5" t="n">
        <v>250</v>
      </c>
      <c r="R899" s="5" t="n"/>
      <c r="S899" s="5">
        <f>SUM(F899:I899)+N899</f>
        <v/>
      </c>
      <c r="T899" s="5">
        <f>J899</f>
        <v/>
      </c>
      <c r="U899" s="6">
        <f>YEAR(D899)</f>
        <v/>
      </c>
      <c r="V899" s="5">
        <f>TEXT(D899,"yyyy-mm")</f>
        <v/>
      </c>
    </row>
    <row r="900">
      <c r="A900" s="2" t="inlineStr">
        <is>
          <t>EJ011024.TXT</t>
        </is>
      </c>
      <c r="B900" s="3" t="inlineStr">
        <is>
          <t>005558</t>
        </is>
      </c>
      <c r="C900" s="3" t="inlineStr">
        <is>
          <t>004460</t>
        </is>
      </c>
      <c r="D900" s="4" t="n">
        <v>45544</v>
      </c>
      <c r="E900" s="2" t="inlineStr">
        <is>
          <t>10:27</t>
        </is>
      </c>
      <c r="F900" s="5" t="n">
        <v>500</v>
      </c>
      <c r="G900" s="5" t="n"/>
      <c r="H900" s="5" t="n"/>
      <c r="I900" s="5" t="n"/>
      <c r="J900" s="5" t="n">
        <v>100</v>
      </c>
      <c r="K900" s="5" t="n"/>
      <c r="L900" s="5" t="n"/>
      <c r="M900" s="5" t="n"/>
      <c r="N900" s="5" t="n"/>
      <c r="O900" s="5" t="n">
        <v>600</v>
      </c>
      <c r="P900" s="5" t="n"/>
      <c r="Q900" s="5" t="n">
        <v>600</v>
      </c>
      <c r="R900" s="5" t="n"/>
      <c r="S900" s="5">
        <f>SUM(F900:I900)+N900</f>
        <v/>
      </c>
      <c r="T900" s="5">
        <f>J900</f>
        <v/>
      </c>
      <c r="U900" s="6">
        <f>YEAR(D900)</f>
        <v/>
      </c>
      <c r="V900" s="5">
        <f>TEXT(D900,"yyyy-mm")</f>
        <v/>
      </c>
    </row>
    <row r="901">
      <c r="A901" s="2" t="inlineStr">
        <is>
          <t>EJ011024.TXT</t>
        </is>
      </c>
      <c r="B901" s="3" t="inlineStr">
        <is>
          <t>005559</t>
        </is>
      </c>
      <c r="C901" s="3" t="inlineStr">
        <is>
          <t>004461</t>
        </is>
      </c>
      <c r="D901" s="4" t="n">
        <v>45544</v>
      </c>
      <c r="E901" s="2" t="inlineStr">
        <is>
          <t>10:27</t>
        </is>
      </c>
      <c r="F901" s="5" t="n">
        <v>48.33</v>
      </c>
      <c r="G901" s="5" t="n"/>
      <c r="H901" s="5" t="n"/>
      <c r="I901" s="5" t="n"/>
      <c r="J901" s="5" t="n">
        <v>9.67</v>
      </c>
      <c r="K901" s="5" t="n"/>
      <c r="L901" s="5" t="n"/>
      <c r="M901" s="5" t="n"/>
      <c r="N901" s="5" t="n"/>
      <c r="O901" s="5" t="n">
        <v>58</v>
      </c>
      <c r="P901" s="5" t="n">
        <v>58</v>
      </c>
      <c r="Q901" s="5" t="n"/>
      <c r="R901" s="5" t="n"/>
      <c r="S901" s="5">
        <f>SUM(F901:I901)+N901</f>
        <v/>
      </c>
      <c r="T901" s="5">
        <f>J901</f>
        <v/>
      </c>
      <c r="U901" s="6">
        <f>YEAR(D901)</f>
        <v/>
      </c>
      <c r="V901" s="5">
        <f>TEXT(D901,"yyyy-mm")</f>
        <v/>
      </c>
    </row>
    <row r="902">
      <c r="A902" s="2" t="inlineStr">
        <is>
          <t>EJ011024.TXT</t>
        </is>
      </c>
      <c r="B902" s="3" t="inlineStr">
        <is>
          <t>005560</t>
        </is>
      </c>
      <c r="C902" s="3" t="inlineStr">
        <is>
          <t>004462</t>
        </is>
      </c>
      <c r="D902" s="4" t="n">
        <v>45545</v>
      </c>
      <c r="E902" s="2" t="inlineStr">
        <is>
          <t>17:05</t>
        </is>
      </c>
      <c r="F902" s="5" t="n">
        <v>465.83</v>
      </c>
      <c r="G902" s="5" t="n"/>
      <c r="H902" s="5" t="n"/>
      <c r="I902" s="5" t="n"/>
      <c r="J902" s="5" t="n">
        <v>93.17</v>
      </c>
      <c r="K902" s="5" t="n"/>
      <c r="L902" s="5" t="n"/>
      <c r="M902" s="5" t="n"/>
      <c r="N902" s="5" t="n"/>
      <c r="O902" s="5" t="n">
        <v>559</v>
      </c>
      <c r="P902" s="5" t="n"/>
      <c r="Q902" s="5" t="n">
        <v>559</v>
      </c>
      <c r="R902" s="5" t="n"/>
      <c r="S902" s="5">
        <f>SUM(F902:I902)+N902</f>
        <v/>
      </c>
      <c r="T902" s="5">
        <f>J902</f>
        <v/>
      </c>
      <c r="U902" s="6">
        <f>YEAR(D902)</f>
        <v/>
      </c>
      <c r="V902" s="5">
        <f>TEXT(D902,"yyyy-mm")</f>
        <v/>
      </c>
    </row>
    <row r="903">
      <c r="A903" s="2" t="inlineStr">
        <is>
          <t>EJ011024.TXT</t>
        </is>
      </c>
      <c r="B903" s="3" t="inlineStr">
        <is>
          <t>005561</t>
        </is>
      </c>
      <c r="C903" s="3" t="inlineStr">
        <is>
          <t>004463</t>
        </is>
      </c>
      <c r="D903" s="4" t="n">
        <v>45546</v>
      </c>
      <c r="E903" s="2" t="inlineStr">
        <is>
          <t>10:22</t>
        </is>
      </c>
      <c r="F903" s="5" t="n">
        <v>733.33</v>
      </c>
      <c r="G903" s="5" t="n"/>
      <c r="H903" s="5" t="n"/>
      <c r="I903" s="5" t="n"/>
      <c r="J903" s="5" t="n">
        <v>146.67</v>
      </c>
      <c r="K903" s="5" t="n"/>
      <c r="L903" s="5" t="n"/>
      <c r="M903" s="5" t="n"/>
      <c r="N903" s="5" t="n"/>
      <c r="O903" s="5" t="n">
        <v>880</v>
      </c>
      <c r="P903" s="5" t="n"/>
      <c r="Q903" s="5" t="n">
        <v>880</v>
      </c>
      <c r="R903" s="5" t="n"/>
      <c r="S903" s="5">
        <f>SUM(F903:I903)+N903</f>
        <v/>
      </c>
      <c r="T903" s="5">
        <f>J903</f>
        <v/>
      </c>
      <c r="U903" s="6">
        <f>YEAR(D903)</f>
        <v/>
      </c>
      <c r="V903" s="5">
        <f>TEXT(D903,"yyyy-mm")</f>
        <v/>
      </c>
    </row>
    <row r="904">
      <c r="A904" s="2" t="inlineStr">
        <is>
          <t>EJ011024.TXT</t>
        </is>
      </c>
      <c r="B904" s="3" t="inlineStr">
        <is>
          <t>005562</t>
        </is>
      </c>
      <c r="C904" s="3" t="inlineStr">
        <is>
          <t>004464</t>
        </is>
      </c>
      <c r="D904" s="4" t="n">
        <v>45546</v>
      </c>
      <c r="E904" s="2" t="inlineStr">
        <is>
          <t>11:48</t>
        </is>
      </c>
      <c r="F904" s="5" t="n">
        <v>274.17</v>
      </c>
      <c r="G904" s="5" t="n"/>
      <c r="H904" s="5" t="n"/>
      <c r="I904" s="5" t="n"/>
      <c r="J904" s="5" t="n">
        <v>54.83</v>
      </c>
      <c r="K904" s="5" t="n"/>
      <c r="L904" s="5" t="n"/>
      <c r="M904" s="5" t="n"/>
      <c r="N904" s="5" t="n"/>
      <c r="O904" s="5" t="n">
        <v>329</v>
      </c>
      <c r="P904" s="5" t="n"/>
      <c r="Q904" s="5" t="n">
        <v>329</v>
      </c>
      <c r="R904" s="5" t="n"/>
      <c r="S904" s="5">
        <f>SUM(F904:I904)+N904</f>
        <v/>
      </c>
      <c r="T904" s="5">
        <f>J904</f>
        <v/>
      </c>
      <c r="U904" s="6">
        <f>YEAR(D904)</f>
        <v/>
      </c>
      <c r="V904" s="5">
        <f>TEXT(D904,"yyyy-mm")</f>
        <v/>
      </c>
    </row>
    <row r="905">
      <c r="A905" s="2" t="inlineStr">
        <is>
          <t>EJ011024.TXT</t>
        </is>
      </c>
      <c r="B905" s="3" t="inlineStr">
        <is>
          <t>005563</t>
        </is>
      </c>
      <c r="C905" s="3" t="inlineStr">
        <is>
          <t>004465</t>
        </is>
      </c>
      <c r="D905" s="4" t="n">
        <v>45546</v>
      </c>
      <c r="E905" s="2" t="inlineStr">
        <is>
          <t>11:50</t>
        </is>
      </c>
      <c r="F905" s="5" t="n">
        <v>208.33</v>
      </c>
      <c r="G905" s="5" t="n"/>
      <c r="H905" s="5" t="n"/>
      <c r="I905" s="5" t="n"/>
      <c r="J905" s="5" t="n">
        <v>41.67</v>
      </c>
      <c r="K905" s="5" t="n"/>
      <c r="L905" s="5" t="n"/>
      <c r="M905" s="5" t="n"/>
      <c r="N905" s="5" t="n"/>
      <c r="O905" s="5" t="n">
        <v>250</v>
      </c>
      <c r="P905" s="5" t="n"/>
      <c r="Q905" s="5" t="n">
        <v>250</v>
      </c>
      <c r="R905" s="5" t="n"/>
      <c r="S905" s="5">
        <f>SUM(F905:I905)+N905</f>
        <v/>
      </c>
      <c r="T905" s="5">
        <f>J905</f>
        <v/>
      </c>
      <c r="U905" s="6">
        <f>YEAR(D905)</f>
        <v/>
      </c>
      <c r="V905" s="5">
        <f>TEXT(D905,"yyyy-mm")</f>
        <v/>
      </c>
    </row>
    <row r="906">
      <c r="A906" s="2" t="inlineStr">
        <is>
          <t>EJ011024.TXT</t>
        </is>
      </c>
      <c r="B906" s="3" t="inlineStr">
        <is>
          <t>005564</t>
        </is>
      </c>
      <c r="C906" s="3" t="inlineStr">
        <is>
          <t>004466</t>
        </is>
      </c>
      <c r="D906" s="4" t="n">
        <v>45546</v>
      </c>
      <c r="E906" s="2" t="inlineStr">
        <is>
          <t>11:53</t>
        </is>
      </c>
      <c r="F906" s="5" t="n">
        <v>208.33</v>
      </c>
      <c r="G906" s="5" t="n"/>
      <c r="H906" s="5" t="n"/>
      <c r="I906" s="5" t="n"/>
      <c r="J906" s="5" t="n">
        <v>41.67</v>
      </c>
      <c r="K906" s="5" t="n"/>
      <c r="L906" s="5" t="n"/>
      <c r="M906" s="5" t="n"/>
      <c r="N906" s="5" t="n"/>
      <c r="O906" s="5" t="n">
        <v>250</v>
      </c>
      <c r="P906" s="5" t="n"/>
      <c r="Q906" s="5" t="n">
        <v>250</v>
      </c>
      <c r="R906" s="5" t="n"/>
      <c r="S906" s="5">
        <f>SUM(F906:I906)+N906</f>
        <v/>
      </c>
      <c r="T906" s="5">
        <f>J906</f>
        <v/>
      </c>
      <c r="U906" s="6">
        <f>YEAR(D906)</f>
        <v/>
      </c>
      <c r="V906" s="5">
        <f>TEXT(D906,"yyyy-mm")</f>
        <v/>
      </c>
    </row>
    <row r="907">
      <c r="A907" s="2" t="inlineStr">
        <is>
          <t>EJ011024.TXT</t>
        </is>
      </c>
      <c r="B907" s="3" t="inlineStr">
        <is>
          <t>005565</t>
        </is>
      </c>
      <c r="C907" s="3" t="inlineStr">
        <is>
          <t>004467</t>
        </is>
      </c>
      <c r="D907" s="4" t="n">
        <v>45546</v>
      </c>
      <c r="E907" s="2" t="inlineStr">
        <is>
          <t>12:00</t>
        </is>
      </c>
      <c r="F907" s="5" t="n">
        <v>208.33</v>
      </c>
      <c r="G907" s="5" t="n"/>
      <c r="H907" s="5" t="n"/>
      <c r="I907" s="5" t="n"/>
      <c r="J907" s="5" t="n">
        <v>41.67</v>
      </c>
      <c r="K907" s="5" t="n"/>
      <c r="L907" s="5" t="n"/>
      <c r="M907" s="5" t="n"/>
      <c r="N907" s="5" t="n"/>
      <c r="O907" s="5" t="n">
        <v>250</v>
      </c>
      <c r="P907" s="5" t="n"/>
      <c r="Q907" s="5" t="n">
        <v>250</v>
      </c>
      <c r="R907" s="5" t="n"/>
      <c r="S907" s="5">
        <f>SUM(F907:I907)+N907</f>
        <v/>
      </c>
      <c r="T907" s="5">
        <f>J907</f>
        <v/>
      </c>
      <c r="U907" s="6">
        <f>YEAR(D907)</f>
        <v/>
      </c>
      <c r="V907" s="5">
        <f>TEXT(D907,"yyyy-mm")</f>
        <v/>
      </c>
    </row>
    <row r="908">
      <c r="A908" s="2" t="inlineStr">
        <is>
          <t>EJ011024.TXT</t>
        </is>
      </c>
      <c r="B908" s="3" t="inlineStr">
        <is>
          <t>005566</t>
        </is>
      </c>
      <c r="C908" s="3" t="inlineStr">
        <is>
          <t>004468</t>
        </is>
      </c>
      <c r="D908" s="4" t="n">
        <v>45547</v>
      </c>
      <c r="E908" s="2" t="inlineStr">
        <is>
          <t>14:50</t>
        </is>
      </c>
      <c r="F908" s="5" t="n">
        <v>832.5</v>
      </c>
      <c r="G908" s="5" t="n"/>
      <c r="H908" s="5" t="n"/>
      <c r="I908" s="5" t="n"/>
      <c r="J908" s="5" t="n">
        <v>166.5</v>
      </c>
      <c r="K908" s="5" t="n"/>
      <c r="L908" s="5" t="n"/>
      <c r="M908" s="5" t="n"/>
      <c r="N908" s="5" t="n"/>
      <c r="O908" s="5" t="n">
        <v>999</v>
      </c>
      <c r="P908" s="5" t="n"/>
      <c r="Q908" s="5" t="n">
        <v>999</v>
      </c>
      <c r="R908" s="5" t="n"/>
      <c r="S908" s="5">
        <f>SUM(F908:I908)+N908</f>
        <v/>
      </c>
      <c r="T908" s="5">
        <f>J908</f>
        <v/>
      </c>
      <c r="U908" s="6">
        <f>YEAR(D908)</f>
        <v/>
      </c>
      <c r="V908" s="5">
        <f>TEXT(D908,"yyyy-mm")</f>
        <v/>
      </c>
    </row>
    <row r="909">
      <c r="A909" s="2" t="inlineStr">
        <is>
          <t>EJ011024.TXT</t>
        </is>
      </c>
      <c r="B909" s="3" t="inlineStr">
        <is>
          <t>005567</t>
        </is>
      </c>
      <c r="C909" s="3" t="inlineStr">
        <is>
          <t>004469</t>
        </is>
      </c>
      <c r="D909" s="4" t="n">
        <v>45547</v>
      </c>
      <c r="E909" s="2" t="inlineStr">
        <is>
          <t>14:54</t>
        </is>
      </c>
      <c r="F909" s="5" t="n">
        <v>40.75</v>
      </c>
      <c r="G909" s="5" t="n"/>
      <c r="H909" s="5" t="n"/>
      <c r="I909" s="5" t="n"/>
      <c r="J909" s="5" t="n">
        <v>8.15</v>
      </c>
      <c r="K909" s="5" t="n"/>
      <c r="L909" s="5" t="n"/>
      <c r="M909" s="5" t="n"/>
      <c r="N909" s="5" t="n"/>
      <c r="O909" s="5" t="n">
        <v>48.9</v>
      </c>
      <c r="P909" s="5" t="n"/>
      <c r="Q909" s="5" t="n">
        <v>48.9</v>
      </c>
      <c r="R909" s="5" t="n"/>
      <c r="S909" s="5">
        <f>SUM(F909:I909)+N909</f>
        <v/>
      </c>
      <c r="T909" s="5">
        <f>J909</f>
        <v/>
      </c>
      <c r="U909" s="6">
        <f>YEAR(D909)</f>
        <v/>
      </c>
      <c r="V909" s="5">
        <f>TEXT(D909,"yyyy-mm")</f>
        <v/>
      </c>
    </row>
    <row r="910">
      <c r="A910" s="2" t="inlineStr">
        <is>
          <t>EJ011024.TXT</t>
        </is>
      </c>
      <c r="B910" s="3" t="inlineStr">
        <is>
          <t>005568</t>
        </is>
      </c>
      <c r="C910" s="3" t="inlineStr">
        <is>
          <t>004470</t>
        </is>
      </c>
      <c r="D910" s="4" t="n">
        <v>45547</v>
      </c>
      <c r="E910" s="2" t="inlineStr">
        <is>
          <t>15:03</t>
        </is>
      </c>
      <c r="F910" s="5" t="n">
        <v>733.33</v>
      </c>
      <c r="G910" s="5" t="n"/>
      <c r="H910" s="5" t="n"/>
      <c r="I910" s="5" t="n"/>
      <c r="J910" s="5" t="n">
        <v>146.67</v>
      </c>
      <c r="K910" s="5" t="n"/>
      <c r="L910" s="5" t="n"/>
      <c r="M910" s="5" t="n"/>
      <c r="N910" s="5" t="n"/>
      <c r="O910" s="5" t="n">
        <v>880</v>
      </c>
      <c r="P910" s="5" t="n"/>
      <c r="Q910" s="5" t="n">
        <v>880</v>
      </c>
      <c r="R910" s="5" t="n"/>
      <c r="S910" s="5">
        <f>SUM(F910:I910)+N910</f>
        <v/>
      </c>
      <c r="T910" s="5">
        <f>J910</f>
        <v/>
      </c>
      <c r="U910" s="6">
        <f>YEAR(D910)</f>
        <v/>
      </c>
      <c r="V910" s="5">
        <f>TEXT(D910,"yyyy-mm")</f>
        <v/>
      </c>
    </row>
    <row r="911">
      <c r="A911" s="2" t="inlineStr">
        <is>
          <t>EJ011024.TXT</t>
        </is>
      </c>
      <c r="B911" s="3" t="inlineStr">
        <is>
          <t>005569</t>
        </is>
      </c>
      <c r="C911" s="3" t="inlineStr">
        <is>
          <t>004471</t>
        </is>
      </c>
      <c r="D911" s="4" t="n">
        <v>45548</v>
      </c>
      <c r="E911" s="2" t="inlineStr">
        <is>
          <t>14:59</t>
        </is>
      </c>
      <c r="F911" s="5" t="n">
        <v>274.17</v>
      </c>
      <c r="G911" s="5" t="n"/>
      <c r="H911" s="5" t="n"/>
      <c r="I911" s="5" t="n"/>
      <c r="J911" s="5" t="n">
        <v>54.83</v>
      </c>
      <c r="K911" s="5" t="n"/>
      <c r="L911" s="5" t="n"/>
      <c r="M911" s="5" t="n"/>
      <c r="N911" s="5" t="n"/>
      <c r="O911" s="5" t="n">
        <v>329</v>
      </c>
      <c r="P911" s="5" t="n"/>
      <c r="Q911" s="5" t="n">
        <v>329</v>
      </c>
      <c r="R911" s="5" t="n"/>
      <c r="S911" s="5">
        <f>SUM(F911:I911)+N911</f>
        <v/>
      </c>
      <c r="T911" s="5">
        <f>J911</f>
        <v/>
      </c>
      <c r="U911" s="6">
        <f>YEAR(D911)</f>
        <v/>
      </c>
      <c r="V911" s="5">
        <f>TEXT(D911,"yyyy-mm")</f>
        <v/>
      </c>
    </row>
    <row r="912">
      <c r="A912" s="2" t="inlineStr">
        <is>
          <t>EJ011024.TXT</t>
        </is>
      </c>
      <c r="B912" s="3" t="inlineStr">
        <is>
          <t>005570</t>
        </is>
      </c>
      <c r="C912" s="3" t="inlineStr">
        <is>
          <t>004472</t>
        </is>
      </c>
      <c r="D912" s="4" t="n">
        <v>45552</v>
      </c>
      <c r="E912" s="2" t="inlineStr">
        <is>
          <t>10:29</t>
        </is>
      </c>
      <c r="F912" s="5" t="n">
        <v>548.33</v>
      </c>
      <c r="G912" s="5" t="n"/>
      <c r="H912" s="5" t="n"/>
      <c r="I912" s="5" t="n"/>
      <c r="J912" s="5" t="n">
        <v>109.67</v>
      </c>
      <c r="K912" s="5" t="n"/>
      <c r="L912" s="5" t="n"/>
      <c r="M912" s="5" t="n"/>
      <c r="N912" s="5" t="n"/>
      <c r="O912" s="5" t="n">
        <v>658</v>
      </c>
      <c r="P912" s="5" t="n">
        <v>658</v>
      </c>
      <c r="Q912" s="5" t="n"/>
      <c r="R912" s="5" t="n"/>
      <c r="S912" s="5">
        <f>SUM(F912:I912)+N912</f>
        <v/>
      </c>
      <c r="T912" s="5">
        <f>J912</f>
        <v/>
      </c>
      <c r="U912" s="6">
        <f>YEAR(D912)</f>
        <v/>
      </c>
      <c r="V912" s="5">
        <f>TEXT(D912,"yyyy-mm")</f>
        <v/>
      </c>
    </row>
    <row r="913">
      <c r="A913" s="2" t="inlineStr">
        <is>
          <t>EJ011024.TXT</t>
        </is>
      </c>
      <c r="B913" s="3" t="inlineStr">
        <is>
          <t>005571</t>
        </is>
      </c>
      <c r="C913" s="3" t="inlineStr">
        <is>
          <t>004473</t>
        </is>
      </c>
      <c r="D913" s="4" t="n">
        <v>45552</v>
      </c>
      <c r="E913" s="2" t="inlineStr">
        <is>
          <t>14:34</t>
        </is>
      </c>
      <c r="F913" s="5" t="n">
        <v>313.33</v>
      </c>
      <c r="G913" s="5" t="n"/>
      <c r="H913" s="5" t="n"/>
      <c r="I913" s="5" t="n"/>
      <c r="J913" s="5" t="n">
        <v>62.67</v>
      </c>
      <c r="K913" s="5" t="n"/>
      <c r="L913" s="5" t="n"/>
      <c r="M913" s="5" t="n"/>
      <c r="N913" s="5" t="n"/>
      <c r="O913" s="5" t="n">
        <v>376</v>
      </c>
      <c r="P913" s="5" t="n"/>
      <c r="Q913" s="5" t="n">
        <v>376</v>
      </c>
      <c r="R913" s="5" t="n"/>
      <c r="S913" s="5">
        <f>SUM(F913:I913)+N913</f>
        <v/>
      </c>
      <c r="T913" s="5">
        <f>J913</f>
        <v/>
      </c>
      <c r="U913" s="6">
        <f>YEAR(D913)</f>
        <v/>
      </c>
      <c r="V913" s="5">
        <f>TEXT(D913,"yyyy-mm")</f>
        <v/>
      </c>
    </row>
    <row r="914">
      <c r="A914" s="2" t="inlineStr">
        <is>
          <t>EJ011024.TXT</t>
        </is>
      </c>
      <c r="B914" s="3" t="inlineStr">
        <is>
          <t>005572</t>
        </is>
      </c>
      <c r="C914" s="3" t="inlineStr">
        <is>
          <t>004474</t>
        </is>
      </c>
      <c r="D914" s="4" t="n">
        <v>45552</v>
      </c>
      <c r="E914" s="2" t="inlineStr">
        <is>
          <t>14:44</t>
        </is>
      </c>
      <c r="F914" s="5" t="n">
        <v>816.67</v>
      </c>
      <c r="G914" s="5" t="n"/>
      <c r="H914" s="5" t="n"/>
      <c r="I914" s="5" t="n"/>
      <c r="J914" s="5" t="n">
        <v>163.33</v>
      </c>
      <c r="K914" s="5" t="n"/>
      <c r="L914" s="5" t="n"/>
      <c r="M914" s="5" t="n"/>
      <c r="N914" s="5" t="n"/>
      <c r="O914" s="5" t="n">
        <v>980</v>
      </c>
      <c r="P914" s="5" t="n"/>
      <c r="Q914" s="5" t="n">
        <v>980</v>
      </c>
      <c r="R914" s="5" t="n"/>
      <c r="S914" s="5">
        <f>SUM(F914:I914)+N914</f>
        <v/>
      </c>
      <c r="T914" s="5">
        <f>J914</f>
        <v/>
      </c>
      <c r="U914" s="6">
        <f>YEAR(D914)</f>
        <v/>
      </c>
      <c r="V914" s="5">
        <f>TEXT(D914,"yyyy-mm")</f>
        <v/>
      </c>
    </row>
    <row r="915">
      <c r="A915" s="2" t="inlineStr">
        <is>
          <t>EJ011024.TXT</t>
        </is>
      </c>
      <c r="B915" s="3" t="inlineStr">
        <is>
          <t>005573</t>
        </is>
      </c>
      <c r="C915" s="3" t="inlineStr">
        <is>
          <t>004475</t>
        </is>
      </c>
      <c r="D915" s="4" t="n">
        <v>45553</v>
      </c>
      <c r="E915" s="2" t="inlineStr">
        <is>
          <t>10:41</t>
        </is>
      </c>
      <c r="F915" s="5" t="n">
        <v>548.33</v>
      </c>
      <c r="G915" s="5" t="n"/>
      <c r="H915" s="5" t="n"/>
      <c r="I915" s="5" t="n"/>
      <c r="J915" s="5" t="n">
        <v>109.67</v>
      </c>
      <c r="K915" s="5" t="n"/>
      <c r="L915" s="5" t="n"/>
      <c r="M915" s="5" t="n"/>
      <c r="N915" s="5" t="n"/>
      <c r="O915" s="5" t="n">
        <v>658</v>
      </c>
      <c r="P915" s="5" t="n"/>
      <c r="Q915" s="5" t="n">
        <v>658</v>
      </c>
      <c r="R915" s="5" t="n"/>
      <c r="S915" s="5">
        <f>SUM(F915:I915)+N915</f>
        <v/>
      </c>
      <c r="T915" s="5">
        <f>J915</f>
        <v/>
      </c>
      <c r="U915" s="6">
        <f>YEAR(D915)</f>
        <v/>
      </c>
      <c r="V915" s="5">
        <f>TEXT(D915,"yyyy-mm")</f>
        <v/>
      </c>
    </row>
    <row r="916">
      <c r="A916" s="2" t="inlineStr">
        <is>
          <t>EJ011024.TXT</t>
        </is>
      </c>
      <c r="B916" s="3" t="inlineStr">
        <is>
          <t>005574</t>
        </is>
      </c>
      <c r="C916" s="3" t="inlineStr">
        <is>
          <t>004476</t>
        </is>
      </c>
      <c r="D916" s="4" t="n">
        <v>45559</v>
      </c>
      <c r="E916" s="2" t="inlineStr">
        <is>
          <t>16:00</t>
        </is>
      </c>
      <c r="F916" s="5" t="n">
        <v>415</v>
      </c>
      <c r="G916" s="5" t="n"/>
      <c r="H916" s="5" t="n"/>
      <c r="I916" s="5" t="n"/>
      <c r="J916" s="5" t="n">
        <v>83</v>
      </c>
      <c r="K916" s="5" t="n"/>
      <c r="L916" s="5" t="n"/>
      <c r="M916" s="5" t="n"/>
      <c r="N916" s="5" t="n"/>
      <c r="O916" s="5" t="n">
        <v>498</v>
      </c>
      <c r="P916" s="5" t="n">
        <v>498</v>
      </c>
      <c r="Q916" s="5" t="n"/>
      <c r="R916" s="5" t="n"/>
      <c r="S916" s="5">
        <f>SUM(F916:I916)+N916</f>
        <v/>
      </c>
      <c r="T916" s="5">
        <f>J916</f>
        <v/>
      </c>
      <c r="U916" s="6">
        <f>YEAR(D916)</f>
        <v/>
      </c>
      <c r="V916" s="5">
        <f>TEXT(D916,"yyyy-mm")</f>
        <v/>
      </c>
    </row>
    <row r="917">
      <c r="A917" s="2" t="inlineStr">
        <is>
          <t>EJ011024.TXT</t>
        </is>
      </c>
      <c r="B917" s="3" t="inlineStr">
        <is>
          <t>005575</t>
        </is>
      </c>
      <c r="C917" s="3" t="inlineStr">
        <is>
          <t>004477</t>
        </is>
      </c>
      <c r="D917" s="4" t="n">
        <v>45559</v>
      </c>
      <c r="E917" s="2" t="inlineStr">
        <is>
          <t>16:08</t>
        </is>
      </c>
      <c r="F917" s="5" t="n">
        <v>816.67</v>
      </c>
      <c r="G917" s="5" t="n"/>
      <c r="H917" s="5" t="n"/>
      <c r="I917" s="5" t="n"/>
      <c r="J917" s="5" t="n">
        <v>163.33</v>
      </c>
      <c r="K917" s="5" t="n"/>
      <c r="L917" s="5" t="n"/>
      <c r="M917" s="5" t="n"/>
      <c r="N917" s="5" t="n"/>
      <c r="O917" s="5" t="n">
        <v>980</v>
      </c>
      <c r="P917" s="5" t="n"/>
      <c r="Q917" s="5" t="n">
        <v>980</v>
      </c>
      <c r="R917" s="5" t="n"/>
      <c r="S917" s="5">
        <f>SUM(F917:I917)+N917</f>
        <v/>
      </c>
      <c r="T917" s="5">
        <f>J917</f>
        <v/>
      </c>
      <c r="U917" s="6">
        <f>YEAR(D917)</f>
        <v/>
      </c>
      <c r="V917" s="5">
        <f>TEXT(D917,"yyyy-mm")</f>
        <v/>
      </c>
    </row>
    <row r="918">
      <c r="A918" s="2" t="inlineStr">
        <is>
          <t>EJ011024.TXT</t>
        </is>
      </c>
      <c r="B918" s="3" t="inlineStr">
        <is>
          <t>005576</t>
        </is>
      </c>
      <c r="C918" s="3" t="inlineStr">
        <is>
          <t>004478</t>
        </is>
      </c>
      <c r="D918" s="4" t="n">
        <v>45562</v>
      </c>
      <c r="E918" s="2" t="inlineStr">
        <is>
          <t>15:32</t>
        </is>
      </c>
      <c r="F918" s="5" t="n">
        <v>816.67</v>
      </c>
      <c r="G918" s="5" t="n"/>
      <c r="H918" s="5" t="n"/>
      <c r="I918" s="5" t="n"/>
      <c r="J918" s="5" t="n">
        <v>163.33</v>
      </c>
      <c r="K918" s="5" t="n"/>
      <c r="L918" s="5" t="n"/>
      <c r="M918" s="5" t="n"/>
      <c r="N918" s="5" t="n"/>
      <c r="O918" s="5" t="n">
        <v>980</v>
      </c>
      <c r="P918" s="5" t="n"/>
      <c r="Q918" s="5" t="n">
        <v>980</v>
      </c>
      <c r="R918" s="5" t="n"/>
      <c r="S918" s="5">
        <f>SUM(F918:I918)+N918</f>
        <v/>
      </c>
      <c r="T918" s="5">
        <f>J918</f>
        <v/>
      </c>
      <c r="U918" s="6">
        <f>YEAR(D918)</f>
        <v/>
      </c>
      <c r="V918" s="5">
        <f>TEXT(D918,"yyyy-mm")</f>
        <v/>
      </c>
    </row>
    <row r="919">
      <c r="A919" s="2" t="inlineStr">
        <is>
          <t>EJ011024.TXT</t>
        </is>
      </c>
      <c r="B919" s="3" t="inlineStr">
        <is>
          <t>005577</t>
        </is>
      </c>
      <c r="C919" s="3" t="inlineStr">
        <is>
          <t>004479</t>
        </is>
      </c>
      <c r="D919" s="4" t="n">
        <v>45565</v>
      </c>
      <c r="E919" s="2" t="inlineStr">
        <is>
          <t>09:13</t>
        </is>
      </c>
      <c r="F919" s="5" t="n">
        <v>816.67</v>
      </c>
      <c r="G919" s="5" t="n"/>
      <c r="H919" s="5" t="n"/>
      <c r="I919" s="5" t="n"/>
      <c r="J919" s="5" t="n">
        <v>163.33</v>
      </c>
      <c r="K919" s="5" t="n"/>
      <c r="L919" s="5" t="n"/>
      <c r="M919" s="5" t="n"/>
      <c r="N919" s="5" t="n"/>
      <c r="O919" s="5" t="n">
        <v>980</v>
      </c>
      <c r="P919" s="5" t="n"/>
      <c r="Q919" s="5" t="n">
        <v>980</v>
      </c>
      <c r="R919" s="5" t="n"/>
      <c r="S919" s="5">
        <f>SUM(F919:I919)+N919</f>
        <v/>
      </c>
      <c r="T919" s="5">
        <f>J919</f>
        <v/>
      </c>
      <c r="U919" s="6">
        <f>YEAR(D919)</f>
        <v/>
      </c>
      <c r="V919" s="5">
        <f>TEXT(D919,"yyyy-mm")</f>
        <v/>
      </c>
    </row>
    <row r="920">
      <c r="A920" s="2" t="inlineStr">
        <is>
          <t>EJ011024.TXT</t>
        </is>
      </c>
      <c r="B920" s="3" t="inlineStr">
        <is>
          <t>005578</t>
        </is>
      </c>
      <c r="C920" s="3" t="inlineStr">
        <is>
          <t>004480</t>
        </is>
      </c>
      <c r="D920" s="4" t="n">
        <v>45565</v>
      </c>
      <c r="E920" s="2" t="inlineStr">
        <is>
          <t>13:36</t>
        </is>
      </c>
      <c r="F920" s="5" t="n">
        <v>208.33</v>
      </c>
      <c r="G920" s="5" t="n"/>
      <c r="H920" s="5" t="n"/>
      <c r="I920" s="5" t="n"/>
      <c r="J920" s="5" t="n">
        <v>41.67</v>
      </c>
      <c r="K920" s="5" t="n"/>
      <c r="L920" s="5" t="n"/>
      <c r="M920" s="5" t="n"/>
      <c r="N920" s="5" t="n"/>
      <c r="O920" s="5" t="n">
        <v>250</v>
      </c>
      <c r="P920" s="5" t="n"/>
      <c r="Q920" s="5" t="n">
        <v>250</v>
      </c>
      <c r="R920" s="5" t="n"/>
      <c r="S920" s="5">
        <f>SUM(F920:I920)+N920</f>
        <v/>
      </c>
      <c r="T920" s="5">
        <f>J920</f>
        <v/>
      </c>
      <c r="U920" s="6">
        <f>YEAR(D920)</f>
        <v/>
      </c>
      <c r="V920" s="5">
        <f>TEXT(D920,"yyyy-mm")</f>
        <v/>
      </c>
    </row>
    <row r="921">
      <c r="A921" s="2" t="inlineStr">
        <is>
          <t>EJ011024.TXT</t>
        </is>
      </c>
      <c r="B921" s="3" t="inlineStr">
        <is>
          <t>005579</t>
        </is>
      </c>
      <c r="C921" s="3" t="inlineStr">
        <is>
          <t>004481</t>
        </is>
      </c>
      <c r="D921" s="4" t="n">
        <v>45565</v>
      </c>
      <c r="E921" s="2" t="inlineStr">
        <is>
          <t>16:24</t>
        </is>
      </c>
      <c r="F921" s="5" t="n">
        <v>415.83</v>
      </c>
      <c r="G921" s="5" t="n"/>
      <c r="H921" s="5" t="n"/>
      <c r="I921" s="5" t="n"/>
      <c r="J921" s="5" t="n">
        <v>83.17</v>
      </c>
      <c r="K921" s="5" t="n"/>
      <c r="L921" s="5" t="n"/>
      <c r="M921" s="5" t="n"/>
      <c r="N921" s="5" t="n"/>
      <c r="O921" s="5" t="n">
        <v>499</v>
      </c>
      <c r="P921" s="5" t="n"/>
      <c r="Q921" s="5" t="n">
        <v>499</v>
      </c>
      <c r="R921" s="5" t="n"/>
      <c r="S921" s="5">
        <f>SUM(F921:I921)+N921</f>
        <v/>
      </c>
      <c r="T921" s="5">
        <f>J921</f>
        <v/>
      </c>
      <c r="U921" s="6">
        <f>YEAR(D921)</f>
        <v/>
      </c>
      <c r="V921" s="5">
        <f>TEXT(D921,"yyyy-mm")</f>
        <v/>
      </c>
    </row>
    <row r="922">
      <c r="A922" s="2" t="inlineStr">
        <is>
          <t>EJ051124.TXT</t>
        </is>
      </c>
      <c r="B922" s="3" t="inlineStr">
        <is>
          <t>005587</t>
        </is>
      </c>
      <c r="C922" s="3" t="inlineStr">
        <is>
          <t>004482</t>
        </is>
      </c>
      <c r="D922" s="4" t="n">
        <v>45566</v>
      </c>
      <c r="E922" s="2" t="inlineStr">
        <is>
          <t>16:37</t>
        </is>
      </c>
      <c r="F922" s="5" t="n">
        <v>807.5</v>
      </c>
      <c r="G922" s="5" t="n"/>
      <c r="H922" s="5" t="n"/>
      <c r="I922" s="5" t="n"/>
      <c r="J922" s="5" t="n">
        <v>161.5</v>
      </c>
      <c r="K922" s="5" t="n"/>
      <c r="L922" s="5" t="n"/>
      <c r="M922" s="5" t="n"/>
      <c r="N922" s="5" t="n"/>
      <c r="O922" s="5" t="n">
        <v>969</v>
      </c>
      <c r="P922" s="5" t="n"/>
      <c r="Q922" s="5" t="n">
        <v>969</v>
      </c>
      <c r="R922" s="5" t="n"/>
      <c r="S922" s="5">
        <f>SUM(F922:I922)+N922</f>
        <v/>
      </c>
      <c r="T922" s="5">
        <f>J922</f>
        <v/>
      </c>
      <c r="U922" s="6">
        <f>YEAR(D922)</f>
        <v/>
      </c>
      <c r="V922" s="5">
        <f>TEXT(D922,"yyyy-mm")</f>
        <v/>
      </c>
    </row>
    <row r="923">
      <c r="A923" s="2" t="inlineStr">
        <is>
          <t>EJ051124.TXT</t>
        </is>
      </c>
      <c r="B923" s="3" t="inlineStr">
        <is>
          <t>005588</t>
        </is>
      </c>
      <c r="C923" s="3" t="inlineStr">
        <is>
          <t>004483</t>
        </is>
      </c>
      <c r="D923" s="4" t="n">
        <v>45566</v>
      </c>
      <c r="E923" s="2" t="inlineStr">
        <is>
          <t>16:37</t>
        </is>
      </c>
      <c r="F923" s="5" t="n">
        <v>807.5</v>
      </c>
      <c r="G923" s="5" t="n"/>
      <c r="H923" s="5" t="n"/>
      <c r="I923" s="5" t="n"/>
      <c r="J923" s="5" t="n">
        <v>161.5</v>
      </c>
      <c r="K923" s="5" t="n"/>
      <c r="L923" s="5" t="n"/>
      <c r="M923" s="5" t="n"/>
      <c r="N923" s="5" t="n"/>
      <c r="O923" s="5" t="n">
        <v>969</v>
      </c>
      <c r="P923" s="5" t="n"/>
      <c r="Q923" s="5" t="n">
        <v>969</v>
      </c>
      <c r="R923" s="5" t="n"/>
      <c r="S923" s="5">
        <f>SUM(F923:I923)+N923</f>
        <v/>
      </c>
      <c r="T923" s="5">
        <f>J923</f>
        <v/>
      </c>
      <c r="U923" s="6">
        <f>YEAR(D923)</f>
        <v/>
      </c>
      <c r="V923" s="5">
        <f>TEXT(D923,"yyyy-mm")</f>
        <v/>
      </c>
    </row>
    <row r="924">
      <c r="A924" s="2" t="inlineStr">
        <is>
          <t>EJ051124.TXT</t>
        </is>
      </c>
      <c r="B924" s="3" t="inlineStr">
        <is>
          <t>005589</t>
        </is>
      </c>
      <c r="C924" s="3" t="inlineStr">
        <is>
          <t>004484</t>
        </is>
      </c>
      <c r="D924" s="4" t="n">
        <v>45566</v>
      </c>
      <c r="E924" s="2" t="inlineStr">
        <is>
          <t>16:47</t>
        </is>
      </c>
      <c r="F924" s="5" t="n">
        <v>208.33</v>
      </c>
      <c r="G924" s="5" t="n"/>
      <c r="H924" s="5" t="n"/>
      <c r="I924" s="5" t="n"/>
      <c r="J924" s="5" t="n">
        <v>41.67</v>
      </c>
      <c r="K924" s="5" t="n"/>
      <c r="L924" s="5" t="n"/>
      <c r="M924" s="5" t="n"/>
      <c r="N924" s="5" t="n"/>
      <c r="O924" s="5" t="n">
        <v>250</v>
      </c>
      <c r="P924" s="5" t="n"/>
      <c r="Q924" s="5" t="n">
        <v>250</v>
      </c>
      <c r="R924" s="5" t="n"/>
      <c r="S924" s="5">
        <f>SUM(F924:I924)+N924</f>
        <v/>
      </c>
      <c r="T924" s="5">
        <f>J924</f>
        <v/>
      </c>
      <c r="U924" s="6">
        <f>YEAR(D924)</f>
        <v/>
      </c>
      <c r="V924" s="5">
        <f>TEXT(D924,"yyyy-mm")</f>
        <v/>
      </c>
    </row>
    <row r="925">
      <c r="A925" s="2" t="inlineStr">
        <is>
          <t>EJ051124.TXT</t>
        </is>
      </c>
      <c r="B925" s="3" t="inlineStr">
        <is>
          <t>005590</t>
        </is>
      </c>
      <c r="C925" s="3" t="inlineStr">
        <is>
          <t>004485</t>
        </is>
      </c>
      <c r="D925" s="4" t="n">
        <v>45568</v>
      </c>
      <c r="E925" s="2" t="inlineStr">
        <is>
          <t>14:51</t>
        </is>
      </c>
      <c r="F925" s="5" t="n">
        <v>208.33</v>
      </c>
      <c r="G925" s="5" t="n"/>
      <c r="H925" s="5" t="n"/>
      <c r="I925" s="5" t="n"/>
      <c r="J925" s="5" t="n">
        <v>41.67</v>
      </c>
      <c r="K925" s="5" t="n"/>
      <c r="L925" s="5" t="n"/>
      <c r="M925" s="5" t="n"/>
      <c r="N925" s="5" t="n"/>
      <c r="O925" s="5" t="n">
        <v>250</v>
      </c>
      <c r="P925" s="5" t="n"/>
      <c r="Q925" s="5" t="n">
        <v>250</v>
      </c>
      <c r="R925" s="5" t="n"/>
      <c r="S925" s="5">
        <f>SUM(F925:I925)+N925</f>
        <v/>
      </c>
      <c r="T925" s="5">
        <f>J925</f>
        <v/>
      </c>
      <c r="U925" s="6">
        <f>YEAR(D925)</f>
        <v/>
      </c>
      <c r="V925" s="5">
        <f>TEXT(D925,"yyyy-mm")</f>
        <v/>
      </c>
    </row>
    <row r="926">
      <c r="A926" s="2" t="inlineStr">
        <is>
          <t>EJ051124.TXT</t>
        </is>
      </c>
      <c r="B926" s="3" t="inlineStr">
        <is>
          <t>005591</t>
        </is>
      </c>
      <c r="C926" s="3" t="inlineStr">
        <is>
          <t>004486</t>
        </is>
      </c>
      <c r="D926" s="4" t="n">
        <v>45572</v>
      </c>
      <c r="E926" s="2" t="inlineStr">
        <is>
          <t>11:56</t>
        </is>
      </c>
      <c r="F926" s="5" t="n">
        <v>208.33</v>
      </c>
      <c r="G926" s="5" t="n"/>
      <c r="H926" s="5" t="n"/>
      <c r="I926" s="5" t="n"/>
      <c r="J926" s="5" t="n">
        <v>41.67</v>
      </c>
      <c r="K926" s="5" t="n"/>
      <c r="L926" s="5" t="n"/>
      <c r="M926" s="5" t="n"/>
      <c r="N926" s="5" t="n"/>
      <c r="O926" s="5" t="n">
        <v>250</v>
      </c>
      <c r="P926" s="5" t="n"/>
      <c r="Q926" s="5" t="n">
        <v>250</v>
      </c>
      <c r="R926" s="5" t="n"/>
      <c r="S926" s="5">
        <f>SUM(F926:I926)+N926</f>
        <v/>
      </c>
      <c r="T926" s="5">
        <f>J926</f>
        <v/>
      </c>
      <c r="U926" s="6">
        <f>YEAR(D926)</f>
        <v/>
      </c>
      <c r="V926" s="5">
        <f>TEXT(D926,"yyyy-mm")</f>
        <v/>
      </c>
    </row>
    <row r="927">
      <c r="A927" s="2" t="inlineStr">
        <is>
          <t>EJ051124.TXT</t>
        </is>
      </c>
      <c r="B927" s="3" t="inlineStr">
        <is>
          <t>005592</t>
        </is>
      </c>
      <c r="C927" s="3" t="inlineStr">
        <is>
          <t>004487</t>
        </is>
      </c>
      <c r="D927" s="4" t="n">
        <v>45576</v>
      </c>
      <c r="E927" s="2" t="inlineStr">
        <is>
          <t>15:56</t>
        </is>
      </c>
      <c r="F927" s="5" t="n">
        <v>208.33</v>
      </c>
      <c r="G927" s="5" t="n"/>
      <c r="H927" s="5" t="n"/>
      <c r="I927" s="5" t="n"/>
      <c r="J927" s="5" t="n">
        <v>41.67</v>
      </c>
      <c r="K927" s="5" t="n"/>
      <c r="L927" s="5" t="n"/>
      <c r="M927" s="5" t="n"/>
      <c r="N927" s="5" t="n"/>
      <c r="O927" s="5" t="n">
        <v>250</v>
      </c>
      <c r="P927" s="5" t="n"/>
      <c r="Q927" s="5" t="n">
        <v>250</v>
      </c>
      <c r="R927" s="5" t="n"/>
      <c r="S927" s="5">
        <f>SUM(F927:I927)+N927</f>
        <v/>
      </c>
      <c r="T927" s="5">
        <f>J927</f>
        <v/>
      </c>
      <c r="U927" s="6">
        <f>YEAR(D927)</f>
        <v/>
      </c>
      <c r="V927" s="5">
        <f>TEXT(D927,"yyyy-mm")</f>
        <v/>
      </c>
    </row>
    <row r="928">
      <c r="A928" s="2" t="inlineStr">
        <is>
          <t>EJ051124.TXT</t>
        </is>
      </c>
      <c r="B928" s="3" t="inlineStr">
        <is>
          <t>005593</t>
        </is>
      </c>
      <c r="C928" s="3" t="inlineStr">
        <is>
          <t>004488</t>
        </is>
      </c>
      <c r="D928" s="4" t="n">
        <v>45577</v>
      </c>
      <c r="E928" s="2" t="inlineStr">
        <is>
          <t>15:56</t>
        </is>
      </c>
      <c r="F928" s="5" t="n">
        <v>548.33</v>
      </c>
      <c r="G928" s="5" t="n"/>
      <c r="H928" s="5" t="n"/>
      <c r="I928" s="5" t="n"/>
      <c r="J928" s="5" t="n">
        <v>109.67</v>
      </c>
      <c r="K928" s="5" t="n"/>
      <c r="L928" s="5" t="n"/>
      <c r="M928" s="5" t="n"/>
      <c r="N928" s="5" t="n"/>
      <c r="O928" s="5" t="n">
        <v>658</v>
      </c>
      <c r="P928" s="5" t="n">
        <v>658</v>
      </c>
      <c r="Q928" s="5" t="n"/>
      <c r="R928" s="5" t="n"/>
      <c r="S928" s="5">
        <f>SUM(F928:I928)+N928</f>
        <v/>
      </c>
      <c r="T928" s="5">
        <f>J928</f>
        <v/>
      </c>
      <c r="U928" s="6">
        <f>YEAR(D928)</f>
        <v/>
      </c>
      <c r="V928" s="5">
        <f>TEXT(D928,"yyyy-mm")</f>
        <v/>
      </c>
    </row>
    <row r="929">
      <c r="A929" s="2" t="inlineStr">
        <is>
          <t>EJ051124.TXT</t>
        </is>
      </c>
      <c r="B929" s="3" t="inlineStr">
        <is>
          <t>005594</t>
        </is>
      </c>
      <c r="C929" s="3" t="inlineStr">
        <is>
          <t>004489</t>
        </is>
      </c>
      <c r="D929" s="4" t="n">
        <v>45577</v>
      </c>
      <c r="E929" s="2" t="inlineStr">
        <is>
          <t>18:23</t>
        </is>
      </c>
      <c r="F929" s="5" t="n">
        <v>800</v>
      </c>
      <c r="G929" s="5" t="n"/>
      <c r="H929" s="5" t="n"/>
      <c r="I929" s="5" t="n"/>
      <c r="J929" s="5" t="n">
        <v>160</v>
      </c>
      <c r="K929" s="5" t="n"/>
      <c r="L929" s="5" t="n"/>
      <c r="M929" s="5" t="n"/>
      <c r="N929" s="5" t="n"/>
      <c r="O929" s="5" t="n">
        <v>960</v>
      </c>
      <c r="P929" s="5" t="n"/>
      <c r="Q929" s="5" t="n">
        <v>960</v>
      </c>
      <c r="R929" s="5" t="n"/>
      <c r="S929" s="5">
        <f>SUM(F929:I929)+N929</f>
        <v/>
      </c>
      <c r="T929" s="5">
        <f>J929</f>
        <v/>
      </c>
      <c r="U929" s="6">
        <f>YEAR(D929)</f>
        <v/>
      </c>
      <c r="V929" s="5">
        <f>TEXT(D929,"yyyy-mm")</f>
        <v/>
      </c>
    </row>
    <row r="930">
      <c r="A930" s="2" t="inlineStr">
        <is>
          <t>EJ051124.TXT</t>
        </is>
      </c>
      <c r="B930" s="3" t="inlineStr">
        <is>
          <t>005595</t>
        </is>
      </c>
      <c r="C930" s="3" t="inlineStr">
        <is>
          <t>004490</t>
        </is>
      </c>
      <c r="D930" s="4" t="n">
        <v>45577</v>
      </c>
      <c r="E930" s="2" t="inlineStr">
        <is>
          <t>18:34</t>
        </is>
      </c>
      <c r="F930" s="5" t="n">
        <v>458.33</v>
      </c>
      <c r="G930" s="5" t="n"/>
      <c r="H930" s="5" t="n"/>
      <c r="I930" s="5" t="n"/>
      <c r="J930" s="5" t="n">
        <v>91.67</v>
      </c>
      <c r="K930" s="5" t="n"/>
      <c r="L930" s="5" t="n"/>
      <c r="M930" s="5" t="n"/>
      <c r="N930" s="5" t="n"/>
      <c r="O930" s="5" t="n">
        <v>550</v>
      </c>
      <c r="P930" s="5" t="n"/>
      <c r="Q930" s="5" t="n">
        <v>550</v>
      </c>
      <c r="R930" s="5" t="n"/>
      <c r="S930" s="5">
        <f>SUM(F930:I930)+N930</f>
        <v/>
      </c>
      <c r="T930" s="5">
        <f>J930</f>
        <v/>
      </c>
      <c r="U930" s="6">
        <f>YEAR(D930)</f>
        <v/>
      </c>
      <c r="V930" s="5">
        <f>TEXT(D930,"yyyy-mm")</f>
        <v/>
      </c>
    </row>
    <row r="931">
      <c r="A931" s="2" t="inlineStr">
        <is>
          <t>EJ051124.TXT</t>
        </is>
      </c>
      <c r="B931" s="3" t="inlineStr">
        <is>
          <t>005596</t>
        </is>
      </c>
      <c r="C931" s="3" t="inlineStr">
        <is>
          <t>004491</t>
        </is>
      </c>
      <c r="D931" s="4" t="n">
        <v>45579</v>
      </c>
      <c r="E931" s="2" t="inlineStr">
        <is>
          <t>09:58</t>
        </is>
      </c>
      <c r="F931" s="5" t="n">
        <v>208.33</v>
      </c>
      <c r="G931" s="5" t="n"/>
      <c r="H931" s="5" t="n"/>
      <c r="I931" s="5" t="n"/>
      <c r="J931" s="5" t="n">
        <v>41.67</v>
      </c>
      <c r="K931" s="5" t="n"/>
      <c r="L931" s="5" t="n"/>
      <c r="M931" s="5" t="n"/>
      <c r="N931" s="5" t="n"/>
      <c r="O931" s="5" t="n">
        <v>250</v>
      </c>
      <c r="P931" s="5" t="n"/>
      <c r="Q931" s="5" t="n">
        <v>250</v>
      </c>
      <c r="R931" s="5" t="n"/>
      <c r="S931" s="5">
        <f>SUM(F931:I931)+N931</f>
        <v/>
      </c>
      <c r="T931" s="5">
        <f>J931</f>
        <v/>
      </c>
      <c r="U931" s="6">
        <f>YEAR(D931)</f>
        <v/>
      </c>
      <c r="V931" s="5">
        <f>TEXT(D931,"yyyy-mm")</f>
        <v/>
      </c>
    </row>
    <row r="932">
      <c r="A932" s="2" t="inlineStr">
        <is>
          <t>EJ051124.TXT</t>
        </is>
      </c>
      <c r="B932" s="3" t="inlineStr">
        <is>
          <t>005597</t>
        </is>
      </c>
      <c r="C932" s="3" t="inlineStr">
        <is>
          <t>004492</t>
        </is>
      </c>
      <c r="D932" s="4" t="n">
        <v>45579</v>
      </c>
      <c r="E932" s="2" t="inlineStr">
        <is>
          <t>11:41</t>
        </is>
      </c>
      <c r="F932" s="5" t="n">
        <v>458.33</v>
      </c>
      <c r="G932" s="5" t="n"/>
      <c r="H932" s="5" t="n"/>
      <c r="I932" s="5" t="n"/>
      <c r="J932" s="5" t="n">
        <v>91.67</v>
      </c>
      <c r="K932" s="5" t="n"/>
      <c r="L932" s="5" t="n"/>
      <c r="M932" s="5" t="n"/>
      <c r="N932" s="5" t="n"/>
      <c r="O932" s="5" t="n">
        <v>550</v>
      </c>
      <c r="P932" s="5" t="n"/>
      <c r="Q932" s="5" t="n">
        <v>550</v>
      </c>
      <c r="R932" s="5" t="n"/>
      <c r="S932" s="5">
        <f>SUM(F932:I932)+N932</f>
        <v/>
      </c>
      <c r="T932" s="5">
        <f>J932</f>
        <v/>
      </c>
      <c r="U932" s="6">
        <f>YEAR(D932)</f>
        <v/>
      </c>
      <c r="V932" s="5">
        <f>TEXT(D932,"yyyy-mm")</f>
        <v/>
      </c>
    </row>
    <row r="933">
      <c r="A933" s="2" t="inlineStr">
        <is>
          <t>EJ051124.TXT</t>
        </is>
      </c>
      <c r="B933" s="3" t="inlineStr">
        <is>
          <t>005598</t>
        </is>
      </c>
      <c r="C933" s="3" t="inlineStr">
        <is>
          <t>004493</t>
        </is>
      </c>
      <c r="D933" s="4" t="n">
        <v>45579</v>
      </c>
      <c r="E933" s="2" t="inlineStr">
        <is>
          <t>11:43</t>
        </is>
      </c>
      <c r="F933" s="5" t="n">
        <v>400</v>
      </c>
      <c r="G933" s="5" t="n"/>
      <c r="H933" s="5" t="n"/>
      <c r="I933" s="5" t="n"/>
      <c r="J933" s="5" t="n">
        <v>80</v>
      </c>
      <c r="K933" s="5" t="n"/>
      <c r="L933" s="5" t="n"/>
      <c r="M933" s="5" t="n"/>
      <c r="N933" s="5" t="n"/>
      <c r="O933" s="5" t="n">
        <v>480</v>
      </c>
      <c r="P933" s="5" t="n"/>
      <c r="Q933" s="5" t="n">
        <v>480</v>
      </c>
      <c r="R933" s="5" t="n"/>
      <c r="S933" s="5">
        <f>SUM(F933:I933)+N933</f>
        <v/>
      </c>
      <c r="T933" s="5">
        <f>J933</f>
        <v/>
      </c>
      <c r="U933" s="6">
        <f>YEAR(D933)</f>
        <v/>
      </c>
      <c r="V933" s="5">
        <f>TEXT(D933,"yyyy-mm")</f>
        <v/>
      </c>
    </row>
    <row r="934">
      <c r="A934" s="2" t="inlineStr">
        <is>
          <t>EJ051124.TXT</t>
        </is>
      </c>
      <c r="B934" s="3" t="inlineStr">
        <is>
          <t>005599</t>
        </is>
      </c>
      <c r="C934" s="3" t="inlineStr">
        <is>
          <t>004494</t>
        </is>
      </c>
      <c r="D934" s="4" t="n">
        <v>45579</v>
      </c>
      <c r="E934" s="2" t="inlineStr">
        <is>
          <t>11:44</t>
        </is>
      </c>
      <c r="F934" s="5" t="n">
        <v>208.33</v>
      </c>
      <c r="G934" s="5" t="n"/>
      <c r="H934" s="5" t="n"/>
      <c r="I934" s="5" t="n"/>
      <c r="J934" s="5" t="n">
        <v>41.67</v>
      </c>
      <c r="K934" s="5" t="n"/>
      <c r="L934" s="5" t="n"/>
      <c r="M934" s="5" t="n"/>
      <c r="N934" s="5" t="n"/>
      <c r="O934" s="5" t="n">
        <v>250</v>
      </c>
      <c r="P934" s="5" t="n"/>
      <c r="Q934" s="5" t="n">
        <v>250</v>
      </c>
      <c r="R934" s="5" t="n"/>
      <c r="S934" s="5">
        <f>SUM(F934:I934)+N934</f>
        <v/>
      </c>
      <c r="T934" s="5">
        <f>J934</f>
        <v/>
      </c>
      <c r="U934" s="6">
        <f>YEAR(D934)</f>
        <v/>
      </c>
      <c r="V934" s="5">
        <f>TEXT(D934,"yyyy-mm")</f>
        <v/>
      </c>
    </row>
    <row r="935">
      <c r="A935" s="2" t="inlineStr">
        <is>
          <t>EJ051124.TXT</t>
        </is>
      </c>
      <c r="B935" s="3" t="inlineStr">
        <is>
          <t>005600</t>
        </is>
      </c>
      <c r="C935" s="3" t="inlineStr">
        <is>
          <t>004495</t>
        </is>
      </c>
      <c r="D935" s="4" t="n">
        <v>45580</v>
      </c>
      <c r="E935" s="2" t="inlineStr">
        <is>
          <t>13:36</t>
        </is>
      </c>
      <c r="F935" s="5" t="n">
        <v>274.17</v>
      </c>
      <c r="G935" s="5" t="n"/>
      <c r="H935" s="5" t="n"/>
      <c r="I935" s="5" t="n"/>
      <c r="J935" s="5" t="n">
        <v>54.83</v>
      </c>
      <c r="K935" s="5" t="n"/>
      <c r="L935" s="5" t="n"/>
      <c r="M935" s="5" t="n"/>
      <c r="N935" s="5" t="n"/>
      <c r="O935" s="5" t="n">
        <v>329</v>
      </c>
      <c r="P935" s="5" t="n"/>
      <c r="Q935" s="5" t="n">
        <v>329</v>
      </c>
      <c r="R935" s="5" t="n"/>
      <c r="S935" s="5">
        <f>SUM(F935:I935)+N935</f>
        <v/>
      </c>
      <c r="T935" s="5">
        <f>J935</f>
        <v/>
      </c>
      <c r="U935" s="6">
        <f>YEAR(D935)</f>
        <v/>
      </c>
      <c r="V935" s="5">
        <f>TEXT(D935,"yyyy-mm")</f>
        <v/>
      </c>
    </row>
    <row r="936">
      <c r="A936" s="2" t="inlineStr">
        <is>
          <t>EJ051124.TXT</t>
        </is>
      </c>
      <c r="B936" s="3" t="inlineStr">
        <is>
          <t>005601</t>
        </is>
      </c>
      <c r="C936" s="3" t="inlineStr">
        <is>
          <t>004496</t>
        </is>
      </c>
      <c r="D936" s="4" t="n">
        <v>45580</v>
      </c>
      <c r="E936" s="2" t="inlineStr">
        <is>
          <t>13:40</t>
        </is>
      </c>
      <c r="F936" s="5" t="n">
        <v>208.33</v>
      </c>
      <c r="G936" s="5" t="n"/>
      <c r="H936" s="5" t="n"/>
      <c r="I936" s="5" t="n"/>
      <c r="J936" s="5" t="n">
        <v>41.67</v>
      </c>
      <c r="K936" s="5" t="n"/>
      <c r="L936" s="5" t="n"/>
      <c r="M936" s="5" t="n"/>
      <c r="N936" s="5" t="n"/>
      <c r="O936" s="5" t="n">
        <v>250</v>
      </c>
      <c r="P936" s="5" t="n"/>
      <c r="Q936" s="5" t="n">
        <v>250</v>
      </c>
      <c r="R936" s="5" t="n"/>
      <c r="S936" s="5">
        <f>SUM(F936:I936)+N936</f>
        <v/>
      </c>
      <c r="T936" s="5">
        <f>J936</f>
        <v/>
      </c>
      <c r="U936" s="6">
        <f>YEAR(D936)</f>
        <v/>
      </c>
      <c r="V936" s="5">
        <f>TEXT(D936,"yyyy-mm")</f>
        <v/>
      </c>
    </row>
    <row r="937">
      <c r="A937" s="2" t="inlineStr">
        <is>
          <t>EJ051124.TXT</t>
        </is>
      </c>
      <c r="B937" s="3" t="inlineStr">
        <is>
          <t>005602</t>
        </is>
      </c>
      <c r="C937" s="3" t="inlineStr">
        <is>
          <t>004497</t>
        </is>
      </c>
      <c r="D937" s="4" t="n">
        <v>45580</v>
      </c>
      <c r="E937" s="2" t="inlineStr">
        <is>
          <t>15:19</t>
        </is>
      </c>
      <c r="F937" s="5" t="n">
        <v>495</v>
      </c>
      <c r="G937" s="5" t="n"/>
      <c r="H937" s="5" t="n"/>
      <c r="I937" s="5" t="n"/>
      <c r="J937" s="5" t="n">
        <v>99</v>
      </c>
      <c r="K937" s="5" t="n"/>
      <c r="L937" s="5" t="n"/>
      <c r="M937" s="5" t="n"/>
      <c r="N937" s="5" t="n"/>
      <c r="O937" s="5" t="n">
        <v>594</v>
      </c>
      <c r="P937" s="5" t="n"/>
      <c r="Q937" s="5" t="n">
        <v>594</v>
      </c>
      <c r="R937" s="5" t="n"/>
      <c r="S937" s="5">
        <f>SUM(F937:I937)+N937</f>
        <v/>
      </c>
      <c r="T937" s="5">
        <f>J937</f>
        <v/>
      </c>
      <c r="U937" s="6">
        <f>YEAR(D937)</f>
        <v/>
      </c>
      <c r="V937" s="5">
        <f>TEXT(D937,"yyyy-mm")</f>
        <v/>
      </c>
    </row>
    <row r="938">
      <c r="A938" s="2" t="inlineStr">
        <is>
          <t>EJ051124.TXT</t>
        </is>
      </c>
      <c r="B938" s="3" t="inlineStr">
        <is>
          <t>005603</t>
        </is>
      </c>
      <c r="C938" s="3" t="inlineStr">
        <is>
          <t>004498</t>
        </is>
      </c>
      <c r="D938" s="4" t="n">
        <v>45580</v>
      </c>
      <c r="E938" s="2" t="inlineStr">
        <is>
          <t>16:57</t>
        </is>
      </c>
      <c r="F938" s="5" t="n">
        <v>208.33</v>
      </c>
      <c r="G938" s="5" t="n"/>
      <c r="H938" s="5" t="n"/>
      <c r="I938" s="5" t="n"/>
      <c r="J938" s="5" t="n">
        <v>41.67</v>
      </c>
      <c r="K938" s="5" t="n"/>
      <c r="L938" s="5" t="n"/>
      <c r="M938" s="5" t="n"/>
      <c r="N938" s="5" t="n"/>
      <c r="O938" s="5" t="n">
        <v>250</v>
      </c>
      <c r="P938" s="5" t="n"/>
      <c r="Q938" s="5" t="n">
        <v>250</v>
      </c>
      <c r="R938" s="5" t="n"/>
      <c r="S938" s="5">
        <f>SUM(F938:I938)+N938</f>
        <v/>
      </c>
      <c r="T938" s="5">
        <f>J938</f>
        <v/>
      </c>
      <c r="U938" s="6">
        <f>YEAR(D938)</f>
        <v/>
      </c>
      <c r="V938" s="5">
        <f>TEXT(D938,"yyyy-mm")</f>
        <v/>
      </c>
    </row>
    <row r="939">
      <c r="A939" s="2" t="inlineStr">
        <is>
          <t>EJ051124.TXT</t>
        </is>
      </c>
      <c r="B939" s="3" t="inlineStr">
        <is>
          <t>005604</t>
        </is>
      </c>
      <c r="C939" s="3" t="inlineStr">
        <is>
          <t>004499</t>
        </is>
      </c>
      <c r="D939" s="4" t="n">
        <v>45581</v>
      </c>
      <c r="E939" s="2" t="inlineStr">
        <is>
          <t>14:06</t>
        </is>
      </c>
      <c r="F939" s="5" t="n">
        <v>274.17</v>
      </c>
      <c r="G939" s="5" t="n"/>
      <c r="H939" s="5" t="n"/>
      <c r="I939" s="5" t="n"/>
      <c r="J939" s="5" t="n">
        <v>54.83</v>
      </c>
      <c r="K939" s="5" t="n"/>
      <c r="L939" s="5" t="n"/>
      <c r="M939" s="5" t="n"/>
      <c r="N939" s="5" t="n"/>
      <c r="O939" s="5" t="n">
        <v>329</v>
      </c>
      <c r="P939" s="5" t="n"/>
      <c r="Q939" s="5" t="n">
        <v>329</v>
      </c>
      <c r="R939" s="5" t="n"/>
      <c r="S939" s="5">
        <f>SUM(F939:I939)+N939</f>
        <v/>
      </c>
      <c r="T939" s="5">
        <f>J939</f>
        <v/>
      </c>
      <c r="U939" s="6">
        <f>YEAR(D939)</f>
        <v/>
      </c>
      <c r="V939" s="5">
        <f>TEXT(D939,"yyyy-mm")</f>
        <v/>
      </c>
    </row>
    <row r="940">
      <c r="A940" s="2" t="inlineStr">
        <is>
          <t>EJ051124.TXT</t>
        </is>
      </c>
      <c r="B940" s="3" t="inlineStr">
        <is>
          <t>005605</t>
        </is>
      </c>
      <c r="C940" s="3" t="inlineStr">
        <is>
          <t>004500</t>
        </is>
      </c>
      <c r="D940" s="4" t="n">
        <v>45589</v>
      </c>
      <c r="E940" s="2" t="inlineStr">
        <is>
          <t>11:39</t>
        </is>
      </c>
      <c r="F940" s="5" t="n">
        <v>574.17</v>
      </c>
      <c r="G940" s="5" t="n"/>
      <c r="H940" s="5" t="n"/>
      <c r="I940" s="5" t="n"/>
      <c r="J940" s="5" t="n">
        <v>114.83</v>
      </c>
      <c r="K940" s="5" t="n"/>
      <c r="L940" s="5" t="n"/>
      <c r="M940" s="5" t="n"/>
      <c r="N940" s="5" t="n"/>
      <c r="O940" s="5" t="n">
        <v>689</v>
      </c>
      <c r="P940" s="5" t="n"/>
      <c r="Q940" s="5" t="n">
        <v>689</v>
      </c>
      <c r="R940" s="5" t="n"/>
      <c r="S940" s="5">
        <f>SUM(F940:I940)+N940</f>
        <v/>
      </c>
      <c r="T940" s="5">
        <f>J940</f>
        <v/>
      </c>
      <c r="U940" s="6">
        <f>YEAR(D940)</f>
        <v/>
      </c>
      <c r="V940" s="5">
        <f>TEXT(D940,"yyyy-mm")</f>
        <v/>
      </c>
    </row>
    <row r="941">
      <c r="A941" s="2" t="inlineStr">
        <is>
          <t>EJ051124.TXT</t>
        </is>
      </c>
      <c r="B941" s="3" t="inlineStr">
        <is>
          <t>005606</t>
        </is>
      </c>
      <c r="C941" s="3" t="inlineStr">
        <is>
          <t>004501</t>
        </is>
      </c>
      <c r="D941" s="4" t="n">
        <v>45589</v>
      </c>
      <c r="E941" s="2" t="inlineStr">
        <is>
          <t>11:43</t>
        </is>
      </c>
      <c r="F941" s="5" t="n">
        <v>832.5</v>
      </c>
      <c r="G941" s="5" t="n"/>
      <c r="H941" s="5" t="n"/>
      <c r="I941" s="5" t="n"/>
      <c r="J941" s="5" t="n">
        <v>166.5</v>
      </c>
      <c r="K941" s="5" t="n"/>
      <c r="L941" s="5" t="n"/>
      <c r="M941" s="5" t="n"/>
      <c r="N941" s="5" t="n"/>
      <c r="O941" s="5" t="n">
        <v>999</v>
      </c>
      <c r="P941" s="5" t="n"/>
      <c r="Q941" s="5" t="n">
        <v>999</v>
      </c>
      <c r="R941" s="5" t="n"/>
      <c r="S941" s="5">
        <f>SUM(F941:I941)+N941</f>
        <v/>
      </c>
      <c r="T941" s="5">
        <f>J941</f>
        <v/>
      </c>
      <c r="U941" s="6">
        <f>YEAR(D941)</f>
        <v/>
      </c>
      <c r="V941" s="5">
        <f>TEXT(D941,"yyyy-mm")</f>
        <v/>
      </c>
    </row>
    <row r="942">
      <c r="A942" s="2" t="inlineStr">
        <is>
          <t>EJ051124.TXT</t>
        </is>
      </c>
      <c r="B942" s="3" t="inlineStr">
        <is>
          <t>005607</t>
        </is>
      </c>
      <c r="C942" s="3" t="inlineStr">
        <is>
          <t>004502</t>
        </is>
      </c>
      <c r="D942" s="4" t="n">
        <v>45589</v>
      </c>
      <c r="E942" s="2" t="inlineStr">
        <is>
          <t>12:14</t>
        </is>
      </c>
      <c r="F942" s="5" t="n">
        <v>832.5</v>
      </c>
      <c r="G942" s="5" t="n"/>
      <c r="H942" s="5" t="n"/>
      <c r="I942" s="5" t="n"/>
      <c r="J942" s="5" t="n">
        <v>166.5</v>
      </c>
      <c r="K942" s="5" t="n"/>
      <c r="L942" s="5" t="n"/>
      <c r="M942" s="5" t="n"/>
      <c r="N942" s="5" t="n"/>
      <c r="O942" s="5" t="n">
        <v>999</v>
      </c>
      <c r="P942" s="5" t="n"/>
      <c r="Q942" s="5" t="n">
        <v>999</v>
      </c>
      <c r="R942" s="5" t="n"/>
      <c r="S942" s="5">
        <f>SUM(F942:I942)+N942</f>
        <v/>
      </c>
      <c r="T942" s="5">
        <f>J942</f>
        <v/>
      </c>
      <c r="U942" s="6">
        <f>YEAR(D942)</f>
        <v/>
      </c>
      <c r="V942" s="5">
        <f>TEXT(D942,"yyyy-mm")</f>
        <v/>
      </c>
    </row>
    <row r="943">
      <c r="A943" s="2" t="inlineStr">
        <is>
          <t>EJ051124.TXT</t>
        </is>
      </c>
      <c r="B943" s="3" t="inlineStr">
        <is>
          <t>005608</t>
        </is>
      </c>
      <c r="C943" s="3" t="inlineStr">
        <is>
          <t>004503</t>
        </is>
      </c>
      <c r="D943" s="4" t="n">
        <v>45589</v>
      </c>
      <c r="E943" s="2" t="inlineStr">
        <is>
          <t>12:31</t>
        </is>
      </c>
      <c r="F943" s="5" t="n">
        <v>99.83</v>
      </c>
      <c r="G943" s="5" t="n"/>
      <c r="H943" s="5" t="n"/>
      <c r="I943" s="5" t="n"/>
      <c r="J943" s="5" t="n">
        <v>19.97</v>
      </c>
      <c r="K943" s="5" t="n"/>
      <c r="L943" s="5" t="n"/>
      <c r="M943" s="5" t="n"/>
      <c r="N943" s="5" t="n"/>
      <c r="O943" s="5" t="n">
        <v>119.8</v>
      </c>
      <c r="P943" s="5" t="n"/>
      <c r="Q943" s="5" t="n">
        <v>119.8</v>
      </c>
      <c r="R943" s="5" t="n"/>
      <c r="S943" s="5">
        <f>SUM(F943:I943)+N943</f>
        <v/>
      </c>
      <c r="T943" s="5">
        <f>J943</f>
        <v/>
      </c>
      <c r="U943" s="6">
        <f>YEAR(D943)</f>
        <v/>
      </c>
      <c r="V943" s="5">
        <f>TEXT(D943,"yyyy-mm")</f>
        <v/>
      </c>
    </row>
    <row r="944">
      <c r="A944" s="2" t="inlineStr">
        <is>
          <t>EJ051124.TXT</t>
        </is>
      </c>
      <c r="B944" s="3" t="inlineStr">
        <is>
          <t>005609</t>
        </is>
      </c>
      <c r="C944" s="3" t="inlineStr">
        <is>
          <t>004504</t>
        </is>
      </c>
      <c r="D944" s="4" t="n">
        <v>45590</v>
      </c>
      <c r="E944" s="2" t="inlineStr">
        <is>
          <t>09:16</t>
        </is>
      </c>
      <c r="F944" s="5" t="n">
        <v>524.17</v>
      </c>
      <c r="G944" s="5" t="n"/>
      <c r="H944" s="5" t="n"/>
      <c r="I944" s="5" t="n"/>
      <c r="J944" s="5" t="n">
        <v>104.83</v>
      </c>
      <c r="K944" s="5" t="n"/>
      <c r="L944" s="5" t="n"/>
      <c r="M944" s="5" t="n"/>
      <c r="N944" s="5" t="n"/>
      <c r="O944" s="5" t="n">
        <v>629</v>
      </c>
      <c r="P944" s="5" t="n"/>
      <c r="Q944" s="5" t="n">
        <v>629</v>
      </c>
      <c r="R944" s="5" t="n"/>
      <c r="S944" s="5">
        <f>SUM(F944:I944)+N944</f>
        <v/>
      </c>
      <c r="T944" s="5">
        <f>J944</f>
        <v/>
      </c>
      <c r="U944" s="6">
        <f>YEAR(D944)</f>
        <v/>
      </c>
      <c r="V944" s="5">
        <f>TEXT(D944,"yyyy-mm")</f>
        <v/>
      </c>
    </row>
    <row r="945">
      <c r="A945" s="2" t="inlineStr">
        <is>
          <t>EJ051124.TXT</t>
        </is>
      </c>
      <c r="B945" s="3" t="inlineStr">
        <is>
          <t>005610</t>
        </is>
      </c>
      <c r="C945" s="3" t="inlineStr">
        <is>
          <t>004505</t>
        </is>
      </c>
      <c r="D945" s="4" t="n">
        <v>45590</v>
      </c>
      <c r="E945" s="2" t="inlineStr">
        <is>
          <t>16:14</t>
        </is>
      </c>
      <c r="F945" s="5" t="n">
        <v>440.83</v>
      </c>
      <c r="G945" s="5" t="n"/>
      <c r="H945" s="5" t="n"/>
      <c r="I945" s="5" t="n"/>
      <c r="J945" s="5" t="n">
        <v>88.17</v>
      </c>
      <c r="K945" s="5" t="n"/>
      <c r="L945" s="5" t="n"/>
      <c r="M945" s="5" t="n"/>
      <c r="N945" s="5" t="n"/>
      <c r="O945" s="5" t="n">
        <v>529</v>
      </c>
      <c r="P945" s="5" t="n"/>
      <c r="Q945" s="5" t="n">
        <v>529</v>
      </c>
      <c r="R945" s="5" t="n"/>
      <c r="S945" s="5">
        <f>SUM(F945:I945)+N945</f>
        <v/>
      </c>
      <c r="T945" s="5">
        <f>J945</f>
        <v/>
      </c>
      <c r="U945" s="6">
        <f>YEAR(D945)</f>
        <v/>
      </c>
      <c r="V945" s="5">
        <f>TEXT(D945,"yyyy-mm")</f>
        <v/>
      </c>
    </row>
    <row r="946">
      <c r="A946" s="2" t="inlineStr">
        <is>
          <t>EJ051124.TXT</t>
        </is>
      </c>
      <c r="B946" s="3" t="inlineStr">
        <is>
          <t>005611</t>
        </is>
      </c>
      <c r="C946" s="3" t="inlineStr">
        <is>
          <t>004506</t>
        </is>
      </c>
      <c r="D946" s="4" t="n">
        <v>45590</v>
      </c>
      <c r="E946" s="2" t="inlineStr">
        <is>
          <t>16:34</t>
        </is>
      </c>
      <c r="F946" s="5" t="n">
        <v>440.83</v>
      </c>
      <c r="G946" s="5" t="n"/>
      <c r="H946" s="5" t="n"/>
      <c r="I946" s="5" t="n"/>
      <c r="J946" s="5" t="n">
        <v>88.17</v>
      </c>
      <c r="K946" s="5" t="n"/>
      <c r="L946" s="5" t="n"/>
      <c r="M946" s="5" t="n"/>
      <c r="N946" s="5" t="n"/>
      <c r="O946" s="5" t="n">
        <v>529</v>
      </c>
      <c r="P946" s="5" t="n"/>
      <c r="Q946" s="5" t="n">
        <v>529</v>
      </c>
      <c r="R946" s="5" t="n"/>
      <c r="S946" s="5">
        <f>SUM(F946:I946)+N946</f>
        <v/>
      </c>
      <c r="T946" s="5">
        <f>J946</f>
        <v/>
      </c>
      <c r="U946" s="6">
        <f>YEAR(D946)</f>
        <v/>
      </c>
      <c r="V946" s="5">
        <f>TEXT(D946,"yyyy-mm")</f>
        <v/>
      </c>
    </row>
    <row r="947">
      <c r="A947" s="2" t="inlineStr">
        <is>
          <t>EJ051124.TXT</t>
        </is>
      </c>
      <c r="B947" s="3" t="inlineStr">
        <is>
          <t>005612</t>
        </is>
      </c>
      <c r="C947" s="3" t="inlineStr">
        <is>
          <t>004507</t>
        </is>
      </c>
      <c r="D947" s="4" t="n">
        <v>45590</v>
      </c>
      <c r="E947" s="2" t="inlineStr">
        <is>
          <t>16:54</t>
        </is>
      </c>
      <c r="F947" s="5" t="n">
        <v>440.83</v>
      </c>
      <c r="G947" s="5" t="n"/>
      <c r="H947" s="5" t="n"/>
      <c r="I947" s="5" t="n"/>
      <c r="J947" s="5" t="n">
        <v>88.17</v>
      </c>
      <c r="K947" s="5" t="n"/>
      <c r="L947" s="5" t="n"/>
      <c r="M947" s="5" t="n"/>
      <c r="N947" s="5" t="n"/>
      <c r="O947" s="5" t="n">
        <v>529</v>
      </c>
      <c r="P947" s="5" t="n"/>
      <c r="Q947" s="5" t="n">
        <v>529</v>
      </c>
      <c r="R947" s="5" t="n"/>
      <c r="S947" s="5">
        <f>SUM(F947:I947)+N947</f>
        <v/>
      </c>
      <c r="T947" s="5">
        <f>J947</f>
        <v/>
      </c>
      <c r="U947" s="6">
        <f>YEAR(D947)</f>
        <v/>
      </c>
      <c r="V947" s="5">
        <f>TEXT(D947,"yyyy-mm")</f>
        <v/>
      </c>
    </row>
    <row r="948">
      <c r="A948" s="2" t="inlineStr">
        <is>
          <t>EJ051124.TXT</t>
        </is>
      </c>
      <c r="B948" s="3" t="inlineStr">
        <is>
          <t>005613</t>
        </is>
      </c>
      <c r="C948" s="3" t="inlineStr">
        <is>
          <t>004508</t>
        </is>
      </c>
      <c r="D948" s="4" t="n">
        <v>45593</v>
      </c>
      <c r="E948" s="2" t="inlineStr">
        <is>
          <t>16:35</t>
        </is>
      </c>
      <c r="F948" s="5" t="n">
        <v>440.83</v>
      </c>
      <c r="G948" s="5" t="n"/>
      <c r="H948" s="5" t="n"/>
      <c r="I948" s="5" t="n"/>
      <c r="J948" s="5" t="n">
        <v>88.17</v>
      </c>
      <c r="K948" s="5" t="n"/>
      <c r="L948" s="5" t="n"/>
      <c r="M948" s="5" t="n"/>
      <c r="N948" s="5" t="n"/>
      <c r="O948" s="5" t="n">
        <v>529</v>
      </c>
      <c r="P948" s="5" t="n"/>
      <c r="Q948" s="5" t="n">
        <v>529</v>
      </c>
      <c r="R948" s="5" t="n"/>
      <c r="S948" s="5">
        <f>SUM(F948:I948)+N948</f>
        <v/>
      </c>
      <c r="T948" s="5">
        <f>J948</f>
        <v/>
      </c>
      <c r="U948" s="6">
        <f>YEAR(D948)</f>
        <v/>
      </c>
      <c r="V948" s="5">
        <f>TEXT(D948,"yyyy-mm")</f>
        <v/>
      </c>
    </row>
    <row r="949">
      <c r="A949" s="2" t="inlineStr">
        <is>
          <t>EJ051124.TXT</t>
        </is>
      </c>
      <c r="B949" s="3" t="inlineStr">
        <is>
          <t>005614</t>
        </is>
      </c>
      <c r="C949" s="3" t="inlineStr">
        <is>
          <t>004509</t>
        </is>
      </c>
      <c r="D949" s="4" t="n">
        <v>45593</v>
      </c>
      <c r="E949" s="2" t="inlineStr">
        <is>
          <t>16:36</t>
        </is>
      </c>
      <c r="F949" s="5" t="n">
        <v>708.33</v>
      </c>
      <c r="G949" s="5" t="n"/>
      <c r="H949" s="5" t="n"/>
      <c r="I949" s="5" t="n"/>
      <c r="J949" s="5" t="n">
        <v>141.67</v>
      </c>
      <c r="K949" s="5" t="n"/>
      <c r="L949" s="5" t="n"/>
      <c r="M949" s="5" t="n"/>
      <c r="N949" s="5" t="n"/>
      <c r="O949" s="5" t="n">
        <v>850</v>
      </c>
      <c r="P949" s="5" t="n"/>
      <c r="Q949" s="5" t="n">
        <v>850</v>
      </c>
      <c r="R949" s="5" t="n"/>
      <c r="S949" s="5">
        <f>SUM(F949:I949)+N949</f>
        <v/>
      </c>
      <c r="T949" s="5">
        <f>J949</f>
        <v/>
      </c>
      <c r="U949" s="6">
        <f>YEAR(D949)</f>
        <v/>
      </c>
      <c r="V949" s="5">
        <f>TEXT(D949,"yyyy-mm")</f>
        <v/>
      </c>
    </row>
    <row r="950">
      <c r="A950" s="2" t="inlineStr">
        <is>
          <t>EJ051124.TXT</t>
        </is>
      </c>
      <c r="B950" s="3" t="inlineStr">
        <is>
          <t>005615</t>
        </is>
      </c>
      <c r="C950" s="3" t="inlineStr">
        <is>
          <t>004510</t>
        </is>
      </c>
      <c r="D950" s="4" t="n">
        <v>45593</v>
      </c>
      <c r="E950" s="2" t="inlineStr">
        <is>
          <t>16:57</t>
        </is>
      </c>
      <c r="F950" s="5" t="n">
        <v>440.83</v>
      </c>
      <c r="G950" s="5" t="n"/>
      <c r="H950" s="5" t="n"/>
      <c r="I950" s="5" t="n"/>
      <c r="J950" s="5" t="n">
        <v>88.17</v>
      </c>
      <c r="K950" s="5" t="n"/>
      <c r="L950" s="5" t="n"/>
      <c r="M950" s="5" t="n"/>
      <c r="N950" s="5" t="n"/>
      <c r="O950" s="5" t="n">
        <v>529</v>
      </c>
      <c r="P950" s="5" t="n"/>
      <c r="Q950" s="5" t="n">
        <v>529</v>
      </c>
      <c r="R950" s="5" t="n"/>
      <c r="S950" s="5">
        <f>SUM(F950:I950)+N950</f>
        <v/>
      </c>
      <c r="T950" s="5">
        <f>J950</f>
        <v/>
      </c>
      <c r="U950" s="6">
        <f>YEAR(D950)</f>
        <v/>
      </c>
      <c r="V950" s="5">
        <f>TEXT(D950,"yyyy-mm")</f>
        <v/>
      </c>
    </row>
    <row r="951">
      <c r="A951" s="2" t="inlineStr">
        <is>
          <t>EJ051124.TXT</t>
        </is>
      </c>
      <c r="B951" s="3" t="inlineStr">
        <is>
          <t>005616</t>
        </is>
      </c>
      <c r="C951" s="3" t="inlineStr">
        <is>
          <t>004511</t>
        </is>
      </c>
      <c r="D951" s="4" t="n">
        <v>45594</v>
      </c>
      <c r="E951" s="2" t="inlineStr">
        <is>
          <t>16:24</t>
        </is>
      </c>
      <c r="F951" s="5" t="n">
        <v>708.33</v>
      </c>
      <c r="G951" s="5" t="n"/>
      <c r="H951" s="5" t="n"/>
      <c r="I951" s="5" t="n"/>
      <c r="J951" s="5" t="n">
        <v>141.67</v>
      </c>
      <c r="K951" s="5" t="n"/>
      <c r="L951" s="5" t="n"/>
      <c r="M951" s="5" t="n"/>
      <c r="N951" s="5" t="n"/>
      <c r="O951" s="5" t="n">
        <v>850</v>
      </c>
      <c r="P951" s="5" t="n"/>
      <c r="Q951" s="5" t="n">
        <v>850</v>
      </c>
      <c r="R951" s="5" t="n"/>
      <c r="S951" s="5">
        <f>SUM(F951:I951)+N951</f>
        <v/>
      </c>
      <c r="T951" s="5">
        <f>J951</f>
        <v/>
      </c>
      <c r="U951" s="6">
        <f>YEAR(D951)</f>
        <v/>
      </c>
      <c r="V951" s="5">
        <f>TEXT(D951,"yyyy-mm")</f>
        <v/>
      </c>
    </row>
    <row r="952">
      <c r="A952" s="2" t="inlineStr">
        <is>
          <t>EJ051124.TXT</t>
        </is>
      </c>
      <c r="B952" s="3" t="inlineStr">
        <is>
          <t>005617</t>
        </is>
      </c>
      <c r="C952" s="3" t="inlineStr">
        <is>
          <t>004512</t>
        </is>
      </c>
      <c r="D952" s="4" t="n">
        <v>45594</v>
      </c>
      <c r="E952" s="2" t="inlineStr">
        <is>
          <t>16:39</t>
        </is>
      </c>
      <c r="F952" s="5" t="n">
        <v>791.67</v>
      </c>
      <c r="G952" s="5" t="n"/>
      <c r="H952" s="5" t="n"/>
      <c r="I952" s="5" t="n"/>
      <c r="J952" s="5" t="n">
        <v>158.33</v>
      </c>
      <c r="K952" s="5" t="n"/>
      <c r="L952" s="5" t="n"/>
      <c r="M952" s="5" t="n"/>
      <c r="N952" s="5" t="n"/>
      <c r="O952" s="5" t="n">
        <v>950</v>
      </c>
      <c r="P952" s="5" t="n"/>
      <c r="Q952" s="5" t="n">
        <v>950</v>
      </c>
      <c r="R952" s="5" t="n"/>
      <c r="S952" s="5">
        <f>SUM(F952:I952)+N952</f>
        <v/>
      </c>
      <c r="T952" s="5">
        <f>J952</f>
        <v/>
      </c>
      <c r="U952" s="6">
        <f>YEAR(D952)</f>
        <v/>
      </c>
      <c r="V952" s="5">
        <f>TEXT(D952,"yyyy-mm")</f>
        <v/>
      </c>
    </row>
    <row r="953">
      <c r="A953" s="2" t="inlineStr">
        <is>
          <t>EJ051124.TXT</t>
        </is>
      </c>
      <c r="B953" s="3" t="inlineStr">
        <is>
          <t>005618</t>
        </is>
      </c>
      <c r="C953" s="3" t="inlineStr">
        <is>
          <t>004513</t>
        </is>
      </c>
      <c r="D953" s="4" t="n">
        <v>45594</v>
      </c>
      <c r="E953" s="2" t="inlineStr">
        <is>
          <t>16:42</t>
        </is>
      </c>
      <c r="F953" s="5" t="n">
        <v>791.67</v>
      </c>
      <c r="G953" s="5" t="n"/>
      <c r="H953" s="5" t="n"/>
      <c r="I953" s="5" t="n"/>
      <c r="J953" s="5" t="n">
        <v>158.33</v>
      </c>
      <c r="K953" s="5" t="n"/>
      <c r="L953" s="5" t="n"/>
      <c r="M953" s="5" t="n"/>
      <c r="N953" s="5" t="n"/>
      <c r="O953" s="5" t="n">
        <v>950</v>
      </c>
      <c r="P953" s="5" t="n"/>
      <c r="Q953" s="5" t="n">
        <v>950</v>
      </c>
      <c r="R953" s="5" t="n"/>
      <c r="S953" s="5">
        <f>SUM(F953:I953)+N953</f>
        <v/>
      </c>
      <c r="T953" s="5">
        <f>J953</f>
        <v/>
      </c>
      <c r="U953" s="6">
        <f>YEAR(D953)</f>
        <v/>
      </c>
      <c r="V953" s="5">
        <f>TEXT(D953,"yyyy-mm")</f>
        <v/>
      </c>
    </row>
    <row r="954">
      <c r="A954" s="2" t="inlineStr">
        <is>
          <t>EJ051124.TXT</t>
        </is>
      </c>
      <c r="B954" s="3" t="inlineStr">
        <is>
          <t>005619</t>
        </is>
      </c>
      <c r="C954" s="3" t="inlineStr">
        <is>
          <t>004514</t>
        </is>
      </c>
      <c r="D954" s="4" t="n">
        <v>45594</v>
      </c>
      <c r="E954" s="2" t="inlineStr">
        <is>
          <t>17:18</t>
        </is>
      </c>
      <c r="F954" s="5" t="n">
        <v>274.17</v>
      </c>
      <c r="G954" s="5" t="n"/>
      <c r="H954" s="5" t="n"/>
      <c r="I954" s="5" t="n"/>
      <c r="J954" s="5" t="n">
        <v>54.83</v>
      </c>
      <c r="K954" s="5" t="n"/>
      <c r="L954" s="5" t="n"/>
      <c r="M954" s="5" t="n"/>
      <c r="N954" s="5" t="n"/>
      <c r="O954" s="5" t="n">
        <v>329</v>
      </c>
      <c r="P954" s="5" t="n"/>
      <c r="Q954" s="5" t="n">
        <v>329</v>
      </c>
      <c r="R954" s="5" t="n"/>
      <c r="S954" s="5">
        <f>SUM(F954:I954)+N954</f>
        <v/>
      </c>
      <c r="T954" s="5">
        <f>J954</f>
        <v/>
      </c>
      <c r="U954" s="6">
        <f>YEAR(D954)</f>
        <v/>
      </c>
      <c r="V954" s="5">
        <f>TEXT(D954,"yyyy-mm")</f>
        <v/>
      </c>
    </row>
    <row r="955">
      <c r="A955" s="2" t="inlineStr">
        <is>
          <t>EJ051124.TXT</t>
        </is>
      </c>
      <c r="B955" s="3" t="inlineStr">
        <is>
          <t>005620</t>
        </is>
      </c>
      <c r="C955" s="3" t="inlineStr">
        <is>
          <t>004515</t>
        </is>
      </c>
      <c r="D955" s="4" t="n">
        <v>45595</v>
      </c>
      <c r="E955" s="2" t="inlineStr">
        <is>
          <t>12:40</t>
        </is>
      </c>
      <c r="F955" s="5" t="n">
        <v>533.33</v>
      </c>
      <c r="G955" s="5" t="n"/>
      <c r="H955" s="5" t="n"/>
      <c r="I955" s="5" t="n"/>
      <c r="J955" s="5" t="n">
        <v>106.67</v>
      </c>
      <c r="K955" s="5" t="n"/>
      <c r="L955" s="5" t="n"/>
      <c r="M955" s="5" t="n"/>
      <c r="N955" s="5" t="n"/>
      <c r="O955" s="5" t="n">
        <v>640</v>
      </c>
      <c r="P955" s="5" t="n"/>
      <c r="Q955" s="5" t="n">
        <v>640</v>
      </c>
      <c r="R955" s="5" t="n"/>
      <c r="S955" s="5">
        <f>SUM(F955:I955)+N955</f>
        <v/>
      </c>
      <c r="T955" s="5">
        <f>J955</f>
        <v/>
      </c>
      <c r="U955" s="6">
        <f>YEAR(D955)</f>
        <v/>
      </c>
      <c r="V955" s="5">
        <f>TEXT(D955,"yyyy-mm")</f>
        <v/>
      </c>
    </row>
    <row r="956">
      <c r="A956" s="2" t="inlineStr">
        <is>
          <t>EJ051124.TXT</t>
        </is>
      </c>
      <c r="B956" s="3" t="inlineStr">
        <is>
          <t>005621</t>
        </is>
      </c>
      <c r="C956" s="3" t="inlineStr">
        <is>
          <t>004516</t>
        </is>
      </c>
      <c r="D956" s="4" t="n">
        <v>45600</v>
      </c>
      <c r="E956" s="2" t="inlineStr">
        <is>
          <t>12:42</t>
        </is>
      </c>
      <c r="F956" s="5" t="n">
        <v>825</v>
      </c>
      <c r="G956" s="5" t="n"/>
      <c r="H956" s="5" t="n"/>
      <c r="I956" s="5" t="n"/>
      <c r="J956" s="5" t="n">
        <v>165</v>
      </c>
      <c r="K956" s="5" t="n"/>
      <c r="L956" s="5" t="n"/>
      <c r="M956" s="5" t="n"/>
      <c r="N956" s="5" t="n"/>
      <c r="O956" s="5" t="n">
        <v>990</v>
      </c>
      <c r="P956" s="5" t="n"/>
      <c r="Q956" s="5" t="n">
        <v>990</v>
      </c>
      <c r="R956" s="5" t="n"/>
      <c r="S956" s="5">
        <f>SUM(F956:I956)+N956</f>
        <v/>
      </c>
      <c r="T956" s="5">
        <f>J956</f>
        <v/>
      </c>
      <c r="U956" s="6">
        <f>YEAR(D956)</f>
        <v/>
      </c>
      <c r="V956" s="5">
        <f>TEXT(D956,"yyyy-mm")</f>
        <v/>
      </c>
    </row>
    <row r="957">
      <c r="A957" s="2" t="inlineStr">
        <is>
          <t>EJ051124.TXT</t>
        </is>
      </c>
      <c r="B957" s="3" t="inlineStr">
        <is>
          <t>005622</t>
        </is>
      </c>
      <c r="C957" s="3" t="inlineStr">
        <is>
          <t>004517</t>
        </is>
      </c>
      <c r="D957" s="4" t="n">
        <v>45600</v>
      </c>
      <c r="E957" s="2" t="inlineStr">
        <is>
          <t>12:43</t>
        </is>
      </c>
      <c r="F957" s="5" t="n">
        <v>825</v>
      </c>
      <c r="G957" s="5" t="n"/>
      <c r="H957" s="5" t="n"/>
      <c r="I957" s="5" t="n"/>
      <c r="J957" s="5" t="n">
        <v>165</v>
      </c>
      <c r="K957" s="5" t="n"/>
      <c r="L957" s="5" t="n"/>
      <c r="M957" s="5" t="n"/>
      <c r="N957" s="5" t="n"/>
      <c r="O957" s="5" t="n">
        <v>990</v>
      </c>
      <c r="P957" s="5" t="n"/>
      <c r="Q957" s="5" t="n">
        <v>990</v>
      </c>
      <c r="R957" s="5" t="n"/>
      <c r="S957" s="5">
        <f>SUM(F957:I957)+N957</f>
        <v/>
      </c>
      <c r="T957" s="5">
        <f>J957</f>
        <v/>
      </c>
      <c r="U957" s="6">
        <f>YEAR(D957)</f>
        <v/>
      </c>
      <c r="V957" s="5">
        <f>TEXT(D957,"yyyy-mm")</f>
        <v/>
      </c>
    </row>
    <row r="958">
      <c r="A958" s="2" t="inlineStr">
        <is>
          <t>EJ051124.TXT</t>
        </is>
      </c>
      <c r="B958" s="3" t="inlineStr">
        <is>
          <t>005623</t>
        </is>
      </c>
      <c r="C958" s="3" t="inlineStr">
        <is>
          <t>004518</t>
        </is>
      </c>
      <c r="D958" s="4" t="n">
        <v>45600</v>
      </c>
      <c r="E958" s="2" t="inlineStr">
        <is>
          <t>12:43</t>
        </is>
      </c>
      <c r="F958" s="5" t="n">
        <v>825</v>
      </c>
      <c r="G958" s="5" t="n"/>
      <c r="H958" s="5" t="n"/>
      <c r="I958" s="5" t="n"/>
      <c r="J958" s="5" t="n">
        <v>165</v>
      </c>
      <c r="K958" s="5" t="n"/>
      <c r="L958" s="5" t="n"/>
      <c r="M958" s="5" t="n"/>
      <c r="N958" s="5" t="n"/>
      <c r="O958" s="5" t="n">
        <v>990</v>
      </c>
      <c r="P958" s="5" t="n"/>
      <c r="Q958" s="5" t="n">
        <v>990</v>
      </c>
      <c r="R958" s="5" t="n"/>
      <c r="S958" s="5">
        <f>SUM(F958:I958)+N958</f>
        <v/>
      </c>
      <c r="T958" s="5">
        <f>J958</f>
        <v/>
      </c>
      <c r="U958" s="6">
        <f>YEAR(D958)</f>
        <v/>
      </c>
      <c r="V958" s="5">
        <f>TEXT(D958,"yyyy-mm")</f>
        <v/>
      </c>
    </row>
    <row r="959">
      <c r="A959" s="2" t="inlineStr">
        <is>
          <t>EJ051124.TXT</t>
        </is>
      </c>
      <c r="B959" s="3" t="inlineStr">
        <is>
          <t>005624</t>
        </is>
      </c>
      <c r="C959" s="3" t="inlineStr">
        <is>
          <t>004519</t>
        </is>
      </c>
      <c r="D959" s="4" t="n">
        <v>45600</v>
      </c>
      <c r="E959" s="2" t="inlineStr">
        <is>
          <t>12:43</t>
        </is>
      </c>
      <c r="F959" s="5" t="n">
        <v>577.5</v>
      </c>
      <c r="G959" s="5" t="n"/>
      <c r="H959" s="5" t="n"/>
      <c r="I959" s="5" t="n"/>
      <c r="J959" s="5" t="n">
        <v>115.5</v>
      </c>
      <c r="K959" s="5" t="n"/>
      <c r="L959" s="5" t="n"/>
      <c r="M959" s="5" t="n"/>
      <c r="N959" s="5" t="n"/>
      <c r="O959" s="5" t="n">
        <v>693</v>
      </c>
      <c r="P959" s="5" t="n"/>
      <c r="Q959" s="5" t="n">
        <v>693</v>
      </c>
      <c r="R959" s="5" t="n"/>
      <c r="S959" s="5">
        <f>SUM(F959:I959)+N959</f>
        <v/>
      </c>
      <c r="T959" s="5">
        <f>J959</f>
        <v/>
      </c>
      <c r="U959" s="6">
        <f>YEAR(D959)</f>
        <v/>
      </c>
      <c r="V959" s="5">
        <f>TEXT(D959,"yyyy-mm")</f>
        <v/>
      </c>
    </row>
    <row r="960">
      <c r="A960" s="2" t="inlineStr">
        <is>
          <t>EJ051124.TXT</t>
        </is>
      </c>
      <c r="B960" s="3" t="inlineStr">
        <is>
          <t>005625</t>
        </is>
      </c>
      <c r="C960" s="3" t="inlineStr">
        <is>
          <t>004520</t>
        </is>
      </c>
      <c r="D960" s="4" t="n">
        <v>45600</v>
      </c>
      <c r="E960" s="2" t="inlineStr">
        <is>
          <t>15:24</t>
        </is>
      </c>
      <c r="F960" s="5" t="n">
        <v>208.33</v>
      </c>
      <c r="G960" s="5" t="n"/>
      <c r="H960" s="5" t="n"/>
      <c r="I960" s="5" t="n"/>
      <c r="J960" s="5" t="n">
        <v>41.67</v>
      </c>
      <c r="K960" s="5" t="n"/>
      <c r="L960" s="5" t="n"/>
      <c r="M960" s="5" t="n"/>
      <c r="N960" s="5" t="n"/>
      <c r="O960" s="5" t="n">
        <v>250</v>
      </c>
      <c r="P960" s="5" t="n"/>
      <c r="Q960" s="5" t="n">
        <v>250</v>
      </c>
      <c r="R960" s="5" t="n"/>
      <c r="S960" s="5">
        <f>SUM(F960:I960)+N960</f>
        <v/>
      </c>
      <c r="T960" s="5">
        <f>J960</f>
        <v/>
      </c>
      <c r="U960" s="6">
        <f>YEAR(D960)</f>
        <v/>
      </c>
      <c r="V960" s="5">
        <f>TEXT(D960,"yyyy-mm")</f>
        <v/>
      </c>
    </row>
    <row r="961">
      <c r="A961" s="2" t="inlineStr">
        <is>
          <t>EJ051124.TXT</t>
        </is>
      </c>
      <c r="B961" s="3" t="inlineStr">
        <is>
          <t>005626</t>
        </is>
      </c>
      <c r="C961" s="3" t="inlineStr">
        <is>
          <t>004521</t>
        </is>
      </c>
      <c r="D961" s="4" t="n">
        <v>45601</v>
      </c>
      <c r="E961" s="2" t="inlineStr">
        <is>
          <t>12:46</t>
        </is>
      </c>
      <c r="F961" s="5" t="n">
        <v>132.42</v>
      </c>
      <c r="G961" s="5" t="n"/>
      <c r="H961" s="5" t="n"/>
      <c r="I961" s="5" t="n"/>
      <c r="J961" s="5" t="n">
        <v>26.48</v>
      </c>
      <c r="K961" s="5" t="n"/>
      <c r="L961" s="5" t="n"/>
      <c r="M961" s="5" t="n"/>
      <c r="N961" s="5" t="n"/>
      <c r="O961" s="5" t="n">
        <v>158.9</v>
      </c>
      <c r="P961" s="5" t="n"/>
      <c r="Q961" s="5" t="n">
        <v>158.9</v>
      </c>
      <c r="R961" s="5" t="n"/>
      <c r="S961" s="5">
        <f>SUM(F961:I961)+N961</f>
        <v/>
      </c>
      <c r="T961" s="5">
        <f>J961</f>
        <v/>
      </c>
      <c r="U961" s="6">
        <f>YEAR(D961)</f>
        <v/>
      </c>
      <c r="V961" s="5">
        <f>TEXT(D961,"yyyy-mm")</f>
        <v/>
      </c>
    </row>
    <row r="962">
      <c r="A962" s="2" t="inlineStr">
        <is>
          <t>EJ051124.TXT</t>
        </is>
      </c>
      <c r="B962" s="3" t="inlineStr">
        <is>
          <t>005627</t>
        </is>
      </c>
      <c r="C962" s="3" t="inlineStr">
        <is>
          <t>004522</t>
        </is>
      </c>
      <c r="D962" s="4" t="n">
        <v>45601</v>
      </c>
      <c r="E962" s="2" t="inlineStr">
        <is>
          <t>17:19</t>
        </is>
      </c>
      <c r="F962" s="5" t="n">
        <v>166.67</v>
      </c>
      <c r="G962" s="5" t="n"/>
      <c r="H962" s="5" t="n"/>
      <c r="I962" s="5" t="n"/>
      <c r="J962" s="5" t="n">
        <v>33.33</v>
      </c>
      <c r="K962" s="5" t="n"/>
      <c r="L962" s="5" t="n"/>
      <c r="M962" s="5" t="n"/>
      <c r="N962" s="5" t="n"/>
      <c r="O962" s="5" t="n">
        <v>200</v>
      </c>
      <c r="P962" s="5" t="n"/>
      <c r="Q962" s="5" t="n">
        <v>200</v>
      </c>
      <c r="R962" s="5" t="n"/>
      <c r="S962" s="5">
        <f>SUM(F962:I962)+N962</f>
        <v/>
      </c>
      <c r="T962" s="5">
        <f>J962</f>
        <v/>
      </c>
      <c r="U962" s="6">
        <f>YEAR(D962)</f>
        <v/>
      </c>
      <c r="V962" s="5">
        <f>TEXT(D962,"yyyy-mm")</f>
        <v/>
      </c>
    </row>
    <row r="963">
      <c r="A963" s="2" t="inlineStr">
        <is>
          <t>EJ051124.TXT</t>
        </is>
      </c>
      <c r="B963" s="3" t="inlineStr">
        <is>
          <t>005628</t>
        </is>
      </c>
      <c r="C963" s="3" t="inlineStr">
        <is>
          <t>004523</t>
        </is>
      </c>
      <c r="D963" s="4" t="n">
        <v>45601</v>
      </c>
      <c r="E963" s="2" t="inlineStr">
        <is>
          <t>17:19</t>
        </is>
      </c>
      <c r="F963" s="5" t="n">
        <v>24.17</v>
      </c>
      <c r="G963" s="5" t="n"/>
      <c r="H963" s="5" t="n"/>
      <c r="I963" s="5" t="n"/>
      <c r="J963" s="5" t="n">
        <v>4.83</v>
      </c>
      <c r="K963" s="5" t="n"/>
      <c r="L963" s="5" t="n"/>
      <c r="M963" s="5" t="n"/>
      <c r="N963" s="5" t="n"/>
      <c r="O963" s="5" t="n">
        <v>29</v>
      </c>
      <c r="P963" s="5" t="n">
        <v>29</v>
      </c>
      <c r="Q963" s="5" t="n"/>
      <c r="R963" s="5" t="n"/>
      <c r="S963" s="5">
        <f>SUM(F963:I963)+N963</f>
        <v/>
      </c>
      <c r="T963" s="5">
        <f>J963</f>
        <v/>
      </c>
      <c r="U963" s="6">
        <f>YEAR(D963)</f>
        <v/>
      </c>
      <c r="V963" s="5">
        <f>TEXT(D963,"yyyy-mm")</f>
        <v/>
      </c>
    </row>
    <row r="964">
      <c r="A964" s="2" t="inlineStr">
        <is>
          <t>EJ051124.TXT</t>
        </is>
      </c>
      <c r="B964" s="3" t="inlineStr">
        <is>
          <t>005629</t>
        </is>
      </c>
      <c r="C964" s="3" t="inlineStr">
        <is>
          <t>004524</t>
        </is>
      </c>
      <c r="D964" s="4" t="n">
        <v>45601</v>
      </c>
      <c r="E964" s="2" t="inlineStr">
        <is>
          <t>17:22</t>
        </is>
      </c>
      <c r="F964" s="5" t="n">
        <v>208.33</v>
      </c>
      <c r="G964" s="5" t="n"/>
      <c r="H964" s="5" t="n"/>
      <c r="I964" s="5" t="n"/>
      <c r="J964" s="5" t="n">
        <v>41.67</v>
      </c>
      <c r="K964" s="5" t="n"/>
      <c r="L964" s="5" t="n"/>
      <c r="M964" s="5" t="n"/>
      <c r="N964" s="5" t="n"/>
      <c r="O964" s="5" t="n">
        <v>250</v>
      </c>
      <c r="P964" s="5" t="n"/>
      <c r="Q964" s="5" t="n">
        <v>250</v>
      </c>
      <c r="R964" s="5" t="n"/>
      <c r="S964" s="5">
        <f>SUM(F964:I964)+N964</f>
        <v/>
      </c>
      <c r="T964" s="5">
        <f>J964</f>
        <v/>
      </c>
      <c r="U964" s="6">
        <f>YEAR(D964)</f>
        <v/>
      </c>
      <c r="V964" s="5">
        <f>TEXT(D964,"yyyy-mm")</f>
        <v/>
      </c>
    </row>
    <row r="965">
      <c r="A965" s="2" t="inlineStr">
        <is>
          <t>EJ301124.TXT</t>
        </is>
      </c>
      <c r="B965" s="3" t="inlineStr">
        <is>
          <t>005637</t>
        </is>
      </c>
      <c r="C965" s="3" t="inlineStr">
        <is>
          <t>004525</t>
        </is>
      </c>
      <c r="D965" s="4" t="n">
        <v>45602</v>
      </c>
      <c r="E965" s="2" t="inlineStr">
        <is>
          <t>09:48</t>
        </is>
      </c>
      <c r="F965" s="5" t="n">
        <v>208.33</v>
      </c>
      <c r="G965" s="5" t="n"/>
      <c r="H965" s="5" t="n"/>
      <c r="I965" s="5" t="n"/>
      <c r="J965" s="5" t="n">
        <v>41.67</v>
      </c>
      <c r="K965" s="5" t="n"/>
      <c r="L965" s="5" t="n"/>
      <c r="M965" s="5" t="n"/>
      <c r="N965" s="5" t="n"/>
      <c r="O965" s="5" t="n">
        <v>250</v>
      </c>
      <c r="P965" s="5" t="n"/>
      <c r="Q965" s="5" t="n">
        <v>250</v>
      </c>
      <c r="R965" s="5" t="n"/>
      <c r="S965" s="5">
        <f>SUM(F965:I965)+N965</f>
        <v/>
      </c>
      <c r="T965" s="5">
        <f>J965</f>
        <v/>
      </c>
      <c r="U965" s="6">
        <f>YEAR(D965)</f>
        <v/>
      </c>
      <c r="V965" s="5">
        <f>TEXT(D965,"yyyy-mm")</f>
        <v/>
      </c>
    </row>
    <row r="966">
      <c r="A966" s="2" t="inlineStr">
        <is>
          <t>EJ301124.TXT</t>
        </is>
      </c>
      <c r="B966" s="3" t="inlineStr">
        <is>
          <t>005638</t>
        </is>
      </c>
      <c r="C966" s="3" t="inlineStr">
        <is>
          <t>004526</t>
        </is>
      </c>
      <c r="D966" s="4" t="n">
        <v>45604</v>
      </c>
      <c r="E966" s="2" t="inlineStr">
        <is>
          <t>18:23</t>
        </is>
      </c>
      <c r="F966" s="5" t="n">
        <v>324.17</v>
      </c>
      <c r="G966" s="5" t="n"/>
      <c r="H966" s="5" t="n"/>
      <c r="I966" s="5" t="n"/>
      <c r="J966" s="5" t="n">
        <v>64.83</v>
      </c>
      <c r="K966" s="5" t="n"/>
      <c r="L966" s="5" t="n"/>
      <c r="M966" s="5" t="n"/>
      <c r="N966" s="5" t="n"/>
      <c r="O966" s="5" t="n">
        <v>389</v>
      </c>
      <c r="P966" s="5" t="n">
        <v>389</v>
      </c>
      <c r="Q966" s="5" t="n"/>
      <c r="R966" s="5" t="n"/>
      <c r="S966" s="5">
        <f>SUM(F966:I966)+N966</f>
        <v/>
      </c>
      <c r="T966" s="5">
        <f>J966</f>
        <v/>
      </c>
      <c r="U966" s="6">
        <f>YEAR(D966)</f>
        <v/>
      </c>
      <c r="V966" s="5">
        <f>TEXT(D966,"yyyy-mm")</f>
        <v/>
      </c>
    </row>
    <row r="967">
      <c r="A967" s="2" t="inlineStr">
        <is>
          <t>EJ301124.TXT</t>
        </is>
      </c>
      <c r="B967" s="3" t="inlineStr">
        <is>
          <t>005639</t>
        </is>
      </c>
      <c r="C967" s="3" t="inlineStr">
        <is>
          <t>004527</t>
        </is>
      </c>
      <c r="D967" s="4" t="n">
        <v>45604</v>
      </c>
      <c r="E967" s="2" t="inlineStr">
        <is>
          <t>18:40</t>
        </is>
      </c>
      <c r="F967" s="5" t="n">
        <v>33.25</v>
      </c>
      <c r="G967" s="5" t="n"/>
      <c r="H967" s="5" t="n"/>
      <c r="I967" s="5" t="n"/>
      <c r="J967" s="5" t="n">
        <v>6.65</v>
      </c>
      <c r="K967" s="5" t="n"/>
      <c r="L967" s="5" t="n"/>
      <c r="M967" s="5" t="n"/>
      <c r="N967" s="5" t="n"/>
      <c r="O967" s="5" t="n">
        <v>39.9</v>
      </c>
      <c r="P967" s="5" t="n">
        <v>39.9</v>
      </c>
      <c r="Q967" s="5" t="n"/>
      <c r="R967" s="5" t="n"/>
      <c r="S967" s="5">
        <f>SUM(F967:I967)+N967</f>
        <v/>
      </c>
      <c r="T967" s="5">
        <f>J967</f>
        <v/>
      </c>
      <c r="U967" s="6">
        <f>YEAR(D967)</f>
        <v/>
      </c>
      <c r="V967" s="5">
        <f>TEXT(D967,"yyyy-mm")</f>
        <v/>
      </c>
    </row>
    <row r="968">
      <c r="A968" s="2" t="inlineStr">
        <is>
          <t>EJ301124.TXT</t>
        </is>
      </c>
      <c r="B968" s="3" t="inlineStr">
        <is>
          <t>005640</t>
        </is>
      </c>
      <c r="C968" s="3" t="inlineStr">
        <is>
          <t>004528</t>
        </is>
      </c>
      <c r="D968" s="4" t="n">
        <v>45605</v>
      </c>
      <c r="E968" s="2" t="inlineStr">
        <is>
          <t>16:17</t>
        </is>
      </c>
      <c r="F968" s="5" t="n">
        <v>93.15000000000001</v>
      </c>
      <c r="G968" s="5" t="n"/>
      <c r="H968" s="5" t="n"/>
      <c r="I968" s="5" t="n"/>
      <c r="J968" s="5" t="n">
        <v>18.63</v>
      </c>
      <c r="K968" s="5" t="n"/>
      <c r="L968" s="5" t="n"/>
      <c r="M968" s="5" t="n"/>
      <c r="N968" s="5" t="n"/>
      <c r="O968" s="5" t="n">
        <v>111.78</v>
      </c>
      <c r="P968" s="5" t="n">
        <v>111.78</v>
      </c>
      <c r="Q968" s="5" t="n"/>
      <c r="R968" s="5" t="n"/>
      <c r="S968" s="5">
        <f>SUM(F968:I968)+N968</f>
        <v/>
      </c>
      <c r="T968" s="5">
        <f>J968</f>
        <v/>
      </c>
      <c r="U968" s="6">
        <f>YEAR(D968)</f>
        <v/>
      </c>
      <c r="V968" s="5">
        <f>TEXT(D968,"yyyy-mm")</f>
        <v/>
      </c>
    </row>
    <row r="969">
      <c r="A969" s="2" t="inlineStr">
        <is>
          <t>EJ301124.TXT</t>
        </is>
      </c>
      <c r="B969" s="3" t="inlineStr">
        <is>
          <t>005641</t>
        </is>
      </c>
      <c r="C969" s="3" t="inlineStr">
        <is>
          <t>004529</t>
        </is>
      </c>
      <c r="D969" s="4" t="n">
        <v>45605</v>
      </c>
      <c r="E969" s="2" t="inlineStr">
        <is>
          <t>16:18</t>
        </is>
      </c>
      <c r="F969" s="5" t="n">
        <v>163.35</v>
      </c>
      <c r="G969" s="5" t="n"/>
      <c r="H969" s="5" t="n"/>
      <c r="I969" s="5" t="n"/>
      <c r="J969" s="5" t="n">
        <v>32.67</v>
      </c>
      <c r="K969" s="5" t="n"/>
      <c r="L969" s="5" t="n"/>
      <c r="M969" s="5" t="n"/>
      <c r="N969" s="5" t="n"/>
      <c r="O969" s="5" t="n">
        <v>196.02</v>
      </c>
      <c r="P969" s="5" t="n">
        <v>196.02</v>
      </c>
      <c r="Q969" s="5" t="n"/>
      <c r="R969" s="5" t="n"/>
      <c r="S969" s="5">
        <f>SUM(F969:I969)+N969</f>
        <v/>
      </c>
      <c r="T969" s="5">
        <f>J969</f>
        <v/>
      </c>
      <c r="U969" s="6">
        <f>YEAR(D969)</f>
        <v/>
      </c>
      <c r="V969" s="5">
        <f>TEXT(D969,"yyyy-mm")</f>
        <v/>
      </c>
    </row>
    <row r="970">
      <c r="A970" s="2" t="inlineStr">
        <is>
          <t>EJ301124.TXT</t>
        </is>
      </c>
      <c r="B970" s="3" t="inlineStr">
        <is>
          <t>005642</t>
        </is>
      </c>
      <c r="C970" s="3" t="inlineStr">
        <is>
          <t>004530</t>
        </is>
      </c>
      <c r="D970" s="4" t="n">
        <v>45614</v>
      </c>
      <c r="E970" s="2" t="inlineStr">
        <is>
          <t>15:40</t>
        </is>
      </c>
      <c r="F970" s="5" t="n">
        <v>830</v>
      </c>
      <c r="G970" s="5" t="n"/>
      <c r="H970" s="5" t="n"/>
      <c r="I970" s="5" t="n"/>
      <c r="J970" s="5" t="n">
        <v>166</v>
      </c>
      <c r="K970" s="5" t="n"/>
      <c r="L970" s="5" t="n"/>
      <c r="M970" s="5" t="n"/>
      <c r="N970" s="5" t="n"/>
      <c r="O970" s="5" t="n">
        <v>996</v>
      </c>
      <c r="P970" s="5" t="n"/>
      <c r="Q970" s="5" t="n">
        <v>996</v>
      </c>
      <c r="R970" s="5" t="n"/>
      <c r="S970" s="5">
        <f>SUM(F970:I970)+N970</f>
        <v/>
      </c>
      <c r="T970" s="5">
        <f>J970</f>
        <v/>
      </c>
      <c r="U970" s="6">
        <f>YEAR(D970)</f>
        <v/>
      </c>
      <c r="V970" s="5">
        <f>TEXT(D970,"yyyy-mm")</f>
        <v/>
      </c>
    </row>
    <row r="971">
      <c r="A971" s="2" t="inlineStr">
        <is>
          <t>EJ301124.TXT</t>
        </is>
      </c>
      <c r="B971" s="3" t="inlineStr">
        <is>
          <t>005643</t>
        </is>
      </c>
      <c r="C971" s="3" t="inlineStr">
        <is>
          <t>004531</t>
        </is>
      </c>
      <c r="D971" s="4" t="n">
        <v>45614</v>
      </c>
      <c r="E971" s="2" t="inlineStr">
        <is>
          <t>16:36</t>
        </is>
      </c>
      <c r="F971" s="5" t="n">
        <v>208.33</v>
      </c>
      <c r="G971" s="5" t="n"/>
      <c r="H971" s="5" t="n"/>
      <c r="I971" s="5" t="n"/>
      <c r="J971" s="5" t="n">
        <v>41.67</v>
      </c>
      <c r="K971" s="5" t="n"/>
      <c r="L971" s="5" t="n"/>
      <c r="M971" s="5" t="n"/>
      <c r="N971" s="5" t="n"/>
      <c r="O971" s="5" t="n">
        <v>250</v>
      </c>
      <c r="P971" s="5" t="n"/>
      <c r="Q971" s="5" t="n">
        <v>250</v>
      </c>
      <c r="R971" s="5" t="n"/>
      <c r="S971" s="5">
        <f>SUM(F971:I971)+N971</f>
        <v/>
      </c>
      <c r="T971" s="5">
        <f>J971</f>
        <v/>
      </c>
      <c r="U971" s="6">
        <f>YEAR(D971)</f>
        <v/>
      </c>
      <c r="V971" s="5">
        <f>TEXT(D971,"yyyy-mm")</f>
        <v/>
      </c>
    </row>
    <row r="972">
      <c r="A972" s="2" t="inlineStr">
        <is>
          <t>EJ301124.TXT</t>
        </is>
      </c>
      <c r="B972" s="3" t="inlineStr">
        <is>
          <t>005644</t>
        </is>
      </c>
      <c r="C972" s="3" t="inlineStr">
        <is>
          <t>004532</t>
        </is>
      </c>
      <c r="D972" s="4" t="n">
        <v>45615</v>
      </c>
      <c r="E972" s="2" t="inlineStr">
        <is>
          <t>11:56</t>
        </is>
      </c>
      <c r="F972" s="5" t="n">
        <v>190.83</v>
      </c>
      <c r="G972" s="5" t="n"/>
      <c r="H972" s="5" t="n"/>
      <c r="I972" s="5" t="n"/>
      <c r="J972" s="5" t="n">
        <v>38.17</v>
      </c>
      <c r="K972" s="5" t="n"/>
      <c r="L972" s="5" t="n"/>
      <c r="M972" s="5" t="n"/>
      <c r="N972" s="5" t="n"/>
      <c r="O972" s="5" t="n">
        <v>229</v>
      </c>
      <c r="P972" s="5" t="n">
        <v>229</v>
      </c>
      <c r="Q972" s="5" t="n"/>
      <c r="R972" s="5" t="n"/>
      <c r="S972" s="5">
        <f>SUM(F972:I972)+N972</f>
        <v/>
      </c>
      <c r="T972" s="5">
        <f>J972</f>
        <v/>
      </c>
      <c r="U972" s="6">
        <f>YEAR(D972)</f>
        <v/>
      </c>
      <c r="V972" s="5">
        <f>TEXT(D972,"yyyy-mm")</f>
        <v/>
      </c>
    </row>
    <row r="973">
      <c r="A973" s="2" t="inlineStr">
        <is>
          <t>EJ301124.TXT</t>
        </is>
      </c>
      <c r="B973" s="3" t="inlineStr">
        <is>
          <t>005645</t>
        </is>
      </c>
      <c r="C973" s="3" t="inlineStr">
        <is>
          <t>004533</t>
        </is>
      </c>
      <c r="D973" s="4" t="n">
        <v>45621</v>
      </c>
      <c r="E973" s="2" t="inlineStr">
        <is>
          <t>11:36</t>
        </is>
      </c>
      <c r="F973" s="5" t="n">
        <v>199.17</v>
      </c>
      <c r="G973" s="5" t="n"/>
      <c r="H973" s="5" t="n"/>
      <c r="I973" s="5" t="n"/>
      <c r="J973" s="5" t="n">
        <v>39.83</v>
      </c>
      <c r="K973" s="5" t="n"/>
      <c r="L973" s="5" t="n"/>
      <c r="M973" s="5" t="n"/>
      <c r="N973" s="5" t="n"/>
      <c r="O973" s="5" t="n">
        <v>239</v>
      </c>
      <c r="P973" s="5" t="n">
        <v>239</v>
      </c>
      <c r="Q973" s="5" t="n"/>
      <c r="R973" s="5" t="n"/>
      <c r="S973" s="5">
        <f>SUM(F973:I973)+N973</f>
        <v/>
      </c>
      <c r="T973" s="5">
        <f>J973</f>
        <v/>
      </c>
      <c r="U973" s="6">
        <f>YEAR(D973)</f>
        <v/>
      </c>
      <c r="V973" s="5">
        <f>TEXT(D973,"yyyy-mm")</f>
        <v/>
      </c>
    </row>
    <row r="974">
      <c r="A974" s="2" t="inlineStr">
        <is>
          <t>EJ301124.TXT</t>
        </is>
      </c>
      <c r="B974" s="3" t="inlineStr">
        <is>
          <t>005646</t>
        </is>
      </c>
      <c r="C974" s="3" t="inlineStr">
        <is>
          <t>004534</t>
        </is>
      </c>
      <c r="D974" s="4" t="n">
        <v>45625</v>
      </c>
      <c r="E974" s="2" t="inlineStr">
        <is>
          <t>17:20</t>
        </is>
      </c>
      <c r="F974" s="5" t="n">
        <v>208.33</v>
      </c>
      <c r="G974" s="5" t="n"/>
      <c r="H974" s="5" t="n"/>
      <c r="I974" s="5" t="n"/>
      <c r="J974" s="5" t="n">
        <v>41.67</v>
      </c>
      <c r="K974" s="5" t="n"/>
      <c r="L974" s="5" t="n"/>
      <c r="M974" s="5" t="n"/>
      <c r="N974" s="5" t="n"/>
      <c r="O974" s="5" t="n">
        <v>250</v>
      </c>
      <c r="P974" s="5" t="n"/>
      <c r="Q974" s="5" t="n">
        <v>250</v>
      </c>
      <c r="R974" s="5" t="n"/>
      <c r="S974" s="5">
        <f>SUM(F974:I974)+N974</f>
        <v/>
      </c>
      <c r="T974" s="5">
        <f>J974</f>
        <v/>
      </c>
      <c r="U974" s="6">
        <f>YEAR(D974)</f>
        <v/>
      </c>
      <c r="V974" s="5">
        <f>TEXT(D974,"yyyy-mm")</f>
        <v/>
      </c>
    </row>
    <row r="975">
      <c r="A975" s="2" t="inlineStr">
        <is>
          <t>EJ301124.TXT</t>
        </is>
      </c>
      <c r="B975" s="3" t="inlineStr">
        <is>
          <t>005647</t>
        </is>
      </c>
      <c r="C975" s="3" t="inlineStr">
        <is>
          <t>004535</t>
        </is>
      </c>
      <c r="D975" s="4" t="n">
        <v>45626</v>
      </c>
      <c r="E975" s="2" t="inlineStr">
        <is>
          <t>15:32</t>
        </is>
      </c>
      <c r="F975" s="5" t="n">
        <v>1210.75</v>
      </c>
      <c r="G975" s="5" t="n"/>
      <c r="H975" s="5" t="n"/>
      <c r="I975" s="5" t="n"/>
      <c r="J975" s="5" t="n">
        <v>242.15</v>
      </c>
      <c r="K975" s="5" t="n"/>
      <c r="L975" s="5" t="n"/>
      <c r="M975" s="5" t="n"/>
      <c r="N975" s="5" t="n"/>
      <c r="O975" s="5" t="n">
        <v>1452.9</v>
      </c>
      <c r="P975" s="5" t="n">
        <v>1452.9</v>
      </c>
      <c r="Q975" s="5" t="n"/>
      <c r="R975" s="5" t="n"/>
      <c r="S975" s="5">
        <f>SUM(F975:I975)+N975</f>
        <v/>
      </c>
      <c r="T975" s="5">
        <f>J975</f>
        <v/>
      </c>
      <c r="U975" s="6">
        <f>YEAR(D975)</f>
        <v/>
      </c>
      <c r="V975" s="5">
        <f>TEXT(D975,"yyyy-mm")</f>
        <v/>
      </c>
    </row>
    <row r="976">
      <c r="A976" s="2" t="inlineStr">
        <is>
          <t>EJ301124.TXT</t>
        </is>
      </c>
      <c r="B976" s="3" t="inlineStr">
        <is>
          <t>005648</t>
        </is>
      </c>
      <c r="C976" s="3" t="inlineStr">
        <is>
          <t>004536</t>
        </is>
      </c>
      <c r="D976" s="4" t="n">
        <v>45626</v>
      </c>
      <c r="E976" s="2" t="inlineStr">
        <is>
          <t>16:29</t>
        </is>
      </c>
      <c r="F976" s="5" t="n">
        <v>274.17</v>
      </c>
      <c r="G976" s="5" t="n"/>
      <c r="H976" s="5" t="n"/>
      <c r="I976" s="5" t="n"/>
      <c r="J976" s="5" t="n">
        <v>54.83</v>
      </c>
      <c r="K976" s="5" t="n"/>
      <c r="L976" s="5" t="n"/>
      <c r="M976" s="5" t="n"/>
      <c r="N976" s="5" t="n"/>
      <c r="O976" s="5" t="n">
        <v>329</v>
      </c>
      <c r="P976" s="5" t="n">
        <v>329</v>
      </c>
      <c r="Q976" s="5" t="n"/>
      <c r="R976" s="5" t="n"/>
      <c r="S976" s="5">
        <f>SUM(F976:I976)+N976</f>
        <v/>
      </c>
      <c r="T976" s="5">
        <f>J976</f>
        <v/>
      </c>
      <c r="U976" s="6">
        <f>YEAR(D976)</f>
        <v/>
      </c>
      <c r="V976" s="5">
        <f>TEXT(D976,"yyyy-mm")</f>
        <v/>
      </c>
    </row>
    <row r="977">
      <c r="A977" s="2" t="inlineStr">
        <is>
          <t>EJ020125.TXT</t>
        </is>
      </c>
      <c r="B977" s="3" t="inlineStr">
        <is>
          <t>005656</t>
        </is>
      </c>
      <c r="C977" s="3" t="inlineStr">
        <is>
          <t>004537</t>
        </is>
      </c>
      <c r="D977" s="4" t="n">
        <v>45629</v>
      </c>
      <c r="E977" s="2" t="inlineStr">
        <is>
          <t>16:04</t>
        </is>
      </c>
      <c r="F977" s="5" t="n">
        <v>124.17</v>
      </c>
      <c r="G977" s="5" t="n"/>
      <c r="H977" s="5" t="n"/>
      <c r="I977" s="5" t="n"/>
      <c r="J977" s="5" t="n">
        <v>24.83</v>
      </c>
      <c r="K977" s="5" t="n"/>
      <c r="L977" s="5" t="n"/>
      <c r="M977" s="5" t="n"/>
      <c r="N977" s="5" t="n"/>
      <c r="O977" s="5" t="n">
        <v>149</v>
      </c>
      <c r="P977" s="5" t="n">
        <v>149</v>
      </c>
      <c r="Q977" s="5" t="n"/>
      <c r="R977" s="5" t="n"/>
      <c r="S977" s="5">
        <f>SUM(F977:I977)+N977</f>
        <v/>
      </c>
      <c r="T977" s="5">
        <f>J977</f>
        <v/>
      </c>
      <c r="U977" s="6">
        <f>YEAR(D977)</f>
        <v/>
      </c>
      <c r="V977" s="5">
        <f>TEXT(D977,"yyyy-mm")</f>
        <v/>
      </c>
    </row>
    <row r="978">
      <c r="A978" s="2" t="inlineStr">
        <is>
          <t>EJ020125.TXT</t>
        </is>
      </c>
      <c r="B978" s="3" t="inlineStr">
        <is>
          <t>005657</t>
        </is>
      </c>
      <c r="C978" s="3" t="inlineStr">
        <is>
          <t>004538</t>
        </is>
      </c>
      <c r="D978" s="4" t="n">
        <v>45629</v>
      </c>
      <c r="E978" s="2" t="inlineStr">
        <is>
          <t>17:35</t>
        </is>
      </c>
      <c r="F978" s="5" t="n">
        <v>208.33</v>
      </c>
      <c r="G978" s="5" t="n"/>
      <c r="H978" s="5" t="n"/>
      <c r="I978" s="5" t="n"/>
      <c r="J978" s="5" t="n">
        <v>41.67</v>
      </c>
      <c r="K978" s="5" t="n"/>
      <c r="L978" s="5" t="n"/>
      <c r="M978" s="5" t="n"/>
      <c r="N978" s="5" t="n"/>
      <c r="O978" s="5" t="n">
        <v>250</v>
      </c>
      <c r="P978" s="5" t="n"/>
      <c r="Q978" s="5" t="n">
        <v>250</v>
      </c>
      <c r="R978" s="5" t="n"/>
      <c r="S978" s="5">
        <f>SUM(F978:I978)+N978</f>
        <v/>
      </c>
      <c r="T978" s="5">
        <f>J978</f>
        <v/>
      </c>
      <c r="U978" s="6">
        <f>YEAR(D978)</f>
        <v/>
      </c>
      <c r="V978" s="5">
        <f>TEXT(D978,"yyyy-mm")</f>
        <v/>
      </c>
    </row>
    <row r="979">
      <c r="A979" s="2" t="inlineStr">
        <is>
          <t>EJ020125.TXT</t>
        </is>
      </c>
      <c r="B979" s="3" t="inlineStr">
        <is>
          <t>005658</t>
        </is>
      </c>
      <c r="C979" s="3" t="inlineStr">
        <is>
          <t>004539</t>
        </is>
      </c>
      <c r="D979" s="4" t="n">
        <v>45632</v>
      </c>
      <c r="E979" s="2" t="inlineStr">
        <is>
          <t>11:59</t>
        </is>
      </c>
      <c r="F979" s="5" t="n">
        <v>548.33</v>
      </c>
      <c r="G979" s="5" t="n"/>
      <c r="H979" s="5" t="n"/>
      <c r="I979" s="5" t="n"/>
      <c r="J979" s="5" t="n">
        <v>109.67</v>
      </c>
      <c r="K979" s="5" t="n"/>
      <c r="L979" s="5" t="n"/>
      <c r="M979" s="5" t="n"/>
      <c r="N979" s="5" t="n"/>
      <c r="O979" s="5" t="n">
        <v>658</v>
      </c>
      <c r="P979" s="5" t="n"/>
      <c r="Q979" s="5" t="n">
        <v>658</v>
      </c>
      <c r="R979" s="5" t="n"/>
      <c r="S979" s="5">
        <f>SUM(F979:I979)+N979</f>
        <v/>
      </c>
      <c r="T979" s="5">
        <f>J979</f>
        <v/>
      </c>
      <c r="U979" s="6">
        <f>YEAR(D979)</f>
        <v/>
      </c>
      <c r="V979" s="5">
        <f>TEXT(D979,"yyyy-mm")</f>
        <v/>
      </c>
    </row>
    <row r="980">
      <c r="A980" s="2" t="inlineStr">
        <is>
          <t>EJ020125.TXT</t>
        </is>
      </c>
      <c r="B980" s="3" t="inlineStr">
        <is>
          <t>005659</t>
        </is>
      </c>
      <c r="C980" s="3" t="inlineStr">
        <is>
          <t>004540</t>
        </is>
      </c>
      <c r="D980" s="4" t="n">
        <v>45632</v>
      </c>
      <c r="E980" s="2" t="inlineStr">
        <is>
          <t>11:59</t>
        </is>
      </c>
      <c r="F980" s="5" t="n">
        <v>548.33</v>
      </c>
      <c r="G980" s="5" t="n"/>
      <c r="H980" s="5" t="n"/>
      <c r="I980" s="5" t="n"/>
      <c r="J980" s="5" t="n">
        <v>109.67</v>
      </c>
      <c r="K980" s="5" t="n"/>
      <c r="L980" s="5" t="n"/>
      <c r="M980" s="5" t="n"/>
      <c r="N980" s="5" t="n"/>
      <c r="O980" s="5" t="n">
        <v>658</v>
      </c>
      <c r="P980" s="5" t="n"/>
      <c r="Q980" s="5" t="n">
        <v>658</v>
      </c>
      <c r="R980" s="5" t="n"/>
      <c r="S980" s="5">
        <f>SUM(F980:I980)+N980</f>
        <v/>
      </c>
      <c r="T980" s="5">
        <f>J980</f>
        <v/>
      </c>
      <c r="U980" s="6">
        <f>YEAR(D980)</f>
        <v/>
      </c>
      <c r="V980" s="5">
        <f>TEXT(D980,"yyyy-mm")</f>
        <v/>
      </c>
    </row>
    <row r="981">
      <c r="A981" s="2" t="inlineStr">
        <is>
          <t>EJ020125.TXT</t>
        </is>
      </c>
      <c r="B981" s="3" t="inlineStr">
        <is>
          <t>005660</t>
        </is>
      </c>
      <c r="C981" s="3" t="inlineStr">
        <is>
          <t>004541</t>
        </is>
      </c>
      <c r="D981" s="4" t="n">
        <v>45632</v>
      </c>
      <c r="E981" s="2" t="inlineStr">
        <is>
          <t>18:13</t>
        </is>
      </c>
      <c r="F981" s="5" t="n">
        <v>166.33</v>
      </c>
      <c r="G981" s="5" t="n"/>
      <c r="H981" s="5" t="n"/>
      <c r="I981" s="5" t="n"/>
      <c r="J981" s="5" t="n">
        <v>33.27</v>
      </c>
      <c r="K981" s="5" t="n"/>
      <c r="L981" s="5" t="n"/>
      <c r="M981" s="5" t="n"/>
      <c r="N981" s="5" t="n"/>
      <c r="O981" s="5" t="n">
        <v>199.6</v>
      </c>
      <c r="P981" s="5" t="n"/>
      <c r="Q981" s="5" t="n">
        <v>199.6</v>
      </c>
      <c r="R981" s="5" t="n"/>
      <c r="S981" s="5">
        <f>SUM(F981:I981)+N981</f>
        <v/>
      </c>
      <c r="T981" s="5">
        <f>J981</f>
        <v/>
      </c>
      <c r="U981" s="6">
        <f>YEAR(D981)</f>
        <v/>
      </c>
      <c r="V981" s="5">
        <f>TEXT(D981,"yyyy-mm")</f>
        <v/>
      </c>
    </row>
    <row r="982">
      <c r="A982" s="2" t="inlineStr">
        <is>
          <t>EJ020125.TXT</t>
        </is>
      </c>
      <c r="B982" s="3" t="inlineStr">
        <is>
          <t>005661</t>
        </is>
      </c>
      <c r="C982" s="3" t="inlineStr">
        <is>
          <t>004542</t>
        </is>
      </c>
      <c r="D982" s="4" t="n">
        <v>45635</v>
      </c>
      <c r="E982" s="2" t="inlineStr">
        <is>
          <t>14:35</t>
        </is>
      </c>
      <c r="F982" s="5" t="n">
        <v>648.17</v>
      </c>
      <c r="G982" s="5" t="n"/>
      <c r="H982" s="5" t="n"/>
      <c r="I982" s="5" t="n"/>
      <c r="J982" s="5" t="n">
        <v>129.63</v>
      </c>
      <c r="K982" s="5" t="n"/>
      <c r="L982" s="5" t="n"/>
      <c r="M982" s="5" t="n"/>
      <c r="N982" s="5" t="n"/>
      <c r="O982" s="5" t="n">
        <v>777.8</v>
      </c>
      <c r="P982" s="5" t="n"/>
      <c r="Q982" s="5" t="n">
        <v>777.8</v>
      </c>
      <c r="R982" s="5" t="n"/>
      <c r="S982" s="5">
        <f>SUM(F982:I982)+N982</f>
        <v/>
      </c>
      <c r="T982" s="5">
        <f>J982</f>
        <v/>
      </c>
      <c r="U982" s="6">
        <f>YEAR(D982)</f>
        <v/>
      </c>
      <c r="V982" s="5">
        <f>TEXT(D982,"yyyy-mm")</f>
        <v/>
      </c>
    </row>
    <row r="983">
      <c r="A983" s="2" t="inlineStr">
        <is>
          <t>EJ020125.TXT</t>
        </is>
      </c>
      <c r="B983" s="3" t="inlineStr">
        <is>
          <t>005662</t>
        </is>
      </c>
      <c r="C983" s="3" t="inlineStr">
        <is>
          <t>004543</t>
        </is>
      </c>
      <c r="D983" s="4" t="n">
        <v>45637</v>
      </c>
      <c r="E983" s="2" t="inlineStr">
        <is>
          <t>11:36</t>
        </is>
      </c>
      <c r="F983" s="5" t="n">
        <v>1096.67</v>
      </c>
      <c r="G983" s="5" t="n"/>
      <c r="H983" s="5" t="n"/>
      <c r="I983" s="5" t="n"/>
      <c r="J983" s="5" t="n">
        <v>219.33</v>
      </c>
      <c r="K983" s="5" t="n"/>
      <c r="L983" s="5" t="n"/>
      <c r="M983" s="5" t="n"/>
      <c r="N983" s="5" t="n"/>
      <c r="O983" s="5" t="n">
        <v>1316</v>
      </c>
      <c r="P983" s="5" t="n">
        <v>1316</v>
      </c>
      <c r="Q983" s="5" t="n"/>
      <c r="R983" s="5" t="n"/>
      <c r="S983" s="5">
        <f>SUM(F983:I983)+N983</f>
        <v/>
      </c>
      <c r="T983" s="5">
        <f>J983</f>
        <v/>
      </c>
      <c r="U983" s="6">
        <f>YEAR(D983)</f>
        <v/>
      </c>
      <c r="V983" s="5">
        <f>TEXT(D983,"yyyy-mm")</f>
        <v/>
      </c>
    </row>
    <row r="984">
      <c r="A984" s="2" t="inlineStr">
        <is>
          <t>EJ020125.TXT</t>
        </is>
      </c>
      <c r="B984" s="3" t="inlineStr">
        <is>
          <t>005663</t>
        </is>
      </c>
      <c r="C984" s="3" t="inlineStr">
        <is>
          <t>004544</t>
        </is>
      </c>
      <c r="D984" s="4" t="n">
        <v>45638</v>
      </c>
      <c r="E984" s="2" t="inlineStr">
        <is>
          <t>12:56</t>
        </is>
      </c>
      <c r="F984" s="5" t="n">
        <v>548.33</v>
      </c>
      <c r="G984" s="5" t="n"/>
      <c r="H984" s="5" t="n"/>
      <c r="I984" s="5" t="n"/>
      <c r="J984" s="5" t="n">
        <v>109.67</v>
      </c>
      <c r="K984" s="5" t="n"/>
      <c r="L984" s="5" t="n"/>
      <c r="M984" s="5" t="n"/>
      <c r="N984" s="5" t="n"/>
      <c r="O984" s="5" t="n">
        <v>658</v>
      </c>
      <c r="P984" s="5" t="n"/>
      <c r="Q984" s="5" t="n">
        <v>658</v>
      </c>
      <c r="R984" s="5" t="n"/>
      <c r="S984" s="5">
        <f>SUM(F984:I984)+N984</f>
        <v/>
      </c>
      <c r="T984" s="5">
        <f>J984</f>
        <v/>
      </c>
      <c r="U984" s="6">
        <f>YEAR(D984)</f>
        <v/>
      </c>
      <c r="V984" s="5">
        <f>TEXT(D984,"yyyy-mm")</f>
        <v/>
      </c>
    </row>
    <row r="985">
      <c r="A985" s="2" t="inlineStr">
        <is>
          <t>EJ020125.TXT</t>
        </is>
      </c>
      <c r="B985" s="3" t="inlineStr">
        <is>
          <t>005664</t>
        </is>
      </c>
      <c r="C985" s="3" t="inlineStr">
        <is>
          <t>004545</t>
        </is>
      </c>
      <c r="D985" s="4" t="n">
        <v>45643</v>
      </c>
      <c r="E985" s="2" t="inlineStr">
        <is>
          <t>14:57</t>
        </is>
      </c>
      <c r="F985" s="5" t="n">
        <v>548.33</v>
      </c>
      <c r="G985" s="5" t="n"/>
      <c r="H985" s="5" t="n"/>
      <c r="I985" s="5" t="n"/>
      <c r="J985" s="5" t="n">
        <v>109.67</v>
      </c>
      <c r="K985" s="5" t="n"/>
      <c r="L985" s="5" t="n"/>
      <c r="M985" s="5" t="n"/>
      <c r="N985" s="5" t="n"/>
      <c r="O985" s="5" t="n">
        <v>658</v>
      </c>
      <c r="P985" s="5" t="n"/>
      <c r="Q985" s="5" t="n">
        <v>658</v>
      </c>
      <c r="R985" s="5" t="n"/>
      <c r="S985" s="5">
        <f>SUM(F985:I985)+N985</f>
        <v/>
      </c>
      <c r="T985" s="5">
        <f>J985</f>
        <v/>
      </c>
      <c r="U985" s="6">
        <f>YEAR(D985)</f>
        <v/>
      </c>
      <c r="V985" s="5">
        <f>TEXT(D985,"yyyy-mm")</f>
        <v/>
      </c>
    </row>
    <row r="986">
      <c r="A986" s="2" t="inlineStr">
        <is>
          <t>EJ020125.TXT</t>
        </is>
      </c>
      <c r="B986" s="3" t="inlineStr">
        <is>
          <t>005665</t>
        </is>
      </c>
      <c r="C986" s="3" t="inlineStr">
        <is>
          <t>004546</t>
        </is>
      </c>
      <c r="D986" s="4" t="n">
        <v>45644</v>
      </c>
      <c r="E986" s="2" t="inlineStr">
        <is>
          <t>11:36</t>
        </is>
      </c>
      <c r="F986" s="5" t="n">
        <v>749.58</v>
      </c>
      <c r="G986" s="5" t="n"/>
      <c r="H986" s="5" t="n"/>
      <c r="I986" s="5" t="n"/>
      <c r="J986" s="5" t="n">
        <v>149.92</v>
      </c>
      <c r="K986" s="5" t="n"/>
      <c r="L986" s="5" t="n"/>
      <c r="M986" s="5" t="n"/>
      <c r="N986" s="5" t="n"/>
      <c r="O986" s="5" t="n">
        <v>899.5</v>
      </c>
      <c r="P986" s="5" t="n"/>
      <c r="Q986" s="5" t="n">
        <v>899.5</v>
      </c>
      <c r="R986" s="5" t="n"/>
      <c r="S986" s="5">
        <f>SUM(F986:I986)+N986</f>
        <v/>
      </c>
      <c r="T986" s="5">
        <f>J986</f>
        <v/>
      </c>
      <c r="U986" s="6">
        <f>YEAR(D986)</f>
        <v/>
      </c>
      <c r="V986" s="5">
        <f>TEXT(D986,"yyyy-mm")</f>
        <v/>
      </c>
    </row>
    <row r="987">
      <c r="A987" s="2" t="inlineStr">
        <is>
          <t>EJ020125.TXT</t>
        </is>
      </c>
      <c r="B987" s="3" t="inlineStr">
        <is>
          <t>005666</t>
        </is>
      </c>
      <c r="C987" s="3" t="inlineStr">
        <is>
          <t>004547</t>
        </is>
      </c>
      <c r="D987" s="4" t="n">
        <v>45644</v>
      </c>
      <c r="E987" s="2" t="inlineStr">
        <is>
          <t>11:36</t>
        </is>
      </c>
      <c r="F987" s="5" t="n">
        <v>749.58</v>
      </c>
      <c r="G987" s="5" t="n"/>
      <c r="H987" s="5" t="n"/>
      <c r="I987" s="5" t="n"/>
      <c r="J987" s="5" t="n">
        <v>149.92</v>
      </c>
      <c r="K987" s="5" t="n"/>
      <c r="L987" s="5" t="n"/>
      <c r="M987" s="5" t="n"/>
      <c r="N987" s="5" t="n"/>
      <c r="O987" s="5" t="n">
        <v>899.5</v>
      </c>
      <c r="P987" s="5" t="n"/>
      <c r="Q987" s="5" t="n">
        <v>899.5</v>
      </c>
      <c r="R987" s="5" t="n"/>
      <c r="S987" s="5">
        <f>SUM(F987:I987)+N987</f>
        <v/>
      </c>
      <c r="T987" s="5">
        <f>J987</f>
        <v/>
      </c>
      <c r="U987" s="6">
        <f>YEAR(D987)</f>
        <v/>
      </c>
      <c r="V987" s="5">
        <f>TEXT(D987,"yyyy-mm")</f>
        <v/>
      </c>
    </row>
    <row r="988">
      <c r="A988" s="2" t="inlineStr">
        <is>
          <t>EJ020125.TXT</t>
        </is>
      </c>
      <c r="B988" s="3" t="inlineStr">
        <is>
          <t>005667</t>
        </is>
      </c>
      <c r="C988" s="3" t="inlineStr">
        <is>
          <t>004548</t>
        </is>
      </c>
      <c r="D988" s="4" t="n">
        <v>45644</v>
      </c>
      <c r="E988" s="2" t="inlineStr">
        <is>
          <t>11:36</t>
        </is>
      </c>
      <c r="F988" s="5" t="n">
        <v>299.83</v>
      </c>
      <c r="G988" s="5" t="n"/>
      <c r="H988" s="5" t="n"/>
      <c r="I988" s="5" t="n"/>
      <c r="J988" s="5" t="n">
        <v>59.97</v>
      </c>
      <c r="K988" s="5" t="n"/>
      <c r="L988" s="5" t="n"/>
      <c r="M988" s="5" t="n"/>
      <c r="N988" s="5" t="n"/>
      <c r="O988" s="5" t="n">
        <v>359.8</v>
      </c>
      <c r="P988" s="5" t="n"/>
      <c r="Q988" s="5" t="n">
        <v>359.8</v>
      </c>
      <c r="R988" s="5" t="n"/>
      <c r="S988" s="5">
        <f>SUM(F988:I988)+N988</f>
        <v/>
      </c>
      <c r="T988" s="5">
        <f>J988</f>
        <v/>
      </c>
      <c r="U988" s="6">
        <f>YEAR(D988)</f>
        <v/>
      </c>
      <c r="V988" s="5">
        <f>TEXT(D988,"yyyy-mm")</f>
        <v/>
      </c>
    </row>
    <row r="989">
      <c r="A989" s="2" t="inlineStr">
        <is>
          <t>EJ020125.TXT</t>
        </is>
      </c>
      <c r="B989" s="3" t="inlineStr">
        <is>
          <t>005668</t>
        </is>
      </c>
      <c r="C989" s="3" t="inlineStr">
        <is>
          <t>004549</t>
        </is>
      </c>
      <c r="D989" s="4" t="n">
        <v>45644</v>
      </c>
      <c r="E989" s="2" t="inlineStr">
        <is>
          <t>14:52</t>
        </is>
      </c>
      <c r="F989" s="5" t="n">
        <v>548.33</v>
      </c>
      <c r="G989" s="5" t="n"/>
      <c r="H989" s="5" t="n"/>
      <c r="I989" s="5" t="n"/>
      <c r="J989" s="5" t="n">
        <v>109.67</v>
      </c>
      <c r="K989" s="5" t="n"/>
      <c r="L989" s="5" t="n"/>
      <c r="M989" s="5" t="n"/>
      <c r="N989" s="5" t="n"/>
      <c r="O989" s="5" t="n">
        <v>658</v>
      </c>
      <c r="P989" s="5" t="n"/>
      <c r="Q989" s="5" t="n">
        <v>658</v>
      </c>
      <c r="R989" s="5" t="n"/>
      <c r="S989" s="5">
        <f>SUM(F989:I989)+N989</f>
        <v/>
      </c>
      <c r="T989" s="5">
        <f>J989</f>
        <v/>
      </c>
      <c r="U989" s="6">
        <f>YEAR(D989)</f>
        <v/>
      </c>
      <c r="V989" s="5">
        <f>TEXT(D989,"yyyy-mm")</f>
        <v/>
      </c>
    </row>
    <row r="990">
      <c r="A990" s="2" t="inlineStr">
        <is>
          <t>EJ020125.TXT</t>
        </is>
      </c>
      <c r="B990" s="3" t="inlineStr">
        <is>
          <t>005669</t>
        </is>
      </c>
      <c r="C990" s="3" t="inlineStr">
        <is>
          <t>004550</t>
        </is>
      </c>
      <c r="D990" s="4" t="n">
        <v>45644</v>
      </c>
      <c r="E990" s="2" t="inlineStr">
        <is>
          <t>14:56</t>
        </is>
      </c>
      <c r="F990" s="5" t="n">
        <v>73.33</v>
      </c>
      <c r="G990" s="5" t="n"/>
      <c r="H990" s="5" t="n"/>
      <c r="I990" s="5" t="n"/>
      <c r="J990" s="5" t="n">
        <v>14.67</v>
      </c>
      <c r="K990" s="5" t="n"/>
      <c r="L990" s="5" t="n"/>
      <c r="M990" s="5" t="n"/>
      <c r="N990" s="5" t="n"/>
      <c r="O990" s="5" t="n">
        <v>88</v>
      </c>
      <c r="P990" s="5" t="n">
        <v>88</v>
      </c>
      <c r="Q990" s="5" t="n"/>
      <c r="R990" s="5" t="n"/>
      <c r="S990" s="5">
        <f>SUM(F990:I990)+N990</f>
        <v/>
      </c>
      <c r="T990" s="5">
        <f>J990</f>
        <v/>
      </c>
      <c r="U990" s="6">
        <f>YEAR(D990)</f>
        <v/>
      </c>
      <c r="V990" s="5">
        <f>TEXT(D990,"yyyy-mm")</f>
        <v/>
      </c>
    </row>
    <row r="991">
      <c r="A991" s="2" t="inlineStr">
        <is>
          <t>EJ020125.TXT</t>
        </is>
      </c>
      <c r="B991" s="3" t="inlineStr">
        <is>
          <t>005670</t>
        </is>
      </c>
      <c r="C991" s="3" t="inlineStr">
        <is>
          <t>004551</t>
        </is>
      </c>
      <c r="D991" s="4" t="n">
        <v>45644</v>
      </c>
      <c r="E991" s="2" t="inlineStr">
        <is>
          <t>15:42</t>
        </is>
      </c>
      <c r="F991" s="5" t="n">
        <v>424.08</v>
      </c>
      <c r="G991" s="5" t="n"/>
      <c r="H991" s="5" t="n"/>
      <c r="I991" s="5" t="n"/>
      <c r="J991" s="5" t="n">
        <v>84.81999999999999</v>
      </c>
      <c r="K991" s="5" t="n"/>
      <c r="L991" s="5" t="n"/>
      <c r="M991" s="5" t="n"/>
      <c r="N991" s="5" t="n"/>
      <c r="O991" s="5" t="n">
        <v>508.9</v>
      </c>
      <c r="P991" s="5" t="n"/>
      <c r="Q991" s="5" t="n">
        <v>508.9</v>
      </c>
      <c r="R991" s="5" t="n"/>
      <c r="S991" s="5">
        <f>SUM(F991:I991)+N991</f>
        <v/>
      </c>
      <c r="T991" s="5">
        <f>J991</f>
        <v/>
      </c>
      <c r="U991" s="6">
        <f>YEAR(D991)</f>
        <v/>
      </c>
      <c r="V991" s="5">
        <f>TEXT(D991,"yyyy-mm")</f>
        <v/>
      </c>
    </row>
    <row r="992">
      <c r="A992" s="2" t="inlineStr">
        <is>
          <t>EJ020125.TXT</t>
        </is>
      </c>
      <c r="B992" s="3" t="inlineStr">
        <is>
          <t>005671</t>
        </is>
      </c>
      <c r="C992" s="3" t="inlineStr">
        <is>
          <t>004552</t>
        </is>
      </c>
      <c r="D992" s="4" t="n">
        <v>45645</v>
      </c>
      <c r="E992" s="2" t="inlineStr">
        <is>
          <t>16:37</t>
        </is>
      </c>
      <c r="F992" s="5" t="n">
        <v>83</v>
      </c>
      <c r="G992" s="5" t="n"/>
      <c r="H992" s="5" t="n"/>
      <c r="I992" s="5" t="n"/>
      <c r="J992" s="5" t="n">
        <v>16.6</v>
      </c>
      <c r="K992" s="5" t="n"/>
      <c r="L992" s="5" t="n"/>
      <c r="M992" s="5" t="n"/>
      <c r="N992" s="5" t="n"/>
      <c r="O992" s="5" t="n">
        <v>99.59999999999999</v>
      </c>
      <c r="P992" s="5" t="n"/>
      <c r="Q992" s="5" t="n">
        <v>99.59999999999999</v>
      </c>
      <c r="R992" s="5" t="n"/>
      <c r="S992" s="5">
        <f>SUM(F992:I992)+N992</f>
        <v/>
      </c>
      <c r="T992" s="5">
        <f>J992</f>
        <v/>
      </c>
      <c r="U992" s="6">
        <f>YEAR(D992)</f>
        <v/>
      </c>
      <c r="V992" s="5">
        <f>TEXT(D992,"yyyy-mm")</f>
        <v/>
      </c>
    </row>
    <row r="993">
      <c r="A993" s="2" t="inlineStr">
        <is>
          <t>EJ020125.TXT</t>
        </is>
      </c>
      <c r="B993" s="3" t="inlineStr">
        <is>
          <t>005672</t>
        </is>
      </c>
      <c r="C993" s="3" t="inlineStr">
        <is>
          <t>004553</t>
        </is>
      </c>
      <c r="D993" s="4" t="n">
        <v>45645</v>
      </c>
      <c r="E993" s="2" t="inlineStr">
        <is>
          <t>17:31</t>
        </is>
      </c>
      <c r="F993" s="5" t="n">
        <v>329.17</v>
      </c>
      <c r="G993" s="5" t="n"/>
      <c r="H993" s="5" t="n"/>
      <c r="I993" s="5" t="n"/>
      <c r="J993" s="5" t="n">
        <v>65.83</v>
      </c>
      <c r="K993" s="5" t="n"/>
      <c r="L993" s="5" t="n"/>
      <c r="M993" s="5" t="n"/>
      <c r="N993" s="5" t="n"/>
      <c r="O993" s="5" t="n">
        <v>395</v>
      </c>
      <c r="P993" s="5" t="n"/>
      <c r="Q993" s="5" t="n">
        <v>395</v>
      </c>
      <c r="R993" s="5" t="n"/>
      <c r="S993" s="5">
        <f>SUM(F993:I993)+N993</f>
        <v/>
      </c>
      <c r="T993" s="5">
        <f>J993</f>
        <v/>
      </c>
      <c r="U993" s="6">
        <f>YEAR(D993)</f>
        <v/>
      </c>
      <c r="V993" s="5">
        <f>TEXT(D993,"yyyy-mm")</f>
        <v/>
      </c>
    </row>
    <row r="994">
      <c r="A994" s="2" t="inlineStr">
        <is>
          <t>EJ020125.TXT</t>
        </is>
      </c>
      <c r="B994" s="3" t="inlineStr">
        <is>
          <t>005673</t>
        </is>
      </c>
      <c r="C994" s="3" t="inlineStr">
        <is>
          <t>004554</t>
        </is>
      </c>
      <c r="D994" s="4" t="n">
        <v>45645</v>
      </c>
      <c r="E994" s="2" t="inlineStr">
        <is>
          <t>18:17</t>
        </is>
      </c>
      <c r="F994" s="5" t="n">
        <v>548.33</v>
      </c>
      <c r="G994" s="5" t="n"/>
      <c r="H994" s="5" t="n"/>
      <c r="I994" s="5" t="n"/>
      <c r="J994" s="5" t="n">
        <v>109.67</v>
      </c>
      <c r="K994" s="5" t="n"/>
      <c r="L994" s="5" t="n"/>
      <c r="M994" s="5" t="n"/>
      <c r="N994" s="5" t="n"/>
      <c r="O994" s="5" t="n">
        <v>658</v>
      </c>
      <c r="P994" s="5" t="n"/>
      <c r="Q994" s="5" t="n">
        <v>658</v>
      </c>
      <c r="R994" s="5" t="n"/>
      <c r="S994" s="5">
        <f>SUM(F994:I994)+N994</f>
        <v/>
      </c>
      <c r="T994" s="5">
        <f>J994</f>
        <v/>
      </c>
      <c r="U994" s="6">
        <f>YEAR(D994)</f>
        <v/>
      </c>
      <c r="V994" s="5">
        <f>TEXT(D994,"yyyy-mm")</f>
        <v/>
      </c>
    </row>
    <row r="995">
      <c r="A995" s="2" t="inlineStr">
        <is>
          <t>EJ020125.TXT</t>
        </is>
      </c>
      <c r="B995" s="3" t="inlineStr">
        <is>
          <t>005674</t>
        </is>
      </c>
      <c r="C995" s="3" t="inlineStr">
        <is>
          <t>004555</t>
        </is>
      </c>
      <c r="D995" s="4" t="n">
        <v>45645</v>
      </c>
      <c r="E995" s="2" t="inlineStr">
        <is>
          <t>18:17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/>
      <c r="Q995" s="5" t="n">
        <v>658</v>
      </c>
      <c r="R995" s="5" t="n"/>
      <c r="S995" s="5">
        <f>SUM(F995:I995)+N995</f>
        <v/>
      </c>
      <c r="T995" s="5">
        <f>J995</f>
        <v/>
      </c>
      <c r="U995" s="6">
        <f>YEAR(D995)</f>
        <v/>
      </c>
      <c r="V995" s="5">
        <f>TEXT(D995,"yyyy-mm")</f>
        <v/>
      </c>
    </row>
    <row r="996">
      <c r="A996" s="2" t="inlineStr">
        <is>
          <t>EJ020125.TXT</t>
        </is>
      </c>
      <c r="B996" s="3" t="inlineStr">
        <is>
          <t>005675</t>
        </is>
      </c>
      <c r="C996" s="3" t="inlineStr">
        <is>
          <t>004556</t>
        </is>
      </c>
      <c r="D996" s="4" t="n">
        <v>45646</v>
      </c>
      <c r="E996" s="2" t="inlineStr">
        <is>
          <t>10:07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/>
      <c r="Q996" s="5" t="n">
        <v>658</v>
      </c>
      <c r="R996" s="5" t="n"/>
      <c r="S996" s="5">
        <f>SUM(F996:I996)+N996</f>
        <v/>
      </c>
      <c r="T996" s="5">
        <f>J996</f>
        <v/>
      </c>
      <c r="U996" s="6">
        <f>YEAR(D996)</f>
        <v/>
      </c>
      <c r="V996" s="5">
        <f>TEXT(D996,"yyyy-mm")</f>
        <v/>
      </c>
    </row>
    <row r="997">
      <c r="A997" s="2" t="inlineStr">
        <is>
          <t>EJ020125.TXT</t>
        </is>
      </c>
      <c r="B997" s="3" t="inlineStr">
        <is>
          <t>005676</t>
        </is>
      </c>
      <c r="C997" s="3" t="inlineStr">
        <is>
          <t>004557</t>
        </is>
      </c>
      <c r="D997" s="4" t="n">
        <v>45646</v>
      </c>
      <c r="E997" s="2" t="inlineStr">
        <is>
          <t>10:07</t>
        </is>
      </c>
      <c r="F997" s="5" t="n">
        <v>548.33</v>
      </c>
      <c r="G997" s="5" t="n"/>
      <c r="H997" s="5" t="n"/>
      <c r="I997" s="5" t="n"/>
      <c r="J997" s="5" t="n">
        <v>109.67</v>
      </c>
      <c r="K997" s="5" t="n"/>
      <c r="L997" s="5" t="n"/>
      <c r="M997" s="5" t="n"/>
      <c r="N997" s="5" t="n"/>
      <c r="O997" s="5" t="n">
        <v>658</v>
      </c>
      <c r="P997" s="5" t="n"/>
      <c r="Q997" s="5" t="n">
        <v>658</v>
      </c>
      <c r="R997" s="5" t="n"/>
      <c r="S997" s="5">
        <f>SUM(F997:I997)+N997</f>
        <v/>
      </c>
      <c r="T997" s="5">
        <f>J997</f>
        <v/>
      </c>
      <c r="U997" s="6">
        <f>YEAR(D997)</f>
        <v/>
      </c>
      <c r="V997" s="5">
        <f>TEXT(D997,"yyyy-mm")</f>
        <v/>
      </c>
    </row>
    <row r="998">
      <c r="A998" s="2" t="inlineStr">
        <is>
          <t>EJ020125.TXT</t>
        </is>
      </c>
      <c r="B998" s="3" t="inlineStr">
        <is>
          <t>005677</t>
        </is>
      </c>
      <c r="C998" s="3" t="inlineStr">
        <is>
          <t>004558</t>
        </is>
      </c>
      <c r="D998" s="4" t="n">
        <v>45646</v>
      </c>
      <c r="E998" s="2" t="inlineStr">
        <is>
          <t>10:16</t>
        </is>
      </c>
      <c r="F998" s="5" t="n">
        <v>208.33</v>
      </c>
      <c r="G998" s="5" t="n"/>
      <c r="H998" s="5" t="n"/>
      <c r="I998" s="5" t="n"/>
      <c r="J998" s="5" t="n">
        <v>41.67</v>
      </c>
      <c r="K998" s="5" t="n"/>
      <c r="L998" s="5" t="n"/>
      <c r="M998" s="5" t="n"/>
      <c r="N998" s="5" t="n"/>
      <c r="O998" s="5" t="n">
        <v>250</v>
      </c>
      <c r="P998" s="5" t="n"/>
      <c r="Q998" s="5" t="n">
        <v>250</v>
      </c>
      <c r="R998" s="5" t="n"/>
      <c r="S998" s="5">
        <f>SUM(F998:I998)+N998</f>
        <v/>
      </c>
      <c r="T998" s="5">
        <f>J998</f>
        <v/>
      </c>
      <c r="U998" s="6">
        <f>YEAR(D998)</f>
        <v/>
      </c>
      <c r="V998" s="5">
        <f>TEXT(D998,"yyyy-mm")</f>
        <v/>
      </c>
    </row>
    <row r="999">
      <c r="A999" s="2" t="inlineStr">
        <is>
          <t>EJ020125.TXT</t>
        </is>
      </c>
      <c r="B999" s="3" t="inlineStr">
        <is>
          <t>005678</t>
        </is>
      </c>
      <c r="C999" s="3" t="inlineStr">
        <is>
          <t>004559</t>
        </is>
      </c>
      <c r="D999" s="4" t="n">
        <v>45649</v>
      </c>
      <c r="E999" s="2" t="inlineStr">
        <is>
          <t>14:50</t>
        </is>
      </c>
      <c r="F999" s="5" t="n">
        <v>208.33</v>
      </c>
      <c r="G999" s="5" t="n"/>
      <c r="H999" s="5" t="n"/>
      <c r="I999" s="5" t="n"/>
      <c r="J999" s="5" t="n">
        <v>41.67</v>
      </c>
      <c r="K999" s="5" t="n"/>
      <c r="L999" s="5" t="n"/>
      <c r="M999" s="5" t="n"/>
      <c r="N999" s="5" t="n"/>
      <c r="O999" s="5" t="n">
        <v>250</v>
      </c>
      <c r="P999" s="5" t="n"/>
      <c r="Q999" s="5" t="n">
        <v>250</v>
      </c>
      <c r="R999" s="5" t="n"/>
      <c r="S999" s="5">
        <f>SUM(F999:I999)+N999</f>
        <v/>
      </c>
      <c r="T999" s="5">
        <f>J999</f>
        <v/>
      </c>
      <c r="U999" s="6">
        <f>YEAR(D999)</f>
        <v/>
      </c>
      <c r="V999" s="5">
        <f>TEXT(D999,"yyyy-mm")</f>
        <v/>
      </c>
    </row>
    <row r="1000">
      <c r="A1000" s="2" t="inlineStr">
        <is>
          <t>EJ020125.TXT</t>
        </is>
      </c>
      <c r="B1000" s="3" t="inlineStr">
        <is>
          <t>005679</t>
        </is>
      </c>
      <c r="C1000" s="3" t="inlineStr">
        <is>
          <t>004560</t>
        </is>
      </c>
      <c r="D1000" s="4" t="n">
        <v>45653</v>
      </c>
      <c r="E1000" s="2" t="inlineStr">
        <is>
          <t>11:13</t>
        </is>
      </c>
      <c r="F1000" s="5" t="n">
        <v>41.58</v>
      </c>
      <c r="G1000" s="5" t="n"/>
      <c r="H1000" s="5" t="n"/>
      <c r="I1000" s="5" t="n"/>
      <c r="J1000" s="5" t="n">
        <v>8.32</v>
      </c>
      <c r="K1000" s="5" t="n"/>
      <c r="L1000" s="5" t="n"/>
      <c r="M1000" s="5" t="n"/>
      <c r="N1000" s="5" t="n"/>
      <c r="O1000" s="5" t="n">
        <v>49.9</v>
      </c>
      <c r="P1000" s="5" t="n"/>
      <c r="Q1000" s="5" t="n">
        <v>49.9</v>
      </c>
      <c r="R1000" s="5" t="n"/>
      <c r="S1000" s="5">
        <f>SUM(F1000:I1000)+N1000</f>
        <v/>
      </c>
      <c r="T1000" s="5">
        <f>J1000</f>
        <v/>
      </c>
      <c r="U1000" s="6">
        <f>YEAR(D1000)</f>
        <v/>
      </c>
      <c r="V1000" s="5">
        <f>TEXT(D1000,"yyyy-mm")</f>
        <v/>
      </c>
    </row>
    <row r="1001">
      <c r="A1001" s="2" t="inlineStr">
        <is>
          <t>EJ020125.TXT</t>
        </is>
      </c>
      <c r="B1001" s="3" t="inlineStr">
        <is>
          <t>005680</t>
        </is>
      </c>
      <c r="C1001" s="3" t="inlineStr">
        <is>
          <t>004561</t>
        </is>
      </c>
      <c r="D1001" s="4" t="n">
        <v>45653</v>
      </c>
      <c r="E1001" s="2" t="inlineStr">
        <is>
          <t>11:18</t>
        </is>
      </c>
      <c r="F1001" s="5" t="n">
        <v>208.33</v>
      </c>
      <c r="G1001" s="5" t="n"/>
      <c r="H1001" s="5" t="n"/>
      <c r="I1001" s="5" t="n"/>
      <c r="J1001" s="5" t="n">
        <v>41.67</v>
      </c>
      <c r="K1001" s="5" t="n"/>
      <c r="L1001" s="5" t="n"/>
      <c r="M1001" s="5" t="n"/>
      <c r="N1001" s="5" t="n"/>
      <c r="O1001" s="5" t="n">
        <v>250</v>
      </c>
      <c r="P1001" s="5" t="n"/>
      <c r="Q1001" s="5" t="n">
        <v>250</v>
      </c>
      <c r="R1001" s="5" t="n"/>
      <c r="S1001" s="5">
        <f>SUM(F1001:I1001)+N1001</f>
        <v/>
      </c>
      <c r="T1001" s="5">
        <f>J1001</f>
        <v/>
      </c>
      <c r="U1001" s="6">
        <f>YEAR(D1001)</f>
        <v/>
      </c>
      <c r="V1001" s="5">
        <f>TEXT(D1001,"yyyy-mm")</f>
        <v/>
      </c>
    </row>
    <row r="1002">
      <c r="A1002" s="2" t="inlineStr">
        <is>
          <t>EJ020125.TXT</t>
        </is>
      </c>
      <c r="B1002" s="3" t="inlineStr">
        <is>
          <t>005681</t>
        </is>
      </c>
      <c r="C1002" s="3" t="inlineStr">
        <is>
          <t>004562</t>
        </is>
      </c>
      <c r="D1002" s="4" t="n">
        <v>45656</v>
      </c>
      <c r="E1002" s="2" t="inlineStr">
        <is>
          <t>17:51</t>
        </is>
      </c>
      <c r="F1002" s="5" t="n">
        <v>274.17</v>
      </c>
      <c r="G1002" s="5" t="n"/>
      <c r="H1002" s="5" t="n"/>
      <c r="I1002" s="5" t="n"/>
      <c r="J1002" s="5" t="n">
        <v>54.83</v>
      </c>
      <c r="K1002" s="5" t="n"/>
      <c r="L1002" s="5" t="n"/>
      <c r="M1002" s="5" t="n"/>
      <c r="N1002" s="5" t="n"/>
      <c r="O1002" s="5" t="n">
        <v>329</v>
      </c>
      <c r="P1002" s="5" t="n">
        <v>329</v>
      </c>
      <c r="Q1002" s="5" t="n"/>
      <c r="R1002" s="5" t="n"/>
      <c r="S1002" s="5">
        <f>SUM(F1002:I1002)+N1002</f>
        <v/>
      </c>
      <c r="T1002" s="5">
        <f>J1002</f>
        <v/>
      </c>
      <c r="U1002" s="6">
        <f>YEAR(D1002)</f>
        <v/>
      </c>
      <c r="V1002" s="5">
        <f>TEXT(D1002,"yyyy-mm")</f>
        <v/>
      </c>
    </row>
    <row r="1003">
      <c r="A1003" s="2" t="inlineStr">
        <is>
          <t>EJ030225.TXT</t>
        </is>
      </c>
      <c r="B1003" s="3" t="inlineStr">
        <is>
          <t>005689</t>
        </is>
      </c>
      <c r="C1003" s="3" t="inlineStr">
        <is>
          <t>004563</t>
        </is>
      </c>
      <c r="D1003" s="4" t="n">
        <v>45663</v>
      </c>
      <c r="E1003" s="2" t="inlineStr">
        <is>
          <t>14:36</t>
        </is>
      </c>
      <c r="F1003" s="5" t="n">
        <v>822.5</v>
      </c>
      <c r="G1003" s="5" t="n"/>
      <c r="H1003" s="5" t="n"/>
      <c r="I1003" s="5" t="n"/>
      <c r="J1003" s="5" t="n">
        <v>164.5</v>
      </c>
      <c r="K1003" s="5" t="n"/>
      <c r="L1003" s="5" t="n"/>
      <c r="M1003" s="5" t="n"/>
      <c r="N1003" s="5" t="n"/>
      <c r="O1003" s="5" t="n">
        <v>987</v>
      </c>
      <c r="P1003" s="5" t="n"/>
      <c r="Q1003" s="5" t="n">
        <v>987</v>
      </c>
      <c r="R1003" s="5" t="n"/>
      <c r="S1003" s="5">
        <f>SUM(F1003:I1003)+N1003</f>
        <v/>
      </c>
      <c r="T1003" s="5">
        <f>J1003</f>
        <v/>
      </c>
      <c r="U1003" s="6">
        <f>YEAR(D1003)</f>
        <v/>
      </c>
      <c r="V1003" s="5">
        <f>TEXT(D1003,"yyyy-mm")</f>
        <v/>
      </c>
    </row>
    <row r="1004">
      <c r="A1004" s="2" t="inlineStr">
        <is>
          <t>EJ030225.TXT</t>
        </is>
      </c>
      <c r="B1004" s="3" t="inlineStr">
        <is>
          <t>005690</t>
        </is>
      </c>
      <c r="C1004" s="3" t="inlineStr">
        <is>
          <t>004564</t>
        </is>
      </c>
      <c r="D1004" s="4" t="n">
        <v>45665</v>
      </c>
      <c r="E1004" s="2" t="inlineStr">
        <is>
          <t>16:16</t>
        </is>
      </c>
      <c r="F1004" s="5" t="n">
        <v>149.92</v>
      </c>
      <c r="G1004" s="5" t="n"/>
      <c r="H1004" s="5" t="n"/>
      <c r="I1004" s="5" t="n"/>
      <c r="J1004" s="5" t="n">
        <v>29.98</v>
      </c>
      <c r="K1004" s="5" t="n"/>
      <c r="L1004" s="5" t="n"/>
      <c r="M1004" s="5" t="n"/>
      <c r="N1004" s="5" t="n"/>
      <c r="O1004" s="5" t="n">
        <v>179.9</v>
      </c>
      <c r="P1004" s="5" t="n"/>
      <c r="Q1004" s="5" t="n">
        <v>179.9</v>
      </c>
      <c r="R1004" s="5" t="n"/>
      <c r="S1004" s="5">
        <f>SUM(F1004:I1004)+N1004</f>
        <v/>
      </c>
      <c r="T1004" s="5">
        <f>J1004</f>
        <v/>
      </c>
      <c r="U1004" s="6">
        <f>YEAR(D1004)</f>
        <v/>
      </c>
      <c r="V1004" s="5">
        <f>TEXT(D1004,"yyyy-mm")</f>
        <v/>
      </c>
    </row>
    <row r="1005">
      <c r="A1005" s="2" t="inlineStr">
        <is>
          <t>EJ030225.TXT</t>
        </is>
      </c>
      <c r="B1005" s="3" t="inlineStr">
        <is>
          <t>005691</t>
        </is>
      </c>
      <c r="C1005" s="3" t="inlineStr">
        <is>
          <t>004565</t>
        </is>
      </c>
      <c r="D1005" s="4" t="n">
        <v>45667</v>
      </c>
      <c r="E1005" s="2" t="inlineStr">
        <is>
          <t>16:53</t>
        </is>
      </c>
      <c r="F1005" s="5" t="n">
        <v>208.33</v>
      </c>
      <c r="G1005" s="5" t="n"/>
      <c r="H1005" s="5" t="n"/>
      <c r="I1005" s="5" t="n"/>
      <c r="J1005" s="5" t="n">
        <v>41.67</v>
      </c>
      <c r="K1005" s="5" t="n"/>
      <c r="L1005" s="5" t="n"/>
      <c r="M1005" s="5" t="n"/>
      <c r="N1005" s="5" t="n"/>
      <c r="O1005" s="5" t="n">
        <v>250</v>
      </c>
      <c r="P1005" s="5" t="n"/>
      <c r="Q1005" s="5" t="n">
        <v>250</v>
      </c>
      <c r="R1005" s="5" t="n"/>
      <c r="S1005" s="5">
        <f>SUM(F1005:I1005)+N1005</f>
        <v/>
      </c>
      <c r="T1005" s="5">
        <f>J1005</f>
        <v/>
      </c>
      <c r="U1005" s="6">
        <f>YEAR(D1005)</f>
        <v/>
      </c>
      <c r="V1005" s="5">
        <f>TEXT(D1005,"yyyy-mm")</f>
        <v/>
      </c>
    </row>
    <row r="1006">
      <c r="A1006" s="2" t="inlineStr">
        <is>
          <t>EJ030225.TXT</t>
        </is>
      </c>
      <c r="B1006" s="3" t="inlineStr">
        <is>
          <t>005692</t>
        </is>
      </c>
      <c r="C1006" s="3" t="inlineStr">
        <is>
          <t>004566</t>
        </is>
      </c>
      <c r="D1006" s="4" t="n">
        <v>45667</v>
      </c>
      <c r="E1006" s="2" t="inlineStr">
        <is>
          <t>18:05</t>
        </is>
      </c>
      <c r="F1006" s="5" t="n">
        <v>57.5</v>
      </c>
      <c r="G1006" s="5" t="n"/>
      <c r="H1006" s="5" t="n"/>
      <c r="I1006" s="5" t="n"/>
      <c r="J1006" s="5" t="n">
        <v>11.5</v>
      </c>
      <c r="K1006" s="5" t="n"/>
      <c r="L1006" s="5" t="n"/>
      <c r="M1006" s="5" t="n"/>
      <c r="N1006" s="5" t="n"/>
      <c r="O1006" s="5" t="n">
        <v>69</v>
      </c>
      <c r="P1006" s="5" t="n"/>
      <c r="Q1006" s="5" t="n">
        <v>69</v>
      </c>
      <c r="R1006" s="5" t="n"/>
      <c r="S1006" s="5">
        <f>SUM(F1006:I1006)+N1006</f>
        <v/>
      </c>
      <c r="T1006" s="5">
        <f>J1006</f>
        <v/>
      </c>
      <c r="U1006" s="6">
        <f>YEAR(D1006)</f>
        <v/>
      </c>
      <c r="V1006" s="5">
        <f>TEXT(D1006,"yyyy-mm")</f>
        <v/>
      </c>
    </row>
    <row r="1007">
      <c r="A1007" s="2" t="inlineStr">
        <is>
          <t>EJ030225.TXT</t>
        </is>
      </c>
      <c r="B1007" s="3" t="inlineStr">
        <is>
          <t>005693</t>
        </is>
      </c>
      <c r="C1007" s="3" t="inlineStr">
        <is>
          <t>004567</t>
        </is>
      </c>
      <c r="D1007" s="4" t="n">
        <v>45670</v>
      </c>
      <c r="E1007" s="2" t="inlineStr">
        <is>
          <t>12:22</t>
        </is>
      </c>
      <c r="F1007" s="5" t="n">
        <v>149.92</v>
      </c>
      <c r="G1007" s="5" t="n"/>
      <c r="H1007" s="5" t="n"/>
      <c r="I1007" s="5" t="n"/>
      <c r="J1007" s="5" t="n">
        <v>29.98</v>
      </c>
      <c r="K1007" s="5" t="n"/>
      <c r="L1007" s="5" t="n"/>
      <c r="M1007" s="5" t="n"/>
      <c r="N1007" s="5" t="n"/>
      <c r="O1007" s="5" t="n">
        <v>179.9</v>
      </c>
      <c r="P1007" s="5" t="n">
        <v>179.9</v>
      </c>
      <c r="Q1007" s="5" t="n"/>
      <c r="R1007" s="5" t="n"/>
      <c r="S1007" s="5">
        <f>SUM(F1007:I1007)+N1007</f>
        <v/>
      </c>
      <c r="T1007" s="5">
        <f>J1007</f>
        <v/>
      </c>
      <c r="U1007" s="6">
        <f>YEAR(D1007)</f>
        <v/>
      </c>
      <c r="V1007" s="5">
        <f>TEXT(D1007,"yyyy-mm")</f>
        <v/>
      </c>
    </row>
    <row r="1008">
      <c r="A1008" s="2" t="inlineStr">
        <is>
          <t>EJ030225.TXT</t>
        </is>
      </c>
      <c r="B1008" s="3" t="inlineStr">
        <is>
          <t>005694</t>
        </is>
      </c>
      <c r="C1008" s="3" t="inlineStr">
        <is>
          <t>004568</t>
        </is>
      </c>
      <c r="D1008" s="4" t="n">
        <v>45670</v>
      </c>
      <c r="E1008" s="2" t="inlineStr">
        <is>
          <t>12:29</t>
        </is>
      </c>
      <c r="F1008" s="5" t="n">
        <v>248.33</v>
      </c>
      <c r="G1008" s="5" t="n"/>
      <c r="H1008" s="5" t="n"/>
      <c r="I1008" s="5" t="n"/>
      <c r="J1008" s="5" t="n">
        <v>49.67</v>
      </c>
      <c r="K1008" s="5" t="n"/>
      <c r="L1008" s="5" t="n"/>
      <c r="M1008" s="5" t="n"/>
      <c r="N1008" s="5" t="n"/>
      <c r="O1008" s="5" t="n">
        <v>298</v>
      </c>
      <c r="P1008" s="5" t="n">
        <v>298</v>
      </c>
      <c r="Q1008" s="5" t="n"/>
      <c r="R1008" s="5" t="n"/>
      <c r="S1008" s="5">
        <f>SUM(F1008:I1008)+N1008</f>
        <v/>
      </c>
      <c r="T1008" s="5">
        <f>J1008</f>
        <v/>
      </c>
      <c r="U1008" s="6">
        <f>YEAR(D1008)</f>
        <v/>
      </c>
      <c r="V1008" s="5">
        <f>TEXT(D1008,"yyyy-mm")</f>
        <v/>
      </c>
    </row>
    <row r="1009">
      <c r="A1009" s="2" t="inlineStr">
        <is>
          <t>EJ030225.TXT</t>
        </is>
      </c>
      <c r="B1009" s="3" t="inlineStr">
        <is>
          <t>005695</t>
        </is>
      </c>
      <c r="C1009" s="3" t="inlineStr">
        <is>
          <t>004569</t>
        </is>
      </c>
      <c r="D1009" s="4" t="n">
        <v>45670</v>
      </c>
      <c r="E1009" s="2" t="inlineStr">
        <is>
          <t>16:37</t>
        </is>
      </c>
      <c r="F1009" s="5" t="n">
        <v>208.33</v>
      </c>
      <c r="G1009" s="5" t="n"/>
      <c r="H1009" s="5" t="n"/>
      <c r="I1009" s="5" t="n"/>
      <c r="J1009" s="5" t="n">
        <v>41.67</v>
      </c>
      <c r="K1009" s="5" t="n"/>
      <c r="L1009" s="5" t="n"/>
      <c r="M1009" s="5" t="n"/>
      <c r="N1009" s="5" t="n"/>
      <c r="O1009" s="5" t="n">
        <v>250</v>
      </c>
      <c r="P1009" s="5" t="n"/>
      <c r="Q1009" s="5" t="n">
        <v>250</v>
      </c>
      <c r="R1009" s="5" t="n"/>
      <c r="S1009" s="5">
        <f>SUM(F1009:I1009)+N1009</f>
        <v/>
      </c>
      <c r="T1009" s="5">
        <f>J1009</f>
        <v/>
      </c>
      <c r="U1009" s="6">
        <f>YEAR(D1009)</f>
        <v/>
      </c>
      <c r="V1009" s="5">
        <f>TEXT(D1009,"yyyy-mm")</f>
        <v/>
      </c>
    </row>
    <row r="1010">
      <c r="A1010" s="2" t="inlineStr">
        <is>
          <t>EJ030225.TXT</t>
        </is>
      </c>
      <c r="B1010" s="3" t="inlineStr">
        <is>
          <t>005696</t>
        </is>
      </c>
      <c r="C1010" s="3" t="inlineStr">
        <is>
          <t>004570</t>
        </is>
      </c>
      <c r="D1010" s="4" t="n">
        <v>45671</v>
      </c>
      <c r="E1010" s="2" t="inlineStr">
        <is>
          <t>15:17</t>
        </is>
      </c>
      <c r="F1010" s="5" t="n">
        <v>548.33</v>
      </c>
      <c r="G1010" s="5" t="n"/>
      <c r="H1010" s="5" t="n"/>
      <c r="I1010" s="5" t="n"/>
      <c r="J1010" s="5" t="n">
        <v>109.67</v>
      </c>
      <c r="K1010" s="5" t="n"/>
      <c r="L1010" s="5" t="n"/>
      <c r="M1010" s="5" t="n"/>
      <c r="N1010" s="5" t="n"/>
      <c r="O1010" s="5" t="n">
        <v>658</v>
      </c>
      <c r="P1010" s="5" t="n"/>
      <c r="Q1010" s="5" t="n">
        <v>658</v>
      </c>
      <c r="R1010" s="5" t="n"/>
      <c r="S1010" s="5">
        <f>SUM(F1010:I1010)+N1010</f>
        <v/>
      </c>
      <c r="T1010" s="5">
        <f>J1010</f>
        <v/>
      </c>
      <c r="U1010" s="6">
        <f>YEAR(D1010)</f>
        <v/>
      </c>
      <c r="V1010" s="5">
        <f>TEXT(D1010,"yyyy-mm")</f>
        <v/>
      </c>
    </row>
    <row r="1011">
      <c r="A1011" s="2" t="inlineStr">
        <is>
          <t>EJ030225.TXT</t>
        </is>
      </c>
      <c r="B1011" s="3" t="inlineStr">
        <is>
          <t>005697</t>
        </is>
      </c>
      <c r="C1011" s="3" t="inlineStr">
        <is>
          <t>004571</t>
        </is>
      </c>
      <c r="D1011" s="4" t="n">
        <v>45672</v>
      </c>
      <c r="E1011" s="2" t="inlineStr">
        <is>
          <t>10:59</t>
        </is>
      </c>
      <c r="F1011" s="5" t="n">
        <v>190.83</v>
      </c>
      <c r="G1011" s="5" t="n"/>
      <c r="H1011" s="5" t="n"/>
      <c r="I1011" s="5" t="n"/>
      <c r="J1011" s="5" t="n">
        <v>38.17</v>
      </c>
      <c r="K1011" s="5" t="n"/>
      <c r="L1011" s="5" t="n"/>
      <c r="M1011" s="5" t="n"/>
      <c r="N1011" s="5" t="n"/>
      <c r="O1011" s="5" t="n">
        <v>229</v>
      </c>
      <c r="P1011" s="5" t="n"/>
      <c r="Q1011" s="5" t="n">
        <v>229</v>
      </c>
      <c r="R1011" s="5" t="n"/>
      <c r="S1011" s="5">
        <f>SUM(F1011:I1011)+N1011</f>
        <v/>
      </c>
      <c r="T1011" s="5">
        <f>J1011</f>
        <v/>
      </c>
      <c r="U1011" s="6">
        <f>YEAR(D1011)</f>
        <v/>
      </c>
      <c r="V1011" s="5">
        <f>TEXT(D1011,"yyyy-mm")</f>
        <v/>
      </c>
    </row>
    <row r="1012">
      <c r="A1012" s="2" t="inlineStr">
        <is>
          <t>EJ030225.TXT</t>
        </is>
      </c>
      <c r="B1012" s="3" t="inlineStr">
        <is>
          <t>005698</t>
        </is>
      </c>
      <c r="C1012" s="3" t="inlineStr">
        <is>
          <t>004572</t>
        </is>
      </c>
      <c r="D1012" s="4" t="n">
        <v>45672</v>
      </c>
      <c r="E1012" s="2" t="inlineStr">
        <is>
          <t>14:50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/>
      <c r="Q1012" s="5" t="n">
        <v>658</v>
      </c>
      <c r="R1012" s="5" t="n"/>
      <c r="S1012" s="5">
        <f>SUM(F1012:I1012)+N1012</f>
        <v/>
      </c>
      <c r="T1012" s="5">
        <f>J1012</f>
        <v/>
      </c>
      <c r="U1012" s="6">
        <f>YEAR(D1012)</f>
        <v/>
      </c>
      <c r="V1012" s="5">
        <f>TEXT(D1012,"yyyy-mm")</f>
        <v/>
      </c>
    </row>
    <row r="1013">
      <c r="A1013" s="2" t="inlineStr">
        <is>
          <t>EJ030225.TXT</t>
        </is>
      </c>
      <c r="B1013" s="3" t="inlineStr">
        <is>
          <t>005699</t>
        </is>
      </c>
      <c r="C1013" s="3" t="inlineStr">
        <is>
          <t>004573</t>
        </is>
      </c>
      <c r="D1013" s="4" t="n">
        <v>45673</v>
      </c>
      <c r="E1013" s="2" t="inlineStr">
        <is>
          <t>15:41</t>
        </is>
      </c>
      <c r="F1013" s="5" t="n">
        <v>208.33</v>
      </c>
      <c r="G1013" s="5" t="n"/>
      <c r="H1013" s="5" t="n"/>
      <c r="I1013" s="5" t="n"/>
      <c r="J1013" s="5" t="n">
        <v>41.67</v>
      </c>
      <c r="K1013" s="5" t="n"/>
      <c r="L1013" s="5" t="n"/>
      <c r="M1013" s="5" t="n"/>
      <c r="N1013" s="5" t="n"/>
      <c r="O1013" s="5" t="n">
        <v>250</v>
      </c>
      <c r="P1013" s="5" t="n"/>
      <c r="Q1013" s="5" t="n">
        <v>250</v>
      </c>
      <c r="R1013" s="5" t="n"/>
      <c r="S1013" s="5">
        <f>SUM(F1013:I1013)+N1013</f>
        <v/>
      </c>
      <c r="T1013" s="5">
        <f>J1013</f>
        <v/>
      </c>
      <c r="U1013" s="6">
        <f>YEAR(D1013)</f>
        <v/>
      </c>
      <c r="V1013" s="5">
        <f>TEXT(D1013,"yyyy-mm")</f>
        <v/>
      </c>
    </row>
    <row r="1014">
      <c r="A1014" s="2" t="inlineStr">
        <is>
          <t>EJ030225.TXT</t>
        </is>
      </c>
      <c r="B1014" s="3" t="inlineStr">
        <is>
          <t>005700</t>
        </is>
      </c>
      <c r="C1014" s="3" t="inlineStr">
        <is>
          <t>004574</t>
        </is>
      </c>
      <c r="D1014" s="4" t="n">
        <v>45673</v>
      </c>
      <c r="E1014" s="2" t="inlineStr">
        <is>
          <t>16:00</t>
        </is>
      </c>
      <c r="F1014" s="5" t="n">
        <v>274.17</v>
      </c>
      <c r="G1014" s="5" t="n"/>
      <c r="H1014" s="5" t="n"/>
      <c r="I1014" s="5" t="n"/>
      <c r="J1014" s="5" t="n">
        <v>54.83</v>
      </c>
      <c r="K1014" s="5" t="n"/>
      <c r="L1014" s="5" t="n"/>
      <c r="M1014" s="5" t="n"/>
      <c r="N1014" s="5" t="n"/>
      <c r="O1014" s="5" t="n">
        <v>329</v>
      </c>
      <c r="P1014" s="5" t="n"/>
      <c r="Q1014" s="5" t="n">
        <v>329</v>
      </c>
      <c r="R1014" s="5" t="n"/>
      <c r="S1014" s="5">
        <f>SUM(F1014:I1014)+N1014</f>
        <v/>
      </c>
      <c r="T1014" s="5">
        <f>J1014</f>
        <v/>
      </c>
      <c r="U1014" s="6">
        <f>YEAR(D1014)</f>
        <v/>
      </c>
      <c r="V1014" s="5">
        <f>TEXT(D1014,"yyyy-mm")</f>
        <v/>
      </c>
    </row>
    <row r="1015">
      <c r="A1015" s="2" t="inlineStr">
        <is>
          <t>EJ030225.TXT</t>
        </is>
      </c>
      <c r="B1015" s="3" t="inlineStr">
        <is>
          <t>005701</t>
        </is>
      </c>
      <c r="C1015" s="3" t="inlineStr">
        <is>
          <t>004575</t>
        </is>
      </c>
      <c r="D1015" s="4" t="n">
        <v>45673</v>
      </c>
      <c r="E1015" s="2" t="inlineStr">
        <is>
          <t>18:13</t>
        </is>
      </c>
      <c r="F1015" s="5" t="n">
        <v>274.17</v>
      </c>
      <c r="G1015" s="5" t="n"/>
      <c r="H1015" s="5" t="n"/>
      <c r="I1015" s="5" t="n"/>
      <c r="J1015" s="5" t="n">
        <v>54.83</v>
      </c>
      <c r="K1015" s="5" t="n"/>
      <c r="L1015" s="5" t="n"/>
      <c r="M1015" s="5" t="n"/>
      <c r="N1015" s="5" t="n"/>
      <c r="O1015" s="5" t="n">
        <v>329</v>
      </c>
      <c r="P1015" s="5" t="n">
        <v>329</v>
      </c>
      <c r="Q1015" s="5" t="n"/>
      <c r="R1015" s="5" t="n"/>
      <c r="S1015" s="5">
        <f>SUM(F1015:I1015)+N1015</f>
        <v/>
      </c>
      <c r="T1015" s="5">
        <f>J1015</f>
        <v/>
      </c>
      <c r="U1015" s="6">
        <f>YEAR(D1015)</f>
        <v/>
      </c>
      <c r="V1015" s="5">
        <f>TEXT(D1015,"yyyy-mm")</f>
        <v/>
      </c>
    </row>
    <row r="1016">
      <c r="A1016" s="2" t="inlineStr">
        <is>
          <t>EJ030225.TXT</t>
        </is>
      </c>
      <c r="B1016" s="3" t="inlineStr">
        <is>
          <t>005702</t>
        </is>
      </c>
      <c r="C1016" s="3" t="inlineStr">
        <is>
          <t>004576</t>
        </is>
      </c>
      <c r="D1016" s="4" t="n">
        <v>45674</v>
      </c>
      <c r="E1016" s="2" t="inlineStr">
        <is>
          <t>17:34</t>
        </is>
      </c>
      <c r="F1016" s="5" t="n">
        <v>208.33</v>
      </c>
      <c r="G1016" s="5" t="n"/>
      <c r="H1016" s="5" t="n"/>
      <c r="I1016" s="5" t="n"/>
      <c r="J1016" s="5" t="n">
        <v>41.67</v>
      </c>
      <c r="K1016" s="5" t="n"/>
      <c r="L1016" s="5" t="n"/>
      <c r="M1016" s="5" t="n"/>
      <c r="N1016" s="5" t="n"/>
      <c r="O1016" s="5" t="n">
        <v>250</v>
      </c>
      <c r="P1016" s="5" t="n"/>
      <c r="Q1016" s="5" t="n">
        <v>250</v>
      </c>
      <c r="R1016" s="5" t="n"/>
      <c r="S1016" s="5">
        <f>SUM(F1016:I1016)+N1016</f>
        <v/>
      </c>
      <c r="T1016" s="5">
        <f>J1016</f>
        <v/>
      </c>
      <c r="U1016" s="6">
        <f>YEAR(D1016)</f>
        <v/>
      </c>
      <c r="V1016" s="5">
        <f>TEXT(D1016,"yyyy-mm")</f>
        <v/>
      </c>
    </row>
    <row r="1017">
      <c r="A1017" s="2" t="inlineStr">
        <is>
          <t>EJ030225.TXT</t>
        </is>
      </c>
      <c r="B1017" s="3" t="inlineStr">
        <is>
          <t>005703</t>
        </is>
      </c>
      <c r="C1017" s="3" t="inlineStr">
        <is>
          <t>004577</t>
        </is>
      </c>
      <c r="D1017" s="4" t="n">
        <v>45675</v>
      </c>
      <c r="E1017" s="2" t="inlineStr">
        <is>
          <t>15:09</t>
        </is>
      </c>
      <c r="F1017" s="5" t="n">
        <v>33.25</v>
      </c>
      <c r="G1017" s="5" t="n"/>
      <c r="H1017" s="5" t="n"/>
      <c r="I1017" s="5" t="n"/>
      <c r="J1017" s="5" t="n">
        <v>6.65</v>
      </c>
      <c r="K1017" s="5" t="n"/>
      <c r="L1017" s="5" t="n"/>
      <c r="M1017" s="5" t="n"/>
      <c r="N1017" s="5" t="n"/>
      <c r="O1017" s="5" t="n">
        <v>39.9</v>
      </c>
      <c r="P1017" s="5" t="n">
        <v>39.9</v>
      </c>
      <c r="Q1017" s="5" t="n"/>
      <c r="R1017" s="5" t="n"/>
      <c r="S1017" s="5">
        <f>SUM(F1017:I1017)+N1017</f>
        <v/>
      </c>
      <c r="T1017" s="5">
        <f>J1017</f>
        <v/>
      </c>
      <c r="U1017" s="6">
        <f>YEAR(D1017)</f>
        <v/>
      </c>
      <c r="V1017" s="5">
        <f>TEXT(D1017,"yyyy-mm")</f>
        <v/>
      </c>
    </row>
    <row r="1018">
      <c r="A1018" s="2" t="inlineStr">
        <is>
          <t>EJ030225.TXT</t>
        </is>
      </c>
      <c r="B1018" s="3" t="inlineStr">
        <is>
          <t>005704</t>
        </is>
      </c>
      <c r="C1018" s="3" t="inlineStr">
        <is>
          <t>004578</t>
        </is>
      </c>
      <c r="D1018" s="4" t="n">
        <v>45678</v>
      </c>
      <c r="E1018" s="2" t="inlineStr">
        <is>
          <t>16:53</t>
        </is>
      </c>
      <c r="F1018" s="5" t="n">
        <v>274.17</v>
      </c>
      <c r="G1018" s="5" t="n"/>
      <c r="H1018" s="5" t="n"/>
      <c r="I1018" s="5" t="n"/>
      <c r="J1018" s="5" t="n">
        <v>54.83</v>
      </c>
      <c r="K1018" s="5" t="n"/>
      <c r="L1018" s="5" t="n"/>
      <c r="M1018" s="5" t="n"/>
      <c r="N1018" s="5" t="n"/>
      <c r="O1018" s="5" t="n">
        <v>329</v>
      </c>
      <c r="P1018" s="5" t="n">
        <v>329</v>
      </c>
      <c r="Q1018" s="5" t="n"/>
      <c r="R1018" s="5" t="n"/>
      <c r="S1018" s="5">
        <f>SUM(F1018:I1018)+N1018</f>
        <v/>
      </c>
      <c r="T1018" s="5">
        <f>J1018</f>
        <v/>
      </c>
      <c r="U1018" s="6">
        <f>YEAR(D1018)</f>
        <v/>
      </c>
      <c r="V1018" s="5">
        <f>TEXT(D1018,"yyyy-mm")</f>
        <v/>
      </c>
    </row>
    <row r="1019">
      <c r="A1019" s="2" t="inlineStr">
        <is>
          <t>EJ030225.TXT</t>
        </is>
      </c>
      <c r="B1019" s="3" t="inlineStr">
        <is>
          <t>005705</t>
        </is>
      </c>
      <c r="C1019" s="3" t="inlineStr">
        <is>
          <t>004579</t>
        </is>
      </c>
      <c r="D1019" s="4" t="n">
        <v>45684</v>
      </c>
      <c r="E1019" s="2" t="inlineStr">
        <is>
          <t>12:13</t>
        </is>
      </c>
      <c r="F1019" s="5" t="n">
        <v>33.25</v>
      </c>
      <c r="G1019" s="5" t="n"/>
      <c r="H1019" s="5" t="n"/>
      <c r="I1019" s="5" t="n"/>
      <c r="J1019" s="5" t="n">
        <v>6.65</v>
      </c>
      <c r="K1019" s="5" t="n"/>
      <c r="L1019" s="5" t="n"/>
      <c r="M1019" s="5" t="n"/>
      <c r="N1019" s="5" t="n"/>
      <c r="O1019" s="5" t="n">
        <v>39.9</v>
      </c>
      <c r="P1019" s="5" t="n">
        <v>39.9</v>
      </c>
      <c r="Q1019" s="5" t="n"/>
      <c r="R1019" s="5" t="n"/>
      <c r="S1019" s="5">
        <f>SUM(F1019:I1019)+N1019</f>
        <v/>
      </c>
      <c r="T1019" s="5">
        <f>J1019</f>
        <v/>
      </c>
      <c r="U1019" s="6">
        <f>YEAR(D1019)</f>
        <v/>
      </c>
      <c r="V1019" s="5">
        <f>TEXT(D1019,"yyyy-mm")</f>
        <v/>
      </c>
    </row>
    <row r="1020">
      <c r="A1020" s="2" t="inlineStr">
        <is>
          <t>EJ030225.TXT</t>
        </is>
      </c>
      <c r="B1020" s="3" t="inlineStr">
        <is>
          <t>005706</t>
        </is>
      </c>
      <c r="C1020" s="3" t="inlineStr">
        <is>
          <t>004580</t>
        </is>
      </c>
      <c r="D1020" s="4" t="n">
        <v>45685</v>
      </c>
      <c r="E1020" s="2" t="inlineStr">
        <is>
          <t>10:10</t>
        </is>
      </c>
      <c r="F1020" s="5" t="n">
        <v>274.17</v>
      </c>
      <c r="G1020" s="5" t="n"/>
      <c r="H1020" s="5" t="n"/>
      <c r="I1020" s="5" t="n"/>
      <c r="J1020" s="5" t="n">
        <v>54.83</v>
      </c>
      <c r="K1020" s="5" t="n"/>
      <c r="L1020" s="5" t="n"/>
      <c r="M1020" s="5" t="n"/>
      <c r="N1020" s="5" t="n"/>
      <c r="O1020" s="5" t="n">
        <v>329</v>
      </c>
      <c r="P1020" s="5" t="n">
        <v>329</v>
      </c>
      <c r="Q1020" s="5" t="n"/>
      <c r="R1020" s="5" t="n"/>
      <c r="S1020" s="5">
        <f>SUM(F1020:I1020)+N1020</f>
        <v/>
      </c>
      <c r="T1020" s="5">
        <f>J1020</f>
        <v/>
      </c>
      <c r="U1020" s="6">
        <f>YEAR(D1020)</f>
        <v/>
      </c>
      <c r="V1020" s="5">
        <f>TEXT(D1020,"yyyy-mm")</f>
        <v/>
      </c>
    </row>
    <row r="1021">
      <c r="A1021" s="2" t="inlineStr">
        <is>
          <t>EJ030225.TXT</t>
        </is>
      </c>
      <c r="B1021" s="3" t="inlineStr">
        <is>
          <t>005707</t>
        </is>
      </c>
      <c r="C1021" s="3" t="inlineStr">
        <is>
          <t>004581</t>
        </is>
      </c>
      <c r="D1021" s="4" t="n">
        <v>45685</v>
      </c>
      <c r="E1021" s="2" t="inlineStr">
        <is>
          <t>12:39</t>
        </is>
      </c>
      <c r="F1021" s="5" t="n">
        <v>465</v>
      </c>
      <c r="G1021" s="5" t="n"/>
      <c r="H1021" s="5" t="n"/>
      <c r="I1021" s="5" t="n"/>
      <c r="J1021" s="5" t="n">
        <v>93</v>
      </c>
      <c r="K1021" s="5" t="n"/>
      <c r="L1021" s="5" t="n"/>
      <c r="M1021" s="5" t="n"/>
      <c r="N1021" s="5" t="n"/>
      <c r="O1021" s="5" t="n">
        <v>558</v>
      </c>
      <c r="P1021" s="5" t="n">
        <v>558</v>
      </c>
      <c r="Q1021" s="5" t="n"/>
      <c r="R1021" s="5" t="n"/>
      <c r="S1021" s="5">
        <f>SUM(F1021:I1021)+N1021</f>
        <v/>
      </c>
      <c r="T1021" s="5">
        <f>J1021</f>
        <v/>
      </c>
      <c r="U1021" s="6">
        <f>YEAR(D1021)</f>
        <v/>
      </c>
      <c r="V1021" s="5">
        <f>TEXT(D1021,"yyyy-mm")</f>
        <v/>
      </c>
    </row>
    <row r="1022">
      <c r="A1022" s="2" t="inlineStr">
        <is>
          <t>EJ030225.TXT</t>
        </is>
      </c>
      <c r="B1022" s="3" t="inlineStr">
        <is>
          <t>005708</t>
        </is>
      </c>
      <c r="C1022" s="3" t="inlineStr">
        <is>
          <t>004582</t>
        </is>
      </c>
      <c r="D1022" s="4" t="n">
        <v>45685</v>
      </c>
      <c r="E1022" s="2" t="inlineStr">
        <is>
          <t>14:45</t>
        </is>
      </c>
      <c r="F1022" s="5" t="n">
        <v>274.17</v>
      </c>
      <c r="G1022" s="5" t="n"/>
      <c r="H1022" s="5" t="n"/>
      <c r="I1022" s="5" t="n"/>
      <c r="J1022" s="5" t="n">
        <v>54.83</v>
      </c>
      <c r="K1022" s="5" t="n"/>
      <c r="L1022" s="5" t="n"/>
      <c r="M1022" s="5" t="n"/>
      <c r="N1022" s="5" t="n"/>
      <c r="O1022" s="5" t="n">
        <v>329</v>
      </c>
      <c r="P1022" s="5" t="n"/>
      <c r="Q1022" s="5" t="n">
        <v>329</v>
      </c>
      <c r="R1022" s="5" t="n"/>
      <c r="S1022" s="5">
        <f>SUM(F1022:I1022)+N1022</f>
        <v/>
      </c>
      <c r="T1022" s="5">
        <f>J1022</f>
        <v/>
      </c>
      <c r="U1022" s="6">
        <f>YEAR(D1022)</f>
        <v/>
      </c>
      <c r="V1022" s="5">
        <f>TEXT(D1022,"yyyy-mm")</f>
        <v/>
      </c>
    </row>
    <row r="1023">
      <c r="A1023" s="2" t="inlineStr">
        <is>
          <t>EJ030225.TXT</t>
        </is>
      </c>
      <c r="B1023" s="3" t="inlineStr">
        <is>
          <t>005709</t>
        </is>
      </c>
      <c r="C1023" s="3" t="inlineStr">
        <is>
          <t>004583</t>
        </is>
      </c>
      <c r="D1023" s="4" t="n">
        <v>45686</v>
      </c>
      <c r="E1023" s="2" t="inlineStr">
        <is>
          <t>12:12</t>
        </is>
      </c>
      <c r="F1023" s="5" t="n">
        <v>33.25</v>
      </c>
      <c r="G1023" s="5" t="n"/>
      <c r="H1023" s="5" t="n"/>
      <c r="I1023" s="5" t="n"/>
      <c r="J1023" s="5" t="n">
        <v>6.65</v>
      </c>
      <c r="K1023" s="5" t="n"/>
      <c r="L1023" s="5" t="n"/>
      <c r="M1023" s="5" t="n"/>
      <c r="N1023" s="5" t="n"/>
      <c r="O1023" s="5" t="n">
        <v>39.9</v>
      </c>
      <c r="P1023" s="5" t="n">
        <v>39.9</v>
      </c>
      <c r="Q1023" s="5" t="n"/>
      <c r="R1023" s="5" t="n"/>
      <c r="S1023" s="5">
        <f>SUM(F1023:I1023)+N1023</f>
        <v/>
      </c>
      <c r="T1023" s="5">
        <f>J1023</f>
        <v/>
      </c>
      <c r="U1023" s="6">
        <f>YEAR(D1023)</f>
        <v/>
      </c>
      <c r="V1023" s="5">
        <f>TEXT(D1023,"yyyy-mm")</f>
        <v/>
      </c>
    </row>
    <row r="1024">
      <c r="A1024" s="2" t="inlineStr">
        <is>
          <t>EJ030225.TXT</t>
        </is>
      </c>
      <c r="B1024" s="3" t="inlineStr">
        <is>
          <t>005710</t>
        </is>
      </c>
      <c r="C1024" s="3" t="inlineStr">
        <is>
          <t>004584</t>
        </is>
      </c>
      <c r="D1024" s="4" t="n">
        <v>45686</v>
      </c>
      <c r="E1024" s="2" t="inlineStr">
        <is>
          <t>15:04</t>
        </is>
      </c>
      <c r="F1024" s="5" t="n">
        <v>66.5</v>
      </c>
      <c r="G1024" s="5" t="n"/>
      <c r="H1024" s="5" t="n"/>
      <c r="I1024" s="5" t="n"/>
      <c r="J1024" s="5" t="n">
        <v>13.3</v>
      </c>
      <c r="K1024" s="5" t="n"/>
      <c r="L1024" s="5" t="n"/>
      <c r="M1024" s="5" t="n"/>
      <c r="N1024" s="5" t="n"/>
      <c r="O1024" s="5" t="n">
        <v>79.8</v>
      </c>
      <c r="P1024" s="5" t="n"/>
      <c r="Q1024" s="5" t="n">
        <v>79.8</v>
      </c>
      <c r="R1024" s="5" t="n"/>
      <c r="S1024" s="5">
        <f>SUM(F1024:I1024)+N1024</f>
        <v/>
      </c>
      <c r="T1024" s="5">
        <f>J1024</f>
        <v/>
      </c>
      <c r="U1024" s="6">
        <f>YEAR(D1024)</f>
        <v/>
      </c>
      <c r="V1024" s="5">
        <f>TEXT(D1024,"yyyy-mm")</f>
        <v/>
      </c>
    </row>
    <row r="1025">
      <c r="A1025" s="2" t="inlineStr">
        <is>
          <t>EJ030225.TXT</t>
        </is>
      </c>
      <c r="B1025" s="3" t="inlineStr">
        <is>
          <t>005711</t>
        </is>
      </c>
      <c r="C1025" s="3" t="inlineStr">
        <is>
          <t>004585</t>
        </is>
      </c>
      <c r="D1025" s="4" t="n">
        <v>45686</v>
      </c>
      <c r="E1025" s="2" t="inlineStr">
        <is>
          <t>16:27</t>
        </is>
      </c>
      <c r="F1025" s="5" t="n">
        <v>240.75</v>
      </c>
      <c r="G1025" s="5" t="n"/>
      <c r="H1025" s="5" t="n"/>
      <c r="I1025" s="5" t="n"/>
      <c r="J1025" s="5" t="n">
        <v>48.15</v>
      </c>
      <c r="K1025" s="5" t="n"/>
      <c r="L1025" s="5" t="n"/>
      <c r="M1025" s="5" t="n"/>
      <c r="N1025" s="5" t="n"/>
      <c r="O1025" s="5" t="n">
        <v>288.9</v>
      </c>
      <c r="P1025" s="5" t="n">
        <v>288.9</v>
      </c>
      <c r="Q1025" s="5" t="n"/>
      <c r="R1025" s="5" t="n"/>
      <c r="S1025" s="5">
        <f>SUM(F1025:I1025)+N1025</f>
        <v/>
      </c>
      <c r="T1025" s="5">
        <f>J1025</f>
        <v/>
      </c>
      <c r="U1025" s="6">
        <f>YEAR(D1025)</f>
        <v/>
      </c>
      <c r="V1025" s="5">
        <f>TEXT(D1025,"yyyy-mm")</f>
        <v/>
      </c>
    </row>
    <row r="1026">
      <c r="A1026" s="2" t="inlineStr">
        <is>
          <t>EJ030225.TXT</t>
        </is>
      </c>
      <c r="B1026" s="3" t="inlineStr">
        <is>
          <t>005712</t>
        </is>
      </c>
      <c r="C1026" s="3" t="inlineStr">
        <is>
          <t>004586</t>
        </is>
      </c>
      <c r="D1026" s="4" t="n">
        <v>45686</v>
      </c>
      <c r="E1026" s="2" t="inlineStr">
        <is>
          <t>16:43</t>
        </is>
      </c>
      <c r="F1026" s="5" t="n">
        <v>208.33</v>
      </c>
      <c r="G1026" s="5" t="n"/>
      <c r="H1026" s="5" t="n"/>
      <c r="I1026" s="5" t="n"/>
      <c r="J1026" s="5" t="n">
        <v>41.67</v>
      </c>
      <c r="K1026" s="5" t="n"/>
      <c r="L1026" s="5" t="n"/>
      <c r="M1026" s="5" t="n"/>
      <c r="N1026" s="5" t="n"/>
      <c r="O1026" s="5" t="n">
        <v>250</v>
      </c>
      <c r="P1026" s="5" t="n"/>
      <c r="Q1026" s="5" t="n">
        <v>250</v>
      </c>
      <c r="R1026" s="5" t="n"/>
      <c r="S1026" s="5">
        <f>SUM(F1026:I1026)+N1026</f>
        <v/>
      </c>
      <c r="T1026" s="5">
        <f>J1026</f>
        <v/>
      </c>
      <c r="U1026" s="6">
        <f>YEAR(D1026)</f>
        <v/>
      </c>
      <c r="V1026" s="5">
        <f>TEXT(D1026,"yyyy-mm")</f>
        <v/>
      </c>
    </row>
    <row r="1027">
      <c r="A1027" s="2" t="inlineStr">
        <is>
          <t>EJ030225.TXT</t>
        </is>
      </c>
      <c r="B1027" s="3" t="inlineStr">
        <is>
          <t>005713</t>
        </is>
      </c>
      <c r="C1027" s="3" t="inlineStr">
        <is>
          <t>004587</t>
        </is>
      </c>
      <c r="D1027" s="4" t="n">
        <v>45688</v>
      </c>
      <c r="E1027" s="2" t="inlineStr">
        <is>
          <t>16:06</t>
        </is>
      </c>
      <c r="F1027" s="5" t="n">
        <v>548.33</v>
      </c>
      <c r="G1027" s="5" t="n"/>
      <c r="H1027" s="5" t="n"/>
      <c r="I1027" s="5" t="n"/>
      <c r="J1027" s="5" t="n">
        <v>109.67</v>
      </c>
      <c r="K1027" s="5" t="n"/>
      <c r="L1027" s="5" t="n"/>
      <c r="M1027" s="5" t="n"/>
      <c r="N1027" s="5" t="n"/>
      <c r="O1027" s="5" t="n">
        <v>658</v>
      </c>
      <c r="P1027" s="5" t="n">
        <v>658</v>
      </c>
      <c r="Q1027" s="5" t="n"/>
      <c r="R1027" s="5" t="n"/>
      <c r="S1027" s="5">
        <f>SUM(F1027:I1027)+N1027</f>
        <v/>
      </c>
      <c r="T1027" s="5">
        <f>J1027</f>
        <v/>
      </c>
      <c r="U1027" s="6">
        <f>YEAR(D1027)</f>
        <v/>
      </c>
      <c r="V1027" s="5">
        <f>TEXT(D1027,"yyyy-mm")</f>
        <v/>
      </c>
    </row>
    <row r="1028">
      <c r="A1028" s="2" t="inlineStr">
        <is>
          <t>EJ030225.TXT</t>
        </is>
      </c>
      <c r="B1028" s="3" t="inlineStr">
        <is>
          <t>005714</t>
        </is>
      </c>
      <c r="C1028" s="3" t="inlineStr">
        <is>
          <t>004588</t>
        </is>
      </c>
      <c r="D1028" s="4" t="n">
        <v>45688</v>
      </c>
      <c r="E1028" s="2" t="inlineStr">
        <is>
          <t>17:19</t>
        </is>
      </c>
      <c r="F1028" s="5" t="n">
        <v>548.33</v>
      </c>
      <c r="G1028" s="5" t="n"/>
      <c r="H1028" s="5" t="n"/>
      <c r="I1028" s="5" t="n"/>
      <c r="J1028" s="5" t="n">
        <v>109.67</v>
      </c>
      <c r="K1028" s="5" t="n"/>
      <c r="L1028" s="5" t="n"/>
      <c r="M1028" s="5" t="n"/>
      <c r="N1028" s="5" t="n"/>
      <c r="O1028" s="5" t="n">
        <v>658</v>
      </c>
      <c r="P1028" s="5" t="n"/>
      <c r="Q1028" s="5" t="n">
        <v>658</v>
      </c>
      <c r="R1028" s="5" t="n"/>
      <c r="S1028" s="5">
        <f>SUM(F1028:I1028)+N1028</f>
        <v/>
      </c>
      <c r="T1028" s="5">
        <f>J1028</f>
        <v/>
      </c>
      <c r="U1028" s="6">
        <f>YEAR(D1028)</f>
        <v/>
      </c>
      <c r="V1028" s="5">
        <f>TEXT(D1028,"yyyy-mm")</f>
        <v/>
      </c>
    </row>
    <row r="1029">
      <c r="A1029" s="2" t="inlineStr">
        <is>
          <t>EJ030225.TXT</t>
        </is>
      </c>
      <c r="B1029" s="3" t="inlineStr">
        <is>
          <t>005715</t>
        </is>
      </c>
      <c r="C1029" s="3" t="inlineStr">
        <is>
          <t>004589</t>
        </is>
      </c>
      <c r="D1029" s="4" t="n">
        <v>45688</v>
      </c>
      <c r="E1029" s="2" t="inlineStr">
        <is>
          <t>17:39</t>
        </is>
      </c>
      <c r="F1029" s="5" t="n">
        <v>208.33</v>
      </c>
      <c r="G1029" s="5" t="n"/>
      <c r="H1029" s="5" t="n"/>
      <c r="I1029" s="5" t="n"/>
      <c r="J1029" s="5" t="n">
        <v>41.67</v>
      </c>
      <c r="K1029" s="5" t="n"/>
      <c r="L1029" s="5" t="n"/>
      <c r="M1029" s="5" t="n"/>
      <c r="N1029" s="5" t="n"/>
      <c r="O1029" s="5" t="n">
        <v>250</v>
      </c>
      <c r="P1029" s="5" t="n"/>
      <c r="Q1029" s="5" t="n">
        <v>250</v>
      </c>
      <c r="R1029" s="5" t="n"/>
      <c r="S1029" s="5">
        <f>SUM(F1029:I1029)+N1029</f>
        <v/>
      </c>
      <c r="T1029" s="5">
        <f>J1029</f>
        <v/>
      </c>
      <c r="U1029" s="6">
        <f>YEAR(D1029)</f>
        <v/>
      </c>
      <c r="V1029" s="5">
        <f>TEXT(D1029,"yyyy-mm")</f>
        <v/>
      </c>
    </row>
    <row r="1030">
      <c r="A1030" s="2" t="inlineStr">
        <is>
          <t>EJ030225.TXT</t>
        </is>
      </c>
      <c r="B1030" s="3" t="inlineStr">
        <is>
          <t>005716</t>
        </is>
      </c>
      <c r="C1030" s="3" t="inlineStr">
        <is>
          <t>004590</t>
        </is>
      </c>
      <c r="D1030" s="4" t="n">
        <v>45691</v>
      </c>
      <c r="E1030" s="2" t="inlineStr">
        <is>
          <t>10:41</t>
        </is>
      </c>
      <c r="F1030" s="5" t="n">
        <v>274.17</v>
      </c>
      <c r="G1030" s="5" t="n"/>
      <c r="H1030" s="5" t="n"/>
      <c r="I1030" s="5" t="n"/>
      <c r="J1030" s="5" t="n">
        <v>54.83</v>
      </c>
      <c r="K1030" s="5" t="n"/>
      <c r="L1030" s="5" t="n"/>
      <c r="M1030" s="5" t="n"/>
      <c r="N1030" s="5" t="n"/>
      <c r="O1030" s="5" t="n">
        <v>329</v>
      </c>
      <c r="P1030" s="5" t="n"/>
      <c r="Q1030" s="5" t="n">
        <v>329</v>
      </c>
      <c r="R1030" s="5" t="n"/>
      <c r="S1030" s="5">
        <f>SUM(F1030:I1030)+N1030</f>
        <v/>
      </c>
      <c r="T1030" s="5">
        <f>J1030</f>
        <v/>
      </c>
      <c r="U1030" s="6">
        <f>YEAR(D1030)</f>
        <v/>
      </c>
      <c r="V1030" s="5">
        <f>TEXT(D1030,"yyyy-mm")</f>
        <v/>
      </c>
    </row>
    <row r="1031">
      <c r="A1031" s="2" t="inlineStr">
        <is>
          <t>EJ030225.TXT</t>
        </is>
      </c>
      <c r="B1031" s="3" t="inlineStr">
        <is>
          <t>005717</t>
        </is>
      </c>
      <c r="C1031" s="3" t="inlineStr">
        <is>
          <t>004591</t>
        </is>
      </c>
      <c r="D1031" s="4" t="n">
        <v>45691</v>
      </c>
      <c r="E1031" s="2" t="inlineStr">
        <is>
          <t>10:41</t>
        </is>
      </c>
      <c r="F1031" s="5" t="n">
        <v>274.17</v>
      </c>
      <c r="G1031" s="5" t="n"/>
      <c r="H1031" s="5" t="n"/>
      <c r="I1031" s="5" t="n"/>
      <c r="J1031" s="5" t="n">
        <v>54.83</v>
      </c>
      <c r="K1031" s="5" t="n"/>
      <c r="L1031" s="5" t="n"/>
      <c r="M1031" s="5" t="n"/>
      <c r="N1031" s="5" t="n"/>
      <c r="O1031" s="5" t="n">
        <v>329</v>
      </c>
      <c r="P1031" s="5" t="n"/>
      <c r="Q1031" s="5" t="n">
        <v>329</v>
      </c>
      <c r="R1031" s="5" t="n"/>
      <c r="S1031" s="5">
        <f>SUM(F1031:I1031)+N1031</f>
        <v/>
      </c>
      <c r="T1031" s="5">
        <f>J1031</f>
        <v/>
      </c>
      <c r="U1031" s="6">
        <f>YEAR(D1031)</f>
        <v/>
      </c>
      <c r="V1031" s="5">
        <f>TEXT(D1031,"yyyy-mm")</f>
        <v/>
      </c>
    </row>
    <row r="1032">
      <c r="A1032" s="2" t="inlineStr">
        <is>
          <t>EJ010325.TXT</t>
        </is>
      </c>
      <c r="B1032" s="3" t="inlineStr">
        <is>
          <t>005725</t>
        </is>
      </c>
      <c r="C1032" s="3" t="inlineStr">
        <is>
          <t>004592</t>
        </is>
      </c>
      <c r="D1032" s="4" t="n">
        <v>45691</v>
      </c>
      <c r="E1032" s="2" t="inlineStr">
        <is>
          <t>14:34</t>
        </is>
      </c>
      <c r="F1032" s="5" t="n">
        <v>1370.83</v>
      </c>
      <c r="G1032" s="5" t="n"/>
      <c r="H1032" s="5" t="n"/>
      <c r="I1032" s="5" t="n"/>
      <c r="J1032" s="5" t="n">
        <v>274.17</v>
      </c>
      <c r="K1032" s="5" t="n"/>
      <c r="L1032" s="5" t="n"/>
      <c r="M1032" s="5" t="n"/>
      <c r="N1032" s="5" t="n"/>
      <c r="O1032" s="5" t="n">
        <v>1645</v>
      </c>
      <c r="P1032" s="5" t="n">
        <v>1645</v>
      </c>
      <c r="Q1032" s="5" t="n"/>
      <c r="R1032" s="5" t="n"/>
      <c r="S1032" s="5">
        <f>SUM(F1032:I1032)+N1032</f>
        <v/>
      </c>
      <c r="T1032" s="5">
        <f>J1032</f>
        <v/>
      </c>
      <c r="U1032" s="6">
        <f>YEAR(D1032)</f>
        <v/>
      </c>
      <c r="V1032" s="5">
        <f>TEXT(D1032,"yyyy-mm")</f>
        <v/>
      </c>
    </row>
    <row r="1033">
      <c r="A1033" s="2" t="inlineStr">
        <is>
          <t>EJ010325.TXT</t>
        </is>
      </c>
      <c r="B1033" s="3" t="inlineStr">
        <is>
          <t>005726</t>
        </is>
      </c>
      <c r="C1033" s="3" t="inlineStr">
        <is>
          <t>004593</t>
        </is>
      </c>
      <c r="D1033" s="4" t="n">
        <v>45691</v>
      </c>
      <c r="E1033" s="2" t="inlineStr">
        <is>
          <t>14:35</t>
        </is>
      </c>
      <c r="F1033" s="5" t="n">
        <v>1595</v>
      </c>
      <c r="G1033" s="5" t="n"/>
      <c r="H1033" s="5" t="n"/>
      <c r="I1033" s="5" t="n"/>
      <c r="J1033" s="5" t="n">
        <v>319</v>
      </c>
      <c r="K1033" s="5" t="n"/>
      <c r="L1033" s="5" t="n"/>
      <c r="M1033" s="5" t="n"/>
      <c r="N1033" s="5" t="n"/>
      <c r="O1033" s="5" t="n">
        <v>1914</v>
      </c>
      <c r="P1033" s="5" t="n">
        <v>1914</v>
      </c>
      <c r="Q1033" s="5" t="n"/>
      <c r="R1033" s="5" t="n"/>
      <c r="S1033" s="5">
        <f>SUM(F1033:I1033)+N1033</f>
        <v/>
      </c>
      <c r="T1033" s="5">
        <f>J1033</f>
        <v/>
      </c>
      <c r="U1033" s="6">
        <f>YEAR(D1033)</f>
        <v/>
      </c>
      <c r="V1033" s="5">
        <f>TEXT(D1033,"yyyy-mm")</f>
        <v/>
      </c>
    </row>
    <row r="1034">
      <c r="A1034" s="2" t="inlineStr">
        <is>
          <t>EJ010325.TXT</t>
        </is>
      </c>
      <c r="B1034" s="3" t="inlineStr">
        <is>
          <t>005727</t>
        </is>
      </c>
      <c r="C1034" s="3" t="inlineStr">
        <is>
          <t>004594</t>
        </is>
      </c>
      <c r="D1034" s="4" t="n">
        <v>45691</v>
      </c>
      <c r="E1034" s="2" t="inlineStr">
        <is>
          <t>14:35</t>
        </is>
      </c>
      <c r="F1034" s="5" t="n">
        <v>1595</v>
      </c>
      <c r="G1034" s="5" t="n"/>
      <c r="H1034" s="5" t="n"/>
      <c r="I1034" s="5" t="n"/>
      <c r="J1034" s="5" t="n">
        <v>319</v>
      </c>
      <c r="K1034" s="5" t="n"/>
      <c r="L1034" s="5" t="n"/>
      <c r="M1034" s="5" t="n"/>
      <c r="N1034" s="5" t="n"/>
      <c r="O1034" s="5" t="n">
        <v>1914</v>
      </c>
      <c r="P1034" s="5" t="n">
        <v>1914</v>
      </c>
      <c r="Q1034" s="5" t="n"/>
      <c r="R1034" s="5" t="n"/>
      <c r="S1034" s="5">
        <f>SUM(F1034:I1034)+N1034</f>
        <v/>
      </c>
      <c r="T1034" s="5">
        <f>J1034</f>
        <v/>
      </c>
      <c r="U1034" s="6">
        <f>YEAR(D1034)</f>
        <v/>
      </c>
      <c r="V1034" s="5">
        <f>TEXT(D1034,"yyyy-mm")</f>
        <v/>
      </c>
    </row>
    <row r="1035">
      <c r="A1035" s="2" t="inlineStr">
        <is>
          <t>EJ010325.TXT</t>
        </is>
      </c>
      <c r="B1035" s="3" t="inlineStr">
        <is>
          <t>005728</t>
        </is>
      </c>
      <c r="C1035" s="3" t="inlineStr">
        <is>
          <t>004595</t>
        </is>
      </c>
      <c r="D1035" s="4" t="n">
        <v>45694</v>
      </c>
      <c r="E1035" s="2" t="inlineStr">
        <is>
          <t>12:47</t>
        </is>
      </c>
      <c r="F1035" s="5" t="n">
        <v>830</v>
      </c>
      <c r="G1035" s="5" t="n"/>
      <c r="H1035" s="5" t="n"/>
      <c r="I1035" s="5" t="n"/>
      <c r="J1035" s="5" t="n">
        <v>166</v>
      </c>
      <c r="K1035" s="5" t="n"/>
      <c r="L1035" s="5" t="n"/>
      <c r="M1035" s="5" t="n"/>
      <c r="N1035" s="5" t="n"/>
      <c r="O1035" s="5" t="n">
        <v>996</v>
      </c>
      <c r="P1035" s="5" t="n"/>
      <c r="Q1035" s="5" t="n">
        <v>996</v>
      </c>
      <c r="R1035" s="5" t="n"/>
      <c r="S1035" s="5">
        <f>SUM(F1035:I1035)+N1035</f>
        <v/>
      </c>
      <c r="T1035" s="5">
        <f>J1035</f>
        <v/>
      </c>
      <c r="U1035" s="6">
        <f>YEAR(D1035)</f>
        <v/>
      </c>
      <c r="V1035" s="5">
        <f>TEXT(D1035,"yyyy-mm")</f>
        <v/>
      </c>
    </row>
    <row r="1036">
      <c r="A1036" s="2" t="inlineStr">
        <is>
          <t>EJ010325.TXT</t>
        </is>
      </c>
      <c r="B1036" s="3" t="inlineStr">
        <is>
          <t>005729</t>
        </is>
      </c>
      <c r="C1036" s="3" t="inlineStr">
        <is>
          <t>004596</t>
        </is>
      </c>
      <c r="D1036" s="4" t="n">
        <v>45694</v>
      </c>
      <c r="E1036" s="2" t="inlineStr">
        <is>
          <t>17:45</t>
        </is>
      </c>
      <c r="F1036" s="5" t="n">
        <v>548.33</v>
      </c>
      <c r="G1036" s="5" t="n"/>
      <c r="H1036" s="5" t="n"/>
      <c r="I1036" s="5" t="n"/>
      <c r="J1036" s="5" t="n">
        <v>109.67</v>
      </c>
      <c r="K1036" s="5" t="n"/>
      <c r="L1036" s="5" t="n"/>
      <c r="M1036" s="5" t="n"/>
      <c r="N1036" s="5" t="n"/>
      <c r="O1036" s="5" t="n">
        <v>658</v>
      </c>
      <c r="P1036" s="5" t="n"/>
      <c r="Q1036" s="5" t="n">
        <v>658</v>
      </c>
      <c r="R1036" s="5" t="n"/>
      <c r="S1036" s="5">
        <f>SUM(F1036:I1036)+N1036</f>
        <v/>
      </c>
      <c r="T1036" s="5">
        <f>J1036</f>
        <v/>
      </c>
      <c r="U1036" s="6">
        <f>YEAR(D1036)</f>
        <v/>
      </c>
      <c r="V1036" s="5">
        <f>TEXT(D1036,"yyyy-mm")</f>
        <v/>
      </c>
    </row>
    <row r="1037">
      <c r="A1037" s="2" t="inlineStr">
        <is>
          <t>EJ010325.TXT</t>
        </is>
      </c>
      <c r="B1037" s="3" t="inlineStr">
        <is>
          <t>005730</t>
        </is>
      </c>
      <c r="C1037" s="3" t="inlineStr">
        <is>
          <t>004597</t>
        </is>
      </c>
      <c r="D1037" s="4" t="n">
        <v>45695</v>
      </c>
      <c r="E1037" s="2" t="inlineStr">
        <is>
          <t>16:53</t>
        </is>
      </c>
      <c r="F1037" s="5" t="n">
        <v>208.33</v>
      </c>
      <c r="G1037" s="5" t="n"/>
      <c r="H1037" s="5" t="n"/>
      <c r="I1037" s="5" t="n"/>
      <c r="J1037" s="5" t="n">
        <v>41.67</v>
      </c>
      <c r="K1037" s="5" t="n"/>
      <c r="L1037" s="5" t="n"/>
      <c r="M1037" s="5" t="n"/>
      <c r="N1037" s="5" t="n"/>
      <c r="O1037" s="5" t="n">
        <v>250</v>
      </c>
      <c r="P1037" s="5" t="n"/>
      <c r="Q1037" s="5" t="n">
        <v>250</v>
      </c>
      <c r="R1037" s="5" t="n"/>
      <c r="S1037" s="5">
        <f>SUM(F1037:I1037)+N1037</f>
        <v/>
      </c>
      <c r="T1037" s="5">
        <f>J1037</f>
        <v/>
      </c>
      <c r="U1037" s="6">
        <f>YEAR(D1037)</f>
        <v/>
      </c>
      <c r="V1037" s="5">
        <f>TEXT(D1037,"yyyy-mm")</f>
        <v/>
      </c>
    </row>
    <row r="1038">
      <c r="A1038" s="2" t="inlineStr">
        <is>
          <t>EJ010325.TXT</t>
        </is>
      </c>
      <c r="B1038" s="3" t="inlineStr">
        <is>
          <t>005731</t>
        </is>
      </c>
      <c r="C1038" s="3" t="inlineStr">
        <is>
          <t>004598</t>
        </is>
      </c>
      <c r="D1038" s="4" t="n">
        <v>45698</v>
      </c>
      <c r="E1038" s="2" t="inlineStr">
        <is>
          <t>15:37</t>
        </is>
      </c>
      <c r="F1038" s="5" t="n">
        <v>124.17</v>
      </c>
      <c r="G1038" s="5" t="n"/>
      <c r="H1038" s="5" t="n"/>
      <c r="I1038" s="5" t="n"/>
      <c r="J1038" s="5" t="n">
        <v>24.83</v>
      </c>
      <c r="K1038" s="5" t="n"/>
      <c r="L1038" s="5" t="n"/>
      <c r="M1038" s="5" t="n"/>
      <c r="N1038" s="5" t="n"/>
      <c r="O1038" s="5" t="n">
        <v>149</v>
      </c>
      <c r="P1038" s="5" t="n">
        <v>149</v>
      </c>
      <c r="Q1038" s="5" t="n"/>
      <c r="R1038" s="5" t="n"/>
      <c r="S1038" s="5">
        <f>SUM(F1038:I1038)+N1038</f>
        <v/>
      </c>
      <c r="T1038" s="5">
        <f>J1038</f>
        <v/>
      </c>
      <c r="U1038" s="6">
        <f>YEAR(D1038)</f>
        <v/>
      </c>
      <c r="V1038" s="5">
        <f>TEXT(D1038,"yyyy-mm")</f>
        <v/>
      </c>
    </row>
    <row r="1039">
      <c r="A1039" s="2" t="inlineStr">
        <is>
          <t>EJ010325.TXT</t>
        </is>
      </c>
      <c r="B1039" s="3" t="inlineStr">
        <is>
          <t>005732</t>
        </is>
      </c>
      <c r="C1039" s="3" t="inlineStr">
        <is>
          <t>004599</t>
        </is>
      </c>
      <c r="D1039" s="4" t="n">
        <v>45699</v>
      </c>
      <c r="E1039" s="2" t="inlineStr">
        <is>
          <t>11:31</t>
        </is>
      </c>
      <c r="F1039" s="5" t="n">
        <v>465.83</v>
      </c>
      <c r="G1039" s="5" t="n"/>
      <c r="H1039" s="5" t="n"/>
      <c r="I1039" s="5" t="n"/>
      <c r="J1039" s="5" t="n">
        <v>93.17</v>
      </c>
      <c r="K1039" s="5" t="n"/>
      <c r="L1039" s="5" t="n"/>
      <c r="M1039" s="5" t="n"/>
      <c r="N1039" s="5" t="n"/>
      <c r="O1039" s="5" t="n">
        <v>559</v>
      </c>
      <c r="P1039" s="5" t="n">
        <v>559</v>
      </c>
      <c r="Q1039" s="5" t="n"/>
      <c r="R1039" s="5" t="n"/>
      <c r="S1039" s="5">
        <f>SUM(F1039:I1039)+N1039</f>
        <v/>
      </c>
      <c r="T1039" s="5">
        <f>J1039</f>
        <v/>
      </c>
      <c r="U1039" s="6">
        <f>YEAR(D1039)</f>
        <v/>
      </c>
      <c r="V1039" s="5">
        <f>TEXT(D1039,"yyyy-mm")</f>
        <v/>
      </c>
    </row>
    <row r="1040">
      <c r="A1040" s="2" t="inlineStr">
        <is>
          <t>EJ010325.TXT</t>
        </is>
      </c>
      <c r="B1040" s="3" t="inlineStr">
        <is>
          <t>005733</t>
        </is>
      </c>
      <c r="C1040" s="3" t="inlineStr">
        <is>
          <t>004600</t>
        </is>
      </c>
      <c r="D1040" s="4" t="n">
        <v>45701</v>
      </c>
      <c r="E1040" s="2" t="inlineStr">
        <is>
          <t>15:40</t>
        </is>
      </c>
      <c r="F1040" s="5" t="n">
        <v>531.67</v>
      </c>
      <c r="G1040" s="5" t="n"/>
      <c r="H1040" s="5" t="n"/>
      <c r="I1040" s="5" t="n"/>
      <c r="J1040" s="5" t="n">
        <v>106.33</v>
      </c>
      <c r="K1040" s="5" t="n"/>
      <c r="L1040" s="5" t="n"/>
      <c r="M1040" s="5" t="n"/>
      <c r="N1040" s="5" t="n"/>
      <c r="O1040" s="5" t="n">
        <v>638</v>
      </c>
      <c r="P1040" s="5" t="n"/>
      <c r="Q1040" s="5" t="n">
        <v>638</v>
      </c>
      <c r="R1040" s="5" t="n"/>
      <c r="S1040" s="5">
        <f>SUM(F1040:I1040)+N1040</f>
        <v/>
      </c>
      <c r="T1040" s="5">
        <f>J1040</f>
        <v/>
      </c>
      <c r="U1040" s="6">
        <f>YEAR(D1040)</f>
        <v/>
      </c>
      <c r="V1040" s="5">
        <f>TEXT(D1040,"yyyy-mm")</f>
        <v/>
      </c>
    </row>
    <row r="1041">
      <c r="A1041" s="2" t="inlineStr">
        <is>
          <t>EJ010325.TXT</t>
        </is>
      </c>
      <c r="B1041" s="3" t="inlineStr">
        <is>
          <t>005734</t>
        </is>
      </c>
      <c r="C1041" s="3" t="inlineStr">
        <is>
          <t>004601</t>
        </is>
      </c>
      <c r="D1041" s="4" t="n">
        <v>45703</v>
      </c>
      <c r="E1041" s="2" t="inlineStr">
        <is>
          <t>17:39</t>
        </is>
      </c>
      <c r="F1041" s="5" t="n">
        <v>548.33</v>
      </c>
      <c r="G1041" s="5" t="n"/>
      <c r="H1041" s="5" t="n"/>
      <c r="I1041" s="5" t="n"/>
      <c r="J1041" s="5" t="n">
        <v>109.67</v>
      </c>
      <c r="K1041" s="5" t="n"/>
      <c r="L1041" s="5" t="n"/>
      <c r="M1041" s="5" t="n"/>
      <c r="N1041" s="5" t="n"/>
      <c r="O1041" s="5" t="n">
        <v>658</v>
      </c>
      <c r="P1041" s="5" t="n">
        <v>658</v>
      </c>
      <c r="Q1041" s="5" t="n"/>
      <c r="R1041" s="5" t="n"/>
      <c r="S1041" s="5">
        <f>SUM(F1041:I1041)+N1041</f>
        <v/>
      </c>
      <c r="T1041" s="5">
        <f>J1041</f>
        <v/>
      </c>
      <c r="U1041" s="6">
        <f>YEAR(D1041)</f>
        <v/>
      </c>
      <c r="V1041" s="5">
        <f>TEXT(D1041,"yyyy-mm")</f>
        <v/>
      </c>
    </row>
    <row r="1042">
      <c r="A1042" s="2" t="inlineStr">
        <is>
          <t>EJ010325.TXT</t>
        </is>
      </c>
      <c r="B1042" s="3" t="inlineStr">
        <is>
          <t>005735</t>
        </is>
      </c>
      <c r="C1042" s="3" t="inlineStr">
        <is>
          <t>004602</t>
        </is>
      </c>
      <c r="D1042" s="4" t="n">
        <v>45705</v>
      </c>
      <c r="E1042" s="2" t="inlineStr">
        <is>
          <t>16:57</t>
        </is>
      </c>
      <c r="F1042" s="5" t="n">
        <v>208.33</v>
      </c>
      <c r="G1042" s="5" t="n"/>
      <c r="H1042" s="5" t="n"/>
      <c r="I1042" s="5" t="n"/>
      <c r="J1042" s="5" t="n">
        <v>41.67</v>
      </c>
      <c r="K1042" s="5" t="n"/>
      <c r="L1042" s="5" t="n"/>
      <c r="M1042" s="5" t="n"/>
      <c r="N1042" s="5" t="n"/>
      <c r="O1042" s="5" t="n">
        <v>250</v>
      </c>
      <c r="P1042" s="5" t="n"/>
      <c r="Q1042" s="5" t="n">
        <v>250</v>
      </c>
      <c r="R1042" s="5" t="n"/>
      <c r="S1042" s="5">
        <f>SUM(F1042:I1042)+N1042</f>
        <v/>
      </c>
      <c r="T1042" s="5">
        <f>J1042</f>
        <v/>
      </c>
      <c r="U1042" s="6">
        <f>YEAR(D1042)</f>
        <v/>
      </c>
      <c r="V1042" s="5">
        <f>TEXT(D1042,"yyyy-mm")</f>
        <v/>
      </c>
    </row>
    <row r="1043">
      <c r="A1043" s="2" t="inlineStr">
        <is>
          <t>EJ010325.TXT</t>
        </is>
      </c>
      <c r="B1043" s="3" t="inlineStr">
        <is>
          <t>005736</t>
        </is>
      </c>
      <c r="C1043" s="3" t="inlineStr">
        <is>
          <t>004603</t>
        </is>
      </c>
      <c r="D1043" s="4" t="n">
        <v>45707</v>
      </c>
      <c r="E1043" s="2" t="inlineStr">
        <is>
          <t>14:17</t>
        </is>
      </c>
      <c r="F1043" s="5" t="n">
        <v>816.67</v>
      </c>
      <c r="G1043" s="5" t="n"/>
      <c r="H1043" s="5" t="n"/>
      <c r="I1043" s="5" t="n"/>
      <c r="J1043" s="5" t="n">
        <v>163.33</v>
      </c>
      <c r="K1043" s="5" t="n"/>
      <c r="L1043" s="5" t="n"/>
      <c r="M1043" s="5" t="n"/>
      <c r="N1043" s="5" t="n"/>
      <c r="O1043" s="5" t="n">
        <v>980</v>
      </c>
      <c r="P1043" s="5" t="n"/>
      <c r="Q1043" s="5" t="n">
        <v>980</v>
      </c>
      <c r="R1043" s="5" t="n"/>
      <c r="S1043" s="5">
        <f>SUM(F1043:I1043)+N1043</f>
        <v/>
      </c>
      <c r="T1043" s="5">
        <f>J1043</f>
        <v/>
      </c>
      <c r="U1043" s="6">
        <f>YEAR(D1043)</f>
        <v/>
      </c>
      <c r="V1043" s="5">
        <f>TEXT(D1043,"yyyy-mm")</f>
        <v/>
      </c>
    </row>
    <row r="1044">
      <c r="A1044" s="2" t="inlineStr">
        <is>
          <t>EJ010325.TXT</t>
        </is>
      </c>
      <c r="B1044" s="3" t="inlineStr">
        <is>
          <t>005737</t>
        </is>
      </c>
      <c r="C1044" s="3" t="inlineStr">
        <is>
          <t>004604</t>
        </is>
      </c>
      <c r="D1044" s="4" t="n">
        <v>45707</v>
      </c>
      <c r="E1044" s="2" t="inlineStr">
        <is>
          <t>14:17</t>
        </is>
      </c>
      <c r="F1044" s="5" t="n">
        <v>733.33</v>
      </c>
      <c r="G1044" s="5" t="n"/>
      <c r="H1044" s="5" t="n"/>
      <c r="I1044" s="5" t="n"/>
      <c r="J1044" s="5" t="n">
        <v>146.67</v>
      </c>
      <c r="K1044" s="5" t="n"/>
      <c r="L1044" s="5" t="n"/>
      <c r="M1044" s="5" t="n"/>
      <c r="N1044" s="5" t="n"/>
      <c r="O1044" s="5" t="n">
        <v>880</v>
      </c>
      <c r="P1044" s="5" t="n"/>
      <c r="Q1044" s="5" t="n">
        <v>880</v>
      </c>
      <c r="R1044" s="5" t="n"/>
      <c r="S1044" s="5">
        <f>SUM(F1044:I1044)+N1044</f>
        <v/>
      </c>
      <c r="T1044" s="5">
        <f>J1044</f>
        <v/>
      </c>
      <c r="U1044" s="6">
        <f>YEAR(D1044)</f>
        <v/>
      </c>
      <c r="V1044" s="5">
        <f>TEXT(D1044,"yyyy-mm")</f>
        <v/>
      </c>
    </row>
    <row r="1045">
      <c r="A1045" s="2" t="inlineStr">
        <is>
          <t>EJ010325.TXT</t>
        </is>
      </c>
      <c r="B1045" s="3" t="inlineStr">
        <is>
          <t>005738</t>
        </is>
      </c>
      <c r="C1045" s="3" t="inlineStr">
        <is>
          <t>004605</t>
        </is>
      </c>
      <c r="D1045" s="4" t="n">
        <v>45708</v>
      </c>
      <c r="E1045" s="2" t="inlineStr">
        <is>
          <t>15:41</t>
        </is>
      </c>
      <c r="F1045" s="5" t="n">
        <v>548.33</v>
      </c>
      <c r="G1045" s="5" t="n"/>
      <c r="H1045" s="5" t="n"/>
      <c r="I1045" s="5" t="n"/>
      <c r="J1045" s="5" t="n">
        <v>109.67</v>
      </c>
      <c r="K1045" s="5" t="n"/>
      <c r="L1045" s="5" t="n"/>
      <c r="M1045" s="5" t="n"/>
      <c r="N1045" s="5" t="n"/>
      <c r="O1045" s="5" t="n">
        <v>658</v>
      </c>
      <c r="P1045" s="5" t="n"/>
      <c r="Q1045" s="5" t="n">
        <v>658</v>
      </c>
      <c r="R1045" s="5" t="n"/>
      <c r="S1045" s="5">
        <f>SUM(F1045:I1045)+N1045</f>
        <v/>
      </c>
      <c r="T1045" s="5">
        <f>J1045</f>
        <v/>
      </c>
      <c r="U1045" s="6">
        <f>YEAR(D1045)</f>
        <v/>
      </c>
      <c r="V1045" s="5">
        <f>TEXT(D1045,"yyyy-mm")</f>
        <v/>
      </c>
    </row>
    <row r="1046">
      <c r="A1046" s="2" t="inlineStr">
        <is>
          <t>EJ010325.TXT</t>
        </is>
      </c>
      <c r="B1046" s="3" t="inlineStr">
        <is>
          <t>005739</t>
        </is>
      </c>
      <c r="C1046" s="3" t="inlineStr">
        <is>
          <t>004606</t>
        </is>
      </c>
      <c r="D1046" s="4" t="n">
        <v>45709</v>
      </c>
      <c r="E1046" s="2" t="inlineStr">
        <is>
          <t>14:52</t>
        </is>
      </c>
      <c r="F1046" s="5" t="n">
        <v>548.33</v>
      </c>
      <c r="G1046" s="5" t="n"/>
      <c r="H1046" s="5" t="n"/>
      <c r="I1046" s="5" t="n"/>
      <c r="J1046" s="5" t="n">
        <v>109.67</v>
      </c>
      <c r="K1046" s="5" t="n"/>
      <c r="L1046" s="5" t="n"/>
      <c r="M1046" s="5" t="n"/>
      <c r="N1046" s="5" t="n"/>
      <c r="O1046" s="5" t="n">
        <v>658</v>
      </c>
      <c r="P1046" s="5" t="n">
        <v>658</v>
      </c>
      <c r="Q1046" s="5" t="n"/>
      <c r="R1046" s="5" t="n"/>
      <c r="S1046" s="5">
        <f>SUM(F1046:I1046)+N1046</f>
        <v/>
      </c>
      <c r="T1046" s="5">
        <f>J1046</f>
        <v/>
      </c>
      <c r="U1046" s="6">
        <f>YEAR(D1046)</f>
        <v/>
      </c>
      <c r="V1046" s="5">
        <f>TEXT(D1046,"yyyy-mm")</f>
        <v/>
      </c>
    </row>
    <row r="1047">
      <c r="A1047" s="2" t="inlineStr">
        <is>
          <t>EJ010325.TXT</t>
        </is>
      </c>
      <c r="B1047" s="3" t="inlineStr">
        <is>
          <t>005740</t>
        </is>
      </c>
      <c r="C1047" s="3" t="inlineStr">
        <is>
          <t>004607</t>
        </is>
      </c>
      <c r="D1047" s="4" t="n">
        <v>45709</v>
      </c>
      <c r="E1047" s="2" t="inlineStr">
        <is>
          <t>15:29</t>
        </is>
      </c>
      <c r="F1047" s="5" t="n">
        <v>208.33</v>
      </c>
      <c r="G1047" s="5" t="n"/>
      <c r="H1047" s="5" t="n"/>
      <c r="I1047" s="5" t="n"/>
      <c r="J1047" s="5" t="n">
        <v>41.67</v>
      </c>
      <c r="K1047" s="5" t="n"/>
      <c r="L1047" s="5" t="n"/>
      <c r="M1047" s="5" t="n"/>
      <c r="N1047" s="5" t="n"/>
      <c r="O1047" s="5" t="n">
        <v>250</v>
      </c>
      <c r="P1047" s="5" t="n"/>
      <c r="Q1047" s="5" t="n">
        <v>250</v>
      </c>
      <c r="R1047" s="5" t="n"/>
      <c r="S1047" s="5">
        <f>SUM(F1047:I1047)+N1047</f>
        <v/>
      </c>
      <c r="T1047" s="5">
        <f>J1047</f>
        <v/>
      </c>
      <c r="U1047" s="6">
        <f>YEAR(D1047)</f>
        <v/>
      </c>
      <c r="V1047" s="5">
        <f>TEXT(D1047,"yyyy-mm")</f>
        <v/>
      </c>
    </row>
    <row r="1048">
      <c r="A1048" s="2" t="inlineStr">
        <is>
          <t>EJ010325.TXT</t>
        </is>
      </c>
      <c r="B1048" s="3" t="inlineStr">
        <is>
          <t>005741</t>
        </is>
      </c>
      <c r="C1048" s="3" t="inlineStr">
        <is>
          <t>004608</t>
        </is>
      </c>
      <c r="D1048" s="4" t="n">
        <v>45712</v>
      </c>
      <c r="E1048" s="2" t="inlineStr">
        <is>
          <t>16:55</t>
        </is>
      </c>
      <c r="F1048" s="5" t="n">
        <v>99.83</v>
      </c>
      <c r="G1048" s="5" t="n"/>
      <c r="H1048" s="5" t="n"/>
      <c r="I1048" s="5" t="n"/>
      <c r="J1048" s="5" t="n">
        <v>19.97</v>
      </c>
      <c r="K1048" s="5" t="n"/>
      <c r="L1048" s="5" t="n"/>
      <c r="M1048" s="5" t="n"/>
      <c r="N1048" s="5" t="n"/>
      <c r="O1048" s="5" t="n">
        <v>119.8</v>
      </c>
      <c r="P1048" s="5" t="n"/>
      <c r="Q1048" s="5" t="n">
        <v>119.8</v>
      </c>
      <c r="R1048" s="5" t="n"/>
      <c r="S1048" s="5">
        <f>SUM(F1048:I1048)+N1048</f>
        <v/>
      </c>
      <c r="T1048" s="5">
        <f>J1048</f>
        <v/>
      </c>
      <c r="U1048" s="6">
        <f>YEAR(D1048)</f>
        <v/>
      </c>
      <c r="V1048" s="5">
        <f>TEXT(D1048,"yyyy-mm")</f>
        <v/>
      </c>
    </row>
    <row r="1049">
      <c r="A1049" s="2" t="inlineStr">
        <is>
          <t>EJ010325.TXT</t>
        </is>
      </c>
      <c r="B1049" s="3" t="inlineStr">
        <is>
          <t>005742</t>
        </is>
      </c>
      <c r="C1049" s="3" t="inlineStr">
        <is>
          <t>004609</t>
        </is>
      </c>
      <c r="D1049" s="4" t="n">
        <v>45713</v>
      </c>
      <c r="E1049" s="2" t="inlineStr">
        <is>
          <t>10:24</t>
        </is>
      </c>
      <c r="F1049" s="5" t="n">
        <v>458.33</v>
      </c>
      <c r="G1049" s="5" t="n"/>
      <c r="H1049" s="5" t="n"/>
      <c r="I1049" s="5" t="n"/>
      <c r="J1049" s="5" t="n">
        <v>91.67</v>
      </c>
      <c r="K1049" s="5" t="n"/>
      <c r="L1049" s="5" t="n"/>
      <c r="M1049" s="5" t="n"/>
      <c r="N1049" s="5" t="n"/>
      <c r="O1049" s="5" t="n">
        <v>550</v>
      </c>
      <c r="P1049" s="5" t="n"/>
      <c r="Q1049" s="5" t="n">
        <v>550</v>
      </c>
      <c r="R1049" s="5" t="n"/>
      <c r="S1049" s="5">
        <f>SUM(F1049:I1049)+N1049</f>
        <v/>
      </c>
      <c r="T1049" s="5">
        <f>J1049</f>
        <v/>
      </c>
      <c r="U1049" s="6">
        <f>YEAR(D1049)</f>
        <v/>
      </c>
      <c r="V1049" s="5">
        <f>TEXT(D1049,"yyyy-mm")</f>
        <v/>
      </c>
    </row>
    <row r="1050">
      <c r="A1050" s="2" t="inlineStr">
        <is>
          <t>EJ010325.TXT</t>
        </is>
      </c>
      <c r="B1050" s="3" t="inlineStr">
        <is>
          <t>005743</t>
        </is>
      </c>
      <c r="C1050" s="3" t="inlineStr">
        <is>
          <t>004610</t>
        </is>
      </c>
      <c r="D1050" s="4" t="n">
        <v>45713</v>
      </c>
      <c r="E1050" s="2" t="inlineStr">
        <is>
          <t>10:24</t>
        </is>
      </c>
      <c r="F1050" s="5" t="n">
        <v>416.67</v>
      </c>
      <c r="G1050" s="5" t="n"/>
      <c r="H1050" s="5" t="n"/>
      <c r="I1050" s="5" t="n"/>
      <c r="J1050" s="5" t="n">
        <v>83.33</v>
      </c>
      <c r="K1050" s="5" t="n"/>
      <c r="L1050" s="5" t="n"/>
      <c r="M1050" s="5" t="n"/>
      <c r="N1050" s="5" t="n"/>
      <c r="O1050" s="5" t="n">
        <v>500</v>
      </c>
      <c r="P1050" s="5" t="n"/>
      <c r="Q1050" s="5" t="n">
        <v>500</v>
      </c>
      <c r="R1050" s="5" t="n"/>
      <c r="S1050" s="5">
        <f>SUM(F1050:I1050)+N1050</f>
        <v/>
      </c>
      <c r="T1050" s="5">
        <f>J1050</f>
        <v/>
      </c>
      <c r="U1050" s="6">
        <f>YEAR(D1050)</f>
        <v/>
      </c>
      <c r="V1050" s="5">
        <f>TEXT(D1050,"yyyy-mm")</f>
        <v/>
      </c>
    </row>
    <row r="1051">
      <c r="A1051" s="2" t="inlineStr">
        <is>
          <t>EJ010325.TXT</t>
        </is>
      </c>
      <c r="B1051" s="3" t="inlineStr">
        <is>
          <t>005744</t>
        </is>
      </c>
      <c r="C1051" s="3" t="inlineStr">
        <is>
          <t>004611</t>
        </is>
      </c>
      <c r="D1051" s="4" t="n">
        <v>45713</v>
      </c>
      <c r="E1051" s="2" t="inlineStr">
        <is>
          <t>12:05</t>
        </is>
      </c>
      <c r="F1051" s="5" t="n">
        <v>833.33</v>
      </c>
      <c r="G1051" s="5" t="n"/>
      <c r="H1051" s="5" t="n"/>
      <c r="I1051" s="5" t="n"/>
      <c r="J1051" s="5" t="n">
        <v>166.67</v>
      </c>
      <c r="K1051" s="5" t="n"/>
      <c r="L1051" s="5" t="n"/>
      <c r="M1051" s="5" t="n"/>
      <c r="N1051" s="5" t="n"/>
      <c r="O1051" s="5" t="n">
        <v>1000</v>
      </c>
      <c r="P1051" s="5" t="n"/>
      <c r="Q1051" s="5" t="n">
        <v>1000</v>
      </c>
      <c r="R1051" s="5" t="n"/>
      <c r="S1051" s="5">
        <f>SUM(F1051:I1051)+N1051</f>
        <v/>
      </c>
      <c r="T1051" s="5">
        <f>J1051</f>
        <v/>
      </c>
      <c r="U1051" s="6">
        <f>YEAR(D1051)</f>
        <v/>
      </c>
      <c r="V1051" s="5">
        <f>TEXT(D1051,"yyyy-mm")</f>
        <v/>
      </c>
    </row>
    <row r="1052">
      <c r="A1052" s="2" t="inlineStr">
        <is>
          <t>EJ010325.TXT</t>
        </is>
      </c>
      <c r="B1052" s="3" t="inlineStr">
        <is>
          <t>005745</t>
        </is>
      </c>
      <c r="C1052" s="3" t="inlineStr">
        <is>
          <t>004612</t>
        </is>
      </c>
      <c r="D1052" s="4" t="n">
        <v>45713</v>
      </c>
      <c r="E1052" s="2" t="inlineStr">
        <is>
          <t>12:06</t>
        </is>
      </c>
      <c r="F1052" s="5" t="n">
        <v>416.67</v>
      </c>
      <c r="G1052" s="5" t="n"/>
      <c r="H1052" s="5" t="n"/>
      <c r="I1052" s="5" t="n"/>
      <c r="J1052" s="5" t="n">
        <v>83.33</v>
      </c>
      <c r="K1052" s="5" t="n"/>
      <c r="L1052" s="5" t="n"/>
      <c r="M1052" s="5" t="n"/>
      <c r="N1052" s="5" t="n"/>
      <c r="O1052" s="5" t="n">
        <v>500</v>
      </c>
      <c r="P1052" s="5" t="n"/>
      <c r="Q1052" s="5" t="n">
        <v>500</v>
      </c>
      <c r="R1052" s="5" t="n"/>
      <c r="S1052" s="5">
        <f>SUM(F1052:I1052)+N1052</f>
        <v/>
      </c>
      <c r="T1052" s="5">
        <f>J1052</f>
        <v/>
      </c>
      <c r="U1052" s="6">
        <f>YEAR(D1052)</f>
        <v/>
      </c>
      <c r="V1052" s="5">
        <f>TEXT(D1052,"yyyy-mm")</f>
        <v/>
      </c>
    </row>
    <row r="1053">
      <c r="A1053" s="2" t="inlineStr">
        <is>
          <t>EJ010325.TXT</t>
        </is>
      </c>
      <c r="B1053" s="3" t="inlineStr">
        <is>
          <t>005746</t>
        </is>
      </c>
      <c r="C1053" s="3" t="inlineStr">
        <is>
          <t>004613</t>
        </is>
      </c>
      <c r="D1053" s="4" t="n">
        <v>45713</v>
      </c>
      <c r="E1053" s="2" t="inlineStr">
        <is>
          <t>15:53</t>
        </is>
      </c>
      <c r="F1053" s="5" t="n">
        <v>1063.33</v>
      </c>
      <c r="G1053" s="5" t="n"/>
      <c r="H1053" s="5" t="n"/>
      <c r="I1053" s="5" t="n"/>
      <c r="J1053" s="5" t="n">
        <v>212.67</v>
      </c>
      <c r="K1053" s="5" t="n"/>
      <c r="L1053" s="5" t="n"/>
      <c r="M1053" s="5" t="n"/>
      <c r="N1053" s="5" t="n"/>
      <c r="O1053" s="5" t="n">
        <v>1276</v>
      </c>
      <c r="P1053" s="5" t="n"/>
      <c r="Q1053" s="5" t="n">
        <v>1276</v>
      </c>
      <c r="R1053" s="5" t="n"/>
      <c r="S1053" s="5">
        <f>SUM(F1053:I1053)+N1053</f>
        <v/>
      </c>
      <c r="T1053" s="5">
        <f>J1053</f>
        <v/>
      </c>
      <c r="U1053" s="6">
        <f>YEAR(D1053)</f>
        <v/>
      </c>
      <c r="V1053" s="5">
        <f>TEXT(D1053,"yyyy-mm")</f>
        <v/>
      </c>
    </row>
    <row r="1054">
      <c r="A1054" s="2" t="inlineStr">
        <is>
          <t>EJ010325.TXT</t>
        </is>
      </c>
      <c r="B1054" s="3" t="inlineStr">
        <is>
          <t>005747</t>
        </is>
      </c>
      <c r="C1054" s="3" t="inlineStr">
        <is>
          <t>004614</t>
        </is>
      </c>
      <c r="D1054" s="4" t="n">
        <v>45716</v>
      </c>
      <c r="E1054" s="2" t="inlineStr">
        <is>
          <t>18:33</t>
        </is>
      </c>
      <c r="F1054" s="5" t="n">
        <v>689.17</v>
      </c>
      <c r="G1054" s="5" t="n"/>
      <c r="H1054" s="5" t="n"/>
      <c r="I1054" s="5" t="n"/>
      <c r="J1054" s="5" t="n">
        <v>137.83</v>
      </c>
      <c r="K1054" s="5" t="n"/>
      <c r="L1054" s="5" t="n"/>
      <c r="M1054" s="5" t="n"/>
      <c r="N1054" s="5" t="n"/>
      <c r="O1054" s="5" t="n">
        <v>827</v>
      </c>
      <c r="P1054" s="5" t="n"/>
      <c r="Q1054" s="5" t="n">
        <v>827</v>
      </c>
      <c r="R1054" s="5" t="n"/>
      <c r="S1054" s="5">
        <f>SUM(F1054:I1054)+N1054</f>
        <v/>
      </c>
      <c r="T1054" s="5">
        <f>J1054</f>
        <v/>
      </c>
      <c r="U1054" s="6">
        <f>YEAR(D1054)</f>
        <v/>
      </c>
      <c r="V1054" s="5">
        <f>TEXT(D1054,"yyyy-mm")</f>
        <v/>
      </c>
    </row>
    <row r="1055">
      <c r="A1055" s="2" t="inlineStr">
        <is>
          <t>EJ290325.TXT</t>
        </is>
      </c>
      <c r="B1055" s="3" t="inlineStr">
        <is>
          <t>005755</t>
        </is>
      </c>
      <c r="C1055" s="3" t="inlineStr">
        <is>
          <t>004615</t>
        </is>
      </c>
      <c r="D1055" s="4" t="n">
        <v>45720</v>
      </c>
      <c r="E1055" s="2" t="inlineStr">
        <is>
          <t>11:04</t>
        </is>
      </c>
      <c r="F1055" s="5" t="n">
        <v>416.67</v>
      </c>
      <c r="G1055" s="5" t="n"/>
      <c r="H1055" s="5" t="n"/>
      <c r="I1055" s="5" t="n"/>
      <c r="J1055" s="5" t="n">
        <v>83.33</v>
      </c>
      <c r="K1055" s="5" t="n"/>
      <c r="L1055" s="5" t="n"/>
      <c r="M1055" s="5" t="n"/>
      <c r="N1055" s="5" t="n"/>
      <c r="O1055" s="5" t="n">
        <v>500</v>
      </c>
      <c r="P1055" s="5" t="n"/>
      <c r="Q1055" s="5" t="n">
        <v>500</v>
      </c>
      <c r="R1055" s="5" t="n"/>
      <c r="S1055" s="5">
        <f>SUM(F1055:I1055)+N1055</f>
        <v/>
      </c>
      <c r="T1055" s="5">
        <f>J1055</f>
        <v/>
      </c>
      <c r="U1055" s="6">
        <f>YEAR(D1055)</f>
        <v/>
      </c>
      <c r="V1055" s="5">
        <f>TEXT(D1055,"yyyy-mm")</f>
        <v/>
      </c>
    </row>
    <row r="1056">
      <c r="A1056" s="2" t="inlineStr">
        <is>
          <t>EJ290325.TXT</t>
        </is>
      </c>
      <c r="B1056" s="3" t="inlineStr">
        <is>
          <t>005756</t>
        </is>
      </c>
      <c r="C1056" s="3" t="inlineStr">
        <is>
          <t>004616</t>
        </is>
      </c>
      <c r="D1056" s="4" t="n">
        <v>45720</v>
      </c>
      <c r="E1056" s="2" t="inlineStr">
        <is>
          <t>16:20</t>
        </is>
      </c>
      <c r="F1056" s="5" t="n">
        <v>548.33</v>
      </c>
      <c r="G1056" s="5" t="n"/>
      <c r="H1056" s="5" t="n"/>
      <c r="I1056" s="5" t="n"/>
      <c r="J1056" s="5" t="n">
        <v>109.67</v>
      </c>
      <c r="K1056" s="5" t="n"/>
      <c r="L1056" s="5" t="n"/>
      <c r="M1056" s="5" t="n"/>
      <c r="N1056" s="5" t="n"/>
      <c r="O1056" s="5" t="n">
        <v>658</v>
      </c>
      <c r="P1056" s="5" t="n"/>
      <c r="Q1056" s="5" t="n">
        <v>658</v>
      </c>
      <c r="R1056" s="5" t="n"/>
      <c r="S1056" s="5">
        <f>SUM(F1056:I1056)+N1056</f>
        <v/>
      </c>
      <c r="T1056" s="5">
        <f>J1056</f>
        <v/>
      </c>
      <c r="U1056" s="6">
        <f>YEAR(D1056)</f>
        <v/>
      </c>
      <c r="V1056" s="5">
        <f>TEXT(D1056,"yyyy-mm")</f>
        <v/>
      </c>
    </row>
    <row r="1057">
      <c r="A1057" s="2" t="inlineStr">
        <is>
          <t>EJ290325.TXT</t>
        </is>
      </c>
      <c r="B1057" s="3" t="inlineStr">
        <is>
          <t>005757</t>
        </is>
      </c>
      <c r="C1057" s="3" t="inlineStr">
        <is>
          <t>004617</t>
        </is>
      </c>
      <c r="D1057" s="4" t="n">
        <v>45720</v>
      </c>
      <c r="E1057" s="2" t="inlineStr">
        <is>
          <t>17:46</t>
        </is>
      </c>
      <c r="F1057" s="5" t="n">
        <v>247.5</v>
      </c>
      <c r="G1057" s="5" t="n"/>
      <c r="H1057" s="5" t="n"/>
      <c r="I1057" s="5" t="n"/>
      <c r="J1057" s="5" t="n">
        <v>49.5</v>
      </c>
      <c r="K1057" s="5" t="n"/>
      <c r="L1057" s="5" t="n"/>
      <c r="M1057" s="5" t="n"/>
      <c r="N1057" s="5" t="n"/>
      <c r="O1057" s="5" t="n">
        <v>297</v>
      </c>
      <c r="P1057" s="5" t="n">
        <v>297</v>
      </c>
      <c r="Q1057" s="5" t="n"/>
      <c r="R1057" s="5" t="n"/>
      <c r="S1057" s="5">
        <f>SUM(F1057:I1057)+N1057</f>
        <v/>
      </c>
      <c r="T1057" s="5">
        <f>J1057</f>
        <v/>
      </c>
      <c r="U1057" s="6">
        <f>YEAR(D1057)</f>
        <v/>
      </c>
      <c r="V1057" s="5">
        <f>TEXT(D1057,"yyyy-mm")</f>
        <v/>
      </c>
    </row>
    <row r="1058">
      <c r="A1058" s="2" t="inlineStr">
        <is>
          <t>EJ290325.TXT</t>
        </is>
      </c>
      <c r="B1058" s="3" t="inlineStr">
        <is>
          <t>005758</t>
        </is>
      </c>
      <c r="C1058" s="3" t="inlineStr">
        <is>
          <t>004618</t>
        </is>
      </c>
      <c r="D1058" s="4" t="n">
        <v>45720</v>
      </c>
      <c r="E1058" s="2" t="inlineStr">
        <is>
          <t>18:21</t>
        </is>
      </c>
      <c r="F1058" s="5" t="n">
        <v>822.5</v>
      </c>
      <c r="G1058" s="5" t="n"/>
      <c r="H1058" s="5" t="n"/>
      <c r="I1058" s="5" t="n"/>
      <c r="J1058" s="5" t="n">
        <v>164.5</v>
      </c>
      <c r="K1058" s="5" t="n"/>
      <c r="L1058" s="5" t="n"/>
      <c r="M1058" s="5" t="n"/>
      <c r="N1058" s="5" t="n"/>
      <c r="O1058" s="5" t="n">
        <v>987</v>
      </c>
      <c r="P1058" s="5" t="n"/>
      <c r="Q1058" s="5" t="n">
        <v>987</v>
      </c>
      <c r="R1058" s="5" t="n"/>
      <c r="S1058" s="5">
        <f>SUM(F1058:I1058)+N1058</f>
        <v/>
      </c>
      <c r="T1058" s="5">
        <f>J1058</f>
        <v/>
      </c>
      <c r="U1058" s="6">
        <f>YEAR(D1058)</f>
        <v/>
      </c>
      <c r="V1058" s="5">
        <f>TEXT(D1058,"yyyy-mm")</f>
        <v/>
      </c>
    </row>
    <row r="1059">
      <c r="A1059" s="2" t="inlineStr">
        <is>
          <t>EJ290325.TXT</t>
        </is>
      </c>
      <c r="B1059" s="3" t="inlineStr">
        <is>
          <t>005759</t>
        </is>
      </c>
      <c r="C1059" s="3" t="inlineStr">
        <is>
          <t>004619</t>
        </is>
      </c>
      <c r="D1059" s="4" t="n">
        <v>45720</v>
      </c>
      <c r="E1059" s="2" t="inlineStr">
        <is>
          <t>18:23</t>
        </is>
      </c>
      <c r="F1059" s="5" t="n">
        <v>822.5</v>
      </c>
      <c r="G1059" s="5" t="n"/>
      <c r="H1059" s="5" t="n"/>
      <c r="I1059" s="5" t="n"/>
      <c r="J1059" s="5" t="n">
        <v>164.5</v>
      </c>
      <c r="K1059" s="5" t="n"/>
      <c r="L1059" s="5" t="n"/>
      <c r="M1059" s="5" t="n"/>
      <c r="N1059" s="5" t="n"/>
      <c r="O1059" s="5" t="n">
        <v>987</v>
      </c>
      <c r="P1059" s="5" t="n"/>
      <c r="Q1059" s="5" t="n">
        <v>987</v>
      </c>
      <c r="R1059" s="5" t="n"/>
      <c r="S1059" s="5">
        <f>SUM(F1059:I1059)+N1059</f>
        <v/>
      </c>
      <c r="T1059" s="5">
        <f>J1059</f>
        <v/>
      </c>
      <c r="U1059" s="6">
        <f>YEAR(D1059)</f>
        <v/>
      </c>
      <c r="V1059" s="5">
        <f>TEXT(D1059,"yyyy-mm")</f>
        <v/>
      </c>
    </row>
    <row r="1060">
      <c r="A1060" s="2" t="inlineStr">
        <is>
          <t>EJ290325.TXT</t>
        </is>
      </c>
      <c r="B1060" s="3" t="inlineStr">
        <is>
          <t>005760</t>
        </is>
      </c>
      <c r="C1060" s="3" t="inlineStr">
        <is>
          <t>004620</t>
        </is>
      </c>
      <c r="D1060" s="4" t="n">
        <v>45721</v>
      </c>
      <c r="E1060" s="2" t="inlineStr">
        <is>
          <t>10:28</t>
        </is>
      </c>
      <c r="F1060" s="5" t="n">
        <v>416.67</v>
      </c>
      <c r="G1060" s="5" t="n"/>
      <c r="H1060" s="5" t="n"/>
      <c r="I1060" s="5" t="n"/>
      <c r="J1060" s="5" t="n">
        <v>83.33</v>
      </c>
      <c r="K1060" s="5" t="n"/>
      <c r="L1060" s="5" t="n"/>
      <c r="M1060" s="5" t="n"/>
      <c r="N1060" s="5" t="n"/>
      <c r="O1060" s="5" t="n">
        <v>500</v>
      </c>
      <c r="P1060" s="5" t="n"/>
      <c r="Q1060" s="5" t="n">
        <v>500</v>
      </c>
      <c r="R1060" s="5" t="n"/>
      <c r="S1060" s="5">
        <f>SUM(F1060:I1060)+N1060</f>
        <v/>
      </c>
      <c r="T1060" s="5">
        <f>J1060</f>
        <v/>
      </c>
      <c r="U1060" s="6">
        <f>YEAR(D1060)</f>
        <v/>
      </c>
      <c r="V1060" s="5">
        <f>TEXT(D1060,"yyyy-mm")</f>
        <v/>
      </c>
    </row>
    <row r="1061">
      <c r="A1061" s="2" t="inlineStr">
        <is>
          <t>EJ290325.TXT</t>
        </is>
      </c>
      <c r="B1061" s="3" t="inlineStr">
        <is>
          <t>005761</t>
        </is>
      </c>
      <c r="C1061" s="3" t="inlineStr">
        <is>
          <t>004621</t>
        </is>
      </c>
      <c r="D1061" s="4" t="n">
        <v>45723</v>
      </c>
      <c r="E1061" s="2" t="inlineStr">
        <is>
          <t>16:01</t>
        </is>
      </c>
      <c r="F1061" s="5" t="n">
        <v>833.33</v>
      </c>
      <c r="G1061" s="5" t="n"/>
      <c r="H1061" s="5" t="n"/>
      <c r="I1061" s="5" t="n"/>
      <c r="J1061" s="5" t="n">
        <v>166.67</v>
      </c>
      <c r="K1061" s="5" t="n"/>
      <c r="L1061" s="5" t="n"/>
      <c r="M1061" s="5" t="n"/>
      <c r="N1061" s="5" t="n"/>
      <c r="O1061" s="5" t="n">
        <v>1000</v>
      </c>
      <c r="P1061" s="5" t="n">
        <v>1000</v>
      </c>
      <c r="Q1061" s="5" t="n"/>
      <c r="R1061" s="5" t="n"/>
      <c r="S1061" s="5">
        <f>SUM(F1061:I1061)+N1061</f>
        <v/>
      </c>
      <c r="T1061" s="5">
        <f>J1061</f>
        <v/>
      </c>
      <c r="U1061" s="6">
        <f>YEAR(D1061)</f>
        <v/>
      </c>
      <c r="V1061" s="5">
        <f>TEXT(D1061,"yyyy-mm")</f>
        <v/>
      </c>
    </row>
    <row r="1062">
      <c r="A1062" s="2" t="inlineStr">
        <is>
          <t>EJ290325.TXT</t>
        </is>
      </c>
      <c r="B1062" s="3" t="inlineStr">
        <is>
          <t>005762</t>
        </is>
      </c>
      <c r="C1062" s="3" t="inlineStr">
        <is>
          <t>004622</t>
        </is>
      </c>
      <c r="D1062" s="4" t="n">
        <v>45724</v>
      </c>
      <c r="E1062" s="2" t="inlineStr">
        <is>
          <t>17:39</t>
        </is>
      </c>
      <c r="F1062" s="5" t="n">
        <v>199.17</v>
      </c>
      <c r="G1062" s="5" t="n"/>
      <c r="H1062" s="5" t="n"/>
      <c r="I1062" s="5" t="n"/>
      <c r="J1062" s="5" t="n">
        <v>39.83</v>
      </c>
      <c r="K1062" s="5" t="n"/>
      <c r="L1062" s="5" t="n"/>
      <c r="M1062" s="5" t="n"/>
      <c r="N1062" s="5" t="n"/>
      <c r="O1062" s="5" t="n">
        <v>239</v>
      </c>
      <c r="P1062" s="5" t="n">
        <v>239</v>
      </c>
      <c r="Q1062" s="5" t="n"/>
      <c r="R1062" s="5" t="n"/>
      <c r="S1062" s="5">
        <f>SUM(F1062:I1062)+N1062</f>
        <v/>
      </c>
      <c r="T1062" s="5">
        <f>J1062</f>
        <v/>
      </c>
      <c r="U1062" s="6">
        <f>YEAR(D1062)</f>
        <v/>
      </c>
      <c r="V1062" s="5">
        <f>TEXT(D1062,"yyyy-mm")</f>
        <v/>
      </c>
    </row>
    <row r="1063">
      <c r="A1063" s="2" t="inlineStr">
        <is>
          <t>EJ290325.TXT</t>
        </is>
      </c>
      <c r="B1063" s="3" t="inlineStr">
        <is>
          <t>005763</t>
        </is>
      </c>
      <c r="C1063" s="3" t="inlineStr">
        <is>
          <t>004623</t>
        </is>
      </c>
      <c r="D1063" s="4" t="n">
        <v>45724</v>
      </c>
      <c r="E1063" s="2" t="inlineStr">
        <is>
          <t>18:31</t>
        </is>
      </c>
      <c r="F1063" s="5" t="n">
        <v>73.33</v>
      </c>
      <c r="G1063" s="5" t="n"/>
      <c r="H1063" s="5" t="n"/>
      <c r="I1063" s="5" t="n"/>
      <c r="J1063" s="5" t="n">
        <v>14.67</v>
      </c>
      <c r="K1063" s="5" t="n"/>
      <c r="L1063" s="5" t="n"/>
      <c r="M1063" s="5" t="n"/>
      <c r="N1063" s="5" t="n"/>
      <c r="O1063" s="5" t="n">
        <v>88</v>
      </c>
      <c r="P1063" s="5" t="n">
        <v>88</v>
      </c>
      <c r="Q1063" s="5" t="n"/>
      <c r="R1063" s="5" t="n"/>
      <c r="S1063" s="5">
        <f>SUM(F1063:I1063)+N1063</f>
        <v/>
      </c>
      <c r="T1063" s="5">
        <f>J1063</f>
        <v/>
      </c>
      <c r="U1063" s="6">
        <f>YEAR(D1063)</f>
        <v/>
      </c>
      <c r="V1063" s="5">
        <f>TEXT(D1063,"yyyy-mm")</f>
        <v/>
      </c>
    </row>
    <row r="1064">
      <c r="A1064" s="2" t="inlineStr">
        <is>
          <t>EJ290325.TXT</t>
        </is>
      </c>
      <c r="B1064" s="3" t="inlineStr">
        <is>
          <t>005764</t>
        </is>
      </c>
      <c r="C1064" s="3" t="inlineStr">
        <is>
          <t>004624</t>
        </is>
      </c>
      <c r="D1064" s="4" t="n">
        <v>45726</v>
      </c>
      <c r="E1064" s="2" t="inlineStr">
        <is>
          <t>11:34</t>
        </is>
      </c>
      <c r="F1064" s="5" t="n">
        <v>49.92</v>
      </c>
      <c r="G1064" s="5" t="n"/>
      <c r="H1064" s="5" t="n"/>
      <c r="I1064" s="5" t="n"/>
      <c r="J1064" s="5" t="n">
        <v>9.98</v>
      </c>
      <c r="K1064" s="5" t="n"/>
      <c r="L1064" s="5" t="n"/>
      <c r="M1064" s="5" t="n"/>
      <c r="N1064" s="5" t="n"/>
      <c r="O1064" s="5" t="n">
        <v>59.9</v>
      </c>
      <c r="P1064" s="5" t="n"/>
      <c r="Q1064" s="5" t="n">
        <v>59.9</v>
      </c>
      <c r="R1064" s="5" t="n"/>
      <c r="S1064" s="5">
        <f>SUM(F1064:I1064)+N1064</f>
        <v/>
      </c>
      <c r="T1064" s="5">
        <f>J1064</f>
        <v/>
      </c>
      <c r="U1064" s="6">
        <f>YEAR(D1064)</f>
        <v/>
      </c>
      <c r="V1064" s="5">
        <f>TEXT(D1064,"yyyy-mm")</f>
        <v/>
      </c>
    </row>
    <row r="1065">
      <c r="A1065" s="2" t="inlineStr">
        <is>
          <t>EJ290325.TXT</t>
        </is>
      </c>
      <c r="B1065" s="3" t="inlineStr">
        <is>
          <t>005765</t>
        </is>
      </c>
      <c r="C1065" s="3" t="inlineStr">
        <is>
          <t>004625</t>
        </is>
      </c>
      <c r="D1065" s="4" t="n">
        <v>45728</v>
      </c>
      <c r="E1065" s="2" t="inlineStr">
        <is>
          <t>18:32</t>
        </is>
      </c>
      <c r="F1065" s="5" t="n">
        <v>274.17</v>
      </c>
      <c r="G1065" s="5" t="n"/>
      <c r="H1065" s="5" t="n"/>
      <c r="I1065" s="5" t="n"/>
      <c r="J1065" s="5" t="n">
        <v>54.83</v>
      </c>
      <c r="K1065" s="5" t="n"/>
      <c r="L1065" s="5" t="n"/>
      <c r="M1065" s="5" t="n"/>
      <c r="N1065" s="5" t="n"/>
      <c r="O1065" s="5" t="n">
        <v>329</v>
      </c>
      <c r="P1065" s="5" t="n"/>
      <c r="Q1065" s="5" t="n">
        <v>329</v>
      </c>
      <c r="R1065" s="5" t="n"/>
      <c r="S1065" s="5">
        <f>SUM(F1065:I1065)+N1065</f>
        <v/>
      </c>
      <c r="T1065" s="5">
        <f>J1065</f>
        <v/>
      </c>
      <c r="U1065" s="6">
        <f>YEAR(D1065)</f>
        <v/>
      </c>
      <c r="V1065" s="5">
        <f>TEXT(D1065,"yyyy-mm")</f>
        <v/>
      </c>
    </row>
    <row r="1066">
      <c r="A1066" s="2" t="inlineStr">
        <is>
          <t>EJ290325.TXT</t>
        </is>
      </c>
      <c r="B1066" s="3" t="inlineStr">
        <is>
          <t>005766</t>
        </is>
      </c>
      <c r="C1066" s="3" t="inlineStr">
        <is>
          <t>004626</t>
        </is>
      </c>
      <c r="D1066" s="4" t="n">
        <v>45729</v>
      </c>
      <c r="E1066" s="2" t="inlineStr">
        <is>
          <t>15:59</t>
        </is>
      </c>
      <c r="F1066" s="5" t="n">
        <v>324.17</v>
      </c>
      <c r="G1066" s="5" t="n"/>
      <c r="H1066" s="5" t="n"/>
      <c r="I1066" s="5" t="n"/>
      <c r="J1066" s="5" t="n">
        <v>64.83</v>
      </c>
      <c r="K1066" s="5" t="n"/>
      <c r="L1066" s="5" t="n"/>
      <c r="M1066" s="5" t="n"/>
      <c r="N1066" s="5" t="n"/>
      <c r="O1066" s="5" t="n">
        <v>389</v>
      </c>
      <c r="P1066" s="5" t="n">
        <v>389</v>
      </c>
      <c r="Q1066" s="5" t="n"/>
      <c r="R1066" s="5" t="n"/>
      <c r="S1066" s="5">
        <f>SUM(F1066:I1066)+N1066</f>
        <v/>
      </c>
      <c r="T1066" s="5">
        <f>J1066</f>
        <v/>
      </c>
      <c r="U1066" s="6">
        <f>YEAR(D1066)</f>
        <v/>
      </c>
      <c r="V1066" s="5">
        <f>TEXT(D1066,"yyyy-mm")</f>
        <v/>
      </c>
    </row>
    <row r="1067">
      <c r="A1067" s="2" t="inlineStr">
        <is>
          <t>EJ290325.TXT</t>
        </is>
      </c>
      <c r="B1067" s="3" t="inlineStr">
        <is>
          <t>005767</t>
        </is>
      </c>
      <c r="C1067" s="3" t="inlineStr">
        <is>
          <t>004627</t>
        </is>
      </c>
      <c r="D1067" s="4" t="n">
        <v>45731</v>
      </c>
      <c r="E1067" s="2" t="inlineStr">
        <is>
          <t>15:39</t>
        </is>
      </c>
      <c r="F1067" s="5" t="n">
        <v>4579.17</v>
      </c>
      <c r="G1067" s="5" t="n"/>
      <c r="H1067" s="5" t="n"/>
      <c r="I1067" s="5" t="n"/>
      <c r="J1067" s="5" t="n">
        <v>915.83</v>
      </c>
      <c r="K1067" s="5" t="n"/>
      <c r="L1067" s="5" t="n"/>
      <c r="M1067" s="5" t="n"/>
      <c r="N1067" s="5" t="n"/>
      <c r="O1067" s="5" t="n">
        <v>5495</v>
      </c>
      <c r="P1067" s="5" t="n">
        <v>5495</v>
      </c>
      <c r="Q1067" s="5" t="n"/>
      <c r="R1067" s="5" t="n"/>
      <c r="S1067" s="5">
        <f>SUM(F1067:I1067)+N1067</f>
        <v/>
      </c>
      <c r="T1067" s="5">
        <f>J1067</f>
        <v/>
      </c>
      <c r="U1067" s="6">
        <f>YEAR(D1067)</f>
        <v/>
      </c>
      <c r="V1067" s="5">
        <f>TEXT(D1067,"yyyy-mm")</f>
        <v/>
      </c>
    </row>
    <row r="1068">
      <c r="A1068" s="2" t="inlineStr">
        <is>
          <t>EJ290325.TXT</t>
        </is>
      </c>
      <c r="B1068" s="3" t="inlineStr">
        <is>
          <t>005768</t>
        </is>
      </c>
      <c r="C1068" s="3" t="inlineStr">
        <is>
          <t>004628</t>
        </is>
      </c>
      <c r="D1068" s="4" t="n">
        <v>45737</v>
      </c>
      <c r="E1068" s="2" t="inlineStr">
        <is>
          <t>15:09</t>
        </is>
      </c>
      <c r="F1068" s="5" t="n">
        <v>99.83</v>
      </c>
      <c r="G1068" s="5" t="n"/>
      <c r="H1068" s="5" t="n"/>
      <c r="I1068" s="5" t="n"/>
      <c r="J1068" s="5" t="n">
        <v>19.97</v>
      </c>
      <c r="K1068" s="5" t="n"/>
      <c r="L1068" s="5" t="n"/>
      <c r="M1068" s="5" t="n"/>
      <c r="N1068" s="5" t="n"/>
      <c r="O1068" s="5" t="n">
        <v>119.8</v>
      </c>
      <c r="P1068" s="5" t="n"/>
      <c r="Q1068" s="5" t="n">
        <v>119.8</v>
      </c>
      <c r="R1068" s="5" t="n"/>
      <c r="S1068" s="5">
        <f>SUM(F1068:I1068)+N1068</f>
        <v/>
      </c>
      <c r="T1068" s="5">
        <f>J1068</f>
        <v/>
      </c>
      <c r="U1068" s="6">
        <f>YEAR(D1068)</f>
        <v/>
      </c>
      <c r="V1068" s="5">
        <f>TEXT(D1068,"yyyy-mm")</f>
        <v/>
      </c>
    </row>
    <row r="1069">
      <c r="A1069" s="2" t="inlineStr">
        <is>
          <t>EJ290325.TXT</t>
        </is>
      </c>
      <c r="B1069" s="3" t="inlineStr">
        <is>
          <t>005769</t>
        </is>
      </c>
      <c r="C1069" s="3" t="inlineStr">
        <is>
          <t>004629</t>
        </is>
      </c>
      <c r="D1069" s="4" t="n">
        <v>45737</v>
      </c>
      <c r="E1069" s="2" t="inlineStr">
        <is>
          <t>15:32</t>
        </is>
      </c>
      <c r="F1069" s="5" t="n">
        <v>274.17</v>
      </c>
      <c r="G1069" s="5" t="n"/>
      <c r="H1069" s="5" t="n"/>
      <c r="I1069" s="5" t="n"/>
      <c r="J1069" s="5" t="n">
        <v>54.83</v>
      </c>
      <c r="K1069" s="5" t="n"/>
      <c r="L1069" s="5" t="n"/>
      <c r="M1069" s="5" t="n"/>
      <c r="N1069" s="5" t="n"/>
      <c r="O1069" s="5" t="n">
        <v>329</v>
      </c>
      <c r="P1069" s="5" t="n"/>
      <c r="Q1069" s="5" t="n">
        <v>329</v>
      </c>
      <c r="R1069" s="5" t="n"/>
      <c r="S1069" s="5">
        <f>SUM(F1069:I1069)+N1069</f>
        <v/>
      </c>
      <c r="T1069" s="5">
        <f>J1069</f>
        <v/>
      </c>
      <c r="U1069" s="6">
        <f>YEAR(D1069)</f>
        <v/>
      </c>
      <c r="V1069" s="5">
        <f>TEXT(D1069,"yyyy-mm")</f>
        <v/>
      </c>
    </row>
    <row r="1070">
      <c r="A1070" s="2" t="inlineStr">
        <is>
          <t>EJ290325.TXT</t>
        </is>
      </c>
      <c r="B1070" s="3" t="inlineStr">
        <is>
          <t>005770</t>
        </is>
      </c>
      <c r="C1070" s="3" t="inlineStr">
        <is>
          <t>004630</t>
        </is>
      </c>
      <c r="D1070" s="4" t="n">
        <v>45738</v>
      </c>
      <c r="E1070" s="2" t="inlineStr">
        <is>
          <t>17:50</t>
        </is>
      </c>
      <c r="F1070" s="5" t="n">
        <v>274.17</v>
      </c>
      <c r="G1070" s="5" t="n"/>
      <c r="H1070" s="5" t="n"/>
      <c r="I1070" s="5" t="n"/>
      <c r="J1070" s="5" t="n">
        <v>54.83</v>
      </c>
      <c r="K1070" s="5" t="n"/>
      <c r="L1070" s="5" t="n"/>
      <c r="M1070" s="5" t="n"/>
      <c r="N1070" s="5" t="n"/>
      <c r="O1070" s="5" t="n">
        <v>329</v>
      </c>
      <c r="P1070" s="5" t="n"/>
      <c r="Q1070" s="5" t="n">
        <v>329</v>
      </c>
      <c r="R1070" s="5" t="n"/>
      <c r="S1070" s="5">
        <f>SUM(F1070:I1070)+N1070</f>
        <v/>
      </c>
      <c r="T1070" s="5">
        <f>J1070</f>
        <v/>
      </c>
      <c r="U1070" s="6">
        <f>YEAR(D1070)</f>
        <v/>
      </c>
      <c r="V1070" s="5">
        <f>TEXT(D1070,"yyyy-mm")</f>
        <v/>
      </c>
    </row>
    <row r="1071">
      <c r="A1071" s="2" t="inlineStr">
        <is>
          <t>EJ290325.TXT</t>
        </is>
      </c>
      <c r="B1071" s="3" t="inlineStr">
        <is>
          <t>005771</t>
        </is>
      </c>
      <c r="C1071" s="3" t="inlineStr">
        <is>
          <t>004631</t>
        </is>
      </c>
      <c r="D1071" s="4" t="n">
        <v>45740</v>
      </c>
      <c r="E1071" s="2" t="inlineStr">
        <is>
          <t>11:20</t>
        </is>
      </c>
      <c r="F1071" s="5" t="n">
        <v>190.83</v>
      </c>
      <c r="G1071" s="5" t="n"/>
      <c r="H1071" s="5" t="n"/>
      <c r="I1071" s="5" t="n"/>
      <c r="J1071" s="5" t="n">
        <v>38.17</v>
      </c>
      <c r="K1071" s="5" t="n"/>
      <c r="L1071" s="5" t="n"/>
      <c r="M1071" s="5" t="n"/>
      <c r="N1071" s="5" t="n"/>
      <c r="O1071" s="5" t="n">
        <v>229</v>
      </c>
      <c r="P1071" s="5" t="n">
        <v>229</v>
      </c>
      <c r="Q1071" s="5" t="n"/>
      <c r="R1071" s="5" t="n"/>
      <c r="S1071" s="5">
        <f>SUM(F1071:I1071)+N1071</f>
        <v/>
      </c>
      <c r="T1071" s="5">
        <f>J1071</f>
        <v/>
      </c>
      <c r="U1071" s="6">
        <f>YEAR(D1071)</f>
        <v/>
      </c>
      <c r="V1071" s="5">
        <f>TEXT(D1071,"yyyy-mm")</f>
        <v/>
      </c>
    </row>
    <row r="1072">
      <c r="A1072" s="2" t="inlineStr">
        <is>
          <t>EJ290325.TXT</t>
        </is>
      </c>
      <c r="B1072" s="3" t="inlineStr">
        <is>
          <t>005772</t>
        </is>
      </c>
      <c r="C1072" s="3" t="inlineStr">
        <is>
          <t>004632</t>
        </is>
      </c>
      <c r="D1072" s="4" t="n">
        <v>45742</v>
      </c>
      <c r="E1072" s="2" t="inlineStr">
        <is>
          <t>12:39</t>
        </is>
      </c>
      <c r="F1072" s="5" t="n">
        <v>1412.5</v>
      </c>
      <c r="G1072" s="5" t="n"/>
      <c r="H1072" s="5" t="n"/>
      <c r="I1072" s="5" t="n"/>
      <c r="J1072" s="5" t="n">
        <v>282.5</v>
      </c>
      <c r="K1072" s="5" t="n"/>
      <c r="L1072" s="5" t="n"/>
      <c r="M1072" s="5" t="n"/>
      <c r="N1072" s="5" t="n"/>
      <c r="O1072" s="5" t="n">
        <v>1695</v>
      </c>
      <c r="P1072" s="5" t="n">
        <v>1695</v>
      </c>
      <c r="Q1072" s="5" t="n"/>
      <c r="R1072" s="5" t="n"/>
      <c r="S1072" s="5">
        <f>SUM(F1072:I1072)+N1072</f>
        <v/>
      </c>
      <c r="T1072" s="5">
        <f>J1072</f>
        <v/>
      </c>
      <c r="U1072" s="6">
        <f>YEAR(D1072)</f>
        <v/>
      </c>
      <c r="V1072" s="5">
        <f>TEXT(D1072,"yyyy-mm")</f>
        <v/>
      </c>
    </row>
    <row r="1073">
      <c r="A1073" s="2" t="inlineStr">
        <is>
          <t>EJ290325.TXT</t>
        </is>
      </c>
      <c r="B1073" s="3" t="inlineStr">
        <is>
          <t>005773</t>
        </is>
      </c>
      <c r="C1073" s="3" t="inlineStr">
        <is>
          <t>004633</t>
        </is>
      </c>
      <c r="D1073" s="4" t="n">
        <v>45742</v>
      </c>
      <c r="E1073" s="2" t="inlineStr">
        <is>
          <t>19:00</t>
        </is>
      </c>
      <c r="F1073" s="5" t="n">
        <v>797.5</v>
      </c>
      <c r="G1073" s="5" t="n"/>
      <c r="H1073" s="5" t="n"/>
      <c r="I1073" s="5" t="n"/>
      <c r="J1073" s="5" t="n">
        <v>159.5</v>
      </c>
      <c r="K1073" s="5" t="n"/>
      <c r="L1073" s="5" t="n"/>
      <c r="M1073" s="5" t="n"/>
      <c r="N1073" s="5" t="n"/>
      <c r="O1073" s="5" t="n">
        <v>957</v>
      </c>
      <c r="P1073" s="5" t="n"/>
      <c r="Q1073" s="5" t="n">
        <v>957</v>
      </c>
      <c r="R1073" s="5" t="n"/>
      <c r="S1073" s="5">
        <f>SUM(F1073:I1073)+N1073</f>
        <v/>
      </c>
      <c r="T1073" s="5">
        <f>J1073</f>
        <v/>
      </c>
      <c r="U1073" s="6">
        <f>YEAR(D1073)</f>
        <v/>
      </c>
      <c r="V1073" s="5">
        <f>TEXT(D1073,"yyyy-mm")</f>
        <v/>
      </c>
    </row>
    <row r="1074">
      <c r="A1074" s="2" t="inlineStr">
        <is>
          <t>EJ290325.TXT</t>
        </is>
      </c>
      <c r="B1074" s="3" t="inlineStr">
        <is>
          <t>005774</t>
        </is>
      </c>
      <c r="C1074" s="3" t="inlineStr">
        <is>
          <t>004634</t>
        </is>
      </c>
      <c r="D1074" s="4" t="n">
        <v>45742</v>
      </c>
      <c r="E1074" s="2" t="inlineStr">
        <is>
          <t>19:00</t>
        </is>
      </c>
      <c r="F1074" s="5" t="n">
        <v>531.67</v>
      </c>
      <c r="G1074" s="5" t="n"/>
      <c r="H1074" s="5" t="n"/>
      <c r="I1074" s="5" t="n"/>
      <c r="J1074" s="5" t="n">
        <v>106.33</v>
      </c>
      <c r="K1074" s="5" t="n"/>
      <c r="L1074" s="5" t="n"/>
      <c r="M1074" s="5" t="n"/>
      <c r="N1074" s="5" t="n"/>
      <c r="O1074" s="5" t="n">
        <v>638</v>
      </c>
      <c r="P1074" s="5" t="n"/>
      <c r="Q1074" s="5" t="n">
        <v>638</v>
      </c>
      <c r="R1074" s="5" t="n"/>
      <c r="S1074" s="5">
        <f>SUM(F1074:I1074)+N1074</f>
        <v/>
      </c>
      <c r="T1074" s="5">
        <f>J1074</f>
        <v/>
      </c>
      <c r="U1074" s="6">
        <f>YEAR(D1074)</f>
        <v/>
      </c>
      <c r="V1074" s="5">
        <f>TEXT(D1074,"yyyy-mm")</f>
        <v/>
      </c>
    </row>
    <row r="1075">
      <c r="A1075" s="2" t="inlineStr">
        <is>
          <t>EJ290325.TXT</t>
        </is>
      </c>
      <c r="B1075" s="3" t="inlineStr">
        <is>
          <t>005775</t>
        </is>
      </c>
      <c r="C1075" s="3" t="inlineStr">
        <is>
          <t>004635</t>
        </is>
      </c>
      <c r="D1075" s="4" t="n">
        <v>45742</v>
      </c>
      <c r="E1075" s="2" t="inlineStr">
        <is>
          <t>19:03</t>
        </is>
      </c>
      <c r="F1075" s="5" t="n">
        <v>789.17</v>
      </c>
      <c r="G1075" s="5" t="n"/>
      <c r="H1075" s="5" t="n"/>
      <c r="I1075" s="5" t="n"/>
      <c r="J1075" s="5" t="n">
        <v>157.83</v>
      </c>
      <c r="K1075" s="5" t="n"/>
      <c r="L1075" s="5" t="n"/>
      <c r="M1075" s="5" t="n"/>
      <c r="N1075" s="5" t="n"/>
      <c r="O1075" s="5" t="n">
        <v>947</v>
      </c>
      <c r="P1075" s="5" t="n"/>
      <c r="Q1075" s="5" t="n">
        <v>947</v>
      </c>
      <c r="R1075" s="5" t="n"/>
      <c r="S1075" s="5">
        <f>SUM(F1075:I1075)+N1075</f>
        <v/>
      </c>
      <c r="T1075" s="5">
        <f>J1075</f>
        <v/>
      </c>
      <c r="U1075" s="6">
        <f>YEAR(D1075)</f>
        <v/>
      </c>
      <c r="V1075" s="5">
        <f>TEXT(D1075,"yyyy-mm")</f>
        <v/>
      </c>
    </row>
    <row r="1076">
      <c r="A1076" s="2" t="inlineStr">
        <is>
          <t>EJ290325.TXT</t>
        </is>
      </c>
      <c r="B1076" s="3" t="inlineStr">
        <is>
          <t>005776</t>
        </is>
      </c>
      <c r="C1076" s="3" t="inlineStr">
        <is>
          <t>004636</t>
        </is>
      </c>
      <c r="D1076" s="4" t="n">
        <v>45742</v>
      </c>
      <c r="E1076" s="2" t="inlineStr">
        <is>
          <t>19:03</t>
        </is>
      </c>
      <c r="F1076" s="5" t="n">
        <v>274.17</v>
      </c>
      <c r="G1076" s="5" t="n"/>
      <c r="H1076" s="5" t="n"/>
      <c r="I1076" s="5" t="n"/>
      <c r="J1076" s="5" t="n">
        <v>54.83</v>
      </c>
      <c r="K1076" s="5" t="n"/>
      <c r="L1076" s="5" t="n"/>
      <c r="M1076" s="5" t="n"/>
      <c r="N1076" s="5" t="n"/>
      <c r="O1076" s="5" t="n">
        <v>329</v>
      </c>
      <c r="P1076" s="5" t="n"/>
      <c r="Q1076" s="5" t="n">
        <v>329</v>
      </c>
      <c r="R1076" s="5" t="n"/>
      <c r="S1076" s="5">
        <f>SUM(F1076:I1076)+N1076</f>
        <v/>
      </c>
      <c r="T1076" s="5">
        <f>J1076</f>
        <v/>
      </c>
      <c r="U1076" s="6">
        <f>YEAR(D1076)</f>
        <v/>
      </c>
      <c r="V1076" s="5">
        <f>TEXT(D1076,"yyyy-mm")</f>
        <v/>
      </c>
    </row>
    <row r="1077">
      <c r="A1077" s="2" t="inlineStr">
        <is>
          <t>EJ290325.TXT</t>
        </is>
      </c>
      <c r="B1077" s="3" t="inlineStr">
        <is>
          <t>005777</t>
        </is>
      </c>
      <c r="C1077" s="3" t="inlineStr">
        <is>
          <t>004637</t>
        </is>
      </c>
      <c r="D1077" s="4" t="n">
        <v>45742</v>
      </c>
      <c r="E1077" s="2" t="inlineStr">
        <is>
          <t>19:03</t>
        </is>
      </c>
      <c r="F1077" s="5" t="n">
        <v>265.83</v>
      </c>
      <c r="G1077" s="5" t="n"/>
      <c r="H1077" s="5" t="n"/>
      <c r="I1077" s="5" t="n"/>
      <c r="J1077" s="5" t="n">
        <v>53.17</v>
      </c>
      <c r="K1077" s="5" t="n"/>
      <c r="L1077" s="5" t="n"/>
      <c r="M1077" s="5" t="n"/>
      <c r="N1077" s="5" t="n"/>
      <c r="O1077" s="5" t="n">
        <v>319</v>
      </c>
      <c r="P1077" s="5" t="n"/>
      <c r="Q1077" s="5" t="n">
        <v>319</v>
      </c>
      <c r="R1077" s="5" t="n"/>
      <c r="S1077" s="5">
        <f>SUM(F1077:I1077)+N1077</f>
        <v/>
      </c>
      <c r="T1077" s="5">
        <f>J1077</f>
        <v/>
      </c>
      <c r="U1077" s="6">
        <f>YEAR(D1077)</f>
        <v/>
      </c>
      <c r="V1077" s="5">
        <f>TEXT(D1077,"yyyy-mm")</f>
        <v/>
      </c>
    </row>
    <row r="1078">
      <c r="A1078" s="2" t="inlineStr">
        <is>
          <t>EJ290325.TXT</t>
        </is>
      </c>
      <c r="B1078" s="3" t="inlineStr">
        <is>
          <t>005778</t>
        </is>
      </c>
      <c r="C1078" s="3" t="inlineStr">
        <is>
          <t>004638</t>
        </is>
      </c>
      <c r="D1078" s="4" t="n">
        <v>45742</v>
      </c>
      <c r="E1078" s="2" t="inlineStr">
        <is>
          <t>19:04</t>
        </is>
      </c>
      <c r="F1078" s="5" t="n">
        <v>257.5</v>
      </c>
      <c r="G1078" s="5" t="n"/>
      <c r="H1078" s="5" t="n"/>
      <c r="I1078" s="5" t="n"/>
      <c r="J1078" s="5" t="n">
        <v>51.5</v>
      </c>
      <c r="K1078" s="5" t="n"/>
      <c r="L1078" s="5" t="n"/>
      <c r="M1078" s="5" t="n"/>
      <c r="N1078" s="5" t="n"/>
      <c r="O1078" s="5" t="n">
        <v>309</v>
      </c>
      <c r="P1078" s="5" t="n"/>
      <c r="Q1078" s="5" t="n">
        <v>309</v>
      </c>
      <c r="R1078" s="5" t="n"/>
      <c r="S1078" s="5">
        <f>SUM(F1078:I1078)+N1078</f>
        <v/>
      </c>
      <c r="T1078" s="5">
        <f>J1078</f>
        <v/>
      </c>
      <c r="U1078" s="6">
        <f>YEAR(D1078)</f>
        <v/>
      </c>
      <c r="V1078" s="5">
        <f>TEXT(D1078,"yyyy-mm")</f>
        <v/>
      </c>
    </row>
    <row r="1079">
      <c r="A1079" s="2" t="inlineStr">
        <is>
          <t>EJ290325.TXT</t>
        </is>
      </c>
      <c r="B1079" s="3" t="inlineStr">
        <is>
          <t>005779</t>
        </is>
      </c>
      <c r="C1079" s="3" t="inlineStr">
        <is>
          <t>004639</t>
        </is>
      </c>
      <c r="D1079" s="4" t="n">
        <v>45742</v>
      </c>
      <c r="E1079" s="2" t="inlineStr">
        <is>
          <t>19:05</t>
        </is>
      </c>
      <c r="F1079" s="5" t="n">
        <v>531.67</v>
      </c>
      <c r="G1079" s="5" t="n"/>
      <c r="H1079" s="5" t="n"/>
      <c r="I1079" s="5" t="n"/>
      <c r="J1079" s="5" t="n">
        <v>106.33</v>
      </c>
      <c r="K1079" s="5" t="n"/>
      <c r="L1079" s="5" t="n"/>
      <c r="M1079" s="5" t="n"/>
      <c r="N1079" s="5" t="n"/>
      <c r="O1079" s="5" t="n">
        <v>638</v>
      </c>
      <c r="P1079" s="5" t="n"/>
      <c r="Q1079" s="5" t="n">
        <v>638</v>
      </c>
      <c r="R1079" s="5" t="n"/>
      <c r="S1079" s="5">
        <f>SUM(F1079:I1079)+N1079</f>
        <v/>
      </c>
      <c r="T1079" s="5">
        <f>J1079</f>
        <v/>
      </c>
      <c r="U1079" s="6">
        <f>YEAR(D1079)</f>
        <v/>
      </c>
      <c r="V1079" s="5">
        <f>TEXT(D1079,"yyyy-mm")</f>
        <v/>
      </c>
    </row>
    <row r="1080">
      <c r="A1080" s="2" t="inlineStr">
        <is>
          <t>EJ290325.TXT</t>
        </is>
      </c>
      <c r="B1080" s="3" t="inlineStr">
        <is>
          <t>005780</t>
        </is>
      </c>
      <c r="C1080" s="3" t="inlineStr">
        <is>
          <t>004640</t>
        </is>
      </c>
      <c r="D1080" s="4" t="n">
        <v>45742</v>
      </c>
      <c r="E1080" s="2" t="inlineStr">
        <is>
          <t>19:05</t>
        </is>
      </c>
      <c r="F1080" s="5" t="n">
        <v>531.67</v>
      </c>
      <c r="G1080" s="5" t="n"/>
      <c r="H1080" s="5" t="n"/>
      <c r="I1080" s="5" t="n"/>
      <c r="J1080" s="5" t="n">
        <v>106.33</v>
      </c>
      <c r="K1080" s="5" t="n"/>
      <c r="L1080" s="5" t="n"/>
      <c r="M1080" s="5" t="n"/>
      <c r="N1080" s="5" t="n"/>
      <c r="O1080" s="5" t="n">
        <v>638</v>
      </c>
      <c r="P1080" s="5" t="n"/>
      <c r="Q1080" s="5" t="n">
        <v>638</v>
      </c>
      <c r="R1080" s="5" t="n"/>
      <c r="S1080" s="5">
        <f>SUM(F1080:I1080)+N1080</f>
        <v/>
      </c>
      <c r="T1080" s="5">
        <f>J1080</f>
        <v/>
      </c>
      <c r="U1080" s="6">
        <f>YEAR(D1080)</f>
        <v/>
      </c>
      <c r="V1080" s="5">
        <f>TEXT(D1080,"yyyy-mm")</f>
        <v/>
      </c>
    </row>
    <row r="1081">
      <c r="A1081" s="2" t="inlineStr">
        <is>
          <t>EJ290325.TXT</t>
        </is>
      </c>
      <c r="B1081" s="3" t="inlineStr">
        <is>
          <t>005781</t>
        </is>
      </c>
      <c r="C1081" s="3" t="inlineStr">
        <is>
          <t>004641</t>
        </is>
      </c>
      <c r="D1081" s="4" t="n">
        <v>45743</v>
      </c>
      <c r="E1081" s="2" t="inlineStr">
        <is>
          <t>11:07</t>
        </is>
      </c>
      <c r="F1081" s="5" t="n">
        <v>82.5</v>
      </c>
      <c r="G1081" s="5" t="n"/>
      <c r="H1081" s="5" t="n"/>
      <c r="I1081" s="5" t="n"/>
      <c r="J1081" s="5" t="n">
        <v>16.5</v>
      </c>
      <c r="K1081" s="5" t="n"/>
      <c r="L1081" s="5" t="n"/>
      <c r="M1081" s="5" t="n"/>
      <c r="N1081" s="5" t="n"/>
      <c r="O1081" s="5" t="n">
        <v>99</v>
      </c>
      <c r="P1081" s="5" t="n"/>
      <c r="Q1081" s="5" t="n">
        <v>99</v>
      </c>
      <c r="R1081" s="5" t="n"/>
      <c r="S1081" s="5">
        <f>SUM(F1081:I1081)+N1081</f>
        <v/>
      </c>
      <c r="T1081" s="5">
        <f>J1081</f>
        <v/>
      </c>
      <c r="U1081" s="6">
        <f>YEAR(D1081)</f>
        <v/>
      </c>
      <c r="V1081" s="5">
        <f>TEXT(D1081,"yyyy-mm")</f>
        <v/>
      </c>
    </row>
    <row r="1082">
      <c r="A1082" s="2" t="inlineStr">
        <is>
          <t>EJ290325.TXT</t>
        </is>
      </c>
      <c r="B1082" s="3" t="inlineStr">
        <is>
          <t>005782</t>
        </is>
      </c>
      <c r="C1082" s="3" t="inlineStr">
        <is>
          <t>004642</t>
        </is>
      </c>
      <c r="D1082" s="4" t="n">
        <v>45743</v>
      </c>
      <c r="E1082" s="2" t="inlineStr">
        <is>
          <t>11:36</t>
        </is>
      </c>
      <c r="F1082" s="5" t="n">
        <v>124.17</v>
      </c>
      <c r="G1082" s="5" t="n"/>
      <c r="H1082" s="5" t="n"/>
      <c r="I1082" s="5" t="n"/>
      <c r="J1082" s="5" t="n">
        <v>24.83</v>
      </c>
      <c r="K1082" s="5" t="n"/>
      <c r="L1082" s="5" t="n"/>
      <c r="M1082" s="5" t="n"/>
      <c r="N1082" s="5" t="n"/>
      <c r="O1082" s="5" t="n">
        <v>149</v>
      </c>
      <c r="P1082" s="5" t="n">
        <v>149</v>
      </c>
      <c r="Q1082" s="5" t="n"/>
      <c r="R1082" s="5" t="n"/>
      <c r="S1082" s="5">
        <f>SUM(F1082:I1082)+N1082</f>
        <v/>
      </c>
      <c r="T1082" s="5">
        <f>J1082</f>
        <v/>
      </c>
      <c r="U1082" s="6">
        <f>YEAR(D1082)</f>
        <v/>
      </c>
      <c r="V1082" s="5">
        <f>TEXT(D1082,"yyyy-mm")</f>
        <v/>
      </c>
    </row>
    <row r="1083">
      <c r="A1083" s="2" t="inlineStr">
        <is>
          <t>EJ290325.TXT</t>
        </is>
      </c>
      <c r="B1083" s="3" t="inlineStr">
        <is>
          <t>005783</t>
        </is>
      </c>
      <c r="C1083" s="3" t="inlineStr">
        <is>
          <t>004643</t>
        </is>
      </c>
      <c r="D1083" s="4" t="n">
        <v>45744</v>
      </c>
      <c r="E1083" s="2" t="inlineStr">
        <is>
          <t>12:41</t>
        </is>
      </c>
      <c r="F1083" s="5" t="n">
        <v>833.33</v>
      </c>
      <c r="G1083" s="5" t="n"/>
      <c r="H1083" s="5" t="n"/>
      <c r="I1083" s="5" t="n"/>
      <c r="J1083" s="5" t="n">
        <v>166.67</v>
      </c>
      <c r="K1083" s="5" t="n"/>
      <c r="L1083" s="5" t="n"/>
      <c r="M1083" s="5" t="n"/>
      <c r="N1083" s="5" t="n"/>
      <c r="O1083" s="5" t="n">
        <v>1000</v>
      </c>
      <c r="P1083" s="5" t="n"/>
      <c r="Q1083" s="5" t="n">
        <v>1000</v>
      </c>
      <c r="R1083" s="5" t="n"/>
      <c r="S1083" s="5">
        <f>SUM(F1083:I1083)+N1083</f>
        <v/>
      </c>
      <c r="T1083" s="5">
        <f>J1083</f>
        <v/>
      </c>
      <c r="U1083" s="6">
        <f>YEAR(D1083)</f>
        <v/>
      </c>
      <c r="V1083" s="5">
        <f>TEXT(D1083,"yyyy-mm")</f>
        <v/>
      </c>
    </row>
    <row r="1084">
      <c r="A1084" s="2" t="inlineStr">
        <is>
          <t>EJ290325.TXT</t>
        </is>
      </c>
      <c r="B1084" s="3" t="inlineStr">
        <is>
          <t>005784</t>
        </is>
      </c>
      <c r="C1084" s="3" t="inlineStr">
        <is>
          <t>004644</t>
        </is>
      </c>
      <c r="D1084" s="4" t="n">
        <v>45744</v>
      </c>
      <c r="E1084" s="2" t="inlineStr">
        <is>
          <t>12:42</t>
        </is>
      </c>
      <c r="F1084" s="5" t="n">
        <v>315.83</v>
      </c>
      <c r="G1084" s="5" t="n"/>
      <c r="H1084" s="5" t="n"/>
      <c r="I1084" s="5" t="n"/>
      <c r="J1084" s="5" t="n">
        <v>63.17</v>
      </c>
      <c r="K1084" s="5" t="n"/>
      <c r="L1084" s="5" t="n"/>
      <c r="M1084" s="5" t="n"/>
      <c r="N1084" s="5" t="n"/>
      <c r="O1084" s="5" t="n">
        <v>379</v>
      </c>
      <c r="P1084" s="5" t="n"/>
      <c r="Q1084" s="5" t="n">
        <v>379</v>
      </c>
      <c r="R1084" s="5" t="n"/>
      <c r="S1084" s="5">
        <f>SUM(F1084:I1084)+N1084</f>
        <v/>
      </c>
      <c r="T1084" s="5">
        <f>J1084</f>
        <v/>
      </c>
      <c r="U1084" s="6">
        <f>YEAR(D1084)</f>
        <v/>
      </c>
      <c r="V1084" s="5">
        <f>TEXT(D1084,"yyyy-mm")</f>
        <v/>
      </c>
    </row>
    <row r="1085">
      <c r="A1085" s="2" t="inlineStr">
        <is>
          <t>EJ010725.TXT</t>
        </is>
      </c>
      <c r="B1085" s="3" t="inlineStr">
        <is>
          <t>005793</t>
        </is>
      </c>
      <c r="C1085" s="3" t="inlineStr">
        <is>
          <t>004645</t>
        </is>
      </c>
      <c r="D1085" s="4" t="n">
        <v>45754</v>
      </c>
      <c r="E1085" s="2" t="inlineStr">
        <is>
          <t>16:10</t>
        </is>
      </c>
      <c r="F1085" s="5" t="n">
        <v>548.33</v>
      </c>
      <c r="G1085" s="5" t="n"/>
      <c r="H1085" s="5" t="n"/>
      <c r="I1085" s="5" t="n"/>
      <c r="J1085" s="5" t="n">
        <v>109.67</v>
      </c>
      <c r="K1085" s="5" t="n"/>
      <c r="L1085" s="5" t="n"/>
      <c r="M1085" s="5" t="n"/>
      <c r="N1085" s="5" t="n"/>
      <c r="O1085" s="5" t="n">
        <v>658</v>
      </c>
      <c r="P1085" s="5" t="n"/>
      <c r="Q1085" s="5" t="n">
        <v>658</v>
      </c>
      <c r="R1085" s="5" t="n"/>
      <c r="S1085" s="5">
        <f>SUM(F1085:I1085)+N1085</f>
        <v/>
      </c>
      <c r="T1085" s="5">
        <f>J1085</f>
        <v/>
      </c>
      <c r="U1085" s="6">
        <f>YEAR(D1085)</f>
        <v/>
      </c>
      <c r="V1085" s="5">
        <f>TEXT(D1085,"yyyy-mm")</f>
        <v/>
      </c>
    </row>
    <row r="1086">
      <c r="A1086" s="2" t="inlineStr">
        <is>
          <t>EJ010725.TXT</t>
        </is>
      </c>
      <c r="B1086" s="3" t="inlineStr">
        <is>
          <t>005794</t>
        </is>
      </c>
      <c r="C1086" s="3" t="inlineStr">
        <is>
          <t>004646</t>
        </is>
      </c>
      <c r="D1086" s="4" t="n">
        <v>45754</v>
      </c>
      <c r="E1086" s="2" t="inlineStr">
        <is>
          <t>16:13</t>
        </is>
      </c>
      <c r="F1086" s="5" t="n">
        <v>208.33</v>
      </c>
      <c r="G1086" s="5" t="n"/>
      <c r="H1086" s="5" t="n"/>
      <c r="I1086" s="5" t="n"/>
      <c r="J1086" s="5" t="n">
        <v>41.67</v>
      </c>
      <c r="K1086" s="5" t="n"/>
      <c r="L1086" s="5" t="n"/>
      <c r="M1086" s="5" t="n"/>
      <c r="N1086" s="5" t="n"/>
      <c r="O1086" s="5" t="n">
        <v>250</v>
      </c>
      <c r="P1086" s="5" t="n"/>
      <c r="Q1086" s="5" t="n">
        <v>250</v>
      </c>
      <c r="R1086" s="5" t="n"/>
      <c r="S1086" s="5">
        <f>SUM(F1086:I1086)+N1086</f>
        <v/>
      </c>
      <c r="T1086" s="5">
        <f>J1086</f>
        <v/>
      </c>
      <c r="U1086" s="6">
        <f>YEAR(D1086)</f>
        <v/>
      </c>
      <c r="V1086" s="5">
        <f>TEXT(D1086,"yyyy-mm")</f>
        <v/>
      </c>
    </row>
    <row r="1087">
      <c r="A1087" s="2" t="inlineStr">
        <is>
          <t>EJ010725.TXT</t>
        </is>
      </c>
      <c r="B1087" s="3" t="inlineStr">
        <is>
          <t>005795</t>
        </is>
      </c>
      <c r="C1087" s="3" t="inlineStr">
        <is>
          <t>004647</t>
        </is>
      </c>
      <c r="D1087" s="4" t="n">
        <v>45754</v>
      </c>
      <c r="E1087" s="2" t="inlineStr">
        <is>
          <t>16:38</t>
        </is>
      </c>
      <c r="F1087" s="5" t="n">
        <v>82.5</v>
      </c>
      <c r="G1087" s="5" t="n"/>
      <c r="H1087" s="5" t="n"/>
      <c r="I1087" s="5" t="n"/>
      <c r="J1087" s="5" t="n">
        <v>16.5</v>
      </c>
      <c r="K1087" s="5" t="n"/>
      <c r="L1087" s="5" t="n"/>
      <c r="M1087" s="5" t="n"/>
      <c r="N1087" s="5" t="n"/>
      <c r="O1087" s="5" t="n">
        <v>99</v>
      </c>
      <c r="P1087" s="5" t="n">
        <v>99</v>
      </c>
      <c r="Q1087" s="5" t="n"/>
      <c r="R1087" s="5" t="n"/>
      <c r="S1087" s="5">
        <f>SUM(F1087:I1087)+N1087</f>
        <v/>
      </c>
      <c r="T1087" s="5">
        <f>J1087</f>
        <v/>
      </c>
      <c r="U1087" s="6">
        <f>YEAR(D1087)</f>
        <v/>
      </c>
      <c r="V1087" s="5">
        <f>TEXT(D1087,"yyyy-mm")</f>
        <v/>
      </c>
    </row>
    <row r="1088">
      <c r="A1088" s="2" t="inlineStr">
        <is>
          <t>EJ010725.TXT</t>
        </is>
      </c>
      <c r="B1088" s="3" t="inlineStr">
        <is>
          <t>005796</t>
        </is>
      </c>
      <c r="C1088" s="3" t="inlineStr">
        <is>
          <t>004648</t>
        </is>
      </c>
      <c r="D1088" s="4" t="n">
        <v>45754</v>
      </c>
      <c r="E1088" s="2" t="inlineStr">
        <is>
          <t>16:54</t>
        </is>
      </c>
      <c r="F1088" s="5" t="n">
        <v>465.83</v>
      </c>
      <c r="G1088" s="5" t="n"/>
      <c r="H1088" s="5" t="n"/>
      <c r="I1088" s="5" t="n"/>
      <c r="J1088" s="5" t="n">
        <v>93.17</v>
      </c>
      <c r="K1088" s="5" t="n"/>
      <c r="L1088" s="5" t="n"/>
      <c r="M1088" s="5" t="n"/>
      <c r="N1088" s="5" t="n"/>
      <c r="O1088" s="5" t="n">
        <v>559</v>
      </c>
      <c r="P1088" s="5" t="n"/>
      <c r="Q1088" s="5" t="n">
        <v>559</v>
      </c>
      <c r="R1088" s="5" t="n"/>
      <c r="S1088" s="5">
        <f>SUM(F1088:I1088)+N1088</f>
        <v/>
      </c>
      <c r="T1088" s="5">
        <f>J1088</f>
        <v/>
      </c>
      <c r="U1088" s="6">
        <f>YEAR(D1088)</f>
        <v/>
      </c>
      <c r="V1088" s="5">
        <f>TEXT(D1088,"yyyy-mm")</f>
        <v/>
      </c>
    </row>
    <row r="1089">
      <c r="A1089" s="2" t="inlineStr">
        <is>
          <t>EJ010725.TXT</t>
        </is>
      </c>
      <c r="B1089" s="3" t="inlineStr">
        <is>
          <t>005797</t>
        </is>
      </c>
      <c r="C1089" s="3" t="inlineStr">
        <is>
          <t>004649</t>
        </is>
      </c>
      <c r="D1089" s="4" t="n">
        <v>45754</v>
      </c>
      <c r="E1089" s="2" t="inlineStr">
        <is>
          <t>17:01</t>
        </is>
      </c>
      <c r="F1089" s="5" t="n">
        <v>83.17</v>
      </c>
      <c r="G1089" s="5" t="n"/>
      <c r="H1089" s="5" t="n"/>
      <c r="I1089" s="5" t="n"/>
      <c r="J1089" s="5" t="n">
        <v>16.63</v>
      </c>
      <c r="K1089" s="5" t="n"/>
      <c r="L1089" s="5" t="n"/>
      <c r="M1089" s="5" t="n"/>
      <c r="N1089" s="5" t="n"/>
      <c r="O1089" s="5" t="n">
        <v>99.8</v>
      </c>
      <c r="P1089" s="5" t="n"/>
      <c r="Q1089" s="5" t="n">
        <v>99.8</v>
      </c>
      <c r="R1089" s="5" t="n"/>
      <c r="S1089" s="5">
        <f>SUM(F1089:I1089)+N1089</f>
        <v/>
      </c>
      <c r="T1089" s="5">
        <f>J1089</f>
        <v/>
      </c>
      <c r="U1089" s="6">
        <f>YEAR(D1089)</f>
        <v/>
      </c>
      <c r="V1089" s="5">
        <f>TEXT(D1089,"yyyy-mm")</f>
        <v/>
      </c>
    </row>
    <row r="1090">
      <c r="A1090" s="2" t="inlineStr">
        <is>
          <t>EJ010725.TXT</t>
        </is>
      </c>
      <c r="B1090" s="3" t="inlineStr">
        <is>
          <t>005798</t>
        </is>
      </c>
      <c r="C1090" s="3" t="inlineStr">
        <is>
          <t>004650</t>
        </is>
      </c>
      <c r="D1090" s="4" t="n">
        <v>45755</v>
      </c>
      <c r="E1090" s="2" t="inlineStr">
        <is>
          <t>10:33</t>
        </is>
      </c>
      <c r="F1090" s="5" t="n">
        <v>274.17</v>
      </c>
      <c r="G1090" s="5" t="n"/>
      <c r="H1090" s="5" t="n"/>
      <c r="I1090" s="5" t="n"/>
      <c r="J1090" s="5" t="n">
        <v>54.83</v>
      </c>
      <c r="K1090" s="5" t="n"/>
      <c r="L1090" s="5" t="n"/>
      <c r="M1090" s="5" t="n"/>
      <c r="N1090" s="5" t="n"/>
      <c r="O1090" s="5" t="n">
        <v>329</v>
      </c>
      <c r="P1090" s="5" t="n"/>
      <c r="Q1090" s="5" t="n">
        <v>329</v>
      </c>
      <c r="R1090" s="5" t="n"/>
      <c r="S1090" s="5">
        <f>SUM(F1090:I1090)+N1090</f>
        <v/>
      </c>
      <c r="T1090" s="5">
        <f>J1090</f>
        <v/>
      </c>
      <c r="U1090" s="6">
        <f>YEAR(D1090)</f>
        <v/>
      </c>
      <c r="V1090" s="5">
        <f>TEXT(D1090,"yyyy-mm")</f>
        <v/>
      </c>
    </row>
    <row r="1091">
      <c r="A1091" s="2" t="inlineStr">
        <is>
          <t>EJ010725.TXT</t>
        </is>
      </c>
      <c r="B1091" s="3" t="inlineStr">
        <is>
          <t>005799</t>
        </is>
      </c>
      <c r="C1091" s="3" t="inlineStr">
        <is>
          <t>004651</t>
        </is>
      </c>
      <c r="D1091" s="4" t="n">
        <v>45755</v>
      </c>
      <c r="E1091" s="2" t="inlineStr">
        <is>
          <t>16:01</t>
        </is>
      </c>
      <c r="F1091" s="5" t="n">
        <v>208.33</v>
      </c>
      <c r="G1091" s="5" t="n"/>
      <c r="H1091" s="5" t="n"/>
      <c r="I1091" s="5" t="n"/>
      <c r="J1091" s="5" t="n">
        <v>41.67</v>
      </c>
      <c r="K1091" s="5" t="n"/>
      <c r="L1091" s="5" t="n"/>
      <c r="M1091" s="5" t="n"/>
      <c r="N1091" s="5" t="n"/>
      <c r="O1091" s="5" t="n">
        <v>250</v>
      </c>
      <c r="P1091" s="5" t="n"/>
      <c r="Q1091" s="5" t="n">
        <v>250</v>
      </c>
      <c r="R1091" s="5" t="n"/>
      <c r="S1091" s="5">
        <f>SUM(F1091:I1091)+N1091</f>
        <v/>
      </c>
      <c r="T1091" s="5">
        <f>J1091</f>
        <v/>
      </c>
      <c r="U1091" s="6">
        <f>YEAR(D1091)</f>
        <v/>
      </c>
      <c r="V1091" s="5">
        <f>TEXT(D1091,"yyyy-mm")</f>
        <v/>
      </c>
    </row>
    <row r="1092">
      <c r="A1092" s="2" t="inlineStr">
        <is>
          <t>EJ010725.TXT</t>
        </is>
      </c>
      <c r="B1092" s="3" t="inlineStr">
        <is>
          <t>005800</t>
        </is>
      </c>
      <c r="C1092" s="3" t="inlineStr">
        <is>
          <t>004652</t>
        </is>
      </c>
      <c r="D1092" s="4" t="n">
        <v>45756</v>
      </c>
      <c r="E1092" s="2" t="inlineStr">
        <is>
          <t>14:53</t>
        </is>
      </c>
      <c r="F1092" s="5" t="n">
        <v>41.58</v>
      </c>
      <c r="G1092" s="5" t="n"/>
      <c r="H1092" s="5" t="n"/>
      <c r="I1092" s="5" t="n"/>
      <c r="J1092" s="5" t="n">
        <v>8.32</v>
      </c>
      <c r="K1092" s="5" t="n"/>
      <c r="L1092" s="5" t="n"/>
      <c r="M1092" s="5" t="n"/>
      <c r="N1092" s="5" t="n"/>
      <c r="O1092" s="5" t="n">
        <v>49.9</v>
      </c>
      <c r="P1092" s="5" t="n">
        <v>49.9</v>
      </c>
      <c r="Q1092" s="5" t="n"/>
      <c r="R1092" s="5" t="n"/>
      <c r="S1092" s="5">
        <f>SUM(F1092:I1092)+N1092</f>
        <v/>
      </c>
      <c r="T1092" s="5">
        <f>J1092</f>
        <v/>
      </c>
      <c r="U1092" s="6">
        <f>YEAR(D1092)</f>
        <v/>
      </c>
      <c r="V1092" s="5">
        <f>TEXT(D1092,"yyyy-mm")</f>
        <v/>
      </c>
    </row>
    <row r="1093">
      <c r="A1093" s="2" t="inlineStr">
        <is>
          <t>EJ010725.TXT</t>
        </is>
      </c>
      <c r="B1093" s="3" t="inlineStr">
        <is>
          <t>005801</t>
        </is>
      </c>
      <c r="C1093" s="3" t="inlineStr">
        <is>
          <t>004653</t>
        </is>
      </c>
      <c r="D1093" s="4" t="n">
        <v>45757</v>
      </c>
      <c r="E1093" s="2" t="inlineStr">
        <is>
          <t>14:26</t>
        </is>
      </c>
      <c r="F1093" s="5" t="n">
        <v>548.33</v>
      </c>
      <c r="G1093" s="5" t="n"/>
      <c r="H1093" s="5" t="n"/>
      <c r="I1093" s="5" t="n"/>
      <c r="J1093" s="5" t="n">
        <v>109.67</v>
      </c>
      <c r="K1093" s="5" t="n"/>
      <c r="L1093" s="5" t="n"/>
      <c r="M1093" s="5" t="n"/>
      <c r="N1093" s="5" t="n"/>
      <c r="O1093" s="5" t="n">
        <v>658</v>
      </c>
      <c r="P1093" s="5" t="n">
        <v>658</v>
      </c>
      <c r="Q1093" s="5" t="n"/>
      <c r="R1093" s="5" t="n"/>
      <c r="S1093" s="5">
        <f>SUM(F1093:I1093)+N1093</f>
        <v/>
      </c>
      <c r="T1093" s="5">
        <f>J1093</f>
        <v/>
      </c>
      <c r="U1093" s="6">
        <f>YEAR(D1093)</f>
        <v/>
      </c>
      <c r="V1093" s="5">
        <f>TEXT(D1093,"yyyy-mm")</f>
        <v/>
      </c>
    </row>
    <row r="1094">
      <c r="A1094" s="2" t="inlineStr">
        <is>
          <t>EJ010725.TXT</t>
        </is>
      </c>
      <c r="B1094" s="3" t="inlineStr">
        <is>
          <t>005802</t>
        </is>
      </c>
      <c r="C1094" s="3" t="inlineStr">
        <is>
          <t>004654</t>
        </is>
      </c>
      <c r="D1094" s="4" t="n">
        <v>45758</v>
      </c>
      <c r="E1094" s="2" t="inlineStr">
        <is>
          <t>10:44</t>
        </is>
      </c>
      <c r="F1094" s="5" t="n">
        <v>626.67</v>
      </c>
      <c r="G1094" s="5" t="n"/>
      <c r="H1094" s="5" t="n"/>
      <c r="I1094" s="5" t="n"/>
      <c r="J1094" s="5" t="n">
        <v>125.33</v>
      </c>
      <c r="K1094" s="5" t="n"/>
      <c r="L1094" s="5" t="n"/>
      <c r="M1094" s="5" t="n"/>
      <c r="N1094" s="5" t="n"/>
      <c r="O1094" s="5" t="n">
        <v>752</v>
      </c>
      <c r="P1094" s="5" t="n">
        <v>752</v>
      </c>
      <c r="Q1094" s="5" t="n"/>
      <c r="R1094" s="5" t="n"/>
      <c r="S1094" s="5">
        <f>SUM(F1094:I1094)+N1094</f>
        <v/>
      </c>
      <c r="T1094" s="5">
        <f>J1094</f>
        <v/>
      </c>
      <c r="U1094" s="6">
        <f>YEAR(D1094)</f>
        <v/>
      </c>
      <c r="V1094" s="5">
        <f>TEXT(D1094,"yyyy-mm")</f>
        <v/>
      </c>
    </row>
    <row r="1095">
      <c r="A1095" s="2" t="inlineStr">
        <is>
          <t>EJ010725.TXT</t>
        </is>
      </c>
      <c r="B1095" s="3" t="inlineStr">
        <is>
          <t>005803</t>
        </is>
      </c>
      <c r="C1095" s="3" t="inlineStr">
        <is>
          <t>004655</t>
        </is>
      </c>
      <c r="D1095" s="4" t="n">
        <v>45758</v>
      </c>
      <c r="E1095" s="2" t="inlineStr">
        <is>
          <t>17:22</t>
        </is>
      </c>
      <c r="F1095" s="5" t="n">
        <v>656.67</v>
      </c>
      <c r="G1095" s="5" t="n"/>
      <c r="H1095" s="5" t="n"/>
      <c r="I1095" s="5" t="n"/>
      <c r="J1095" s="5" t="n">
        <v>131.33</v>
      </c>
      <c r="K1095" s="5" t="n"/>
      <c r="L1095" s="5" t="n"/>
      <c r="M1095" s="5" t="n"/>
      <c r="N1095" s="5" t="n"/>
      <c r="O1095" s="5" t="n">
        <v>788</v>
      </c>
      <c r="P1095" s="5" t="n"/>
      <c r="Q1095" s="5" t="n">
        <v>788</v>
      </c>
      <c r="R1095" s="5" t="n"/>
      <c r="S1095" s="5">
        <f>SUM(F1095:I1095)+N1095</f>
        <v/>
      </c>
      <c r="T1095" s="5">
        <f>J1095</f>
        <v/>
      </c>
      <c r="U1095" s="6">
        <f>YEAR(D1095)</f>
        <v/>
      </c>
      <c r="V1095" s="5">
        <f>TEXT(D1095,"yyyy-mm")</f>
        <v/>
      </c>
    </row>
    <row r="1096">
      <c r="A1096" s="2" t="inlineStr">
        <is>
          <t>EJ010725.TXT</t>
        </is>
      </c>
      <c r="B1096" s="3" t="inlineStr">
        <is>
          <t>005804</t>
        </is>
      </c>
      <c r="C1096" s="3" t="inlineStr">
        <is>
          <t>004656</t>
        </is>
      </c>
      <c r="D1096" s="4" t="n">
        <v>45762</v>
      </c>
      <c r="E1096" s="2" t="inlineStr">
        <is>
          <t>17:30</t>
        </is>
      </c>
      <c r="F1096" s="5" t="n">
        <v>845</v>
      </c>
      <c r="G1096" s="5" t="n"/>
      <c r="H1096" s="5" t="n"/>
      <c r="I1096" s="5" t="n"/>
      <c r="J1096" s="5" t="n">
        <v>169</v>
      </c>
      <c r="K1096" s="5" t="n"/>
      <c r="L1096" s="5" t="n"/>
      <c r="M1096" s="5" t="n"/>
      <c r="N1096" s="5" t="n"/>
      <c r="O1096" s="5" t="n">
        <v>1014</v>
      </c>
      <c r="P1096" s="5" t="n">
        <v>1014</v>
      </c>
      <c r="Q1096" s="5" t="n"/>
      <c r="R1096" s="5" t="n"/>
      <c r="S1096" s="5">
        <f>SUM(F1096:I1096)+N1096</f>
        <v/>
      </c>
      <c r="T1096" s="5">
        <f>J1096</f>
        <v/>
      </c>
      <c r="U1096" s="6">
        <f>YEAR(D1096)</f>
        <v/>
      </c>
      <c r="V1096" s="5">
        <f>TEXT(D1096,"yyyy-mm")</f>
        <v/>
      </c>
    </row>
    <row r="1097">
      <c r="A1097" s="2" t="inlineStr">
        <is>
          <t>EJ010725.TXT</t>
        </is>
      </c>
      <c r="B1097" s="3" t="inlineStr">
        <is>
          <t>005805</t>
        </is>
      </c>
      <c r="C1097" s="3" t="inlineStr">
        <is>
          <t>004657</t>
        </is>
      </c>
      <c r="D1097" s="4" t="n">
        <v>45765</v>
      </c>
      <c r="E1097" s="2" t="inlineStr">
        <is>
          <t>12:41</t>
        </is>
      </c>
      <c r="F1097" s="5" t="n">
        <v>208.33</v>
      </c>
      <c r="G1097" s="5" t="n"/>
      <c r="H1097" s="5" t="n"/>
      <c r="I1097" s="5" t="n"/>
      <c r="J1097" s="5" t="n">
        <v>41.67</v>
      </c>
      <c r="K1097" s="5" t="n"/>
      <c r="L1097" s="5" t="n"/>
      <c r="M1097" s="5" t="n"/>
      <c r="N1097" s="5" t="n"/>
      <c r="O1097" s="5" t="n">
        <v>250</v>
      </c>
      <c r="P1097" s="5" t="n"/>
      <c r="Q1097" s="5" t="n">
        <v>250</v>
      </c>
      <c r="R1097" s="5" t="n"/>
      <c r="S1097" s="5">
        <f>SUM(F1097:I1097)+N1097</f>
        <v/>
      </c>
      <c r="T1097" s="5">
        <f>J1097</f>
        <v/>
      </c>
      <c r="U1097" s="6">
        <f>YEAR(D1097)</f>
        <v/>
      </c>
      <c r="V1097" s="5">
        <f>TEXT(D1097,"yyyy-mm")</f>
        <v/>
      </c>
    </row>
    <row r="1098">
      <c r="A1098" s="2" t="inlineStr">
        <is>
          <t>EJ010725.TXT</t>
        </is>
      </c>
      <c r="B1098" s="3" t="inlineStr">
        <is>
          <t>005806</t>
        </is>
      </c>
      <c r="C1098" s="3" t="inlineStr">
        <is>
          <t>004658</t>
        </is>
      </c>
      <c r="D1098" s="4" t="n">
        <v>45766</v>
      </c>
      <c r="E1098" s="2" t="inlineStr">
        <is>
          <t>15:25</t>
        </is>
      </c>
      <c r="F1098" s="5" t="n">
        <v>107.42</v>
      </c>
      <c r="G1098" s="5" t="n"/>
      <c r="H1098" s="5" t="n"/>
      <c r="I1098" s="5" t="n"/>
      <c r="J1098" s="5" t="n">
        <v>21.48</v>
      </c>
      <c r="K1098" s="5" t="n"/>
      <c r="L1098" s="5" t="n"/>
      <c r="M1098" s="5" t="n"/>
      <c r="N1098" s="5" t="n"/>
      <c r="O1098" s="5" t="n">
        <v>128.9</v>
      </c>
      <c r="P1098" s="5" t="n"/>
      <c r="Q1098" s="5" t="n">
        <v>128.9</v>
      </c>
      <c r="R1098" s="5" t="n"/>
      <c r="S1098" s="5">
        <f>SUM(F1098:I1098)+N1098</f>
        <v/>
      </c>
      <c r="T1098" s="5">
        <f>J1098</f>
        <v/>
      </c>
      <c r="U1098" s="6">
        <f>YEAR(D1098)</f>
        <v/>
      </c>
      <c r="V1098" s="5">
        <f>TEXT(D1098,"yyyy-mm")</f>
        <v/>
      </c>
    </row>
    <row r="1099">
      <c r="A1099" s="2" t="inlineStr">
        <is>
          <t>EJ010725.TXT</t>
        </is>
      </c>
      <c r="B1099" s="3" t="inlineStr">
        <is>
          <t>005807</t>
        </is>
      </c>
      <c r="C1099" s="3" t="inlineStr">
        <is>
          <t>004659</t>
        </is>
      </c>
      <c r="D1099" s="4" t="n">
        <v>45770</v>
      </c>
      <c r="E1099" s="2" t="inlineStr">
        <is>
          <t>15:56</t>
        </is>
      </c>
      <c r="F1099" s="5" t="n">
        <v>208.33</v>
      </c>
      <c r="G1099" s="5" t="n"/>
      <c r="H1099" s="5" t="n"/>
      <c r="I1099" s="5" t="n"/>
      <c r="J1099" s="5" t="n">
        <v>41.67</v>
      </c>
      <c r="K1099" s="5" t="n"/>
      <c r="L1099" s="5" t="n"/>
      <c r="M1099" s="5" t="n"/>
      <c r="N1099" s="5" t="n"/>
      <c r="O1099" s="5" t="n">
        <v>250</v>
      </c>
      <c r="P1099" s="5" t="n"/>
      <c r="Q1099" s="5" t="n">
        <v>250</v>
      </c>
      <c r="R1099" s="5" t="n"/>
      <c r="S1099" s="5">
        <f>SUM(F1099:I1099)+N1099</f>
        <v/>
      </c>
      <c r="T1099" s="5">
        <f>J1099</f>
        <v/>
      </c>
      <c r="U1099" s="6">
        <f>YEAR(D1099)</f>
        <v/>
      </c>
      <c r="V1099" s="5">
        <f>TEXT(D1099,"yyyy-mm")</f>
        <v/>
      </c>
    </row>
    <row r="1100">
      <c r="A1100" s="2" t="inlineStr">
        <is>
          <t>EJ010725.TXT</t>
        </is>
      </c>
      <c r="B1100" s="3" t="inlineStr">
        <is>
          <t>005808</t>
        </is>
      </c>
      <c r="C1100" s="3" t="inlineStr">
        <is>
          <t>004660</t>
        </is>
      </c>
      <c r="D1100" s="4" t="n">
        <v>45770</v>
      </c>
      <c r="E1100" s="2" t="inlineStr">
        <is>
          <t>17:13</t>
        </is>
      </c>
      <c r="F1100" s="5" t="n">
        <v>66.5</v>
      </c>
      <c r="G1100" s="5" t="n"/>
      <c r="H1100" s="5" t="n"/>
      <c r="I1100" s="5" t="n"/>
      <c r="J1100" s="5" t="n">
        <v>13.3</v>
      </c>
      <c r="K1100" s="5" t="n"/>
      <c r="L1100" s="5" t="n"/>
      <c r="M1100" s="5" t="n"/>
      <c r="N1100" s="5" t="n"/>
      <c r="O1100" s="5" t="n">
        <v>79.8</v>
      </c>
      <c r="P1100" s="5" t="n">
        <v>79.8</v>
      </c>
      <c r="Q1100" s="5" t="n"/>
      <c r="R1100" s="5" t="n"/>
      <c r="S1100" s="5">
        <f>SUM(F1100:I1100)+N1100</f>
        <v/>
      </c>
      <c r="T1100" s="5">
        <f>J1100</f>
        <v/>
      </c>
      <c r="U1100" s="6">
        <f>YEAR(D1100)</f>
        <v/>
      </c>
      <c r="V1100" s="5">
        <f>TEXT(D1100,"yyyy-mm")</f>
        <v/>
      </c>
    </row>
    <row r="1101">
      <c r="A1101" s="2" t="inlineStr">
        <is>
          <t>EJ010725.TXT</t>
        </is>
      </c>
      <c r="B1101" s="3" t="inlineStr">
        <is>
          <t>005809</t>
        </is>
      </c>
      <c r="C1101" s="3" t="inlineStr">
        <is>
          <t>004661</t>
        </is>
      </c>
      <c r="D1101" s="4" t="n">
        <v>45775</v>
      </c>
      <c r="E1101" s="2" t="inlineStr">
        <is>
          <t>10:23</t>
        </is>
      </c>
      <c r="F1101" s="5" t="n">
        <v>82.5</v>
      </c>
      <c r="G1101" s="5" t="n"/>
      <c r="H1101" s="5" t="n"/>
      <c r="I1101" s="5" t="n"/>
      <c r="J1101" s="5" t="n">
        <v>16.5</v>
      </c>
      <c r="K1101" s="5" t="n"/>
      <c r="L1101" s="5" t="n"/>
      <c r="M1101" s="5" t="n"/>
      <c r="N1101" s="5" t="n"/>
      <c r="O1101" s="5" t="n">
        <v>99</v>
      </c>
      <c r="P1101" s="5" t="n"/>
      <c r="Q1101" s="5" t="n">
        <v>99</v>
      </c>
      <c r="R1101" s="5" t="n"/>
      <c r="S1101" s="5">
        <f>SUM(F1101:I1101)+N1101</f>
        <v/>
      </c>
      <c r="T1101" s="5">
        <f>J1101</f>
        <v/>
      </c>
      <c r="U1101" s="6">
        <f>YEAR(D1101)</f>
        <v/>
      </c>
      <c r="V1101" s="5">
        <f>TEXT(D1101,"yyyy-mm")</f>
        <v/>
      </c>
    </row>
    <row r="1102">
      <c r="A1102" s="2" t="inlineStr">
        <is>
          <t>EJ010725.TXT</t>
        </is>
      </c>
      <c r="B1102" s="3" t="inlineStr">
        <is>
          <t>005810</t>
        </is>
      </c>
      <c r="C1102" s="3" t="inlineStr">
        <is>
          <t>004662</t>
        </is>
      </c>
      <c r="D1102" s="4" t="n">
        <v>45777</v>
      </c>
      <c r="E1102" s="2" t="inlineStr">
        <is>
          <t>10:38</t>
        </is>
      </c>
      <c r="F1102" s="5" t="n">
        <v>315.75</v>
      </c>
      <c r="G1102" s="5" t="n"/>
      <c r="H1102" s="5" t="n"/>
      <c r="I1102" s="5" t="n"/>
      <c r="J1102" s="5" t="n">
        <v>63.15</v>
      </c>
      <c r="K1102" s="5" t="n"/>
      <c r="L1102" s="5" t="n"/>
      <c r="M1102" s="5" t="n"/>
      <c r="N1102" s="5" t="n"/>
      <c r="O1102" s="5" t="n">
        <v>378.9</v>
      </c>
      <c r="P1102" s="5" t="n">
        <v>378.9</v>
      </c>
      <c r="Q1102" s="5" t="n"/>
      <c r="R1102" s="5" t="n"/>
      <c r="S1102" s="5">
        <f>SUM(F1102:I1102)+N1102</f>
        <v/>
      </c>
      <c r="T1102" s="5">
        <f>J1102</f>
        <v/>
      </c>
      <c r="U1102" s="6">
        <f>YEAR(D1102)</f>
        <v/>
      </c>
      <c r="V1102" s="5">
        <f>TEXT(D1102,"yyyy-mm")</f>
        <v/>
      </c>
    </row>
    <row r="1103">
      <c r="A1103" s="2" t="inlineStr">
        <is>
          <t>EJ010725.TXT</t>
        </is>
      </c>
      <c r="B1103" s="3" t="inlineStr">
        <is>
          <t>005811</t>
        </is>
      </c>
      <c r="C1103" s="3" t="inlineStr">
        <is>
          <t>004663</t>
        </is>
      </c>
      <c r="D1103" s="4" t="n">
        <v>45777</v>
      </c>
      <c r="E1103" s="2" t="inlineStr">
        <is>
          <t>15:23</t>
        </is>
      </c>
      <c r="F1103" s="5" t="n">
        <v>274.17</v>
      </c>
      <c r="G1103" s="5" t="n"/>
      <c r="H1103" s="5" t="n"/>
      <c r="I1103" s="5" t="n"/>
      <c r="J1103" s="5" t="n">
        <v>54.83</v>
      </c>
      <c r="K1103" s="5" t="n"/>
      <c r="L1103" s="5" t="n"/>
      <c r="M1103" s="5" t="n"/>
      <c r="N1103" s="5" t="n"/>
      <c r="O1103" s="5" t="n">
        <v>329</v>
      </c>
      <c r="P1103" s="5" t="n">
        <v>329</v>
      </c>
      <c r="Q1103" s="5" t="n"/>
      <c r="R1103" s="5" t="n"/>
      <c r="S1103" s="5">
        <f>SUM(F1103:I1103)+N1103</f>
        <v/>
      </c>
      <c r="T1103" s="5">
        <f>J1103</f>
        <v/>
      </c>
      <c r="U1103" s="6">
        <f>YEAR(D1103)</f>
        <v/>
      </c>
      <c r="V1103" s="5">
        <f>TEXT(D1103,"yyyy-mm")</f>
        <v/>
      </c>
    </row>
    <row r="1104">
      <c r="A1104" s="2" t="inlineStr">
        <is>
          <t>EJ010725.TXT</t>
        </is>
      </c>
      <c r="B1104" s="3" t="inlineStr">
        <is>
          <t>005812</t>
        </is>
      </c>
      <c r="C1104" s="3" t="inlineStr">
        <is>
          <t>004664</t>
        </is>
      </c>
      <c r="D1104" s="4" t="n">
        <v>45782</v>
      </c>
      <c r="E1104" s="2" t="inlineStr">
        <is>
          <t>09:49</t>
        </is>
      </c>
      <c r="F1104" s="5" t="n">
        <v>208.33</v>
      </c>
      <c r="G1104" s="5" t="n"/>
      <c r="H1104" s="5" t="n"/>
      <c r="I1104" s="5" t="n"/>
      <c r="J1104" s="5" t="n">
        <v>41.67</v>
      </c>
      <c r="K1104" s="5" t="n"/>
      <c r="L1104" s="5" t="n"/>
      <c r="M1104" s="5" t="n"/>
      <c r="N1104" s="5" t="n"/>
      <c r="O1104" s="5" t="n">
        <v>250</v>
      </c>
      <c r="P1104" s="5" t="n"/>
      <c r="Q1104" s="5" t="n">
        <v>250</v>
      </c>
      <c r="R1104" s="5" t="n"/>
      <c r="S1104" s="5">
        <f>SUM(F1104:I1104)+N1104</f>
        <v/>
      </c>
      <c r="T1104" s="5">
        <f>J1104</f>
        <v/>
      </c>
      <c r="U1104" s="6">
        <f>YEAR(D1104)</f>
        <v/>
      </c>
      <c r="V1104" s="5">
        <f>TEXT(D1104,"yyyy-mm")</f>
        <v/>
      </c>
    </row>
    <row r="1105">
      <c r="A1105" s="2" t="inlineStr">
        <is>
          <t>EJ010725.TXT</t>
        </is>
      </c>
      <c r="B1105" s="3" t="inlineStr">
        <is>
          <t>005813</t>
        </is>
      </c>
      <c r="C1105" s="3" t="inlineStr">
        <is>
          <t>004665</t>
        </is>
      </c>
      <c r="D1105" s="4" t="n">
        <v>45782</v>
      </c>
      <c r="E1105" s="2" t="inlineStr">
        <is>
          <t>14:49</t>
        </is>
      </c>
      <c r="F1105" s="5" t="n">
        <v>548.33</v>
      </c>
      <c r="G1105" s="5" t="n"/>
      <c r="H1105" s="5" t="n"/>
      <c r="I1105" s="5" t="n"/>
      <c r="J1105" s="5" t="n">
        <v>109.67</v>
      </c>
      <c r="K1105" s="5" t="n"/>
      <c r="L1105" s="5" t="n"/>
      <c r="M1105" s="5" t="n"/>
      <c r="N1105" s="5" t="n"/>
      <c r="O1105" s="5" t="n">
        <v>658</v>
      </c>
      <c r="P1105" s="5" t="n">
        <v>658</v>
      </c>
      <c r="Q1105" s="5" t="n"/>
      <c r="R1105" s="5" t="n"/>
      <c r="S1105" s="5">
        <f>SUM(F1105:I1105)+N1105</f>
        <v/>
      </c>
      <c r="T1105" s="5">
        <f>J1105</f>
        <v/>
      </c>
      <c r="U1105" s="6">
        <f>YEAR(D1105)</f>
        <v/>
      </c>
      <c r="V1105" s="5">
        <f>TEXT(D1105,"yyyy-mm")</f>
        <v/>
      </c>
    </row>
    <row r="1106">
      <c r="A1106" s="2" t="inlineStr">
        <is>
          <t>EJ010725.TXT</t>
        </is>
      </c>
      <c r="B1106" s="3" t="inlineStr">
        <is>
          <t>005814</t>
        </is>
      </c>
      <c r="C1106" s="3" t="inlineStr">
        <is>
          <t>004666</t>
        </is>
      </c>
      <c r="D1106" s="4" t="n">
        <v>45783</v>
      </c>
      <c r="E1106" s="2" t="inlineStr">
        <is>
          <t>13:59</t>
        </is>
      </c>
      <c r="F1106" s="5" t="n">
        <v>274.17</v>
      </c>
      <c r="G1106" s="5" t="n"/>
      <c r="H1106" s="5" t="n"/>
      <c r="I1106" s="5" t="n"/>
      <c r="J1106" s="5" t="n">
        <v>54.83</v>
      </c>
      <c r="K1106" s="5" t="n"/>
      <c r="L1106" s="5" t="n"/>
      <c r="M1106" s="5" t="n"/>
      <c r="N1106" s="5" t="n"/>
      <c r="O1106" s="5" t="n">
        <v>329</v>
      </c>
      <c r="P1106" s="5" t="n"/>
      <c r="Q1106" s="5" t="n">
        <v>329</v>
      </c>
      <c r="R1106" s="5" t="n"/>
      <c r="S1106" s="5">
        <f>SUM(F1106:I1106)+N1106</f>
        <v/>
      </c>
      <c r="T1106" s="5">
        <f>J1106</f>
        <v/>
      </c>
      <c r="U1106" s="6">
        <f>YEAR(D1106)</f>
        <v/>
      </c>
      <c r="V1106" s="5">
        <f>TEXT(D1106,"yyyy-mm")</f>
        <v/>
      </c>
    </row>
    <row r="1107">
      <c r="A1107" s="2" t="inlineStr">
        <is>
          <t>EJ010725.TXT</t>
        </is>
      </c>
      <c r="B1107" s="3" t="inlineStr">
        <is>
          <t>005815</t>
        </is>
      </c>
      <c r="C1107" s="3" t="inlineStr">
        <is>
          <t>004667</t>
        </is>
      </c>
      <c r="D1107" s="4" t="n">
        <v>45786</v>
      </c>
      <c r="E1107" s="2" t="inlineStr">
        <is>
          <t>16:03</t>
        </is>
      </c>
      <c r="F1107" s="5" t="n">
        <v>548.33</v>
      </c>
      <c r="G1107" s="5" t="n"/>
      <c r="H1107" s="5" t="n"/>
      <c r="I1107" s="5" t="n"/>
      <c r="J1107" s="5" t="n">
        <v>109.67</v>
      </c>
      <c r="K1107" s="5" t="n"/>
      <c r="L1107" s="5" t="n"/>
      <c r="M1107" s="5" t="n"/>
      <c r="N1107" s="5" t="n"/>
      <c r="O1107" s="5" t="n">
        <v>658</v>
      </c>
      <c r="P1107" s="5" t="n"/>
      <c r="Q1107" s="5" t="n">
        <v>658</v>
      </c>
      <c r="R1107" s="5" t="n"/>
      <c r="S1107" s="5">
        <f>SUM(F1107:I1107)+N1107</f>
        <v/>
      </c>
      <c r="T1107" s="5">
        <f>J1107</f>
        <v/>
      </c>
      <c r="U1107" s="6">
        <f>YEAR(D1107)</f>
        <v/>
      </c>
      <c r="V1107" s="5">
        <f>TEXT(D1107,"yyyy-mm")</f>
        <v/>
      </c>
    </row>
    <row r="1108">
      <c r="A1108" s="2" t="inlineStr">
        <is>
          <t>EJ010725.TXT</t>
        </is>
      </c>
      <c r="B1108" s="3" t="inlineStr">
        <is>
          <t>005816</t>
        </is>
      </c>
      <c r="C1108" s="3" t="inlineStr">
        <is>
          <t>004668</t>
        </is>
      </c>
      <c r="D1108" s="4" t="n">
        <v>45786</v>
      </c>
      <c r="E1108" s="2" t="inlineStr">
        <is>
          <t>16:05</t>
        </is>
      </c>
      <c r="F1108" s="5" t="n">
        <v>208.33</v>
      </c>
      <c r="G1108" s="5" t="n"/>
      <c r="H1108" s="5" t="n"/>
      <c r="I1108" s="5" t="n"/>
      <c r="J1108" s="5" t="n">
        <v>41.67</v>
      </c>
      <c r="K1108" s="5" t="n"/>
      <c r="L1108" s="5" t="n"/>
      <c r="M1108" s="5" t="n"/>
      <c r="N1108" s="5" t="n"/>
      <c r="O1108" s="5" t="n">
        <v>250</v>
      </c>
      <c r="P1108" s="5" t="n"/>
      <c r="Q1108" s="5" t="n">
        <v>250</v>
      </c>
      <c r="R1108" s="5" t="n"/>
      <c r="S1108" s="5">
        <f>SUM(F1108:I1108)+N1108</f>
        <v/>
      </c>
      <c r="T1108" s="5">
        <f>J1108</f>
        <v/>
      </c>
      <c r="U1108" s="6">
        <f>YEAR(D1108)</f>
        <v/>
      </c>
      <c r="V1108" s="5">
        <f>TEXT(D1108,"yyyy-mm")</f>
        <v/>
      </c>
    </row>
    <row r="1109">
      <c r="A1109" s="2" t="inlineStr">
        <is>
          <t>EJ010725.TXT</t>
        </is>
      </c>
      <c r="B1109" s="3" t="inlineStr">
        <is>
          <t>005817</t>
        </is>
      </c>
      <c r="C1109" s="3" t="inlineStr">
        <is>
          <t>004669</t>
        </is>
      </c>
      <c r="D1109" s="4" t="n">
        <v>45794</v>
      </c>
      <c r="E1109" s="2" t="inlineStr">
        <is>
          <t>17:14</t>
        </is>
      </c>
      <c r="F1109" s="5" t="n">
        <v>274.17</v>
      </c>
      <c r="G1109" s="5" t="n"/>
      <c r="H1109" s="5" t="n"/>
      <c r="I1109" s="5" t="n"/>
      <c r="J1109" s="5" t="n">
        <v>54.83</v>
      </c>
      <c r="K1109" s="5" t="n"/>
      <c r="L1109" s="5" t="n"/>
      <c r="M1109" s="5" t="n"/>
      <c r="N1109" s="5" t="n"/>
      <c r="O1109" s="5" t="n">
        <v>329</v>
      </c>
      <c r="P1109" s="5" t="n">
        <v>329</v>
      </c>
      <c r="Q1109" s="5" t="n"/>
      <c r="R1109" s="5" t="n"/>
      <c r="S1109" s="5">
        <f>SUM(F1109:I1109)+N1109</f>
        <v/>
      </c>
      <c r="T1109" s="5">
        <f>J1109</f>
        <v/>
      </c>
      <c r="U1109" s="6">
        <f>YEAR(D1109)</f>
        <v/>
      </c>
      <c r="V1109" s="5">
        <f>TEXT(D1109,"yyyy-mm")</f>
        <v/>
      </c>
    </row>
    <row r="1110">
      <c r="A1110" s="2" t="inlineStr">
        <is>
          <t>EJ010725.TXT</t>
        </is>
      </c>
      <c r="B1110" s="3" t="inlineStr">
        <is>
          <t>005818</t>
        </is>
      </c>
      <c r="C1110" s="3" t="inlineStr">
        <is>
          <t>004670</t>
        </is>
      </c>
      <c r="D1110" s="4" t="n">
        <v>45795</v>
      </c>
      <c r="E1110" s="2" t="inlineStr">
        <is>
          <t>18:35</t>
        </is>
      </c>
      <c r="F1110" s="5" t="n">
        <v>74.92</v>
      </c>
      <c r="G1110" s="5" t="n"/>
      <c r="H1110" s="5" t="n"/>
      <c r="I1110" s="5" t="n"/>
      <c r="J1110" s="5" t="n">
        <v>14.98</v>
      </c>
      <c r="K1110" s="5" t="n"/>
      <c r="L1110" s="5" t="n"/>
      <c r="M1110" s="5" t="n"/>
      <c r="N1110" s="5" t="n"/>
      <c r="O1110" s="5" t="n">
        <v>89.90000000000001</v>
      </c>
      <c r="P1110" s="5" t="n">
        <v>89.90000000000001</v>
      </c>
      <c r="Q1110" s="5" t="n"/>
      <c r="R1110" s="5" t="n"/>
      <c r="S1110" s="5">
        <f>SUM(F1110:I1110)+N1110</f>
        <v/>
      </c>
      <c r="T1110" s="5">
        <f>J1110</f>
        <v/>
      </c>
      <c r="U1110" s="6">
        <f>YEAR(D1110)</f>
        <v/>
      </c>
      <c r="V1110" s="5">
        <f>TEXT(D1110,"yyyy-mm")</f>
        <v/>
      </c>
    </row>
    <row r="1111">
      <c r="A1111" s="2" t="inlineStr">
        <is>
          <t>EJ010725.TXT</t>
        </is>
      </c>
      <c r="B1111" s="3" t="inlineStr">
        <is>
          <t>005820</t>
        </is>
      </c>
      <c r="C1111" s="3" t="inlineStr">
        <is>
          <t>004671</t>
        </is>
      </c>
      <c r="D1111" s="4" t="n">
        <v>45805</v>
      </c>
      <c r="E1111" s="2" t="inlineStr">
        <is>
          <t>14:49</t>
        </is>
      </c>
      <c r="F1111" s="5" t="n">
        <v>548.33</v>
      </c>
      <c r="G1111" s="5" t="n"/>
      <c r="H1111" s="5" t="n"/>
      <c r="I1111" s="5" t="n"/>
      <c r="J1111" s="5" t="n">
        <v>109.67</v>
      </c>
      <c r="K1111" s="5" t="n"/>
      <c r="L1111" s="5" t="n"/>
      <c r="M1111" s="5" t="n"/>
      <c r="N1111" s="5" t="n"/>
      <c r="O1111" s="5" t="n">
        <v>658</v>
      </c>
      <c r="P1111" s="5" t="n">
        <v>658</v>
      </c>
      <c r="Q1111" s="5" t="n"/>
      <c r="R1111" s="5" t="n"/>
      <c r="S1111" s="5">
        <f>SUM(F1111:I1111)+N1111</f>
        <v/>
      </c>
      <c r="T1111" s="5">
        <f>J1111</f>
        <v/>
      </c>
      <c r="U1111" s="6">
        <f>YEAR(D1111)</f>
        <v/>
      </c>
      <c r="V1111" s="5">
        <f>TEXT(D1111,"yyyy-mm")</f>
        <v/>
      </c>
    </row>
    <row r="1112">
      <c r="A1112" s="2" t="inlineStr">
        <is>
          <t>EJ010725.TXT</t>
        </is>
      </c>
      <c r="B1112" s="3" t="inlineStr">
        <is>
          <t>005821</t>
        </is>
      </c>
      <c r="C1112" s="3" t="inlineStr">
        <is>
          <t>004672</t>
        </is>
      </c>
      <c r="D1112" s="4" t="n">
        <v>45813</v>
      </c>
      <c r="E1112" s="2" t="inlineStr">
        <is>
          <t>16:58</t>
        </is>
      </c>
      <c r="F1112" s="5" t="n">
        <v>865</v>
      </c>
      <c r="G1112" s="5" t="n"/>
      <c r="H1112" s="5" t="n"/>
      <c r="I1112" s="5" t="n"/>
      <c r="J1112" s="5" t="n">
        <v>173</v>
      </c>
      <c r="K1112" s="5" t="n"/>
      <c r="L1112" s="5" t="n"/>
      <c r="M1112" s="5" t="n"/>
      <c r="N1112" s="5" t="n"/>
      <c r="O1112" s="5" t="n">
        <v>1038</v>
      </c>
      <c r="P1112" s="5" t="n"/>
      <c r="Q1112" s="5" t="n">
        <v>1038</v>
      </c>
      <c r="R1112" s="5" t="n"/>
      <c r="S1112" s="5">
        <f>SUM(F1112:I1112)+N1112</f>
        <v/>
      </c>
      <c r="T1112" s="5">
        <f>J1112</f>
        <v/>
      </c>
      <c r="U1112" s="6">
        <f>YEAR(D1112)</f>
        <v/>
      </c>
      <c r="V1112" s="5">
        <f>TEXT(D1112,"yyyy-mm")</f>
        <v/>
      </c>
    </row>
    <row r="1113">
      <c r="A1113" s="2" t="inlineStr">
        <is>
          <t>EJ010725.TXT</t>
        </is>
      </c>
      <c r="B1113" s="3" t="inlineStr">
        <is>
          <t>005822</t>
        </is>
      </c>
      <c r="C1113" s="3" t="inlineStr">
        <is>
          <t>004673</t>
        </is>
      </c>
      <c r="D1113" s="4" t="n">
        <v>45815</v>
      </c>
      <c r="E1113" s="2" t="inlineStr">
        <is>
          <t>15:32</t>
        </is>
      </c>
      <c r="F1113" s="5" t="n">
        <v>33.25</v>
      </c>
      <c r="G1113" s="5" t="n"/>
      <c r="H1113" s="5" t="n"/>
      <c r="I1113" s="5" t="n"/>
      <c r="J1113" s="5" t="n">
        <v>6.65</v>
      </c>
      <c r="K1113" s="5" t="n"/>
      <c r="L1113" s="5" t="n"/>
      <c r="M1113" s="5" t="n"/>
      <c r="N1113" s="5" t="n"/>
      <c r="O1113" s="5" t="n">
        <v>39.9</v>
      </c>
      <c r="P1113" s="5" t="n">
        <v>39.9</v>
      </c>
      <c r="Q1113" s="5" t="n"/>
      <c r="R1113" s="5" t="n"/>
      <c r="S1113" s="5">
        <f>SUM(F1113:I1113)+N1113</f>
        <v/>
      </c>
      <c r="T1113" s="5">
        <f>J1113</f>
        <v/>
      </c>
      <c r="U1113" s="6">
        <f>YEAR(D1113)</f>
        <v/>
      </c>
      <c r="V1113" s="5">
        <f>TEXT(D1113,"yyyy-mm")</f>
        <v/>
      </c>
    </row>
    <row r="1114">
      <c r="A1114" s="2" t="inlineStr">
        <is>
          <t>EJ010725.TXT</t>
        </is>
      </c>
      <c r="B1114" s="3" t="inlineStr">
        <is>
          <t>005823</t>
        </is>
      </c>
      <c r="C1114" s="3" t="inlineStr">
        <is>
          <t>004674</t>
        </is>
      </c>
      <c r="D1114" s="4" t="n">
        <v>45820</v>
      </c>
      <c r="E1114" s="2" t="inlineStr">
        <is>
          <t>09:30</t>
        </is>
      </c>
      <c r="F1114" s="5" t="n">
        <v>199.17</v>
      </c>
      <c r="G1114" s="5" t="n"/>
      <c r="H1114" s="5" t="n"/>
      <c r="I1114" s="5" t="n"/>
      <c r="J1114" s="5" t="n">
        <v>39.83</v>
      </c>
      <c r="K1114" s="5" t="n"/>
      <c r="L1114" s="5" t="n"/>
      <c r="M1114" s="5" t="n"/>
      <c r="N1114" s="5" t="n"/>
      <c r="O1114" s="5" t="n">
        <v>239</v>
      </c>
      <c r="P1114" s="5" t="n">
        <v>239</v>
      </c>
      <c r="Q1114" s="5" t="n"/>
      <c r="R1114" s="5" t="n"/>
      <c r="S1114" s="5">
        <f>SUM(F1114:I1114)+N1114</f>
        <v/>
      </c>
      <c r="T1114" s="5">
        <f>J1114</f>
        <v/>
      </c>
      <c r="U1114" s="6">
        <f>YEAR(D1114)</f>
        <v/>
      </c>
      <c r="V1114" s="5">
        <f>TEXT(D1114,"yyyy-mm")</f>
        <v/>
      </c>
    </row>
    <row r="1115">
      <c r="A1115" s="2" t="inlineStr">
        <is>
          <t>EJ010725.TXT</t>
        </is>
      </c>
      <c r="B1115" s="3" t="inlineStr">
        <is>
          <t>005824</t>
        </is>
      </c>
      <c r="C1115" s="3" t="inlineStr">
        <is>
          <t>004675</t>
        </is>
      </c>
      <c r="D1115" s="4" t="n">
        <v>45820</v>
      </c>
      <c r="E1115" s="2" t="inlineStr">
        <is>
          <t>14:45</t>
        </is>
      </c>
      <c r="F1115" s="5" t="n">
        <v>250</v>
      </c>
      <c r="G1115" s="5" t="n"/>
      <c r="H1115" s="5" t="n"/>
      <c r="I1115" s="5" t="n"/>
      <c r="J1115" s="5" t="n">
        <v>50</v>
      </c>
      <c r="K1115" s="5" t="n"/>
      <c r="L1115" s="5" t="n"/>
      <c r="M1115" s="5" t="n"/>
      <c r="N1115" s="5" t="n"/>
      <c r="O1115" s="5" t="n">
        <v>300</v>
      </c>
      <c r="P1115" s="5" t="n"/>
      <c r="Q1115" s="5" t="n">
        <v>300</v>
      </c>
      <c r="R1115" s="5" t="n"/>
      <c r="S1115" s="5">
        <f>SUM(F1115:I1115)+N1115</f>
        <v/>
      </c>
      <c r="T1115" s="5">
        <f>J1115</f>
        <v/>
      </c>
      <c r="U1115" s="6">
        <f>YEAR(D1115)</f>
        <v/>
      </c>
      <c r="V1115" s="5">
        <f>TEXT(D1115,"yyyy-mm")</f>
        <v/>
      </c>
    </row>
    <row r="1116">
      <c r="A1116" s="2" t="inlineStr">
        <is>
          <t>EJ010725.TXT</t>
        </is>
      </c>
      <c r="B1116" s="3" t="inlineStr">
        <is>
          <t>005825</t>
        </is>
      </c>
      <c r="C1116" s="3" t="inlineStr">
        <is>
          <t>004676</t>
        </is>
      </c>
      <c r="D1116" s="4" t="n">
        <v>45820</v>
      </c>
      <c r="E1116" s="2" t="inlineStr">
        <is>
          <t>14:46</t>
        </is>
      </c>
      <c r="F1116" s="5" t="n">
        <v>24.17</v>
      </c>
      <c r="G1116" s="5" t="n"/>
      <c r="H1116" s="5" t="n"/>
      <c r="I1116" s="5" t="n"/>
      <c r="J1116" s="5" t="n">
        <v>4.83</v>
      </c>
      <c r="K1116" s="5" t="n"/>
      <c r="L1116" s="5" t="n"/>
      <c r="M1116" s="5" t="n"/>
      <c r="N1116" s="5" t="n"/>
      <c r="O1116" s="5" t="n">
        <v>29</v>
      </c>
      <c r="P1116" s="5" t="n">
        <v>29</v>
      </c>
      <c r="Q1116" s="5" t="n"/>
      <c r="R1116" s="5" t="n"/>
      <c r="S1116" s="5">
        <f>SUM(F1116:I1116)+N1116</f>
        <v/>
      </c>
      <c r="T1116" s="5">
        <f>J1116</f>
        <v/>
      </c>
      <c r="U1116" s="6">
        <f>YEAR(D1116)</f>
        <v/>
      </c>
      <c r="V1116" s="5">
        <f>TEXT(D1116,"yyyy-mm")</f>
        <v/>
      </c>
    </row>
    <row r="1117">
      <c r="A1117" s="2" t="inlineStr">
        <is>
          <t>EJ010725.TXT</t>
        </is>
      </c>
      <c r="B1117" s="3" t="inlineStr">
        <is>
          <t>005826</t>
        </is>
      </c>
      <c r="C1117" s="3" t="inlineStr">
        <is>
          <t>004677</t>
        </is>
      </c>
      <c r="D1117" s="4" t="n">
        <v>45834</v>
      </c>
      <c r="E1117" s="2" t="inlineStr">
        <is>
          <t>15:26</t>
        </is>
      </c>
      <c r="F1117" s="5" t="n">
        <v>199.17</v>
      </c>
      <c r="G1117" s="5" t="n"/>
      <c r="H1117" s="5" t="n"/>
      <c r="I1117" s="5" t="n"/>
      <c r="J1117" s="5" t="n">
        <v>39.83</v>
      </c>
      <c r="K1117" s="5" t="n"/>
      <c r="L1117" s="5" t="n"/>
      <c r="M1117" s="5" t="n"/>
      <c r="N1117" s="5" t="n"/>
      <c r="O1117" s="5" t="n">
        <v>239</v>
      </c>
      <c r="P1117" s="5" t="n">
        <v>239</v>
      </c>
      <c r="Q1117" s="5" t="n"/>
      <c r="R1117" s="5" t="n"/>
      <c r="S1117" s="5">
        <f>SUM(F1117:I1117)+N1117</f>
        <v/>
      </c>
      <c r="T1117" s="5">
        <f>J1117</f>
        <v/>
      </c>
      <c r="U1117" s="6">
        <f>YEAR(D1117)</f>
        <v/>
      </c>
      <c r="V1117" s="5">
        <f>TEXT(D1117,"yyyy-mm")</f>
        <v/>
      </c>
    </row>
    <row r="1118">
      <c r="A1118" s="2" t="inlineStr">
        <is>
          <t>EJ010725.TXT</t>
        </is>
      </c>
      <c r="B1118" s="3" t="inlineStr">
        <is>
          <t>005827</t>
        </is>
      </c>
      <c r="C1118" s="3" t="inlineStr">
        <is>
          <t>004678</t>
        </is>
      </c>
      <c r="D1118" s="4" t="n">
        <v>45835</v>
      </c>
      <c r="E1118" s="2" t="inlineStr">
        <is>
          <t>17:12</t>
        </is>
      </c>
      <c r="F1118" s="5" t="n">
        <v>274.17</v>
      </c>
      <c r="G1118" s="5" t="n"/>
      <c r="H1118" s="5" t="n"/>
      <c r="I1118" s="5" t="n"/>
      <c r="J1118" s="5" t="n">
        <v>54.83</v>
      </c>
      <c r="K1118" s="5" t="n"/>
      <c r="L1118" s="5" t="n"/>
      <c r="M1118" s="5" t="n"/>
      <c r="N1118" s="5" t="n"/>
      <c r="O1118" s="5" t="n">
        <v>329</v>
      </c>
      <c r="P1118" s="5" t="n"/>
      <c r="Q1118" s="5" t="n">
        <v>329</v>
      </c>
      <c r="R1118" s="5" t="n"/>
      <c r="S1118" s="5">
        <f>SUM(F1118:I1118)+N1118</f>
        <v/>
      </c>
      <c r="T1118" s="5">
        <f>J1118</f>
        <v/>
      </c>
      <c r="U1118" s="6">
        <f>YEAR(D1118)</f>
        <v/>
      </c>
      <c r="V1118" s="5">
        <f>TEXT(D1118,"yyyy-mm")</f>
        <v/>
      </c>
    </row>
    <row r="1119">
      <c r="A1119" s="2" t="inlineStr">
        <is>
          <t>EJ310725.TXT</t>
        </is>
      </c>
      <c r="B1119" s="3" t="inlineStr">
        <is>
          <t>005835</t>
        </is>
      </c>
      <c r="C1119" s="3" t="inlineStr">
        <is>
          <t>004679</t>
        </is>
      </c>
      <c r="D1119" s="4" t="n">
        <v>45845</v>
      </c>
      <c r="E1119" s="2" t="inlineStr">
        <is>
          <t>10:59</t>
        </is>
      </c>
      <c r="F1119" s="5" t="n">
        <v>190.83</v>
      </c>
      <c r="G1119" s="5" t="n"/>
      <c r="H1119" s="5" t="n"/>
      <c r="I1119" s="5" t="n"/>
      <c r="J1119" s="5" t="n">
        <v>38.17</v>
      </c>
      <c r="K1119" s="5" t="n"/>
      <c r="L1119" s="5" t="n"/>
      <c r="M1119" s="5" t="n"/>
      <c r="N1119" s="5" t="n"/>
      <c r="O1119" s="5" t="n">
        <v>229</v>
      </c>
      <c r="P1119" s="5" t="n">
        <v>229</v>
      </c>
      <c r="Q1119" s="5" t="n"/>
      <c r="R1119" s="5" t="n"/>
      <c r="S1119" s="5">
        <f>SUM(F1119:I1119)+N1119</f>
        <v/>
      </c>
      <c r="T1119" s="5">
        <f>J1119</f>
        <v/>
      </c>
      <c r="U1119" s="6">
        <f>YEAR(D1119)</f>
        <v/>
      </c>
      <c r="V1119" s="5">
        <f>TEXT(D1119,"yyyy-mm")</f>
        <v/>
      </c>
    </row>
    <row r="1120">
      <c r="A1120" s="2" t="inlineStr">
        <is>
          <t>EJ310725.TXT</t>
        </is>
      </c>
      <c r="B1120" s="3" t="inlineStr">
        <is>
          <t>005836</t>
        </is>
      </c>
      <c r="C1120" s="3" t="inlineStr">
        <is>
          <t>004680</t>
        </is>
      </c>
      <c r="D1120" s="4" t="n">
        <v>45845</v>
      </c>
      <c r="E1120" s="2" t="inlineStr">
        <is>
          <t>16:48</t>
        </is>
      </c>
      <c r="F1120" s="5" t="n">
        <v>274.17</v>
      </c>
      <c r="G1120" s="5" t="n"/>
      <c r="H1120" s="5" t="n"/>
      <c r="I1120" s="5" t="n"/>
      <c r="J1120" s="5" t="n">
        <v>54.83</v>
      </c>
      <c r="K1120" s="5" t="n"/>
      <c r="L1120" s="5" t="n"/>
      <c r="M1120" s="5" t="n"/>
      <c r="N1120" s="5" t="n"/>
      <c r="O1120" s="5" t="n">
        <v>329</v>
      </c>
      <c r="P1120" s="5" t="n"/>
      <c r="Q1120" s="5" t="n">
        <v>329</v>
      </c>
      <c r="R1120" s="5" t="n"/>
      <c r="S1120" s="5">
        <f>SUM(F1120:I1120)+N1120</f>
        <v/>
      </c>
      <c r="T1120" s="5">
        <f>J1120</f>
        <v/>
      </c>
      <c r="U1120" s="6">
        <f>YEAR(D1120)</f>
        <v/>
      </c>
      <c r="V1120" s="5">
        <f>TEXT(D1120,"yyyy-mm")</f>
        <v/>
      </c>
    </row>
    <row r="1121">
      <c r="A1121" s="2" t="inlineStr">
        <is>
          <t>EJ310725.TXT</t>
        </is>
      </c>
      <c r="B1121" s="3" t="inlineStr">
        <is>
          <t>005837</t>
        </is>
      </c>
      <c r="C1121" s="3" t="inlineStr">
        <is>
          <t>004681</t>
        </is>
      </c>
      <c r="D1121" s="4" t="n">
        <v>45846</v>
      </c>
      <c r="E1121" s="2" t="inlineStr">
        <is>
          <t>11:39</t>
        </is>
      </c>
      <c r="F1121" s="5" t="n">
        <v>1645</v>
      </c>
      <c r="G1121" s="5" t="n"/>
      <c r="H1121" s="5" t="n"/>
      <c r="I1121" s="5" t="n"/>
      <c r="J1121" s="5" t="n">
        <v>329</v>
      </c>
      <c r="K1121" s="5" t="n"/>
      <c r="L1121" s="5" t="n"/>
      <c r="M1121" s="5" t="n"/>
      <c r="N1121" s="5" t="n"/>
      <c r="O1121" s="5" t="n">
        <v>1974</v>
      </c>
      <c r="P1121" s="5" t="n">
        <v>1974</v>
      </c>
      <c r="Q1121" s="5" t="n"/>
      <c r="R1121" s="5" t="n"/>
      <c r="S1121" s="5">
        <f>SUM(F1121:I1121)+N1121</f>
        <v/>
      </c>
      <c r="T1121" s="5">
        <f>J1121</f>
        <v/>
      </c>
      <c r="U1121" s="6">
        <f>YEAR(D1121)</f>
        <v/>
      </c>
      <c r="V1121" s="5">
        <f>TEXT(D1121,"yyyy-mm")</f>
        <v/>
      </c>
    </row>
    <row r="1122">
      <c r="A1122" s="2" t="inlineStr">
        <is>
          <t>EJ310725.TXT</t>
        </is>
      </c>
      <c r="B1122" s="3" t="inlineStr">
        <is>
          <t>005838</t>
        </is>
      </c>
      <c r="C1122" s="3" t="inlineStr">
        <is>
          <t>004682</t>
        </is>
      </c>
      <c r="D1122" s="4" t="n">
        <v>45849</v>
      </c>
      <c r="E1122" s="2" t="inlineStr">
        <is>
          <t>17:08</t>
        </is>
      </c>
      <c r="F1122" s="5" t="n">
        <v>190.83</v>
      </c>
      <c r="G1122" s="5" t="n"/>
      <c r="H1122" s="5" t="n"/>
      <c r="I1122" s="5" t="n"/>
      <c r="J1122" s="5" t="n">
        <v>38.17</v>
      </c>
      <c r="K1122" s="5" t="n"/>
      <c r="L1122" s="5" t="n"/>
      <c r="M1122" s="5" t="n"/>
      <c r="N1122" s="5" t="n"/>
      <c r="O1122" s="5" t="n">
        <v>229</v>
      </c>
      <c r="P1122" s="5" t="n">
        <v>229</v>
      </c>
      <c r="Q1122" s="5" t="n"/>
      <c r="R1122" s="5" t="n"/>
      <c r="S1122" s="5">
        <f>SUM(F1122:I1122)+N1122</f>
        <v/>
      </c>
      <c r="T1122" s="5">
        <f>J1122</f>
        <v/>
      </c>
      <c r="U1122" s="6">
        <f>YEAR(D1122)</f>
        <v/>
      </c>
      <c r="V1122" s="5">
        <f>TEXT(D1122,"yyyy-mm")</f>
        <v/>
      </c>
    </row>
    <row r="1123">
      <c r="A1123" s="2" t="inlineStr">
        <is>
          <t>EJ310725.TXT</t>
        </is>
      </c>
      <c r="B1123" s="3" t="inlineStr">
        <is>
          <t>005839</t>
        </is>
      </c>
      <c r="C1123" s="3" t="inlineStr">
        <is>
          <t>004683</t>
        </is>
      </c>
      <c r="D1123" s="4" t="n">
        <v>45853</v>
      </c>
      <c r="E1123" s="2" t="inlineStr">
        <is>
          <t>10:51</t>
        </is>
      </c>
      <c r="F1123" s="5" t="n">
        <v>832.5</v>
      </c>
      <c r="G1123" s="5" t="n"/>
      <c r="H1123" s="5" t="n"/>
      <c r="I1123" s="5" t="n"/>
      <c r="J1123" s="5" t="n">
        <v>166.5</v>
      </c>
      <c r="K1123" s="5" t="n"/>
      <c r="L1123" s="5" t="n"/>
      <c r="M1123" s="5" t="n"/>
      <c r="N1123" s="5" t="n"/>
      <c r="O1123" s="5" t="n">
        <v>999</v>
      </c>
      <c r="P1123" s="5" t="n"/>
      <c r="Q1123" s="5" t="n">
        <v>999</v>
      </c>
      <c r="R1123" s="5" t="n"/>
      <c r="S1123" s="5">
        <f>SUM(F1123:I1123)+N1123</f>
        <v/>
      </c>
      <c r="T1123" s="5">
        <f>J1123</f>
        <v/>
      </c>
      <c r="U1123" s="6">
        <f>YEAR(D1123)</f>
        <v/>
      </c>
      <c r="V1123" s="5">
        <f>TEXT(D1123,"yyyy-mm")</f>
        <v/>
      </c>
    </row>
    <row r="1124">
      <c r="A1124" s="2" t="inlineStr">
        <is>
          <t>EJ310725.TXT</t>
        </is>
      </c>
      <c r="B1124" s="3" t="inlineStr">
        <is>
          <t>005840</t>
        </is>
      </c>
      <c r="C1124" s="3" t="inlineStr">
        <is>
          <t>004684</t>
        </is>
      </c>
      <c r="D1124" s="4" t="n">
        <v>45853</v>
      </c>
      <c r="E1124" s="2" t="inlineStr">
        <is>
          <t>10:52</t>
        </is>
      </c>
      <c r="F1124" s="5" t="n">
        <v>833.33</v>
      </c>
      <c r="G1124" s="5" t="n"/>
      <c r="H1124" s="5" t="n"/>
      <c r="I1124" s="5" t="n"/>
      <c r="J1124" s="5" t="n">
        <v>166.67</v>
      </c>
      <c r="K1124" s="5" t="n"/>
      <c r="L1124" s="5" t="n"/>
      <c r="M1124" s="5" t="n"/>
      <c r="N1124" s="5" t="n"/>
      <c r="O1124" s="5" t="n">
        <v>1000</v>
      </c>
      <c r="P1124" s="5" t="n"/>
      <c r="Q1124" s="5" t="n">
        <v>1000</v>
      </c>
      <c r="R1124" s="5" t="n"/>
      <c r="S1124" s="5">
        <f>SUM(F1124:I1124)+N1124</f>
        <v/>
      </c>
      <c r="T1124" s="5">
        <f>J1124</f>
        <v/>
      </c>
      <c r="U1124" s="6">
        <f>YEAR(D1124)</f>
        <v/>
      </c>
      <c r="V1124" s="5">
        <f>TEXT(D1124,"yyyy-mm")</f>
        <v/>
      </c>
    </row>
    <row r="1125">
      <c r="A1125" s="2" t="inlineStr">
        <is>
          <t>EJ310725.TXT</t>
        </is>
      </c>
      <c r="B1125" s="3" t="inlineStr">
        <is>
          <t>005841</t>
        </is>
      </c>
      <c r="C1125" s="3" t="inlineStr">
        <is>
          <t>004685</t>
        </is>
      </c>
      <c r="D1125" s="4" t="n">
        <v>45853</v>
      </c>
      <c r="E1125" s="2" t="inlineStr">
        <is>
          <t>10:53</t>
        </is>
      </c>
      <c r="F1125" s="5" t="n">
        <v>825</v>
      </c>
      <c r="G1125" s="5" t="n"/>
      <c r="H1125" s="5" t="n"/>
      <c r="I1125" s="5" t="n"/>
      <c r="J1125" s="5" t="n">
        <v>165</v>
      </c>
      <c r="K1125" s="5" t="n"/>
      <c r="L1125" s="5" t="n"/>
      <c r="M1125" s="5" t="n"/>
      <c r="N1125" s="5" t="n"/>
      <c r="O1125" s="5" t="n">
        <v>990</v>
      </c>
      <c r="P1125" s="5" t="n"/>
      <c r="Q1125" s="5" t="n">
        <v>990</v>
      </c>
      <c r="R1125" s="5" t="n"/>
      <c r="S1125" s="5">
        <f>SUM(F1125:I1125)+N1125</f>
        <v/>
      </c>
      <c r="T1125" s="5">
        <f>J1125</f>
        <v/>
      </c>
      <c r="U1125" s="6">
        <f>YEAR(D1125)</f>
        <v/>
      </c>
      <c r="V1125" s="5">
        <f>TEXT(D1125,"yyyy-mm")</f>
        <v/>
      </c>
    </row>
    <row r="1126">
      <c r="A1126" s="2" t="inlineStr">
        <is>
          <t>EJ310725.TXT</t>
        </is>
      </c>
      <c r="B1126" s="3" t="inlineStr">
        <is>
          <t>005842</t>
        </is>
      </c>
      <c r="C1126" s="3" t="inlineStr">
        <is>
          <t>004686</t>
        </is>
      </c>
      <c r="D1126" s="4" t="n">
        <v>45853</v>
      </c>
      <c r="E1126" s="2" t="inlineStr">
        <is>
          <t>10:54</t>
        </is>
      </c>
      <c r="F1126" s="5" t="n">
        <v>690.83</v>
      </c>
      <c r="G1126" s="5" t="n"/>
      <c r="H1126" s="5" t="n"/>
      <c r="I1126" s="5" t="n"/>
      <c r="J1126" s="5" t="n">
        <v>138.17</v>
      </c>
      <c r="K1126" s="5" t="n"/>
      <c r="L1126" s="5" t="n"/>
      <c r="M1126" s="5" t="n"/>
      <c r="N1126" s="5" t="n"/>
      <c r="O1126" s="5" t="n">
        <v>829</v>
      </c>
      <c r="P1126" s="5" t="n"/>
      <c r="Q1126" s="5" t="n">
        <v>829</v>
      </c>
      <c r="R1126" s="5" t="n"/>
      <c r="S1126" s="5">
        <f>SUM(F1126:I1126)+N1126</f>
        <v/>
      </c>
      <c r="T1126" s="5">
        <f>J1126</f>
        <v/>
      </c>
      <c r="U1126" s="6">
        <f>YEAR(D1126)</f>
        <v/>
      </c>
      <c r="V1126" s="5">
        <f>TEXT(D1126,"yyyy-mm")</f>
        <v/>
      </c>
    </row>
    <row r="1127">
      <c r="A1127" s="2" t="inlineStr">
        <is>
          <t>EJ310725.TXT</t>
        </is>
      </c>
      <c r="B1127" s="3" t="inlineStr">
        <is>
          <t>005843</t>
        </is>
      </c>
      <c r="C1127" s="3" t="inlineStr">
        <is>
          <t>004687</t>
        </is>
      </c>
      <c r="D1127" s="4" t="n">
        <v>45853</v>
      </c>
      <c r="E1127" s="2" t="inlineStr">
        <is>
          <t>10:55</t>
        </is>
      </c>
      <c r="F1127" s="5" t="n">
        <v>833.33</v>
      </c>
      <c r="G1127" s="5" t="n"/>
      <c r="H1127" s="5" t="n"/>
      <c r="I1127" s="5" t="n"/>
      <c r="J1127" s="5" t="n">
        <v>166.67</v>
      </c>
      <c r="K1127" s="5" t="n"/>
      <c r="L1127" s="5" t="n"/>
      <c r="M1127" s="5" t="n"/>
      <c r="N1127" s="5" t="n"/>
      <c r="O1127" s="5" t="n">
        <v>1000</v>
      </c>
      <c r="P1127" s="5" t="n"/>
      <c r="Q1127" s="5" t="n">
        <v>1000</v>
      </c>
      <c r="R1127" s="5" t="n"/>
      <c r="S1127" s="5">
        <f>SUM(F1127:I1127)+N1127</f>
        <v/>
      </c>
      <c r="T1127" s="5">
        <f>J1127</f>
        <v/>
      </c>
      <c r="U1127" s="6">
        <f>YEAR(D1127)</f>
        <v/>
      </c>
      <c r="V1127" s="5">
        <f>TEXT(D1127,"yyyy-mm")</f>
        <v/>
      </c>
    </row>
    <row r="1128">
      <c r="A1128" s="2" t="inlineStr">
        <is>
          <t>EJ310725.TXT</t>
        </is>
      </c>
      <c r="B1128" s="3" t="inlineStr">
        <is>
          <t>005844</t>
        </is>
      </c>
      <c r="C1128" s="3" t="inlineStr">
        <is>
          <t>004688</t>
        </is>
      </c>
      <c r="D1128" s="4" t="n">
        <v>45853</v>
      </c>
      <c r="E1128" s="2" t="inlineStr">
        <is>
          <t>10:56</t>
        </is>
      </c>
      <c r="F1128" s="5" t="n">
        <v>674.17</v>
      </c>
      <c r="G1128" s="5" t="n"/>
      <c r="H1128" s="5" t="n"/>
      <c r="I1128" s="5" t="n"/>
      <c r="J1128" s="5" t="n">
        <v>134.83</v>
      </c>
      <c r="K1128" s="5" t="n"/>
      <c r="L1128" s="5" t="n"/>
      <c r="M1128" s="5" t="n"/>
      <c r="N1128" s="5" t="n"/>
      <c r="O1128" s="5" t="n">
        <v>809</v>
      </c>
      <c r="P1128" s="5" t="n"/>
      <c r="Q1128" s="5" t="n">
        <v>809</v>
      </c>
      <c r="R1128" s="5" t="n"/>
      <c r="S1128" s="5">
        <f>SUM(F1128:I1128)+N1128</f>
        <v/>
      </c>
      <c r="T1128" s="5">
        <f>J1128</f>
        <v/>
      </c>
      <c r="U1128" s="6">
        <f>YEAR(D1128)</f>
        <v/>
      </c>
      <c r="V1128" s="5">
        <f>TEXT(D1128,"yyyy-mm")</f>
        <v/>
      </c>
    </row>
    <row r="1129">
      <c r="A1129" s="2" t="inlineStr">
        <is>
          <t>EJ310725.TXT</t>
        </is>
      </c>
      <c r="B1129" s="3" t="inlineStr">
        <is>
          <t>005845</t>
        </is>
      </c>
      <c r="C1129" s="3" t="inlineStr">
        <is>
          <t>004689</t>
        </is>
      </c>
      <c r="D1129" s="4" t="n">
        <v>45853</v>
      </c>
      <c r="E1129" s="2" t="inlineStr">
        <is>
          <t>11:00</t>
        </is>
      </c>
      <c r="F1129" s="5" t="n">
        <v>40.75</v>
      </c>
      <c r="G1129" s="5" t="n"/>
      <c r="H1129" s="5" t="n"/>
      <c r="I1129" s="5" t="n"/>
      <c r="J1129" s="5" t="n">
        <v>8.15</v>
      </c>
      <c r="K1129" s="5" t="n"/>
      <c r="L1129" s="5" t="n"/>
      <c r="M1129" s="5" t="n"/>
      <c r="N1129" s="5" t="n"/>
      <c r="O1129" s="5" t="n">
        <v>48.9</v>
      </c>
      <c r="P1129" s="5" t="n"/>
      <c r="Q1129" s="5" t="n">
        <v>48.9</v>
      </c>
      <c r="R1129" s="5" t="n"/>
      <c r="S1129" s="5">
        <f>SUM(F1129:I1129)+N1129</f>
        <v/>
      </c>
      <c r="T1129" s="5">
        <f>J1129</f>
        <v/>
      </c>
      <c r="U1129" s="6">
        <f>YEAR(D1129)</f>
        <v/>
      </c>
      <c r="V1129" s="5">
        <f>TEXT(D1129,"yyyy-mm")</f>
        <v/>
      </c>
    </row>
    <row r="1130">
      <c r="A1130" s="2" t="inlineStr">
        <is>
          <t>EJ310725.TXT</t>
        </is>
      </c>
      <c r="B1130" s="3" t="inlineStr">
        <is>
          <t>005846</t>
        </is>
      </c>
      <c r="C1130" s="3" t="inlineStr">
        <is>
          <t>004690</t>
        </is>
      </c>
      <c r="D1130" s="4" t="n">
        <v>45854</v>
      </c>
      <c r="E1130" s="2" t="inlineStr">
        <is>
          <t>13:34</t>
        </is>
      </c>
      <c r="F1130" s="5" t="n">
        <v>375</v>
      </c>
      <c r="G1130" s="5" t="n"/>
      <c r="H1130" s="5" t="n"/>
      <c r="I1130" s="5" t="n"/>
      <c r="J1130" s="5" t="n">
        <v>75</v>
      </c>
      <c r="K1130" s="5" t="n"/>
      <c r="L1130" s="5" t="n"/>
      <c r="M1130" s="5" t="n"/>
      <c r="N1130" s="5" t="n"/>
      <c r="O1130" s="5" t="n">
        <v>450</v>
      </c>
      <c r="P1130" s="5" t="n"/>
      <c r="Q1130" s="5" t="n">
        <v>450</v>
      </c>
      <c r="R1130" s="5" t="n"/>
      <c r="S1130" s="5">
        <f>SUM(F1130:I1130)+N1130</f>
        <v/>
      </c>
      <c r="T1130" s="5">
        <f>J1130</f>
        <v/>
      </c>
      <c r="U1130" s="6">
        <f>YEAR(D1130)</f>
        <v/>
      </c>
      <c r="V1130" s="5">
        <f>TEXT(D1130,"yyyy-mm")</f>
        <v/>
      </c>
    </row>
    <row r="1131">
      <c r="A1131" s="2" t="inlineStr">
        <is>
          <t>EJ310725.TXT</t>
        </is>
      </c>
      <c r="B1131" s="3" t="inlineStr">
        <is>
          <t>005847</t>
        </is>
      </c>
      <c r="C1131" s="3" t="inlineStr">
        <is>
          <t>004691</t>
        </is>
      </c>
      <c r="D1131" s="4" t="n">
        <v>45854</v>
      </c>
      <c r="E1131" s="2" t="inlineStr">
        <is>
          <t>13:34</t>
        </is>
      </c>
      <c r="F1131" s="5" t="n">
        <v>525.83</v>
      </c>
      <c r="G1131" s="5" t="n"/>
      <c r="H1131" s="5" t="n"/>
      <c r="I1131" s="5" t="n"/>
      <c r="J1131" s="5" t="n">
        <v>105.17</v>
      </c>
      <c r="K1131" s="5" t="n"/>
      <c r="L1131" s="5" t="n"/>
      <c r="M1131" s="5" t="n"/>
      <c r="N1131" s="5" t="n"/>
      <c r="O1131" s="5" t="n">
        <v>631</v>
      </c>
      <c r="P1131" s="5" t="n"/>
      <c r="Q1131" s="5" t="n">
        <v>631</v>
      </c>
      <c r="R1131" s="5" t="n"/>
      <c r="S1131" s="5">
        <f>SUM(F1131:I1131)+N1131</f>
        <v/>
      </c>
      <c r="T1131" s="5">
        <f>J1131</f>
        <v/>
      </c>
      <c r="U1131" s="6">
        <f>YEAR(D1131)</f>
        <v/>
      </c>
      <c r="V1131" s="5">
        <f>TEXT(D1131,"yyyy-mm")</f>
        <v/>
      </c>
    </row>
    <row r="1132">
      <c r="A1132" s="2" t="inlineStr">
        <is>
          <t>EJ310725.TXT</t>
        </is>
      </c>
      <c r="B1132" s="3" t="inlineStr">
        <is>
          <t>005848</t>
        </is>
      </c>
      <c r="C1132" s="3" t="inlineStr">
        <is>
          <t>004692</t>
        </is>
      </c>
      <c r="D1132" s="4" t="n">
        <v>45854</v>
      </c>
      <c r="E1132" s="2" t="inlineStr">
        <is>
          <t>14:46</t>
        </is>
      </c>
      <c r="F1132" s="5" t="n">
        <v>822.5</v>
      </c>
      <c r="G1132" s="5" t="n"/>
      <c r="H1132" s="5" t="n"/>
      <c r="I1132" s="5" t="n"/>
      <c r="J1132" s="5" t="n">
        <v>164.5</v>
      </c>
      <c r="K1132" s="5" t="n"/>
      <c r="L1132" s="5" t="n"/>
      <c r="M1132" s="5" t="n"/>
      <c r="N1132" s="5" t="n"/>
      <c r="O1132" s="5" t="n">
        <v>987</v>
      </c>
      <c r="P1132" s="5" t="n"/>
      <c r="Q1132" s="5" t="n">
        <v>987</v>
      </c>
      <c r="R1132" s="5" t="n"/>
      <c r="S1132" s="5">
        <f>SUM(F1132:I1132)+N1132</f>
        <v/>
      </c>
      <c r="T1132" s="5">
        <f>J1132</f>
        <v/>
      </c>
      <c r="U1132" s="6">
        <f>YEAR(D1132)</f>
        <v/>
      </c>
      <c r="V1132" s="5">
        <f>TEXT(D1132,"yyyy-mm")</f>
        <v/>
      </c>
    </row>
    <row r="1133">
      <c r="A1133" s="2" t="inlineStr">
        <is>
          <t>EJ310725.TXT</t>
        </is>
      </c>
      <c r="B1133" s="3" t="inlineStr">
        <is>
          <t>005849</t>
        </is>
      </c>
      <c r="C1133" s="3" t="inlineStr">
        <is>
          <t>004693</t>
        </is>
      </c>
      <c r="D1133" s="4" t="n">
        <v>45854</v>
      </c>
      <c r="E1133" s="2" t="inlineStr">
        <is>
          <t>14:46</t>
        </is>
      </c>
      <c r="F1133" s="5" t="n">
        <v>822.5</v>
      </c>
      <c r="G1133" s="5" t="n"/>
      <c r="H1133" s="5" t="n"/>
      <c r="I1133" s="5" t="n"/>
      <c r="J1133" s="5" t="n">
        <v>164.5</v>
      </c>
      <c r="K1133" s="5" t="n"/>
      <c r="L1133" s="5" t="n"/>
      <c r="M1133" s="5" t="n"/>
      <c r="N1133" s="5" t="n"/>
      <c r="O1133" s="5" t="n">
        <v>987</v>
      </c>
      <c r="P1133" s="5" t="n"/>
      <c r="Q1133" s="5" t="n">
        <v>987</v>
      </c>
      <c r="R1133" s="5" t="n"/>
      <c r="S1133" s="5">
        <f>SUM(F1133:I1133)+N1133</f>
        <v/>
      </c>
      <c r="T1133" s="5">
        <f>J1133</f>
        <v/>
      </c>
      <c r="U1133" s="6">
        <f>YEAR(D1133)</f>
        <v/>
      </c>
      <c r="V1133" s="5">
        <f>TEXT(D1133,"yyyy-mm")</f>
        <v/>
      </c>
    </row>
    <row r="1134">
      <c r="A1134" s="2" t="inlineStr">
        <is>
          <t>EJ310725.TXT</t>
        </is>
      </c>
      <c r="B1134" s="3" t="inlineStr">
        <is>
          <t>005850</t>
        </is>
      </c>
      <c r="C1134" s="3" t="inlineStr">
        <is>
          <t>004694</t>
        </is>
      </c>
      <c r="D1134" s="4" t="n">
        <v>45854</v>
      </c>
      <c r="E1134" s="2" t="inlineStr">
        <is>
          <t>14:47</t>
        </is>
      </c>
      <c r="F1134" s="5" t="n">
        <v>274.17</v>
      </c>
      <c r="G1134" s="5" t="n"/>
      <c r="H1134" s="5" t="n"/>
      <c r="I1134" s="5" t="n"/>
      <c r="J1134" s="5" t="n">
        <v>54.83</v>
      </c>
      <c r="K1134" s="5" t="n"/>
      <c r="L1134" s="5" t="n"/>
      <c r="M1134" s="5" t="n"/>
      <c r="N1134" s="5" t="n"/>
      <c r="O1134" s="5" t="n">
        <v>329</v>
      </c>
      <c r="P1134" s="5" t="n"/>
      <c r="Q1134" s="5" t="n">
        <v>329</v>
      </c>
      <c r="R1134" s="5" t="n"/>
      <c r="S1134" s="5">
        <f>SUM(F1134:I1134)+N1134</f>
        <v/>
      </c>
      <c r="T1134" s="5">
        <f>J1134</f>
        <v/>
      </c>
      <c r="U1134" s="6">
        <f>YEAR(D1134)</f>
        <v/>
      </c>
      <c r="V1134" s="5">
        <f>TEXT(D1134,"yyyy-mm")</f>
        <v/>
      </c>
    </row>
    <row r="1135">
      <c r="A1135" s="2" t="inlineStr">
        <is>
          <t>EJ310725.TXT</t>
        </is>
      </c>
      <c r="B1135" s="3" t="inlineStr">
        <is>
          <t>005851</t>
        </is>
      </c>
      <c r="C1135" s="3" t="inlineStr">
        <is>
          <t>004695</t>
        </is>
      </c>
      <c r="D1135" s="4" t="n">
        <v>45856</v>
      </c>
      <c r="E1135" s="2" t="inlineStr">
        <is>
          <t>09:48</t>
        </is>
      </c>
      <c r="F1135" s="5" t="n">
        <v>799.17</v>
      </c>
      <c r="G1135" s="5" t="n"/>
      <c r="H1135" s="5" t="n"/>
      <c r="I1135" s="5" t="n"/>
      <c r="J1135" s="5" t="n">
        <v>159.83</v>
      </c>
      <c r="K1135" s="5" t="n"/>
      <c r="L1135" s="5" t="n"/>
      <c r="M1135" s="5" t="n"/>
      <c r="N1135" s="5" t="n"/>
      <c r="O1135" s="5" t="n">
        <v>959</v>
      </c>
      <c r="P1135" s="5" t="n"/>
      <c r="Q1135" s="5" t="n">
        <v>959</v>
      </c>
      <c r="R1135" s="5" t="n"/>
      <c r="S1135" s="5">
        <f>SUM(F1135:I1135)+N1135</f>
        <v/>
      </c>
      <c r="T1135" s="5">
        <f>J1135</f>
        <v/>
      </c>
      <c r="U1135" s="6">
        <f>YEAR(D1135)</f>
        <v/>
      </c>
      <c r="V1135" s="5">
        <f>TEXT(D1135,"yyyy-mm")</f>
        <v/>
      </c>
    </row>
    <row r="1136">
      <c r="A1136" s="2" t="inlineStr">
        <is>
          <t>EJ310725.TXT</t>
        </is>
      </c>
      <c r="B1136" s="3" t="inlineStr">
        <is>
          <t>005852</t>
        </is>
      </c>
      <c r="C1136" s="3" t="inlineStr">
        <is>
          <t>004696</t>
        </is>
      </c>
      <c r="D1136" s="4" t="n">
        <v>45856</v>
      </c>
      <c r="E1136" s="2" t="inlineStr">
        <is>
          <t>09:49</t>
        </is>
      </c>
      <c r="F1136" s="5" t="n">
        <v>799.17</v>
      </c>
      <c r="G1136" s="5" t="n"/>
      <c r="H1136" s="5" t="n"/>
      <c r="I1136" s="5" t="n"/>
      <c r="J1136" s="5" t="n">
        <v>159.83</v>
      </c>
      <c r="K1136" s="5" t="n"/>
      <c r="L1136" s="5" t="n"/>
      <c r="M1136" s="5" t="n"/>
      <c r="N1136" s="5" t="n"/>
      <c r="O1136" s="5" t="n">
        <v>959</v>
      </c>
      <c r="P1136" s="5" t="n"/>
      <c r="Q1136" s="5" t="n">
        <v>959</v>
      </c>
      <c r="R1136" s="5" t="n"/>
      <c r="S1136" s="5">
        <f>SUM(F1136:I1136)+N1136</f>
        <v/>
      </c>
      <c r="T1136" s="5">
        <f>J1136</f>
        <v/>
      </c>
      <c r="U1136" s="6">
        <f>YEAR(D1136)</f>
        <v/>
      </c>
      <c r="V1136" s="5">
        <f>TEXT(D1136,"yyyy-mm")</f>
        <v/>
      </c>
    </row>
    <row r="1137">
      <c r="A1137" s="2" t="inlineStr">
        <is>
          <t>EJ310725.TXT</t>
        </is>
      </c>
      <c r="B1137" s="3" t="inlineStr">
        <is>
          <t>005853</t>
        </is>
      </c>
      <c r="C1137" s="3" t="inlineStr">
        <is>
          <t>004697</t>
        </is>
      </c>
      <c r="D1137" s="4" t="n">
        <v>45856</v>
      </c>
      <c r="E1137" s="2" t="inlineStr">
        <is>
          <t>09:49</t>
        </is>
      </c>
      <c r="F1137" s="5" t="n">
        <v>799.17</v>
      </c>
      <c r="G1137" s="5" t="n"/>
      <c r="H1137" s="5" t="n"/>
      <c r="I1137" s="5" t="n"/>
      <c r="J1137" s="5" t="n">
        <v>159.83</v>
      </c>
      <c r="K1137" s="5" t="n"/>
      <c r="L1137" s="5" t="n"/>
      <c r="M1137" s="5" t="n"/>
      <c r="N1137" s="5" t="n"/>
      <c r="O1137" s="5" t="n">
        <v>959</v>
      </c>
      <c r="P1137" s="5" t="n"/>
      <c r="Q1137" s="5" t="n">
        <v>959</v>
      </c>
      <c r="R1137" s="5" t="n"/>
      <c r="S1137" s="5">
        <f>SUM(F1137:I1137)+N1137</f>
        <v/>
      </c>
      <c r="T1137" s="5">
        <f>J1137</f>
        <v/>
      </c>
      <c r="U1137" s="6">
        <f>YEAR(D1137)</f>
        <v/>
      </c>
      <c r="V1137" s="5">
        <f>TEXT(D1137,"yyyy-mm")</f>
        <v/>
      </c>
    </row>
    <row r="1138">
      <c r="A1138" s="2" t="inlineStr">
        <is>
          <t>EJ310725.TXT</t>
        </is>
      </c>
      <c r="B1138" s="3" t="inlineStr">
        <is>
          <t>005854</t>
        </is>
      </c>
      <c r="C1138" s="3" t="inlineStr">
        <is>
          <t>004698</t>
        </is>
      </c>
      <c r="D1138" s="4" t="n">
        <v>45856</v>
      </c>
      <c r="E1138" s="2" t="inlineStr">
        <is>
          <t>09:50</t>
        </is>
      </c>
      <c r="F1138" s="5" t="n">
        <v>799.17</v>
      </c>
      <c r="G1138" s="5" t="n"/>
      <c r="H1138" s="5" t="n"/>
      <c r="I1138" s="5" t="n"/>
      <c r="J1138" s="5" t="n">
        <v>159.83</v>
      </c>
      <c r="K1138" s="5" t="n"/>
      <c r="L1138" s="5" t="n"/>
      <c r="M1138" s="5" t="n"/>
      <c r="N1138" s="5" t="n"/>
      <c r="O1138" s="5" t="n">
        <v>959</v>
      </c>
      <c r="P1138" s="5" t="n"/>
      <c r="Q1138" s="5" t="n">
        <v>959</v>
      </c>
      <c r="R1138" s="5" t="n"/>
      <c r="S1138" s="5">
        <f>SUM(F1138:I1138)+N1138</f>
        <v/>
      </c>
      <c r="T1138" s="5">
        <f>J1138</f>
        <v/>
      </c>
      <c r="U1138" s="6">
        <f>YEAR(D1138)</f>
        <v/>
      </c>
      <c r="V1138" s="5">
        <f>TEXT(D1138,"yyyy-mm")</f>
        <v/>
      </c>
    </row>
    <row r="1139">
      <c r="A1139" s="2" t="inlineStr">
        <is>
          <t>EJ310725.TXT</t>
        </is>
      </c>
      <c r="B1139" s="3" t="inlineStr">
        <is>
          <t>005855</t>
        </is>
      </c>
      <c r="C1139" s="3" t="inlineStr">
        <is>
          <t>004699</t>
        </is>
      </c>
      <c r="D1139" s="4" t="n">
        <v>45856</v>
      </c>
      <c r="E1139" s="2" t="inlineStr">
        <is>
          <t>09:50</t>
        </is>
      </c>
      <c r="F1139" s="5" t="n">
        <v>799.17</v>
      </c>
      <c r="G1139" s="5" t="n"/>
      <c r="H1139" s="5" t="n"/>
      <c r="I1139" s="5" t="n"/>
      <c r="J1139" s="5" t="n">
        <v>159.83</v>
      </c>
      <c r="K1139" s="5" t="n"/>
      <c r="L1139" s="5" t="n"/>
      <c r="M1139" s="5" t="n"/>
      <c r="N1139" s="5" t="n"/>
      <c r="O1139" s="5" t="n">
        <v>959</v>
      </c>
      <c r="P1139" s="5" t="n"/>
      <c r="Q1139" s="5" t="n">
        <v>959</v>
      </c>
      <c r="R1139" s="5" t="n"/>
      <c r="S1139" s="5">
        <f>SUM(F1139:I1139)+N1139</f>
        <v/>
      </c>
      <c r="T1139" s="5">
        <f>J1139</f>
        <v/>
      </c>
      <c r="U1139" s="6">
        <f>YEAR(D1139)</f>
        <v/>
      </c>
      <c r="V1139" s="5">
        <f>TEXT(D1139,"yyyy-mm")</f>
        <v/>
      </c>
    </row>
    <row r="1140">
      <c r="A1140" s="2" t="inlineStr">
        <is>
          <t>EJ310725.TXT</t>
        </is>
      </c>
      <c r="B1140" s="3" t="inlineStr">
        <is>
          <t>005856</t>
        </is>
      </c>
      <c r="C1140" s="3" t="inlineStr">
        <is>
          <t>004700</t>
        </is>
      </c>
      <c r="D1140" s="4" t="n">
        <v>45856</v>
      </c>
      <c r="E1140" s="2" t="inlineStr">
        <is>
          <t>09:51</t>
        </is>
      </c>
      <c r="F1140" s="5" t="n">
        <v>799.17</v>
      </c>
      <c r="G1140" s="5" t="n"/>
      <c r="H1140" s="5" t="n"/>
      <c r="I1140" s="5" t="n"/>
      <c r="J1140" s="5" t="n">
        <v>159.83</v>
      </c>
      <c r="K1140" s="5" t="n"/>
      <c r="L1140" s="5" t="n"/>
      <c r="M1140" s="5" t="n"/>
      <c r="N1140" s="5" t="n"/>
      <c r="O1140" s="5" t="n">
        <v>959</v>
      </c>
      <c r="P1140" s="5" t="n"/>
      <c r="Q1140" s="5" t="n">
        <v>959</v>
      </c>
      <c r="R1140" s="5" t="n"/>
      <c r="S1140" s="5">
        <f>SUM(F1140:I1140)+N1140</f>
        <v/>
      </c>
      <c r="T1140" s="5">
        <f>J1140</f>
        <v/>
      </c>
      <c r="U1140" s="6">
        <f>YEAR(D1140)</f>
        <v/>
      </c>
      <c r="V1140" s="5">
        <f>TEXT(D1140,"yyyy-mm")</f>
        <v/>
      </c>
    </row>
    <row r="1141">
      <c r="A1141" s="2" t="inlineStr">
        <is>
          <t>EJ310725.TXT</t>
        </is>
      </c>
      <c r="B1141" s="3" t="inlineStr">
        <is>
          <t>005857</t>
        </is>
      </c>
      <c r="C1141" s="3" t="inlineStr">
        <is>
          <t>004701</t>
        </is>
      </c>
      <c r="D1141" s="4" t="n">
        <v>45856</v>
      </c>
      <c r="E1141" s="2" t="inlineStr">
        <is>
          <t>09:51</t>
        </is>
      </c>
      <c r="F1141" s="5" t="n">
        <v>795</v>
      </c>
      <c r="G1141" s="5" t="n"/>
      <c r="H1141" s="5" t="n"/>
      <c r="I1141" s="5" t="n"/>
      <c r="J1141" s="5" t="n">
        <v>159</v>
      </c>
      <c r="K1141" s="5" t="n"/>
      <c r="L1141" s="5" t="n"/>
      <c r="M1141" s="5" t="n"/>
      <c r="N1141" s="5" t="n"/>
      <c r="O1141" s="5" t="n">
        <v>954</v>
      </c>
      <c r="P1141" s="5" t="n"/>
      <c r="Q1141" s="5" t="n">
        <v>954</v>
      </c>
      <c r="R1141" s="5" t="n"/>
      <c r="S1141" s="5">
        <f>SUM(F1141:I1141)+N1141</f>
        <v/>
      </c>
      <c r="T1141" s="5">
        <f>J1141</f>
        <v/>
      </c>
      <c r="U1141" s="6">
        <f>YEAR(D1141)</f>
        <v/>
      </c>
      <c r="V1141" s="5">
        <f>TEXT(D1141,"yyyy-mm")</f>
        <v/>
      </c>
    </row>
    <row r="1142">
      <c r="A1142" s="2" t="inlineStr">
        <is>
          <t>EJ310725.TXT</t>
        </is>
      </c>
      <c r="B1142" s="3" t="inlineStr">
        <is>
          <t>005858</t>
        </is>
      </c>
      <c r="C1142" s="3" t="inlineStr">
        <is>
          <t>004702</t>
        </is>
      </c>
      <c r="D1142" s="4" t="n">
        <v>45861</v>
      </c>
      <c r="E1142" s="2" t="inlineStr">
        <is>
          <t>14:12</t>
        </is>
      </c>
      <c r="F1142" s="5" t="n">
        <v>548.33</v>
      </c>
      <c r="G1142" s="5" t="n"/>
      <c r="H1142" s="5" t="n"/>
      <c r="I1142" s="5" t="n"/>
      <c r="J1142" s="5" t="n">
        <v>109.67</v>
      </c>
      <c r="K1142" s="5" t="n"/>
      <c r="L1142" s="5" t="n"/>
      <c r="M1142" s="5" t="n"/>
      <c r="N1142" s="5" t="n"/>
      <c r="O1142" s="5" t="n">
        <v>658</v>
      </c>
      <c r="P1142" s="5" t="n"/>
      <c r="Q1142" s="5" t="n">
        <v>658</v>
      </c>
      <c r="R1142" s="5" t="n"/>
      <c r="S1142" s="5">
        <f>SUM(F1142:I1142)+N1142</f>
        <v/>
      </c>
      <c r="T1142" s="5">
        <f>J1142</f>
        <v/>
      </c>
      <c r="U1142" s="6">
        <f>YEAR(D1142)</f>
        <v/>
      </c>
      <c r="V1142" s="5">
        <f>TEXT(D1142,"yyyy-mm")</f>
        <v/>
      </c>
    </row>
    <row r="1143">
      <c r="A1143" s="2" t="inlineStr">
        <is>
          <t>EJ310725.TXT</t>
        </is>
      </c>
      <c r="B1143" s="3" t="inlineStr">
        <is>
          <t>005859</t>
        </is>
      </c>
      <c r="C1143" s="3" t="inlineStr">
        <is>
          <t>004703</t>
        </is>
      </c>
      <c r="D1143" s="4" t="n">
        <v>45861</v>
      </c>
      <c r="E1143" s="2" t="inlineStr">
        <is>
          <t>14:15</t>
        </is>
      </c>
      <c r="F1143" s="5" t="n">
        <v>110</v>
      </c>
      <c r="G1143" s="5" t="n"/>
      <c r="H1143" s="5" t="n"/>
      <c r="I1143" s="5" t="n"/>
      <c r="J1143" s="5" t="n">
        <v>22</v>
      </c>
      <c r="K1143" s="5" t="n"/>
      <c r="L1143" s="5" t="n"/>
      <c r="M1143" s="5" t="n"/>
      <c r="N1143" s="5" t="n"/>
      <c r="O1143" s="5" t="n">
        <v>132</v>
      </c>
      <c r="P1143" s="5" t="n"/>
      <c r="Q1143" s="5" t="n">
        <v>132</v>
      </c>
      <c r="R1143" s="5" t="n"/>
      <c r="S1143" s="5">
        <f>SUM(F1143:I1143)+N1143</f>
        <v/>
      </c>
      <c r="T1143" s="5">
        <f>J1143</f>
        <v/>
      </c>
      <c r="U1143" s="6">
        <f>YEAR(D1143)</f>
        <v/>
      </c>
      <c r="V1143" s="5">
        <f>TEXT(D1143,"yyyy-mm")</f>
        <v/>
      </c>
    </row>
    <row r="1144">
      <c r="A1144" s="2" t="inlineStr">
        <is>
          <t>EJ310725.TXT</t>
        </is>
      </c>
      <c r="B1144" s="3" t="inlineStr">
        <is>
          <t>005860</t>
        </is>
      </c>
      <c r="C1144" s="3" t="inlineStr">
        <is>
          <t>004704</t>
        </is>
      </c>
      <c r="D1144" s="4" t="n">
        <v>45863</v>
      </c>
      <c r="E1144" s="2" t="inlineStr">
        <is>
          <t>16:38</t>
        </is>
      </c>
      <c r="F1144" s="5" t="n">
        <v>124.17</v>
      </c>
      <c r="G1144" s="5" t="n"/>
      <c r="H1144" s="5" t="n"/>
      <c r="I1144" s="5" t="n"/>
      <c r="J1144" s="5" t="n">
        <v>24.83</v>
      </c>
      <c r="K1144" s="5" t="n"/>
      <c r="L1144" s="5" t="n"/>
      <c r="M1144" s="5" t="n"/>
      <c r="N1144" s="5" t="n"/>
      <c r="O1144" s="5" t="n">
        <v>149</v>
      </c>
      <c r="P1144" s="5" t="n">
        <v>149</v>
      </c>
      <c r="Q1144" s="5" t="n"/>
      <c r="R1144" s="5" t="n"/>
      <c r="S1144" s="5">
        <f>SUM(F1144:I1144)+N1144</f>
        <v/>
      </c>
      <c r="T1144" s="5">
        <f>J1144</f>
        <v/>
      </c>
      <c r="U1144" s="6">
        <f>YEAR(D1144)</f>
        <v/>
      </c>
      <c r="V1144" s="5">
        <f>TEXT(D1144,"yyyy-mm")</f>
        <v/>
      </c>
    </row>
    <row r="1145">
      <c r="A1145" s="2" t="inlineStr">
        <is>
          <t>EJ310725.TXT</t>
        </is>
      </c>
      <c r="B1145" s="3" t="inlineStr">
        <is>
          <t>005861</t>
        </is>
      </c>
      <c r="C1145" s="3" t="inlineStr">
        <is>
          <t>004705</t>
        </is>
      </c>
      <c r="D1145" s="4" t="n">
        <v>45868</v>
      </c>
      <c r="E1145" s="2" t="inlineStr">
        <is>
          <t>17:33</t>
        </is>
      </c>
      <c r="F1145" s="5" t="n">
        <v>597.5</v>
      </c>
      <c r="G1145" s="5" t="n"/>
      <c r="H1145" s="5" t="n"/>
      <c r="I1145" s="5" t="n"/>
      <c r="J1145" s="5" t="n">
        <v>119.5</v>
      </c>
      <c r="K1145" s="5" t="n"/>
      <c r="L1145" s="5" t="n"/>
      <c r="M1145" s="5" t="n"/>
      <c r="N1145" s="5" t="n"/>
      <c r="O1145" s="5" t="n">
        <v>717</v>
      </c>
      <c r="P1145" s="5" t="n"/>
      <c r="Q1145" s="5" t="n">
        <v>717</v>
      </c>
      <c r="R1145" s="5" t="n"/>
      <c r="S1145" s="5">
        <f>SUM(F1145:I1145)+N1145</f>
        <v/>
      </c>
      <c r="T1145" s="5">
        <f>J1145</f>
        <v/>
      </c>
      <c r="U1145" s="6">
        <f>YEAR(D1145)</f>
        <v/>
      </c>
      <c r="V1145" s="5">
        <f>TEXT(D1145,"yyyy-mm")</f>
        <v/>
      </c>
    </row>
    <row r="1146">
      <c r="A1146" s="2" t="inlineStr">
        <is>
          <t>EJ020925.TXT</t>
        </is>
      </c>
      <c r="B1146" s="3" t="inlineStr">
        <is>
          <t>005870</t>
        </is>
      </c>
      <c r="C1146" s="3" t="inlineStr">
        <is>
          <t>004706</t>
        </is>
      </c>
      <c r="D1146" s="4" t="n">
        <v>45875</v>
      </c>
      <c r="E1146" s="2" t="inlineStr">
        <is>
          <t>16:53</t>
        </is>
      </c>
      <c r="F1146" s="5" t="n">
        <v>82.5</v>
      </c>
      <c r="G1146" s="5" t="n"/>
      <c r="H1146" s="5" t="n"/>
      <c r="I1146" s="5" t="n"/>
      <c r="J1146" s="5" t="n">
        <v>16.5</v>
      </c>
      <c r="K1146" s="5" t="n"/>
      <c r="L1146" s="5" t="n"/>
      <c r="M1146" s="5" t="n"/>
      <c r="N1146" s="5" t="n"/>
      <c r="O1146" s="5" t="n">
        <v>99</v>
      </c>
      <c r="P1146" s="5" t="n"/>
      <c r="Q1146" s="5" t="n">
        <v>99</v>
      </c>
      <c r="R1146" s="5" t="n"/>
      <c r="S1146" s="5">
        <f>SUM(F1146:I1146)+N1146</f>
        <v/>
      </c>
      <c r="T1146" s="5">
        <f>J1146</f>
        <v/>
      </c>
      <c r="U1146" s="6">
        <f>YEAR(D1146)</f>
        <v/>
      </c>
      <c r="V1146" s="5">
        <f>TEXT(D1146,"yyyy-mm")</f>
        <v/>
      </c>
    </row>
    <row r="1147">
      <c r="A1147" s="2" t="inlineStr">
        <is>
          <t>EJ020925.TXT</t>
        </is>
      </c>
      <c r="B1147" s="3" t="inlineStr">
        <is>
          <t>005871</t>
        </is>
      </c>
      <c r="C1147" s="3" t="inlineStr">
        <is>
          <t>004707</t>
        </is>
      </c>
      <c r="D1147" s="4" t="n">
        <v>45883</v>
      </c>
      <c r="E1147" s="2" t="inlineStr">
        <is>
          <t>16:39</t>
        </is>
      </c>
      <c r="F1147" s="5" t="n">
        <v>548.33</v>
      </c>
      <c r="G1147" s="5" t="n"/>
      <c r="H1147" s="5" t="n"/>
      <c r="I1147" s="5" t="n"/>
      <c r="J1147" s="5" t="n">
        <v>109.67</v>
      </c>
      <c r="K1147" s="5" t="n"/>
      <c r="L1147" s="5" t="n"/>
      <c r="M1147" s="5" t="n"/>
      <c r="N1147" s="5" t="n"/>
      <c r="O1147" s="5" t="n">
        <v>658</v>
      </c>
      <c r="P1147" s="5" t="n">
        <v>658</v>
      </c>
      <c r="Q1147" s="5" t="n"/>
      <c r="R1147" s="5" t="n"/>
      <c r="S1147" s="5">
        <f>SUM(F1147:I1147)+N1147</f>
        <v/>
      </c>
      <c r="T1147" s="5">
        <f>J1147</f>
        <v/>
      </c>
      <c r="U1147" s="6">
        <f>YEAR(D1147)</f>
        <v/>
      </c>
      <c r="V1147" s="5">
        <f>TEXT(D1147,"yyyy-mm")</f>
        <v/>
      </c>
    </row>
    <row r="1148">
      <c r="A1148" s="2" t="inlineStr">
        <is>
          <t>EJ020925.TXT</t>
        </is>
      </c>
      <c r="B1148" s="3" t="inlineStr">
        <is>
          <t>005872</t>
        </is>
      </c>
      <c r="C1148" s="3" t="inlineStr">
        <is>
          <t>004708</t>
        </is>
      </c>
      <c r="D1148" s="4" t="n">
        <v>45889</v>
      </c>
      <c r="E1148" s="2" t="inlineStr">
        <is>
          <t>14:37</t>
        </is>
      </c>
      <c r="F1148" s="5" t="n">
        <v>274.17</v>
      </c>
      <c r="G1148" s="5" t="n"/>
      <c r="H1148" s="5" t="n"/>
      <c r="I1148" s="5" t="n"/>
      <c r="J1148" s="5" t="n">
        <v>54.83</v>
      </c>
      <c r="K1148" s="5" t="n"/>
      <c r="L1148" s="5" t="n"/>
      <c r="M1148" s="5" t="n"/>
      <c r="N1148" s="5" t="n"/>
      <c r="O1148" s="5" t="n">
        <v>329</v>
      </c>
      <c r="P1148" s="5" t="n"/>
      <c r="Q1148" s="5" t="n">
        <v>329</v>
      </c>
      <c r="R1148" s="5" t="n"/>
      <c r="S1148" s="5">
        <f>SUM(F1148:I1148)+N1148</f>
        <v/>
      </c>
      <c r="T1148" s="5">
        <f>J1148</f>
        <v/>
      </c>
      <c r="U1148" s="6">
        <f>YEAR(D1148)</f>
        <v/>
      </c>
      <c r="V1148" s="5">
        <f>TEXT(D1148,"yyyy-mm")</f>
        <v/>
      </c>
    </row>
    <row r="1149">
      <c r="A1149" s="2" t="inlineStr">
        <is>
          <t>EJ020925.TXT</t>
        </is>
      </c>
      <c r="B1149" s="3" t="inlineStr">
        <is>
          <t>005873</t>
        </is>
      </c>
      <c r="C1149" s="3" t="inlineStr">
        <is>
          <t>004709</t>
        </is>
      </c>
      <c r="D1149" s="4" t="n">
        <v>45890</v>
      </c>
      <c r="E1149" s="2" t="inlineStr">
        <is>
          <t>09:43</t>
        </is>
      </c>
      <c r="F1149" s="5" t="n">
        <v>82.5</v>
      </c>
      <c r="G1149" s="5" t="n"/>
      <c r="H1149" s="5" t="n"/>
      <c r="I1149" s="5" t="n"/>
      <c r="J1149" s="5" t="n">
        <v>16.5</v>
      </c>
      <c r="K1149" s="5" t="n"/>
      <c r="L1149" s="5" t="n"/>
      <c r="M1149" s="5" t="n"/>
      <c r="N1149" s="5" t="n"/>
      <c r="O1149" s="5" t="n">
        <v>99</v>
      </c>
      <c r="P1149" s="5" t="n"/>
      <c r="Q1149" s="5" t="n">
        <v>99</v>
      </c>
      <c r="R1149" s="5" t="n"/>
      <c r="S1149" s="5">
        <f>SUM(F1149:I1149)+N1149</f>
        <v/>
      </c>
      <c r="T1149" s="5">
        <f>J1149</f>
        <v/>
      </c>
      <c r="U1149" s="6">
        <f>YEAR(D1149)</f>
        <v/>
      </c>
      <c r="V1149" s="5">
        <f>TEXT(D1149,"yyyy-mm")</f>
        <v/>
      </c>
    </row>
    <row r="1150">
      <c r="A1150" s="2" t="inlineStr">
        <is>
          <t>EJ020925.TXT</t>
        </is>
      </c>
      <c r="B1150" s="3" t="inlineStr">
        <is>
          <t>005874</t>
        </is>
      </c>
      <c r="C1150" s="3" t="inlineStr">
        <is>
          <t>004710</t>
        </is>
      </c>
      <c r="D1150" s="4" t="n">
        <v>45891</v>
      </c>
      <c r="E1150" s="2" t="inlineStr">
        <is>
          <t>16:59</t>
        </is>
      </c>
      <c r="F1150" s="5" t="n">
        <v>548.33</v>
      </c>
      <c r="G1150" s="5" t="n"/>
      <c r="H1150" s="5" t="n"/>
      <c r="I1150" s="5" t="n"/>
      <c r="J1150" s="5" t="n">
        <v>109.67</v>
      </c>
      <c r="K1150" s="5" t="n"/>
      <c r="L1150" s="5" t="n"/>
      <c r="M1150" s="5" t="n"/>
      <c r="N1150" s="5" t="n"/>
      <c r="O1150" s="5" t="n">
        <v>658</v>
      </c>
      <c r="P1150" s="5" t="n"/>
      <c r="Q1150" s="5" t="n">
        <v>658</v>
      </c>
      <c r="R1150" s="5" t="n"/>
      <c r="S1150" s="5">
        <f>SUM(F1150:I1150)+N1150</f>
        <v/>
      </c>
      <c r="T1150" s="5">
        <f>J1150</f>
        <v/>
      </c>
      <c r="U1150" s="6">
        <f>YEAR(D1150)</f>
        <v/>
      </c>
      <c r="V1150" s="5">
        <f>TEXT(D1150,"yyyy-mm")</f>
        <v/>
      </c>
    </row>
    <row r="1151">
      <c r="A1151" s="2" t="inlineStr">
        <is>
          <t>EJ020925.TXT</t>
        </is>
      </c>
      <c r="B1151" s="3" t="inlineStr">
        <is>
          <t>005875</t>
        </is>
      </c>
      <c r="C1151" s="3" t="inlineStr">
        <is>
          <t>004711</t>
        </is>
      </c>
      <c r="D1151" s="4" t="n">
        <v>45896</v>
      </c>
      <c r="E1151" s="2" t="inlineStr">
        <is>
          <t>13:45</t>
        </is>
      </c>
      <c r="F1151" s="5" t="n">
        <v>822.5</v>
      </c>
      <c r="G1151" s="5" t="n"/>
      <c r="H1151" s="5" t="n"/>
      <c r="I1151" s="5" t="n"/>
      <c r="J1151" s="5" t="n">
        <v>164.5</v>
      </c>
      <c r="K1151" s="5" t="n"/>
      <c r="L1151" s="5" t="n"/>
      <c r="M1151" s="5" t="n"/>
      <c r="N1151" s="5" t="n"/>
      <c r="O1151" s="5" t="n">
        <v>987</v>
      </c>
      <c r="P1151" s="5" t="n">
        <v>987</v>
      </c>
      <c r="Q1151" s="5" t="n"/>
      <c r="R1151" s="5" t="n"/>
      <c r="S1151" s="5">
        <f>SUM(F1151:I1151)+N1151</f>
        <v/>
      </c>
      <c r="T1151" s="5">
        <f>J1151</f>
        <v/>
      </c>
      <c r="U1151" s="6">
        <f>YEAR(D1151)</f>
        <v/>
      </c>
      <c r="V1151" s="5">
        <f>TEXT(D1151,"yyyy-mm")</f>
        <v/>
      </c>
    </row>
    <row r="1152">
      <c r="A1152" s="2" t="inlineStr">
        <is>
          <t>EJ020925.TXT</t>
        </is>
      </c>
      <c r="B1152" s="3" t="inlineStr">
        <is>
          <t>005876</t>
        </is>
      </c>
      <c r="C1152" s="3" t="inlineStr">
        <is>
          <t>004712</t>
        </is>
      </c>
      <c r="D1152" s="4" t="n">
        <v>45896</v>
      </c>
      <c r="E1152" s="2" t="inlineStr">
        <is>
          <t>15:09</t>
        </is>
      </c>
      <c r="F1152" s="5" t="n">
        <v>333.33</v>
      </c>
      <c r="G1152" s="5" t="n"/>
      <c r="H1152" s="5" t="n"/>
      <c r="I1152" s="5" t="n"/>
      <c r="J1152" s="5" t="n">
        <v>66.67</v>
      </c>
      <c r="K1152" s="5" t="n"/>
      <c r="L1152" s="5" t="n"/>
      <c r="M1152" s="5" t="n"/>
      <c r="N1152" s="5" t="n"/>
      <c r="O1152" s="5" t="n">
        <v>400</v>
      </c>
      <c r="P1152" s="5" t="n"/>
      <c r="Q1152" s="5" t="n">
        <v>400</v>
      </c>
      <c r="R1152" s="5" t="n"/>
      <c r="S1152" s="5">
        <f>SUM(F1152:I1152)+N1152</f>
        <v/>
      </c>
      <c r="T1152" s="5">
        <f>J1152</f>
        <v/>
      </c>
      <c r="U1152" s="6">
        <f>YEAR(D1152)</f>
        <v/>
      </c>
      <c r="V1152" s="5">
        <f>TEXT(D1152,"yyyy-mm")</f>
        <v/>
      </c>
    </row>
    <row r="1153">
      <c r="A1153" s="2" t="inlineStr">
        <is>
          <t>EJ020925.TXT</t>
        </is>
      </c>
      <c r="B1153" s="3" t="inlineStr">
        <is>
          <t>005877</t>
        </is>
      </c>
      <c r="C1153" s="3" t="inlineStr">
        <is>
          <t>004713</t>
        </is>
      </c>
      <c r="D1153" s="4" t="n">
        <v>45896</v>
      </c>
      <c r="E1153" s="2" t="inlineStr">
        <is>
          <t>15:09</t>
        </is>
      </c>
      <c r="F1153" s="5" t="n">
        <v>355.83</v>
      </c>
      <c r="G1153" s="5" t="n"/>
      <c r="H1153" s="5" t="n"/>
      <c r="I1153" s="5" t="n"/>
      <c r="J1153" s="5" t="n">
        <v>71.17</v>
      </c>
      <c r="K1153" s="5" t="n"/>
      <c r="L1153" s="5" t="n"/>
      <c r="M1153" s="5" t="n"/>
      <c r="N1153" s="5" t="n"/>
      <c r="O1153" s="5" t="n">
        <v>427</v>
      </c>
      <c r="P1153" s="5" t="n">
        <v>427</v>
      </c>
      <c r="Q1153" s="5" t="n"/>
      <c r="R1153" s="5" t="n"/>
      <c r="S1153" s="5">
        <f>SUM(F1153:I1153)+N1153</f>
        <v/>
      </c>
      <c r="T1153" s="5">
        <f>J1153</f>
        <v/>
      </c>
      <c r="U1153" s="6">
        <f>YEAR(D1153)</f>
        <v/>
      </c>
      <c r="V1153" s="5">
        <f>TEXT(D1153,"yyyy-mm")</f>
        <v/>
      </c>
    </row>
    <row r="1154">
      <c r="A1154" s="2" t="inlineStr">
        <is>
          <t>EJ020925.TXT</t>
        </is>
      </c>
      <c r="B1154" s="3" t="inlineStr">
        <is>
          <t>005878</t>
        </is>
      </c>
      <c r="C1154" s="3" t="inlineStr">
        <is>
          <t>004714</t>
        </is>
      </c>
      <c r="D1154" s="4" t="n">
        <v>45896</v>
      </c>
      <c r="E1154" s="2" t="inlineStr">
        <is>
          <t>15:37</t>
        </is>
      </c>
      <c r="F1154" s="5" t="n">
        <v>274.17</v>
      </c>
      <c r="G1154" s="5" t="n"/>
      <c r="H1154" s="5" t="n"/>
      <c r="I1154" s="5" t="n"/>
      <c r="J1154" s="5" t="n">
        <v>54.83</v>
      </c>
      <c r="K1154" s="5" t="n"/>
      <c r="L1154" s="5" t="n"/>
      <c r="M1154" s="5" t="n"/>
      <c r="N1154" s="5" t="n"/>
      <c r="O1154" s="5" t="n">
        <v>329</v>
      </c>
      <c r="P1154" s="5" t="n"/>
      <c r="Q1154" s="5" t="n">
        <v>329</v>
      </c>
      <c r="R1154" s="5" t="n"/>
      <c r="S1154" s="5">
        <f>SUM(F1154:I1154)+N1154</f>
        <v/>
      </c>
      <c r="T1154" s="5">
        <f>J1154</f>
        <v/>
      </c>
      <c r="U1154" s="6">
        <f>YEAR(D1154)</f>
        <v/>
      </c>
      <c r="V1154" s="5">
        <f>TEXT(D1154,"yyyy-mm")</f>
        <v/>
      </c>
    </row>
  </sheetData>
  <autoFilter ref="A1:V1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SOMME_E_TTC</t>
        </is>
      </c>
      <c r="D1" s="1" t="inlineStr">
        <is>
          <t>SOMME_E_MDP_CB</t>
        </is>
      </c>
      <c r="E1" s="1" t="inlineStr">
        <is>
          <t>SOMME_E_MDP_CHEQUES</t>
        </is>
      </c>
      <c r="F1" s="1" t="inlineStr">
        <is>
          <t>SOMME_E_MDP_ESPECES</t>
        </is>
      </c>
    </row>
    <row r="2">
      <c r="A2" s="6" t="n">
        <v>2023</v>
      </c>
      <c r="B2" s="5" t="inlineStr">
        <is>
          <t>2023-01</t>
        </is>
      </c>
      <c r="C2" s="5">
        <f>SUMIFS('Entetes_CplteAnneeMois'!$O$2:$O$1154,'Entetes_CplteAnneeMois'!$V$2:$V$1154,B2)</f>
        <v/>
      </c>
      <c r="D2" s="5">
        <f>SUMIFS('Entetes_CplteAnneeMois'!$P$2:$P$1154,'Entetes_CplteAnneeMois'!$V$2:$V$1154,B2)</f>
        <v/>
      </c>
      <c r="E2" s="5">
        <f>SUMIFS('Entetes_CplteAnneeMois'!$R$2:$R$1154,'Entetes_CplteAnneeMois'!$V$2:$V$1154,B2)</f>
        <v/>
      </c>
      <c r="F2" s="5">
        <f>SUMIFS('Entetes_CplteAnneeMois'!$Q$2:$Q$1154,'Entetes_CplteAnneeMois'!$V$2:$V$1154,B2)</f>
        <v/>
      </c>
    </row>
    <row r="3">
      <c r="A3" s="6" t="n">
        <v>2023</v>
      </c>
      <c r="B3" s="5" t="inlineStr">
        <is>
          <t>2023-02</t>
        </is>
      </c>
      <c r="C3" s="5">
        <f>SUMIFS('Entetes_CplteAnneeMois'!$O$2:$O$1154,'Entetes_CplteAnneeMois'!$V$2:$V$1154,B3)</f>
        <v/>
      </c>
      <c r="D3" s="5">
        <f>SUMIFS('Entetes_CplteAnneeMois'!$P$2:$P$1154,'Entetes_CplteAnneeMois'!$V$2:$V$1154,B3)</f>
        <v/>
      </c>
      <c r="E3" s="5">
        <f>SUMIFS('Entetes_CplteAnneeMois'!$R$2:$R$1154,'Entetes_CplteAnneeMois'!$V$2:$V$1154,B3)</f>
        <v/>
      </c>
      <c r="F3" s="5">
        <f>SUMIFS('Entetes_CplteAnneeMois'!$Q$2:$Q$1154,'Entetes_CplteAnneeMois'!$V$2:$V$1154,B3)</f>
        <v/>
      </c>
    </row>
    <row r="4">
      <c r="A4" s="6" t="n">
        <v>2023</v>
      </c>
      <c r="B4" s="5" t="inlineStr">
        <is>
          <t>2023-03</t>
        </is>
      </c>
      <c r="C4" s="5">
        <f>SUMIFS('Entetes_CplteAnneeMois'!$O$2:$O$1154,'Entetes_CplteAnneeMois'!$V$2:$V$1154,B4)</f>
        <v/>
      </c>
      <c r="D4" s="5">
        <f>SUMIFS('Entetes_CplteAnneeMois'!$P$2:$P$1154,'Entetes_CplteAnneeMois'!$V$2:$V$1154,B4)</f>
        <v/>
      </c>
      <c r="E4" s="5">
        <f>SUMIFS('Entetes_CplteAnneeMois'!$R$2:$R$1154,'Entetes_CplteAnneeMois'!$V$2:$V$1154,B4)</f>
        <v/>
      </c>
      <c r="F4" s="5">
        <f>SUMIFS('Entetes_CplteAnneeMois'!$Q$2:$Q$1154,'Entetes_CplteAnneeMois'!$V$2:$V$1154,B4)</f>
        <v/>
      </c>
    </row>
    <row r="5">
      <c r="A5" s="6" t="n">
        <v>2023</v>
      </c>
      <c r="B5" s="5" t="inlineStr">
        <is>
          <t>2023-04</t>
        </is>
      </c>
      <c r="C5" s="5">
        <f>SUMIFS('Entetes_CplteAnneeMois'!$O$2:$O$1154,'Entetes_CplteAnneeMois'!$V$2:$V$1154,B5)</f>
        <v/>
      </c>
      <c r="D5" s="5">
        <f>SUMIFS('Entetes_CplteAnneeMois'!$P$2:$P$1154,'Entetes_CplteAnneeMois'!$V$2:$V$1154,B5)</f>
        <v/>
      </c>
      <c r="E5" s="5">
        <f>SUMIFS('Entetes_CplteAnneeMois'!$R$2:$R$1154,'Entetes_CplteAnneeMois'!$V$2:$V$1154,B5)</f>
        <v/>
      </c>
      <c r="F5" s="5">
        <f>SUMIFS('Entetes_CplteAnneeMois'!$Q$2:$Q$1154,'Entetes_CplteAnneeMois'!$V$2:$V$1154,B5)</f>
        <v/>
      </c>
    </row>
    <row r="6">
      <c r="A6" s="6" t="n">
        <v>2023</v>
      </c>
      <c r="B6" s="5" t="inlineStr">
        <is>
          <t>2023-05</t>
        </is>
      </c>
      <c r="C6" s="5">
        <f>SUMIFS('Entetes_CplteAnneeMois'!$O$2:$O$1154,'Entetes_CplteAnneeMois'!$V$2:$V$1154,B6)</f>
        <v/>
      </c>
      <c r="D6" s="5">
        <f>SUMIFS('Entetes_CplteAnneeMois'!$P$2:$P$1154,'Entetes_CplteAnneeMois'!$V$2:$V$1154,B6)</f>
        <v/>
      </c>
      <c r="E6" s="5">
        <f>SUMIFS('Entetes_CplteAnneeMois'!$R$2:$R$1154,'Entetes_CplteAnneeMois'!$V$2:$V$1154,B6)</f>
        <v/>
      </c>
      <c r="F6" s="5">
        <f>SUMIFS('Entetes_CplteAnneeMois'!$Q$2:$Q$1154,'Entetes_CplteAnneeMois'!$V$2:$V$1154,B6)</f>
        <v/>
      </c>
    </row>
    <row r="7">
      <c r="A7" s="6" t="n">
        <v>2023</v>
      </c>
      <c r="B7" s="5" t="inlineStr">
        <is>
          <t>2023-06</t>
        </is>
      </c>
      <c r="C7" s="5">
        <f>SUMIFS('Entetes_CplteAnneeMois'!$O$2:$O$1154,'Entetes_CplteAnneeMois'!$V$2:$V$1154,B7)</f>
        <v/>
      </c>
      <c r="D7" s="5">
        <f>SUMIFS('Entetes_CplteAnneeMois'!$P$2:$P$1154,'Entetes_CplteAnneeMois'!$V$2:$V$1154,B7)</f>
        <v/>
      </c>
      <c r="E7" s="5">
        <f>SUMIFS('Entetes_CplteAnneeMois'!$R$2:$R$1154,'Entetes_CplteAnneeMois'!$V$2:$V$1154,B7)</f>
        <v/>
      </c>
      <c r="F7" s="5">
        <f>SUMIFS('Entetes_CplteAnneeMois'!$Q$2:$Q$1154,'Entetes_CplteAnneeMois'!$V$2:$V$1154,B7)</f>
        <v/>
      </c>
    </row>
    <row r="8">
      <c r="A8" s="6" t="n">
        <v>2023</v>
      </c>
      <c r="B8" s="5" t="inlineStr">
        <is>
          <t>2023-07</t>
        </is>
      </c>
      <c r="C8" s="5">
        <f>SUMIFS('Entetes_CplteAnneeMois'!$O$2:$O$1154,'Entetes_CplteAnneeMois'!$V$2:$V$1154,B8)</f>
        <v/>
      </c>
      <c r="D8" s="5">
        <f>SUMIFS('Entetes_CplteAnneeMois'!$P$2:$P$1154,'Entetes_CplteAnneeMois'!$V$2:$V$1154,B8)</f>
        <v/>
      </c>
      <c r="E8" s="5">
        <f>SUMIFS('Entetes_CplteAnneeMois'!$R$2:$R$1154,'Entetes_CplteAnneeMois'!$V$2:$V$1154,B8)</f>
        <v/>
      </c>
      <c r="F8" s="5">
        <f>SUMIFS('Entetes_CplteAnneeMois'!$Q$2:$Q$1154,'Entetes_CplteAnneeMois'!$V$2:$V$1154,B8)</f>
        <v/>
      </c>
    </row>
    <row r="9">
      <c r="A9" s="6" t="n">
        <v>2023</v>
      </c>
      <c r="B9" s="5" t="inlineStr">
        <is>
          <t>2023-08</t>
        </is>
      </c>
      <c r="C9" s="5">
        <f>SUMIFS('Entetes_CplteAnneeMois'!$O$2:$O$1154,'Entetes_CplteAnneeMois'!$V$2:$V$1154,B9)</f>
        <v/>
      </c>
      <c r="D9" s="5">
        <f>SUMIFS('Entetes_CplteAnneeMois'!$P$2:$P$1154,'Entetes_CplteAnneeMois'!$V$2:$V$1154,B9)</f>
        <v/>
      </c>
      <c r="E9" s="5">
        <f>SUMIFS('Entetes_CplteAnneeMois'!$R$2:$R$1154,'Entetes_CplteAnneeMois'!$V$2:$V$1154,B9)</f>
        <v/>
      </c>
      <c r="F9" s="5">
        <f>SUMIFS('Entetes_CplteAnneeMois'!$Q$2:$Q$1154,'Entetes_CplteAnneeMois'!$V$2:$V$1154,B9)</f>
        <v/>
      </c>
    </row>
    <row r="10">
      <c r="A10" s="6" t="n">
        <v>2023</v>
      </c>
      <c r="B10" s="5" t="inlineStr">
        <is>
          <t>2023-09</t>
        </is>
      </c>
      <c r="C10" s="5">
        <f>SUMIFS('Entetes_CplteAnneeMois'!$O$2:$O$1154,'Entetes_CplteAnneeMois'!$V$2:$V$1154,B10)</f>
        <v/>
      </c>
      <c r="D10" s="5">
        <f>SUMIFS('Entetes_CplteAnneeMois'!$P$2:$P$1154,'Entetes_CplteAnneeMois'!$V$2:$V$1154,B10)</f>
        <v/>
      </c>
      <c r="E10" s="5">
        <f>SUMIFS('Entetes_CplteAnneeMois'!$R$2:$R$1154,'Entetes_CplteAnneeMois'!$V$2:$V$1154,B10)</f>
        <v/>
      </c>
      <c r="F10" s="5">
        <f>SUMIFS('Entetes_CplteAnneeMois'!$Q$2:$Q$1154,'Entetes_CplteAnneeMois'!$V$2:$V$1154,B10)</f>
        <v/>
      </c>
    </row>
    <row r="11">
      <c r="A11" s="6" t="n">
        <v>2023</v>
      </c>
      <c r="B11" s="5" t="inlineStr">
        <is>
          <t>2023-10</t>
        </is>
      </c>
      <c r="C11" s="5">
        <f>SUMIFS('Entetes_CplteAnneeMois'!$O$2:$O$1154,'Entetes_CplteAnneeMois'!$V$2:$V$1154,B11)</f>
        <v/>
      </c>
      <c r="D11" s="5">
        <f>SUMIFS('Entetes_CplteAnneeMois'!$P$2:$P$1154,'Entetes_CplteAnneeMois'!$V$2:$V$1154,B11)</f>
        <v/>
      </c>
      <c r="E11" s="5">
        <f>SUMIFS('Entetes_CplteAnneeMois'!$R$2:$R$1154,'Entetes_CplteAnneeMois'!$V$2:$V$1154,B11)</f>
        <v/>
      </c>
      <c r="F11" s="5">
        <f>SUMIFS('Entetes_CplteAnneeMois'!$Q$2:$Q$1154,'Entetes_CplteAnneeMois'!$V$2:$V$1154,B11)</f>
        <v/>
      </c>
    </row>
    <row r="12">
      <c r="A12" s="6" t="n">
        <v>2023</v>
      </c>
      <c r="B12" s="5" t="inlineStr">
        <is>
          <t>2023-11</t>
        </is>
      </c>
      <c r="C12" s="5">
        <f>SUMIFS('Entetes_CplteAnneeMois'!$O$2:$O$1154,'Entetes_CplteAnneeMois'!$V$2:$V$1154,B12)</f>
        <v/>
      </c>
      <c r="D12" s="5">
        <f>SUMIFS('Entetes_CplteAnneeMois'!$P$2:$P$1154,'Entetes_CplteAnneeMois'!$V$2:$V$1154,B12)</f>
        <v/>
      </c>
      <c r="E12" s="5">
        <f>SUMIFS('Entetes_CplteAnneeMois'!$R$2:$R$1154,'Entetes_CplteAnneeMois'!$V$2:$V$1154,B12)</f>
        <v/>
      </c>
      <c r="F12" s="5">
        <f>SUMIFS('Entetes_CplteAnneeMois'!$Q$2:$Q$1154,'Entetes_CplteAnneeMois'!$V$2:$V$1154,B12)</f>
        <v/>
      </c>
    </row>
    <row r="13">
      <c r="A13" s="6" t="n">
        <v>2023</v>
      </c>
      <c r="B13" s="5" t="inlineStr">
        <is>
          <t>2023-12</t>
        </is>
      </c>
      <c r="C13" s="5">
        <f>SUMIFS('Entetes_CplteAnneeMois'!$O$2:$O$1154,'Entetes_CplteAnneeMois'!$V$2:$V$1154,B13)</f>
        <v/>
      </c>
      <c r="D13" s="5">
        <f>SUMIFS('Entetes_CplteAnneeMois'!$P$2:$P$1154,'Entetes_CplteAnneeMois'!$V$2:$V$1154,B13)</f>
        <v/>
      </c>
      <c r="E13" s="5">
        <f>SUMIFS('Entetes_CplteAnneeMois'!$R$2:$R$1154,'Entetes_CplteAnneeMois'!$V$2:$V$1154,B13)</f>
        <v/>
      </c>
      <c r="F13" s="5">
        <f>SUMIFS('Entetes_CplteAnneeMois'!$Q$2:$Q$1154,'Entetes_CplteAnneeMois'!$V$2:$V$1154,B13)</f>
        <v/>
      </c>
    </row>
    <row r="14">
      <c r="A14" s="6" t="n">
        <v>2024</v>
      </c>
      <c r="B14" s="5" t="inlineStr">
        <is>
          <t>2024-01</t>
        </is>
      </c>
      <c r="C14" s="5">
        <f>SUMIFS('Entetes_CplteAnneeMois'!$O$2:$O$1154,'Entetes_CplteAnneeMois'!$V$2:$V$1154,B14)</f>
        <v/>
      </c>
      <c r="D14" s="5">
        <f>SUMIFS('Entetes_CplteAnneeMois'!$P$2:$P$1154,'Entetes_CplteAnneeMois'!$V$2:$V$1154,B14)</f>
        <v/>
      </c>
      <c r="E14" s="5">
        <f>SUMIFS('Entetes_CplteAnneeMois'!$R$2:$R$1154,'Entetes_CplteAnneeMois'!$V$2:$V$1154,B14)</f>
        <v/>
      </c>
      <c r="F14" s="5">
        <f>SUMIFS('Entetes_CplteAnneeMois'!$Q$2:$Q$1154,'Entetes_CplteAnneeMois'!$V$2:$V$1154,B14)</f>
        <v/>
      </c>
    </row>
    <row r="15">
      <c r="A15" s="6" t="n">
        <v>2024</v>
      </c>
      <c r="B15" s="5" t="inlineStr">
        <is>
          <t>2024-02</t>
        </is>
      </c>
      <c r="C15" s="5">
        <f>SUMIFS('Entetes_CplteAnneeMois'!$O$2:$O$1154,'Entetes_CplteAnneeMois'!$V$2:$V$1154,B15)</f>
        <v/>
      </c>
      <c r="D15" s="5">
        <f>SUMIFS('Entetes_CplteAnneeMois'!$P$2:$P$1154,'Entetes_CplteAnneeMois'!$V$2:$V$1154,B15)</f>
        <v/>
      </c>
      <c r="E15" s="5">
        <f>SUMIFS('Entetes_CplteAnneeMois'!$R$2:$R$1154,'Entetes_CplteAnneeMois'!$V$2:$V$1154,B15)</f>
        <v/>
      </c>
      <c r="F15" s="5">
        <f>SUMIFS('Entetes_CplteAnneeMois'!$Q$2:$Q$1154,'Entetes_CplteAnneeMois'!$V$2:$V$1154,B15)</f>
        <v/>
      </c>
    </row>
    <row r="16">
      <c r="A16" s="6" t="n">
        <v>2024</v>
      </c>
      <c r="B16" s="5" t="inlineStr">
        <is>
          <t>2024-03</t>
        </is>
      </c>
      <c r="C16" s="5">
        <f>SUMIFS('Entetes_CplteAnneeMois'!$O$2:$O$1154,'Entetes_CplteAnneeMois'!$V$2:$V$1154,B16)</f>
        <v/>
      </c>
      <c r="D16" s="5">
        <f>SUMIFS('Entetes_CplteAnneeMois'!$P$2:$P$1154,'Entetes_CplteAnneeMois'!$V$2:$V$1154,B16)</f>
        <v/>
      </c>
      <c r="E16" s="5">
        <f>SUMIFS('Entetes_CplteAnneeMois'!$R$2:$R$1154,'Entetes_CplteAnneeMois'!$V$2:$V$1154,B16)</f>
        <v/>
      </c>
      <c r="F16" s="5">
        <f>SUMIFS('Entetes_CplteAnneeMois'!$Q$2:$Q$1154,'Entetes_CplteAnneeMois'!$V$2:$V$1154,B16)</f>
        <v/>
      </c>
    </row>
    <row r="17">
      <c r="A17" s="6" t="n">
        <v>2024</v>
      </c>
      <c r="B17" s="5" t="inlineStr">
        <is>
          <t>2024-04</t>
        </is>
      </c>
      <c r="C17" s="5">
        <f>SUMIFS('Entetes_CplteAnneeMois'!$O$2:$O$1154,'Entetes_CplteAnneeMois'!$V$2:$V$1154,B17)</f>
        <v/>
      </c>
      <c r="D17" s="5">
        <f>SUMIFS('Entetes_CplteAnneeMois'!$P$2:$P$1154,'Entetes_CplteAnneeMois'!$V$2:$V$1154,B17)</f>
        <v/>
      </c>
      <c r="E17" s="5">
        <f>SUMIFS('Entetes_CplteAnneeMois'!$R$2:$R$1154,'Entetes_CplteAnneeMois'!$V$2:$V$1154,B17)</f>
        <v/>
      </c>
      <c r="F17" s="5">
        <f>SUMIFS('Entetes_CplteAnneeMois'!$Q$2:$Q$1154,'Entetes_CplteAnneeMois'!$V$2:$V$1154,B17)</f>
        <v/>
      </c>
    </row>
    <row r="18">
      <c r="A18" s="6" t="n">
        <v>2024</v>
      </c>
      <c r="B18" s="5" t="inlineStr">
        <is>
          <t>2024-05</t>
        </is>
      </c>
      <c r="C18" s="5">
        <f>SUMIFS('Entetes_CplteAnneeMois'!$O$2:$O$1154,'Entetes_CplteAnneeMois'!$V$2:$V$1154,B18)</f>
        <v/>
      </c>
      <c r="D18" s="5">
        <f>SUMIFS('Entetes_CplteAnneeMois'!$P$2:$P$1154,'Entetes_CplteAnneeMois'!$V$2:$V$1154,B18)</f>
        <v/>
      </c>
      <c r="E18" s="5">
        <f>SUMIFS('Entetes_CplteAnneeMois'!$R$2:$R$1154,'Entetes_CplteAnneeMois'!$V$2:$V$1154,B18)</f>
        <v/>
      </c>
      <c r="F18" s="5">
        <f>SUMIFS('Entetes_CplteAnneeMois'!$Q$2:$Q$1154,'Entetes_CplteAnneeMois'!$V$2:$V$1154,B18)</f>
        <v/>
      </c>
    </row>
    <row r="19">
      <c r="A19" s="6" t="n">
        <v>2024</v>
      </c>
      <c r="B19" s="5" t="inlineStr">
        <is>
          <t>2024-06</t>
        </is>
      </c>
      <c r="C19" s="5">
        <f>SUMIFS('Entetes_CplteAnneeMois'!$O$2:$O$1154,'Entetes_CplteAnneeMois'!$V$2:$V$1154,B19)</f>
        <v/>
      </c>
      <c r="D19" s="5">
        <f>SUMIFS('Entetes_CplteAnneeMois'!$P$2:$P$1154,'Entetes_CplteAnneeMois'!$V$2:$V$1154,B19)</f>
        <v/>
      </c>
      <c r="E19" s="5">
        <f>SUMIFS('Entetes_CplteAnneeMois'!$R$2:$R$1154,'Entetes_CplteAnneeMois'!$V$2:$V$1154,B19)</f>
        <v/>
      </c>
      <c r="F19" s="5">
        <f>SUMIFS('Entetes_CplteAnneeMois'!$Q$2:$Q$1154,'Entetes_CplteAnneeMois'!$V$2:$V$1154,B19)</f>
        <v/>
      </c>
    </row>
    <row r="20">
      <c r="A20" s="6" t="n">
        <v>2024</v>
      </c>
      <c r="B20" s="5" t="inlineStr">
        <is>
          <t>2024-07</t>
        </is>
      </c>
      <c r="C20" s="5">
        <f>SUMIFS('Entetes_CplteAnneeMois'!$O$2:$O$1154,'Entetes_CplteAnneeMois'!$V$2:$V$1154,B20)</f>
        <v/>
      </c>
      <c r="D20" s="5">
        <f>SUMIFS('Entetes_CplteAnneeMois'!$P$2:$P$1154,'Entetes_CplteAnneeMois'!$V$2:$V$1154,B20)</f>
        <v/>
      </c>
      <c r="E20" s="5">
        <f>SUMIFS('Entetes_CplteAnneeMois'!$R$2:$R$1154,'Entetes_CplteAnneeMois'!$V$2:$V$1154,B20)</f>
        <v/>
      </c>
      <c r="F20" s="5">
        <f>SUMIFS('Entetes_CplteAnneeMois'!$Q$2:$Q$1154,'Entetes_CplteAnneeMois'!$V$2:$V$1154,B20)</f>
        <v/>
      </c>
    </row>
    <row r="21">
      <c r="A21" s="6" t="n">
        <v>2024</v>
      </c>
      <c r="B21" s="5" t="inlineStr">
        <is>
          <t>2024-08</t>
        </is>
      </c>
      <c r="C21" s="5">
        <f>SUMIFS('Entetes_CplteAnneeMois'!$O$2:$O$1154,'Entetes_CplteAnneeMois'!$V$2:$V$1154,B21)</f>
        <v/>
      </c>
      <c r="D21" s="5">
        <f>SUMIFS('Entetes_CplteAnneeMois'!$P$2:$P$1154,'Entetes_CplteAnneeMois'!$V$2:$V$1154,B21)</f>
        <v/>
      </c>
      <c r="E21" s="5">
        <f>SUMIFS('Entetes_CplteAnneeMois'!$R$2:$R$1154,'Entetes_CplteAnneeMois'!$V$2:$V$1154,B21)</f>
        <v/>
      </c>
      <c r="F21" s="5">
        <f>SUMIFS('Entetes_CplteAnneeMois'!$Q$2:$Q$1154,'Entetes_CplteAnneeMois'!$V$2:$V$1154,B21)</f>
        <v/>
      </c>
    </row>
    <row r="22">
      <c r="A22" s="6" t="n">
        <v>2024</v>
      </c>
      <c r="B22" s="5" t="inlineStr">
        <is>
          <t>2024-09</t>
        </is>
      </c>
      <c r="C22" s="5">
        <f>SUMIFS('Entetes_CplteAnneeMois'!$O$2:$O$1154,'Entetes_CplteAnneeMois'!$V$2:$V$1154,B22)</f>
        <v/>
      </c>
      <c r="D22" s="5">
        <f>SUMIFS('Entetes_CplteAnneeMois'!$P$2:$P$1154,'Entetes_CplteAnneeMois'!$V$2:$V$1154,B22)</f>
        <v/>
      </c>
      <c r="E22" s="5">
        <f>SUMIFS('Entetes_CplteAnneeMois'!$R$2:$R$1154,'Entetes_CplteAnneeMois'!$V$2:$V$1154,B22)</f>
        <v/>
      </c>
      <c r="F22" s="5">
        <f>SUMIFS('Entetes_CplteAnneeMois'!$Q$2:$Q$1154,'Entetes_CplteAnneeMois'!$V$2:$V$1154,B22)</f>
        <v/>
      </c>
    </row>
    <row r="23">
      <c r="A23" s="6" t="n">
        <v>2024</v>
      </c>
      <c r="B23" s="5" t="inlineStr">
        <is>
          <t>2024-10</t>
        </is>
      </c>
      <c r="C23" s="5">
        <f>SUMIFS('Entetes_CplteAnneeMois'!$O$2:$O$1154,'Entetes_CplteAnneeMois'!$V$2:$V$1154,B23)</f>
        <v/>
      </c>
      <c r="D23" s="5">
        <f>SUMIFS('Entetes_CplteAnneeMois'!$P$2:$P$1154,'Entetes_CplteAnneeMois'!$V$2:$V$1154,B23)</f>
        <v/>
      </c>
      <c r="E23" s="5">
        <f>SUMIFS('Entetes_CplteAnneeMois'!$R$2:$R$1154,'Entetes_CplteAnneeMois'!$V$2:$V$1154,B23)</f>
        <v/>
      </c>
      <c r="F23" s="5">
        <f>SUMIFS('Entetes_CplteAnneeMois'!$Q$2:$Q$1154,'Entetes_CplteAnneeMois'!$V$2:$V$1154,B23)</f>
        <v/>
      </c>
    </row>
    <row r="24">
      <c r="A24" s="6" t="n">
        <v>2024</v>
      </c>
      <c r="B24" s="5" t="inlineStr">
        <is>
          <t>2024-11</t>
        </is>
      </c>
      <c r="C24" s="5">
        <f>SUMIFS('Entetes_CplteAnneeMois'!$O$2:$O$1154,'Entetes_CplteAnneeMois'!$V$2:$V$1154,B24)</f>
        <v/>
      </c>
      <c r="D24" s="5">
        <f>SUMIFS('Entetes_CplteAnneeMois'!$P$2:$P$1154,'Entetes_CplteAnneeMois'!$V$2:$V$1154,B24)</f>
        <v/>
      </c>
      <c r="E24" s="5">
        <f>SUMIFS('Entetes_CplteAnneeMois'!$R$2:$R$1154,'Entetes_CplteAnneeMois'!$V$2:$V$1154,B24)</f>
        <v/>
      </c>
      <c r="F24" s="5">
        <f>SUMIFS('Entetes_CplteAnneeMois'!$Q$2:$Q$1154,'Entetes_CplteAnneeMois'!$V$2:$V$1154,B24)</f>
        <v/>
      </c>
    </row>
    <row r="25">
      <c r="A25" s="6" t="n">
        <v>2024</v>
      </c>
      <c r="B25" s="5" t="inlineStr">
        <is>
          <t>2024-12</t>
        </is>
      </c>
      <c r="C25" s="5">
        <f>SUMIFS('Entetes_CplteAnneeMois'!$O$2:$O$1154,'Entetes_CplteAnneeMois'!$V$2:$V$1154,B25)</f>
        <v/>
      </c>
      <c r="D25" s="5">
        <f>SUMIFS('Entetes_CplteAnneeMois'!$P$2:$P$1154,'Entetes_CplteAnneeMois'!$V$2:$V$1154,B25)</f>
        <v/>
      </c>
      <c r="E25" s="5">
        <f>SUMIFS('Entetes_CplteAnneeMois'!$R$2:$R$1154,'Entetes_CplteAnneeMois'!$V$2:$V$1154,B25)</f>
        <v/>
      </c>
      <c r="F25" s="5">
        <f>SUMIFS('Entetes_CplteAnneeMois'!$Q$2:$Q$1154,'Entetes_CplteAnneeMois'!$V$2:$V$1154,B25)</f>
        <v/>
      </c>
    </row>
    <row r="26">
      <c r="A26" s="6" t="n">
        <v>2025</v>
      </c>
      <c r="B26" s="5" t="inlineStr">
        <is>
          <t>2025-01</t>
        </is>
      </c>
      <c r="C26" s="5">
        <f>SUMIFS('Entetes_CplteAnneeMois'!$O$2:$O$1154,'Entetes_CplteAnneeMois'!$V$2:$V$1154,B26)</f>
        <v/>
      </c>
      <c r="D26" s="5">
        <f>SUMIFS('Entetes_CplteAnneeMois'!$P$2:$P$1154,'Entetes_CplteAnneeMois'!$V$2:$V$1154,B26)</f>
        <v/>
      </c>
      <c r="E26" s="5">
        <f>SUMIFS('Entetes_CplteAnneeMois'!$R$2:$R$1154,'Entetes_CplteAnneeMois'!$V$2:$V$1154,B26)</f>
        <v/>
      </c>
      <c r="F26" s="5">
        <f>SUMIFS('Entetes_CplteAnneeMois'!$Q$2:$Q$1154,'Entetes_CplteAnneeMois'!$V$2:$V$1154,B26)</f>
        <v/>
      </c>
    </row>
    <row r="27">
      <c r="A27" s="6" t="n">
        <v>2025</v>
      </c>
      <c r="B27" s="5" t="inlineStr">
        <is>
          <t>2025-02</t>
        </is>
      </c>
      <c r="C27" s="5">
        <f>SUMIFS('Entetes_CplteAnneeMois'!$O$2:$O$1154,'Entetes_CplteAnneeMois'!$V$2:$V$1154,B27)</f>
        <v/>
      </c>
      <c r="D27" s="5">
        <f>SUMIFS('Entetes_CplteAnneeMois'!$P$2:$P$1154,'Entetes_CplteAnneeMois'!$V$2:$V$1154,B27)</f>
        <v/>
      </c>
      <c r="E27" s="5">
        <f>SUMIFS('Entetes_CplteAnneeMois'!$R$2:$R$1154,'Entetes_CplteAnneeMois'!$V$2:$V$1154,B27)</f>
        <v/>
      </c>
      <c r="F27" s="5">
        <f>SUMIFS('Entetes_CplteAnneeMois'!$Q$2:$Q$1154,'Entetes_CplteAnneeMois'!$V$2:$V$1154,B27)</f>
        <v/>
      </c>
    </row>
    <row r="28">
      <c r="A28" s="6" t="n">
        <v>2025</v>
      </c>
      <c r="B28" s="5" t="inlineStr">
        <is>
          <t>2025-03</t>
        </is>
      </c>
      <c r="C28" s="5">
        <f>SUMIFS('Entetes_CplteAnneeMois'!$O$2:$O$1154,'Entetes_CplteAnneeMois'!$V$2:$V$1154,B28)</f>
        <v/>
      </c>
      <c r="D28" s="5">
        <f>SUMIFS('Entetes_CplteAnneeMois'!$P$2:$P$1154,'Entetes_CplteAnneeMois'!$V$2:$V$1154,B28)</f>
        <v/>
      </c>
      <c r="E28" s="5">
        <f>SUMIFS('Entetes_CplteAnneeMois'!$R$2:$R$1154,'Entetes_CplteAnneeMois'!$V$2:$V$1154,B28)</f>
        <v/>
      </c>
      <c r="F28" s="5">
        <f>SUMIFS('Entetes_CplteAnneeMois'!$Q$2:$Q$1154,'Entetes_CplteAnneeMois'!$V$2:$V$1154,B28)</f>
        <v/>
      </c>
    </row>
    <row r="29">
      <c r="A29" s="6" t="n">
        <v>2025</v>
      </c>
      <c r="B29" s="5" t="inlineStr">
        <is>
          <t>2025-04</t>
        </is>
      </c>
      <c r="C29" s="5">
        <f>SUMIFS('Entetes_CplteAnneeMois'!$O$2:$O$1154,'Entetes_CplteAnneeMois'!$V$2:$V$1154,B29)</f>
        <v/>
      </c>
      <c r="D29" s="5">
        <f>SUMIFS('Entetes_CplteAnneeMois'!$P$2:$P$1154,'Entetes_CplteAnneeMois'!$V$2:$V$1154,B29)</f>
        <v/>
      </c>
      <c r="E29" s="5">
        <f>SUMIFS('Entetes_CplteAnneeMois'!$R$2:$R$1154,'Entetes_CplteAnneeMois'!$V$2:$V$1154,B29)</f>
        <v/>
      </c>
      <c r="F29" s="5">
        <f>SUMIFS('Entetes_CplteAnneeMois'!$Q$2:$Q$1154,'Entetes_CplteAnneeMois'!$V$2:$V$1154,B29)</f>
        <v/>
      </c>
    </row>
    <row r="30">
      <c r="A30" s="6" t="n">
        <v>2025</v>
      </c>
      <c r="B30" s="5" t="inlineStr">
        <is>
          <t>2025-05</t>
        </is>
      </c>
      <c r="C30" s="5">
        <f>SUMIFS('Entetes_CplteAnneeMois'!$O$2:$O$1154,'Entetes_CplteAnneeMois'!$V$2:$V$1154,B30)</f>
        <v/>
      </c>
      <c r="D30" s="5">
        <f>SUMIFS('Entetes_CplteAnneeMois'!$P$2:$P$1154,'Entetes_CplteAnneeMois'!$V$2:$V$1154,B30)</f>
        <v/>
      </c>
      <c r="E30" s="5">
        <f>SUMIFS('Entetes_CplteAnneeMois'!$R$2:$R$1154,'Entetes_CplteAnneeMois'!$V$2:$V$1154,B30)</f>
        <v/>
      </c>
      <c r="F30" s="5">
        <f>SUMIFS('Entetes_CplteAnneeMois'!$Q$2:$Q$1154,'Entetes_CplteAnneeMois'!$V$2:$V$1154,B30)</f>
        <v/>
      </c>
    </row>
    <row r="31">
      <c r="A31" s="6" t="n">
        <v>2025</v>
      </c>
      <c r="B31" s="5" t="inlineStr">
        <is>
          <t>2025-06</t>
        </is>
      </c>
      <c r="C31" s="5">
        <f>SUMIFS('Entetes_CplteAnneeMois'!$O$2:$O$1154,'Entetes_CplteAnneeMois'!$V$2:$V$1154,B31)</f>
        <v/>
      </c>
      <c r="D31" s="5">
        <f>SUMIFS('Entetes_CplteAnneeMois'!$P$2:$P$1154,'Entetes_CplteAnneeMois'!$V$2:$V$1154,B31)</f>
        <v/>
      </c>
      <c r="E31" s="5">
        <f>SUMIFS('Entetes_CplteAnneeMois'!$R$2:$R$1154,'Entetes_CplteAnneeMois'!$V$2:$V$1154,B31)</f>
        <v/>
      </c>
      <c r="F31" s="5">
        <f>SUMIFS('Entetes_CplteAnneeMois'!$Q$2:$Q$1154,'Entetes_CplteAnneeMois'!$V$2:$V$1154,B31)</f>
        <v/>
      </c>
    </row>
    <row r="32">
      <c r="A32" s="6" t="n">
        <v>2025</v>
      </c>
      <c r="B32" s="5" t="inlineStr">
        <is>
          <t>2025-07</t>
        </is>
      </c>
      <c r="C32" s="5">
        <f>SUMIFS('Entetes_CplteAnneeMois'!$O$2:$O$1154,'Entetes_CplteAnneeMois'!$V$2:$V$1154,B32)</f>
        <v/>
      </c>
      <c r="D32" s="5">
        <f>SUMIFS('Entetes_CplteAnneeMois'!$P$2:$P$1154,'Entetes_CplteAnneeMois'!$V$2:$V$1154,B32)</f>
        <v/>
      </c>
      <c r="E32" s="5">
        <f>SUMIFS('Entetes_CplteAnneeMois'!$R$2:$R$1154,'Entetes_CplteAnneeMois'!$V$2:$V$1154,B32)</f>
        <v/>
      </c>
      <c r="F32" s="5">
        <f>SUMIFS('Entetes_CplteAnneeMois'!$Q$2:$Q$1154,'Entetes_CplteAnneeMois'!$V$2:$V$1154,B32)</f>
        <v/>
      </c>
    </row>
    <row r="33">
      <c r="A33" s="6" t="n">
        <v>2025</v>
      </c>
      <c r="B33" s="5" t="inlineStr">
        <is>
          <t>2025-08</t>
        </is>
      </c>
      <c r="C33" s="5">
        <f>SUMIFS('Entetes_CplteAnneeMois'!$O$2:$O$1154,'Entetes_CplteAnneeMois'!$V$2:$V$1154,B33)</f>
        <v/>
      </c>
      <c r="D33" s="5">
        <f>SUMIFS('Entetes_CplteAnneeMois'!$P$2:$P$1154,'Entetes_CplteAnneeMois'!$V$2:$V$1154,B33)</f>
        <v/>
      </c>
      <c r="E33" s="5">
        <f>SUMIFS('Entetes_CplteAnneeMois'!$R$2:$R$1154,'Entetes_CplteAnneeMois'!$V$2:$V$1154,B33)</f>
        <v/>
      </c>
      <c r="F33" s="5">
        <f>SUMIFS('Entetes_CplteAnneeMois'!$Q$2:$Q$1154,'Entetes_CplteAnneeMois'!$V$2:$V$1154,B33)</f>
        <v/>
      </c>
    </row>
  </sheetData>
  <autoFilter ref="A1:F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SOMME_E_TTC</t>
        </is>
      </c>
      <c r="D1" s="1" t="inlineStr">
        <is>
          <t>SOMME_E_MDP_CB</t>
        </is>
      </c>
      <c r="E1" s="1" t="inlineStr">
        <is>
          <t>SOMME_E_MDP_CHEQUES</t>
        </is>
      </c>
      <c r="F1" s="1" t="inlineStr">
        <is>
          <t>SOMME_E_MDP_ESPECES</t>
        </is>
      </c>
    </row>
    <row r="2">
      <c r="A2" s="6">
        <f>'TD_TotalEnctTTC'!A2</f>
        <v/>
      </c>
      <c r="B2" s="5">
        <f>'TD_TotalEnctTTC'!B2</f>
        <v/>
      </c>
      <c r="C2" s="5">
        <f>'TD_TotalEnctTTC'!C2</f>
        <v/>
      </c>
      <c r="D2" s="5">
        <f>'TD_TotalEnctTTC'!D2</f>
        <v/>
      </c>
      <c r="E2" s="5">
        <f>'TD_TotalEnctTTC'!E2</f>
        <v/>
      </c>
      <c r="F2" s="5">
        <f>'TD_TotalEnctTTC'!F2</f>
        <v/>
      </c>
    </row>
    <row r="3">
      <c r="A3" s="6">
        <f>'TD_TotalEnctTTC'!A3</f>
        <v/>
      </c>
      <c r="B3" s="5">
        <f>'TD_TotalEnctTTC'!B3</f>
        <v/>
      </c>
      <c r="C3" s="5">
        <f>'TD_TotalEnctTTC'!C3</f>
        <v/>
      </c>
      <c r="D3" s="5">
        <f>'TD_TotalEnctTTC'!D3</f>
        <v/>
      </c>
      <c r="E3" s="5">
        <f>'TD_TotalEnctTTC'!E3</f>
        <v/>
      </c>
      <c r="F3" s="5">
        <f>'TD_TotalEnctTTC'!F3</f>
        <v/>
      </c>
    </row>
    <row r="4">
      <c r="A4" s="6">
        <f>'TD_TotalEnctTTC'!A4</f>
        <v/>
      </c>
      <c r="B4" s="5">
        <f>'TD_TotalEnctTTC'!B4</f>
        <v/>
      </c>
      <c r="C4" s="5">
        <f>'TD_TotalEnctTTC'!C4</f>
        <v/>
      </c>
      <c r="D4" s="5">
        <f>'TD_TotalEnctTTC'!D4</f>
        <v/>
      </c>
      <c r="E4" s="5">
        <f>'TD_TotalEnctTTC'!E4</f>
        <v/>
      </c>
      <c r="F4" s="5">
        <f>'TD_TotalEnctTTC'!F4</f>
        <v/>
      </c>
    </row>
    <row r="5">
      <c r="A5" s="6">
        <f>'TD_TotalEnctTTC'!A5</f>
        <v/>
      </c>
      <c r="B5" s="5">
        <f>'TD_TotalEnctTTC'!B5</f>
        <v/>
      </c>
      <c r="C5" s="5">
        <f>'TD_TotalEnctTTC'!C5</f>
        <v/>
      </c>
      <c r="D5" s="5">
        <f>'TD_TotalEnctTTC'!D5</f>
        <v/>
      </c>
      <c r="E5" s="5">
        <f>'TD_TotalEnctTTC'!E5</f>
        <v/>
      </c>
      <c r="F5" s="5">
        <f>'TD_TotalEnctTTC'!F5</f>
        <v/>
      </c>
    </row>
    <row r="6">
      <c r="A6" s="6">
        <f>'TD_TotalEnctTTC'!A6</f>
        <v/>
      </c>
      <c r="B6" s="5">
        <f>'TD_TotalEnctTTC'!B6</f>
        <v/>
      </c>
      <c r="C6" s="5">
        <f>'TD_TotalEnctTTC'!C6</f>
        <v/>
      </c>
      <c r="D6" s="5">
        <f>'TD_TotalEnctTTC'!D6</f>
        <v/>
      </c>
      <c r="E6" s="5">
        <f>'TD_TotalEnctTTC'!E6</f>
        <v/>
      </c>
      <c r="F6" s="5">
        <f>'TD_TotalEnctTTC'!F6</f>
        <v/>
      </c>
    </row>
    <row r="7">
      <c r="A7" s="6">
        <f>'TD_TotalEnctTTC'!A7</f>
        <v/>
      </c>
      <c r="B7" s="5">
        <f>'TD_TotalEnctTTC'!B7</f>
        <v/>
      </c>
      <c r="C7" s="5">
        <f>'TD_TotalEnctTTC'!C7</f>
        <v/>
      </c>
      <c r="D7" s="5">
        <f>'TD_TotalEnctTTC'!D7</f>
        <v/>
      </c>
      <c r="E7" s="5">
        <f>'TD_TotalEnctTTC'!E7</f>
        <v/>
      </c>
      <c r="F7" s="5">
        <f>'TD_TotalEnctTTC'!F7</f>
        <v/>
      </c>
    </row>
    <row r="8">
      <c r="A8" s="6">
        <f>'TD_TotalEnctTTC'!A8</f>
        <v/>
      </c>
      <c r="B8" s="5">
        <f>'TD_TotalEnctTTC'!B8</f>
        <v/>
      </c>
      <c r="C8" s="5">
        <f>'TD_TotalEnctTTC'!C8</f>
        <v/>
      </c>
      <c r="D8" s="5">
        <f>'TD_TotalEnctTTC'!D8</f>
        <v/>
      </c>
      <c r="E8" s="5">
        <f>'TD_TotalEnctTTC'!E8</f>
        <v/>
      </c>
      <c r="F8" s="5">
        <f>'TD_TotalEnctTTC'!F8</f>
        <v/>
      </c>
    </row>
    <row r="9">
      <c r="A9" s="6">
        <f>'TD_TotalEnctTTC'!A9</f>
        <v/>
      </c>
      <c r="B9" s="5">
        <f>'TD_TotalEnctTTC'!B9</f>
        <v/>
      </c>
      <c r="C9" s="5">
        <f>'TD_TotalEnctTTC'!C9</f>
        <v/>
      </c>
      <c r="D9" s="5">
        <f>'TD_TotalEnctTTC'!D9</f>
        <v/>
      </c>
      <c r="E9" s="5">
        <f>'TD_TotalEnctTTC'!E9</f>
        <v/>
      </c>
      <c r="F9" s="5">
        <f>'TD_TotalEnctTTC'!F9</f>
        <v/>
      </c>
    </row>
    <row r="10">
      <c r="A10" s="6">
        <f>'TD_TotalEnctTTC'!A10</f>
        <v/>
      </c>
      <c r="B10" s="5">
        <f>'TD_TotalEnctTTC'!B10</f>
        <v/>
      </c>
      <c r="C10" s="5">
        <f>'TD_TotalEnctTTC'!C10</f>
        <v/>
      </c>
      <c r="D10" s="5">
        <f>'TD_TotalEnctTTC'!D10</f>
        <v/>
      </c>
      <c r="E10" s="5">
        <f>'TD_TotalEnctTTC'!E10</f>
        <v/>
      </c>
      <c r="F10" s="5">
        <f>'TD_TotalEnctTTC'!F10</f>
        <v/>
      </c>
    </row>
    <row r="11">
      <c r="A11" s="6">
        <f>'TD_TotalEnctTTC'!A11</f>
        <v/>
      </c>
      <c r="B11" s="5">
        <f>'TD_TotalEnctTTC'!B11</f>
        <v/>
      </c>
      <c r="C11" s="5">
        <f>'TD_TotalEnctTTC'!C11</f>
        <v/>
      </c>
      <c r="D11" s="5">
        <f>'TD_TotalEnctTTC'!D11</f>
        <v/>
      </c>
      <c r="E11" s="5">
        <f>'TD_TotalEnctTTC'!E11</f>
        <v/>
      </c>
      <c r="F11" s="5">
        <f>'TD_TotalEnctTTC'!F11</f>
        <v/>
      </c>
    </row>
    <row r="12">
      <c r="A12" s="6">
        <f>'TD_TotalEnctTTC'!A12</f>
        <v/>
      </c>
      <c r="B12" s="5">
        <f>'TD_TotalEnctTTC'!B12</f>
        <v/>
      </c>
      <c r="C12" s="5">
        <f>'TD_TotalEnctTTC'!C12</f>
        <v/>
      </c>
      <c r="D12" s="5">
        <f>'TD_TotalEnctTTC'!D12</f>
        <v/>
      </c>
      <c r="E12" s="5">
        <f>'TD_TotalEnctTTC'!E12</f>
        <v/>
      </c>
      <c r="F12" s="5">
        <f>'TD_TotalEnctTTC'!F12</f>
        <v/>
      </c>
    </row>
    <row r="13">
      <c r="A13" s="6">
        <f>'TD_TotalEnctTTC'!A13</f>
        <v/>
      </c>
      <c r="B13" s="5">
        <f>'TD_TotalEnctTTC'!B13</f>
        <v/>
      </c>
      <c r="C13" s="5">
        <f>'TD_TotalEnctTTC'!C13</f>
        <v/>
      </c>
      <c r="D13" s="5">
        <f>'TD_TotalEnctTTC'!D13</f>
        <v/>
      </c>
      <c r="E13" s="5">
        <f>'TD_TotalEnctTTC'!E13</f>
        <v/>
      </c>
      <c r="F13" s="5">
        <f>'TD_TotalEnctTTC'!F13</f>
        <v/>
      </c>
    </row>
    <row r="14">
      <c r="A14" s="6">
        <f>'TD_TotalEnctTTC'!A14</f>
        <v/>
      </c>
      <c r="B14" s="5">
        <f>'TD_TotalEnctTTC'!B14</f>
        <v/>
      </c>
      <c r="C14" s="5">
        <f>'TD_TotalEnctTTC'!C14</f>
        <v/>
      </c>
      <c r="D14" s="5">
        <f>'TD_TotalEnctTTC'!D14</f>
        <v/>
      </c>
      <c r="E14" s="5">
        <f>'TD_TotalEnctTTC'!E14</f>
        <v/>
      </c>
      <c r="F14" s="5">
        <f>'TD_TotalEnctTTC'!F14</f>
        <v/>
      </c>
    </row>
    <row r="15">
      <c r="A15" s="6">
        <f>'TD_TotalEnctTTC'!A15</f>
        <v/>
      </c>
      <c r="B15" s="5">
        <f>'TD_TotalEnctTTC'!B15</f>
        <v/>
      </c>
      <c r="C15" s="5">
        <f>'TD_TotalEnctTTC'!C15</f>
        <v/>
      </c>
      <c r="D15" s="5">
        <f>'TD_TotalEnctTTC'!D15</f>
        <v/>
      </c>
      <c r="E15" s="5">
        <f>'TD_TotalEnctTTC'!E15</f>
        <v/>
      </c>
      <c r="F15" s="5">
        <f>'TD_TotalEnctTTC'!F15</f>
        <v/>
      </c>
    </row>
    <row r="16">
      <c r="A16" s="6">
        <f>'TD_TotalEnctTTC'!A16</f>
        <v/>
      </c>
      <c r="B16" s="5">
        <f>'TD_TotalEnctTTC'!B16</f>
        <v/>
      </c>
      <c r="C16" s="5">
        <f>'TD_TotalEnctTTC'!C16</f>
        <v/>
      </c>
      <c r="D16" s="5">
        <f>'TD_TotalEnctTTC'!D16</f>
        <v/>
      </c>
      <c r="E16" s="5">
        <f>'TD_TotalEnctTTC'!E16</f>
        <v/>
      </c>
      <c r="F16" s="5">
        <f>'TD_TotalEnctTTC'!F16</f>
        <v/>
      </c>
    </row>
    <row r="17">
      <c r="A17" s="6">
        <f>'TD_TotalEnctTTC'!A17</f>
        <v/>
      </c>
      <c r="B17" s="5">
        <f>'TD_TotalEnctTTC'!B17</f>
        <v/>
      </c>
      <c r="C17" s="5">
        <f>'TD_TotalEnctTTC'!C17</f>
        <v/>
      </c>
      <c r="D17" s="5">
        <f>'TD_TotalEnctTTC'!D17</f>
        <v/>
      </c>
      <c r="E17" s="5">
        <f>'TD_TotalEnctTTC'!E17</f>
        <v/>
      </c>
      <c r="F17" s="5">
        <f>'TD_TotalEnctTTC'!F17</f>
        <v/>
      </c>
    </row>
    <row r="18">
      <c r="A18" s="6">
        <f>'TD_TotalEnctTTC'!A18</f>
        <v/>
      </c>
      <c r="B18" s="5">
        <f>'TD_TotalEnctTTC'!B18</f>
        <v/>
      </c>
      <c r="C18" s="5">
        <f>'TD_TotalEnctTTC'!C18</f>
        <v/>
      </c>
      <c r="D18" s="5">
        <f>'TD_TotalEnctTTC'!D18</f>
        <v/>
      </c>
      <c r="E18" s="5">
        <f>'TD_TotalEnctTTC'!E18</f>
        <v/>
      </c>
      <c r="F18" s="5">
        <f>'TD_TotalEnctTTC'!F18</f>
        <v/>
      </c>
    </row>
    <row r="19">
      <c r="A19" s="6">
        <f>'TD_TotalEnctTTC'!A19</f>
        <v/>
      </c>
      <c r="B19" s="5">
        <f>'TD_TotalEnctTTC'!B19</f>
        <v/>
      </c>
      <c r="C19" s="5">
        <f>'TD_TotalEnctTTC'!C19</f>
        <v/>
      </c>
      <c r="D19" s="5">
        <f>'TD_TotalEnctTTC'!D19</f>
        <v/>
      </c>
      <c r="E19" s="5">
        <f>'TD_TotalEnctTTC'!E19</f>
        <v/>
      </c>
      <c r="F19" s="5">
        <f>'TD_TotalEnctTTC'!F19</f>
        <v/>
      </c>
    </row>
    <row r="20">
      <c r="A20" s="6">
        <f>'TD_TotalEnctTTC'!A20</f>
        <v/>
      </c>
      <c r="B20" s="5">
        <f>'TD_TotalEnctTTC'!B20</f>
        <v/>
      </c>
      <c r="C20" s="5">
        <f>'TD_TotalEnctTTC'!C20</f>
        <v/>
      </c>
      <c r="D20" s="5">
        <f>'TD_TotalEnctTTC'!D20</f>
        <v/>
      </c>
      <c r="E20" s="5">
        <f>'TD_TotalEnctTTC'!E20</f>
        <v/>
      </c>
      <c r="F20" s="5">
        <f>'TD_TotalEnctTTC'!F20</f>
        <v/>
      </c>
    </row>
    <row r="21">
      <c r="A21" s="6">
        <f>'TD_TotalEnctTTC'!A21</f>
        <v/>
      </c>
      <c r="B21" s="5">
        <f>'TD_TotalEnctTTC'!B21</f>
        <v/>
      </c>
      <c r="C21" s="5">
        <f>'TD_TotalEnctTTC'!C21</f>
        <v/>
      </c>
      <c r="D21" s="5">
        <f>'TD_TotalEnctTTC'!D21</f>
        <v/>
      </c>
      <c r="E21" s="5">
        <f>'TD_TotalEnctTTC'!E21</f>
        <v/>
      </c>
      <c r="F21" s="5">
        <f>'TD_TotalEnctTTC'!F21</f>
        <v/>
      </c>
    </row>
    <row r="22">
      <c r="A22" s="6">
        <f>'TD_TotalEnctTTC'!A22</f>
        <v/>
      </c>
      <c r="B22" s="5">
        <f>'TD_TotalEnctTTC'!B22</f>
        <v/>
      </c>
      <c r="C22" s="5">
        <f>'TD_TotalEnctTTC'!C22</f>
        <v/>
      </c>
      <c r="D22" s="5">
        <f>'TD_TotalEnctTTC'!D22</f>
        <v/>
      </c>
      <c r="E22" s="5">
        <f>'TD_TotalEnctTTC'!E22</f>
        <v/>
      </c>
      <c r="F22" s="5">
        <f>'TD_TotalEnctTTC'!F22</f>
        <v/>
      </c>
    </row>
    <row r="23">
      <c r="A23" s="6">
        <f>'TD_TotalEnctTTC'!A23</f>
        <v/>
      </c>
      <c r="B23" s="5">
        <f>'TD_TotalEnctTTC'!B23</f>
        <v/>
      </c>
      <c r="C23" s="5">
        <f>'TD_TotalEnctTTC'!C23</f>
        <v/>
      </c>
      <c r="D23" s="5">
        <f>'TD_TotalEnctTTC'!D23</f>
        <v/>
      </c>
      <c r="E23" s="5">
        <f>'TD_TotalEnctTTC'!E23</f>
        <v/>
      </c>
      <c r="F23" s="5">
        <f>'TD_TotalEnctTTC'!F23</f>
        <v/>
      </c>
    </row>
    <row r="24">
      <c r="A24" s="6">
        <f>'TD_TotalEnctTTC'!A24</f>
        <v/>
      </c>
      <c r="B24" s="5">
        <f>'TD_TotalEnctTTC'!B24</f>
        <v/>
      </c>
      <c r="C24" s="5">
        <f>'TD_TotalEnctTTC'!C24</f>
        <v/>
      </c>
      <c r="D24" s="5">
        <f>'TD_TotalEnctTTC'!D24</f>
        <v/>
      </c>
      <c r="E24" s="5">
        <f>'TD_TotalEnctTTC'!E24</f>
        <v/>
      </c>
      <c r="F24" s="5">
        <f>'TD_TotalEnctTTC'!F24</f>
        <v/>
      </c>
    </row>
    <row r="25">
      <c r="A25" s="6">
        <f>'TD_TotalEnctTTC'!A25</f>
        <v/>
      </c>
      <c r="B25" s="5">
        <f>'TD_TotalEnctTTC'!B25</f>
        <v/>
      </c>
      <c r="C25" s="5">
        <f>'TD_TotalEnctTTC'!C25</f>
        <v/>
      </c>
      <c r="D25" s="5">
        <f>'TD_TotalEnctTTC'!D25</f>
        <v/>
      </c>
      <c r="E25" s="5">
        <f>'TD_TotalEnctTTC'!E25</f>
        <v/>
      </c>
      <c r="F25" s="5">
        <f>'TD_TotalEnctTTC'!F25</f>
        <v/>
      </c>
    </row>
    <row r="26">
      <c r="A26" s="6">
        <f>'TD_TotalEnctTTC'!A26</f>
        <v/>
      </c>
      <c r="B26" s="5">
        <f>'TD_TotalEnctTTC'!B26</f>
        <v/>
      </c>
      <c r="C26" s="5">
        <f>'TD_TotalEnctTTC'!C26</f>
        <v/>
      </c>
      <c r="D26" s="5">
        <f>'TD_TotalEnctTTC'!D26</f>
        <v/>
      </c>
      <c r="E26" s="5">
        <f>'TD_TotalEnctTTC'!E26</f>
        <v/>
      </c>
      <c r="F26" s="5">
        <f>'TD_TotalEnctTTC'!F26</f>
        <v/>
      </c>
    </row>
    <row r="27">
      <c r="A27" s="6">
        <f>'TD_TotalEnctTTC'!A27</f>
        <v/>
      </c>
      <c r="B27" s="5">
        <f>'TD_TotalEnctTTC'!B27</f>
        <v/>
      </c>
      <c r="C27" s="5">
        <f>'TD_TotalEnctTTC'!C27</f>
        <v/>
      </c>
      <c r="D27" s="5">
        <f>'TD_TotalEnctTTC'!D27</f>
        <v/>
      </c>
      <c r="E27" s="5">
        <f>'TD_TotalEnctTTC'!E27</f>
        <v/>
      </c>
      <c r="F27" s="5">
        <f>'TD_TotalEnctTTC'!F27</f>
        <v/>
      </c>
    </row>
    <row r="28">
      <c r="A28" s="6">
        <f>'TD_TotalEnctTTC'!A28</f>
        <v/>
      </c>
      <c r="B28" s="5">
        <f>'TD_TotalEnctTTC'!B28</f>
        <v/>
      </c>
      <c r="C28" s="5">
        <f>'TD_TotalEnctTTC'!C28</f>
        <v/>
      </c>
      <c r="D28" s="5">
        <f>'TD_TotalEnctTTC'!D28</f>
        <v/>
      </c>
      <c r="E28" s="5">
        <f>'TD_TotalEnctTTC'!E28</f>
        <v/>
      </c>
      <c r="F28" s="5">
        <f>'TD_TotalEnctTTC'!F28</f>
        <v/>
      </c>
    </row>
    <row r="29">
      <c r="A29" s="6">
        <f>'TD_TotalEnctTTC'!A29</f>
        <v/>
      </c>
      <c r="B29" s="5">
        <f>'TD_TotalEnctTTC'!B29</f>
        <v/>
      </c>
      <c r="C29" s="5">
        <f>'TD_TotalEnctTTC'!C29</f>
        <v/>
      </c>
      <c r="D29" s="5">
        <f>'TD_TotalEnctTTC'!D29</f>
        <v/>
      </c>
      <c r="E29" s="5">
        <f>'TD_TotalEnctTTC'!E29</f>
        <v/>
      </c>
      <c r="F29" s="5">
        <f>'TD_TotalEnctTTC'!F29</f>
        <v/>
      </c>
    </row>
    <row r="30">
      <c r="A30" s="6">
        <f>'TD_TotalEnctTTC'!A30</f>
        <v/>
      </c>
      <c r="B30" s="5">
        <f>'TD_TotalEnctTTC'!B30</f>
        <v/>
      </c>
      <c r="C30" s="5">
        <f>'TD_TotalEnctTTC'!C30</f>
        <v/>
      </c>
      <c r="D30" s="5">
        <f>'TD_TotalEnctTTC'!D30</f>
        <v/>
      </c>
      <c r="E30" s="5">
        <f>'TD_TotalEnctTTC'!E30</f>
        <v/>
      </c>
      <c r="F30" s="5">
        <f>'TD_TotalEnctTTC'!F30</f>
        <v/>
      </c>
    </row>
    <row r="31">
      <c r="A31" s="6">
        <f>'TD_TotalEnctTTC'!A31</f>
        <v/>
      </c>
      <c r="B31" s="5">
        <f>'TD_TotalEnctTTC'!B31</f>
        <v/>
      </c>
      <c r="C31" s="5">
        <f>'TD_TotalEnctTTC'!C31</f>
        <v/>
      </c>
      <c r="D31" s="5">
        <f>'TD_TotalEnctTTC'!D31</f>
        <v/>
      </c>
      <c r="E31" s="5">
        <f>'TD_TotalEnctTTC'!E31</f>
        <v/>
      </c>
      <c r="F31" s="5">
        <f>'TD_TotalEnctTTC'!F31</f>
        <v/>
      </c>
    </row>
    <row r="32">
      <c r="A32" s="6">
        <f>'TD_TotalEnctTTC'!A32</f>
        <v/>
      </c>
      <c r="B32" s="5">
        <f>'TD_TotalEnctTTC'!B32</f>
        <v/>
      </c>
      <c r="C32" s="5">
        <f>'TD_TotalEnctTTC'!C32</f>
        <v/>
      </c>
      <c r="D32" s="5">
        <f>'TD_TotalEnctTTC'!D32</f>
        <v/>
      </c>
      <c r="E32" s="5">
        <f>'TD_TotalEnctTTC'!E32</f>
        <v/>
      </c>
      <c r="F32" s="5">
        <f>'TD_TotalEnctTTC'!F32</f>
        <v/>
      </c>
    </row>
    <row r="33">
      <c r="A33" s="6">
        <f>'TD_TotalEnctTTC'!A33</f>
        <v/>
      </c>
      <c r="B33" s="5">
        <f>'TD_TotalEnctTTC'!B33</f>
        <v/>
      </c>
      <c r="C33" s="5">
        <f>'TD_TotalEnctTTC'!C33</f>
        <v/>
      </c>
      <c r="D33" s="5">
        <f>'TD_TotalEnctTTC'!D33</f>
        <v/>
      </c>
      <c r="E33" s="5">
        <f>'TD_TotalEnctTTC'!E33</f>
        <v/>
      </c>
      <c r="F33" s="5">
        <f>'TD_TotalEnctTTC'!F33</f>
        <v/>
      </c>
    </row>
  </sheetData>
  <autoFilter ref="A1:F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SOMME_AJ_TOTAL_HT</t>
        </is>
      </c>
      <c r="D1" s="1" t="inlineStr">
        <is>
          <t>SOMME_AJ_TOTAL_TVA_20</t>
        </is>
      </c>
      <c r="E1" s="1" t="inlineStr">
        <is>
          <t>SOMME_E_TTC</t>
        </is>
      </c>
    </row>
    <row r="2">
      <c r="A2" s="6" t="n">
        <v>2023</v>
      </c>
      <c r="B2" s="5" t="inlineStr">
        <is>
          <t>2023-01</t>
        </is>
      </c>
      <c r="C2" s="5">
        <f>SUMIFS('Entetes_CplteAnneeMois'!$S$2:$S$1154,'Entetes_CplteAnneeMois'!$V$2:$V$1154,B2)</f>
        <v/>
      </c>
      <c r="D2" s="5">
        <f>SUMIFS('Entetes_CplteAnneeMois'!$T$2:$T$1154,'Entetes_CplteAnneeMois'!$V$2:$V$1154,B2)</f>
        <v/>
      </c>
      <c r="E2" s="5">
        <f>SUMIFS('Entetes_CplteAnneeMois'!$O$2:$O$1154,'Entetes_CplteAnneeMois'!$V$2:$V$1154,B2)</f>
        <v/>
      </c>
    </row>
    <row r="3">
      <c r="A3" s="6" t="n">
        <v>2023</v>
      </c>
      <c r="B3" s="5" t="inlineStr">
        <is>
          <t>2023-02</t>
        </is>
      </c>
      <c r="C3" s="5">
        <f>SUMIFS('Entetes_CplteAnneeMois'!$S$2:$S$1154,'Entetes_CplteAnneeMois'!$V$2:$V$1154,B3)</f>
        <v/>
      </c>
      <c r="D3" s="5">
        <f>SUMIFS('Entetes_CplteAnneeMois'!$T$2:$T$1154,'Entetes_CplteAnneeMois'!$V$2:$V$1154,B3)</f>
        <v/>
      </c>
      <c r="E3" s="5">
        <f>SUMIFS('Entetes_CplteAnneeMois'!$O$2:$O$1154,'Entetes_CplteAnneeMois'!$V$2:$V$1154,B3)</f>
        <v/>
      </c>
    </row>
    <row r="4">
      <c r="A4" s="6" t="n">
        <v>2023</v>
      </c>
      <c r="B4" s="5" t="inlineStr">
        <is>
          <t>2023-03</t>
        </is>
      </c>
      <c r="C4" s="5">
        <f>SUMIFS('Entetes_CplteAnneeMois'!$S$2:$S$1154,'Entetes_CplteAnneeMois'!$V$2:$V$1154,B4)</f>
        <v/>
      </c>
      <c r="D4" s="5">
        <f>SUMIFS('Entetes_CplteAnneeMois'!$T$2:$T$1154,'Entetes_CplteAnneeMois'!$V$2:$V$1154,B4)</f>
        <v/>
      </c>
      <c r="E4" s="5">
        <f>SUMIFS('Entetes_CplteAnneeMois'!$O$2:$O$1154,'Entetes_CplteAnneeMois'!$V$2:$V$1154,B4)</f>
        <v/>
      </c>
    </row>
    <row r="5">
      <c r="A5" s="6" t="n">
        <v>2023</v>
      </c>
      <c r="B5" s="5" t="inlineStr">
        <is>
          <t>2023-04</t>
        </is>
      </c>
      <c r="C5" s="5">
        <f>SUMIFS('Entetes_CplteAnneeMois'!$S$2:$S$1154,'Entetes_CplteAnneeMois'!$V$2:$V$1154,B5)</f>
        <v/>
      </c>
      <c r="D5" s="5">
        <f>SUMIFS('Entetes_CplteAnneeMois'!$T$2:$T$1154,'Entetes_CplteAnneeMois'!$V$2:$V$1154,B5)</f>
        <v/>
      </c>
      <c r="E5" s="5">
        <f>SUMIFS('Entetes_CplteAnneeMois'!$O$2:$O$1154,'Entetes_CplteAnneeMois'!$V$2:$V$1154,B5)</f>
        <v/>
      </c>
    </row>
    <row r="6">
      <c r="A6" s="6" t="n">
        <v>2023</v>
      </c>
      <c r="B6" s="5" t="inlineStr">
        <is>
          <t>2023-05</t>
        </is>
      </c>
      <c r="C6" s="5">
        <f>SUMIFS('Entetes_CplteAnneeMois'!$S$2:$S$1154,'Entetes_CplteAnneeMois'!$V$2:$V$1154,B6)</f>
        <v/>
      </c>
      <c r="D6" s="5">
        <f>SUMIFS('Entetes_CplteAnneeMois'!$T$2:$T$1154,'Entetes_CplteAnneeMois'!$V$2:$V$1154,B6)</f>
        <v/>
      </c>
      <c r="E6" s="5">
        <f>SUMIFS('Entetes_CplteAnneeMois'!$O$2:$O$1154,'Entetes_CplteAnneeMois'!$V$2:$V$1154,B6)</f>
        <v/>
      </c>
    </row>
    <row r="7">
      <c r="A7" s="6" t="n">
        <v>2023</v>
      </c>
      <c r="B7" s="5" t="inlineStr">
        <is>
          <t>2023-06</t>
        </is>
      </c>
      <c r="C7" s="5">
        <f>SUMIFS('Entetes_CplteAnneeMois'!$S$2:$S$1154,'Entetes_CplteAnneeMois'!$V$2:$V$1154,B7)</f>
        <v/>
      </c>
      <c r="D7" s="5">
        <f>SUMIFS('Entetes_CplteAnneeMois'!$T$2:$T$1154,'Entetes_CplteAnneeMois'!$V$2:$V$1154,B7)</f>
        <v/>
      </c>
      <c r="E7" s="5">
        <f>SUMIFS('Entetes_CplteAnneeMois'!$O$2:$O$1154,'Entetes_CplteAnneeMois'!$V$2:$V$1154,B7)</f>
        <v/>
      </c>
    </row>
    <row r="8">
      <c r="A8" s="6" t="n">
        <v>2023</v>
      </c>
      <c r="B8" s="5" t="inlineStr">
        <is>
          <t>2023-07</t>
        </is>
      </c>
      <c r="C8" s="5">
        <f>SUMIFS('Entetes_CplteAnneeMois'!$S$2:$S$1154,'Entetes_CplteAnneeMois'!$V$2:$V$1154,B8)</f>
        <v/>
      </c>
      <c r="D8" s="5">
        <f>SUMIFS('Entetes_CplteAnneeMois'!$T$2:$T$1154,'Entetes_CplteAnneeMois'!$V$2:$V$1154,B8)</f>
        <v/>
      </c>
      <c r="E8" s="5">
        <f>SUMIFS('Entetes_CplteAnneeMois'!$O$2:$O$1154,'Entetes_CplteAnneeMois'!$V$2:$V$1154,B8)</f>
        <v/>
      </c>
    </row>
    <row r="9">
      <c r="A9" s="6" t="n">
        <v>2023</v>
      </c>
      <c r="B9" s="5" t="inlineStr">
        <is>
          <t>2023-08</t>
        </is>
      </c>
      <c r="C9" s="5">
        <f>SUMIFS('Entetes_CplteAnneeMois'!$S$2:$S$1154,'Entetes_CplteAnneeMois'!$V$2:$V$1154,B9)</f>
        <v/>
      </c>
      <c r="D9" s="5">
        <f>SUMIFS('Entetes_CplteAnneeMois'!$T$2:$T$1154,'Entetes_CplteAnneeMois'!$V$2:$V$1154,B9)</f>
        <v/>
      </c>
      <c r="E9" s="5">
        <f>SUMIFS('Entetes_CplteAnneeMois'!$O$2:$O$1154,'Entetes_CplteAnneeMois'!$V$2:$V$1154,B9)</f>
        <v/>
      </c>
    </row>
    <row r="10">
      <c r="A10" s="6" t="n">
        <v>2023</v>
      </c>
      <c r="B10" s="5" t="inlineStr">
        <is>
          <t>2023-09</t>
        </is>
      </c>
      <c r="C10" s="5">
        <f>SUMIFS('Entetes_CplteAnneeMois'!$S$2:$S$1154,'Entetes_CplteAnneeMois'!$V$2:$V$1154,B10)</f>
        <v/>
      </c>
      <c r="D10" s="5">
        <f>SUMIFS('Entetes_CplteAnneeMois'!$T$2:$T$1154,'Entetes_CplteAnneeMois'!$V$2:$V$1154,B10)</f>
        <v/>
      </c>
      <c r="E10" s="5">
        <f>SUMIFS('Entetes_CplteAnneeMois'!$O$2:$O$1154,'Entetes_CplteAnneeMois'!$V$2:$V$1154,B10)</f>
        <v/>
      </c>
    </row>
    <row r="11">
      <c r="A11" s="6" t="n">
        <v>2023</v>
      </c>
      <c r="B11" s="5" t="inlineStr">
        <is>
          <t>2023-10</t>
        </is>
      </c>
      <c r="C11" s="5">
        <f>SUMIFS('Entetes_CplteAnneeMois'!$S$2:$S$1154,'Entetes_CplteAnneeMois'!$V$2:$V$1154,B11)</f>
        <v/>
      </c>
      <c r="D11" s="5">
        <f>SUMIFS('Entetes_CplteAnneeMois'!$T$2:$T$1154,'Entetes_CplteAnneeMois'!$V$2:$V$1154,B11)</f>
        <v/>
      </c>
      <c r="E11" s="5">
        <f>SUMIFS('Entetes_CplteAnneeMois'!$O$2:$O$1154,'Entetes_CplteAnneeMois'!$V$2:$V$1154,B11)</f>
        <v/>
      </c>
    </row>
    <row r="12">
      <c r="A12" s="6" t="n">
        <v>2023</v>
      </c>
      <c r="B12" s="5" t="inlineStr">
        <is>
          <t>2023-11</t>
        </is>
      </c>
      <c r="C12" s="5">
        <f>SUMIFS('Entetes_CplteAnneeMois'!$S$2:$S$1154,'Entetes_CplteAnneeMois'!$V$2:$V$1154,B12)</f>
        <v/>
      </c>
      <c r="D12" s="5">
        <f>SUMIFS('Entetes_CplteAnneeMois'!$T$2:$T$1154,'Entetes_CplteAnneeMois'!$V$2:$V$1154,B12)</f>
        <v/>
      </c>
      <c r="E12" s="5">
        <f>SUMIFS('Entetes_CplteAnneeMois'!$O$2:$O$1154,'Entetes_CplteAnneeMois'!$V$2:$V$1154,B12)</f>
        <v/>
      </c>
    </row>
    <row r="13">
      <c r="A13" s="6" t="n">
        <v>2023</v>
      </c>
      <c r="B13" s="5" t="inlineStr">
        <is>
          <t>2023-12</t>
        </is>
      </c>
      <c r="C13" s="5">
        <f>SUMIFS('Entetes_CplteAnneeMois'!$S$2:$S$1154,'Entetes_CplteAnneeMois'!$V$2:$V$1154,B13)</f>
        <v/>
      </c>
      <c r="D13" s="5">
        <f>SUMIFS('Entetes_CplteAnneeMois'!$T$2:$T$1154,'Entetes_CplteAnneeMois'!$V$2:$V$1154,B13)</f>
        <v/>
      </c>
      <c r="E13" s="5">
        <f>SUMIFS('Entetes_CplteAnneeMois'!$O$2:$O$1154,'Entetes_CplteAnneeMois'!$V$2:$V$1154,B13)</f>
        <v/>
      </c>
    </row>
    <row r="14">
      <c r="A14" s="6" t="n">
        <v>2024</v>
      </c>
      <c r="B14" s="5" t="inlineStr">
        <is>
          <t>2024-01</t>
        </is>
      </c>
      <c r="C14" s="5">
        <f>SUMIFS('Entetes_CplteAnneeMois'!$S$2:$S$1154,'Entetes_CplteAnneeMois'!$V$2:$V$1154,B14)</f>
        <v/>
      </c>
      <c r="D14" s="5">
        <f>SUMIFS('Entetes_CplteAnneeMois'!$T$2:$T$1154,'Entetes_CplteAnneeMois'!$V$2:$V$1154,B14)</f>
        <v/>
      </c>
      <c r="E14" s="5">
        <f>SUMIFS('Entetes_CplteAnneeMois'!$O$2:$O$1154,'Entetes_CplteAnneeMois'!$V$2:$V$1154,B14)</f>
        <v/>
      </c>
    </row>
    <row r="15">
      <c r="A15" s="6" t="n">
        <v>2024</v>
      </c>
      <c r="B15" s="5" t="inlineStr">
        <is>
          <t>2024-02</t>
        </is>
      </c>
      <c r="C15" s="5">
        <f>SUMIFS('Entetes_CplteAnneeMois'!$S$2:$S$1154,'Entetes_CplteAnneeMois'!$V$2:$V$1154,B15)</f>
        <v/>
      </c>
      <c r="D15" s="5">
        <f>SUMIFS('Entetes_CplteAnneeMois'!$T$2:$T$1154,'Entetes_CplteAnneeMois'!$V$2:$V$1154,B15)</f>
        <v/>
      </c>
      <c r="E15" s="5">
        <f>SUMIFS('Entetes_CplteAnneeMois'!$O$2:$O$1154,'Entetes_CplteAnneeMois'!$V$2:$V$1154,B15)</f>
        <v/>
      </c>
    </row>
    <row r="16">
      <c r="A16" s="6" t="n">
        <v>2024</v>
      </c>
      <c r="B16" s="5" t="inlineStr">
        <is>
          <t>2024-03</t>
        </is>
      </c>
      <c r="C16" s="5">
        <f>SUMIFS('Entetes_CplteAnneeMois'!$S$2:$S$1154,'Entetes_CplteAnneeMois'!$V$2:$V$1154,B16)</f>
        <v/>
      </c>
      <c r="D16" s="5">
        <f>SUMIFS('Entetes_CplteAnneeMois'!$T$2:$T$1154,'Entetes_CplteAnneeMois'!$V$2:$V$1154,B16)</f>
        <v/>
      </c>
      <c r="E16" s="5">
        <f>SUMIFS('Entetes_CplteAnneeMois'!$O$2:$O$1154,'Entetes_CplteAnneeMois'!$V$2:$V$1154,B16)</f>
        <v/>
      </c>
    </row>
    <row r="17">
      <c r="A17" s="6" t="n">
        <v>2024</v>
      </c>
      <c r="B17" s="5" t="inlineStr">
        <is>
          <t>2024-04</t>
        </is>
      </c>
      <c r="C17" s="5">
        <f>SUMIFS('Entetes_CplteAnneeMois'!$S$2:$S$1154,'Entetes_CplteAnneeMois'!$V$2:$V$1154,B17)</f>
        <v/>
      </c>
      <c r="D17" s="5">
        <f>SUMIFS('Entetes_CplteAnneeMois'!$T$2:$T$1154,'Entetes_CplteAnneeMois'!$V$2:$V$1154,B17)</f>
        <v/>
      </c>
      <c r="E17" s="5">
        <f>SUMIFS('Entetes_CplteAnneeMois'!$O$2:$O$1154,'Entetes_CplteAnneeMois'!$V$2:$V$1154,B17)</f>
        <v/>
      </c>
    </row>
    <row r="18">
      <c r="A18" s="6" t="n">
        <v>2024</v>
      </c>
      <c r="B18" s="5" t="inlineStr">
        <is>
          <t>2024-05</t>
        </is>
      </c>
      <c r="C18" s="5">
        <f>SUMIFS('Entetes_CplteAnneeMois'!$S$2:$S$1154,'Entetes_CplteAnneeMois'!$V$2:$V$1154,B18)</f>
        <v/>
      </c>
      <c r="D18" s="5">
        <f>SUMIFS('Entetes_CplteAnneeMois'!$T$2:$T$1154,'Entetes_CplteAnneeMois'!$V$2:$V$1154,B18)</f>
        <v/>
      </c>
      <c r="E18" s="5">
        <f>SUMIFS('Entetes_CplteAnneeMois'!$O$2:$O$1154,'Entetes_CplteAnneeMois'!$V$2:$V$1154,B18)</f>
        <v/>
      </c>
    </row>
    <row r="19">
      <c r="A19" s="6" t="n">
        <v>2024</v>
      </c>
      <c r="B19" s="5" t="inlineStr">
        <is>
          <t>2024-06</t>
        </is>
      </c>
      <c r="C19" s="5">
        <f>SUMIFS('Entetes_CplteAnneeMois'!$S$2:$S$1154,'Entetes_CplteAnneeMois'!$V$2:$V$1154,B19)</f>
        <v/>
      </c>
      <c r="D19" s="5">
        <f>SUMIFS('Entetes_CplteAnneeMois'!$T$2:$T$1154,'Entetes_CplteAnneeMois'!$V$2:$V$1154,B19)</f>
        <v/>
      </c>
      <c r="E19" s="5">
        <f>SUMIFS('Entetes_CplteAnneeMois'!$O$2:$O$1154,'Entetes_CplteAnneeMois'!$V$2:$V$1154,B19)</f>
        <v/>
      </c>
    </row>
    <row r="20">
      <c r="A20" s="6" t="n">
        <v>2024</v>
      </c>
      <c r="B20" s="5" t="inlineStr">
        <is>
          <t>2024-07</t>
        </is>
      </c>
      <c r="C20" s="5">
        <f>SUMIFS('Entetes_CplteAnneeMois'!$S$2:$S$1154,'Entetes_CplteAnneeMois'!$V$2:$V$1154,B20)</f>
        <v/>
      </c>
      <c r="D20" s="5">
        <f>SUMIFS('Entetes_CplteAnneeMois'!$T$2:$T$1154,'Entetes_CplteAnneeMois'!$V$2:$V$1154,B20)</f>
        <v/>
      </c>
      <c r="E20" s="5">
        <f>SUMIFS('Entetes_CplteAnneeMois'!$O$2:$O$1154,'Entetes_CplteAnneeMois'!$V$2:$V$1154,B20)</f>
        <v/>
      </c>
    </row>
    <row r="21">
      <c r="A21" s="6" t="n">
        <v>2024</v>
      </c>
      <c r="B21" s="5" t="inlineStr">
        <is>
          <t>2024-08</t>
        </is>
      </c>
      <c r="C21" s="5">
        <f>SUMIFS('Entetes_CplteAnneeMois'!$S$2:$S$1154,'Entetes_CplteAnneeMois'!$V$2:$V$1154,B21)</f>
        <v/>
      </c>
      <c r="D21" s="5">
        <f>SUMIFS('Entetes_CplteAnneeMois'!$T$2:$T$1154,'Entetes_CplteAnneeMois'!$V$2:$V$1154,B21)</f>
        <v/>
      </c>
      <c r="E21" s="5">
        <f>SUMIFS('Entetes_CplteAnneeMois'!$O$2:$O$1154,'Entetes_CplteAnneeMois'!$V$2:$V$1154,B21)</f>
        <v/>
      </c>
    </row>
    <row r="22">
      <c r="A22" s="6" t="n">
        <v>2024</v>
      </c>
      <c r="B22" s="5" t="inlineStr">
        <is>
          <t>2024-09</t>
        </is>
      </c>
      <c r="C22" s="5">
        <f>SUMIFS('Entetes_CplteAnneeMois'!$S$2:$S$1154,'Entetes_CplteAnneeMois'!$V$2:$V$1154,B22)</f>
        <v/>
      </c>
      <c r="D22" s="5">
        <f>SUMIFS('Entetes_CplteAnneeMois'!$T$2:$T$1154,'Entetes_CplteAnneeMois'!$V$2:$V$1154,B22)</f>
        <v/>
      </c>
      <c r="E22" s="5">
        <f>SUMIFS('Entetes_CplteAnneeMois'!$O$2:$O$1154,'Entetes_CplteAnneeMois'!$V$2:$V$1154,B22)</f>
        <v/>
      </c>
    </row>
    <row r="23">
      <c r="A23" s="6" t="n">
        <v>2024</v>
      </c>
      <c r="B23" s="5" t="inlineStr">
        <is>
          <t>2024-10</t>
        </is>
      </c>
      <c r="C23" s="5">
        <f>SUMIFS('Entetes_CplteAnneeMois'!$S$2:$S$1154,'Entetes_CplteAnneeMois'!$V$2:$V$1154,B23)</f>
        <v/>
      </c>
      <c r="D23" s="5">
        <f>SUMIFS('Entetes_CplteAnneeMois'!$T$2:$T$1154,'Entetes_CplteAnneeMois'!$V$2:$V$1154,B23)</f>
        <v/>
      </c>
      <c r="E23" s="5">
        <f>SUMIFS('Entetes_CplteAnneeMois'!$O$2:$O$1154,'Entetes_CplteAnneeMois'!$V$2:$V$1154,B23)</f>
        <v/>
      </c>
    </row>
    <row r="24">
      <c r="A24" s="6" t="n">
        <v>2024</v>
      </c>
      <c r="B24" s="5" t="inlineStr">
        <is>
          <t>2024-11</t>
        </is>
      </c>
      <c r="C24" s="5">
        <f>SUMIFS('Entetes_CplteAnneeMois'!$S$2:$S$1154,'Entetes_CplteAnneeMois'!$V$2:$V$1154,B24)</f>
        <v/>
      </c>
      <c r="D24" s="5">
        <f>SUMIFS('Entetes_CplteAnneeMois'!$T$2:$T$1154,'Entetes_CplteAnneeMois'!$V$2:$V$1154,B24)</f>
        <v/>
      </c>
      <c r="E24" s="5">
        <f>SUMIFS('Entetes_CplteAnneeMois'!$O$2:$O$1154,'Entetes_CplteAnneeMois'!$V$2:$V$1154,B24)</f>
        <v/>
      </c>
    </row>
    <row r="25">
      <c r="A25" s="6" t="n">
        <v>2024</v>
      </c>
      <c r="B25" s="5" t="inlineStr">
        <is>
          <t>2024-12</t>
        </is>
      </c>
      <c r="C25" s="5">
        <f>SUMIFS('Entetes_CplteAnneeMois'!$S$2:$S$1154,'Entetes_CplteAnneeMois'!$V$2:$V$1154,B25)</f>
        <v/>
      </c>
      <c r="D25" s="5">
        <f>SUMIFS('Entetes_CplteAnneeMois'!$T$2:$T$1154,'Entetes_CplteAnneeMois'!$V$2:$V$1154,B25)</f>
        <v/>
      </c>
      <c r="E25" s="5">
        <f>SUMIFS('Entetes_CplteAnneeMois'!$O$2:$O$1154,'Entetes_CplteAnneeMois'!$V$2:$V$1154,B25)</f>
        <v/>
      </c>
    </row>
    <row r="26">
      <c r="A26" s="6" t="n">
        <v>2025</v>
      </c>
      <c r="B26" s="5" t="inlineStr">
        <is>
          <t>2025-01</t>
        </is>
      </c>
      <c r="C26" s="5">
        <f>SUMIFS('Entetes_CplteAnneeMois'!$S$2:$S$1154,'Entetes_CplteAnneeMois'!$V$2:$V$1154,B26)</f>
        <v/>
      </c>
      <c r="D26" s="5">
        <f>SUMIFS('Entetes_CplteAnneeMois'!$T$2:$T$1154,'Entetes_CplteAnneeMois'!$V$2:$V$1154,B26)</f>
        <v/>
      </c>
      <c r="E26" s="5">
        <f>SUMIFS('Entetes_CplteAnneeMois'!$O$2:$O$1154,'Entetes_CplteAnneeMois'!$V$2:$V$1154,B26)</f>
        <v/>
      </c>
    </row>
    <row r="27">
      <c r="A27" s="6" t="n">
        <v>2025</v>
      </c>
      <c r="B27" s="5" t="inlineStr">
        <is>
          <t>2025-02</t>
        </is>
      </c>
      <c r="C27" s="5">
        <f>SUMIFS('Entetes_CplteAnneeMois'!$S$2:$S$1154,'Entetes_CplteAnneeMois'!$V$2:$V$1154,B27)</f>
        <v/>
      </c>
      <c r="D27" s="5">
        <f>SUMIFS('Entetes_CplteAnneeMois'!$T$2:$T$1154,'Entetes_CplteAnneeMois'!$V$2:$V$1154,B27)</f>
        <v/>
      </c>
      <c r="E27" s="5">
        <f>SUMIFS('Entetes_CplteAnneeMois'!$O$2:$O$1154,'Entetes_CplteAnneeMois'!$V$2:$V$1154,B27)</f>
        <v/>
      </c>
    </row>
    <row r="28">
      <c r="A28" s="6" t="n">
        <v>2025</v>
      </c>
      <c r="B28" s="5" t="inlineStr">
        <is>
          <t>2025-03</t>
        </is>
      </c>
      <c r="C28" s="5">
        <f>SUMIFS('Entetes_CplteAnneeMois'!$S$2:$S$1154,'Entetes_CplteAnneeMois'!$V$2:$V$1154,B28)</f>
        <v/>
      </c>
      <c r="D28" s="5">
        <f>SUMIFS('Entetes_CplteAnneeMois'!$T$2:$T$1154,'Entetes_CplteAnneeMois'!$V$2:$V$1154,B28)</f>
        <v/>
      </c>
      <c r="E28" s="5">
        <f>SUMIFS('Entetes_CplteAnneeMois'!$O$2:$O$1154,'Entetes_CplteAnneeMois'!$V$2:$V$1154,B28)</f>
        <v/>
      </c>
    </row>
    <row r="29">
      <c r="A29" s="6" t="n">
        <v>2025</v>
      </c>
      <c r="B29" s="5" t="inlineStr">
        <is>
          <t>2025-04</t>
        </is>
      </c>
      <c r="C29" s="5">
        <f>SUMIFS('Entetes_CplteAnneeMois'!$S$2:$S$1154,'Entetes_CplteAnneeMois'!$V$2:$V$1154,B29)</f>
        <v/>
      </c>
      <c r="D29" s="5">
        <f>SUMIFS('Entetes_CplteAnneeMois'!$T$2:$T$1154,'Entetes_CplteAnneeMois'!$V$2:$V$1154,B29)</f>
        <v/>
      </c>
      <c r="E29" s="5">
        <f>SUMIFS('Entetes_CplteAnneeMois'!$O$2:$O$1154,'Entetes_CplteAnneeMois'!$V$2:$V$1154,B29)</f>
        <v/>
      </c>
    </row>
    <row r="30">
      <c r="A30" s="6" t="n">
        <v>2025</v>
      </c>
      <c r="B30" s="5" t="inlineStr">
        <is>
          <t>2025-05</t>
        </is>
      </c>
      <c r="C30" s="5">
        <f>SUMIFS('Entetes_CplteAnneeMois'!$S$2:$S$1154,'Entetes_CplteAnneeMois'!$V$2:$V$1154,B30)</f>
        <v/>
      </c>
      <c r="D30" s="5">
        <f>SUMIFS('Entetes_CplteAnneeMois'!$T$2:$T$1154,'Entetes_CplteAnneeMois'!$V$2:$V$1154,B30)</f>
        <v/>
      </c>
      <c r="E30" s="5">
        <f>SUMIFS('Entetes_CplteAnneeMois'!$O$2:$O$1154,'Entetes_CplteAnneeMois'!$V$2:$V$1154,B30)</f>
        <v/>
      </c>
    </row>
    <row r="31">
      <c r="A31" s="6" t="n">
        <v>2025</v>
      </c>
      <c r="B31" s="5" t="inlineStr">
        <is>
          <t>2025-06</t>
        </is>
      </c>
      <c r="C31" s="5">
        <f>SUMIFS('Entetes_CplteAnneeMois'!$S$2:$S$1154,'Entetes_CplteAnneeMois'!$V$2:$V$1154,B31)</f>
        <v/>
      </c>
      <c r="D31" s="5">
        <f>SUMIFS('Entetes_CplteAnneeMois'!$T$2:$T$1154,'Entetes_CplteAnneeMois'!$V$2:$V$1154,B31)</f>
        <v/>
      </c>
      <c r="E31" s="5">
        <f>SUMIFS('Entetes_CplteAnneeMois'!$O$2:$O$1154,'Entetes_CplteAnneeMois'!$V$2:$V$1154,B31)</f>
        <v/>
      </c>
    </row>
    <row r="32">
      <c r="A32" s="6" t="n">
        <v>2025</v>
      </c>
      <c r="B32" s="5" t="inlineStr">
        <is>
          <t>2025-07</t>
        </is>
      </c>
      <c r="C32" s="5">
        <f>SUMIFS('Entetes_CplteAnneeMois'!$S$2:$S$1154,'Entetes_CplteAnneeMois'!$V$2:$V$1154,B32)</f>
        <v/>
      </c>
      <c r="D32" s="5">
        <f>SUMIFS('Entetes_CplteAnneeMois'!$T$2:$T$1154,'Entetes_CplteAnneeMois'!$V$2:$V$1154,B32)</f>
        <v/>
      </c>
      <c r="E32" s="5">
        <f>SUMIFS('Entetes_CplteAnneeMois'!$O$2:$O$1154,'Entetes_CplteAnneeMois'!$V$2:$V$1154,B32)</f>
        <v/>
      </c>
    </row>
    <row r="33">
      <c r="A33" s="6" t="n">
        <v>2025</v>
      </c>
      <c r="B33" s="5" t="inlineStr">
        <is>
          <t>2025-08</t>
        </is>
      </c>
      <c r="C33" s="5">
        <f>SUMIFS('Entetes_CplteAnneeMois'!$S$2:$S$1154,'Entetes_CplteAnneeMois'!$V$2:$V$1154,B33)</f>
        <v/>
      </c>
      <c r="D33" s="5">
        <f>SUMIFS('Entetes_CplteAnneeMois'!$T$2:$T$1154,'Entetes_CplteAnneeMois'!$V$2:$V$1154,B33)</f>
        <v/>
      </c>
      <c r="E33" s="5">
        <f>SUMIFS('Entetes_CplteAnneeMois'!$O$2:$O$1154,'Entetes_CplteAnneeMois'!$V$2:$V$1154,B33)</f>
        <v/>
      </c>
    </row>
  </sheetData>
  <autoFilter ref="A1:E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SOMME_AJ_TOTAL_HT</t>
        </is>
      </c>
      <c r="D1" s="1" t="inlineStr">
        <is>
          <t>SOMME_AJ_TOTAL_TVA_20</t>
        </is>
      </c>
      <c r="E1" s="1" t="inlineStr">
        <is>
          <t>SOMME_E_TTC</t>
        </is>
      </c>
    </row>
    <row r="2">
      <c r="A2" s="6">
        <f>'TD_TotalHtTvaTtc'!A2</f>
        <v/>
      </c>
      <c r="B2" s="5">
        <f>'TD_TotalHtTvaTtc'!B2</f>
        <v/>
      </c>
      <c r="C2" s="5">
        <f>'TD_TotalHtTvaTtc'!C2</f>
        <v/>
      </c>
      <c r="D2" s="5">
        <f>'TD_TotalHtTvaTtc'!D2</f>
        <v/>
      </c>
      <c r="E2" s="5">
        <f>'TD_TotalHtTvaTtc'!E2</f>
        <v/>
      </c>
    </row>
    <row r="3">
      <c r="A3" s="6">
        <f>'TD_TotalHtTvaTtc'!A3</f>
        <v/>
      </c>
      <c r="B3" s="5">
        <f>'TD_TotalHtTvaTtc'!B3</f>
        <v/>
      </c>
      <c r="C3" s="5">
        <f>'TD_TotalHtTvaTtc'!C3</f>
        <v/>
      </c>
      <c r="D3" s="5">
        <f>'TD_TotalHtTvaTtc'!D3</f>
        <v/>
      </c>
      <c r="E3" s="5">
        <f>'TD_TotalHtTvaTtc'!E3</f>
        <v/>
      </c>
    </row>
    <row r="4">
      <c r="A4" s="6">
        <f>'TD_TotalHtTvaTtc'!A4</f>
        <v/>
      </c>
      <c r="B4" s="5">
        <f>'TD_TotalHtTvaTtc'!B4</f>
        <v/>
      </c>
      <c r="C4" s="5">
        <f>'TD_TotalHtTvaTtc'!C4</f>
        <v/>
      </c>
      <c r="D4" s="5">
        <f>'TD_TotalHtTvaTtc'!D4</f>
        <v/>
      </c>
      <c r="E4" s="5">
        <f>'TD_TotalHtTvaTtc'!E4</f>
        <v/>
      </c>
    </row>
    <row r="5">
      <c r="A5" s="6">
        <f>'TD_TotalHtTvaTtc'!A5</f>
        <v/>
      </c>
      <c r="B5" s="5">
        <f>'TD_TotalHtTvaTtc'!B5</f>
        <v/>
      </c>
      <c r="C5" s="5">
        <f>'TD_TotalHtTvaTtc'!C5</f>
        <v/>
      </c>
      <c r="D5" s="5">
        <f>'TD_TotalHtTvaTtc'!D5</f>
        <v/>
      </c>
      <c r="E5" s="5">
        <f>'TD_TotalHtTvaTtc'!E5</f>
        <v/>
      </c>
    </row>
    <row r="6">
      <c r="A6" s="6">
        <f>'TD_TotalHtTvaTtc'!A6</f>
        <v/>
      </c>
      <c r="B6" s="5">
        <f>'TD_TotalHtTvaTtc'!B6</f>
        <v/>
      </c>
      <c r="C6" s="5">
        <f>'TD_TotalHtTvaTtc'!C6</f>
        <v/>
      </c>
      <c r="D6" s="5">
        <f>'TD_TotalHtTvaTtc'!D6</f>
        <v/>
      </c>
      <c r="E6" s="5">
        <f>'TD_TotalHtTvaTtc'!E6</f>
        <v/>
      </c>
    </row>
    <row r="7">
      <c r="A7" s="6">
        <f>'TD_TotalHtTvaTtc'!A7</f>
        <v/>
      </c>
      <c r="B7" s="5">
        <f>'TD_TotalHtTvaTtc'!B7</f>
        <v/>
      </c>
      <c r="C7" s="5">
        <f>'TD_TotalHtTvaTtc'!C7</f>
        <v/>
      </c>
      <c r="D7" s="5">
        <f>'TD_TotalHtTvaTtc'!D7</f>
        <v/>
      </c>
      <c r="E7" s="5">
        <f>'TD_TotalHtTvaTtc'!E7</f>
        <v/>
      </c>
    </row>
    <row r="8">
      <c r="A8" s="6">
        <f>'TD_TotalHtTvaTtc'!A8</f>
        <v/>
      </c>
      <c r="B8" s="5">
        <f>'TD_TotalHtTvaTtc'!B8</f>
        <v/>
      </c>
      <c r="C8" s="5">
        <f>'TD_TotalHtTvaTtc'!C8</f>
        <v/>
      </c>
      <c r="D8" s="5">
        <f>'TD_TotalHtTvaTtc'!D8</f>
        <v/>
      </c>
      <c r="E8" s="5">
        <f>'TD_TotalHtTvaTtc'!E8</f>
        <v/>
      </c>
    </row>
    <row r="9">
      <c r="A9" s="6">
        <f>'TD_TotalHtTvaTtc'!A9</f>
        <v/>
      </c>
      <c r="B9" s="5">
        <f>'TD_TotalHtTvaTtc'!B9</f>
        <v/>
      </c>
      <c r="C9" s="5">
        <f>'TD_TotalHtTvaTtc'!C9</f>
        <v/>
      </c>
      <c r="D9" s="5">
        <f>'TD_TotalHtTvaTtc'!D9</f>
        <v/>
      </c>
      <c r="E9" s="5">
        <f>'TD_TotalHtTvaTtc'!E9</f>
        <v/>
      </c>
    </row>
    <row r="10">
      <c r="A10" s="6">
        <f>'TD_TotalHtTvaTtc'!A10</f>
        <v/>
      </c>
      <c r="B10" s="5">
        <f>'TD_TotalHtTvaTtc'!B10</f>
        <v/>
      </c>
      <c r="C10" s="5">
        <f>'TD_TotalHtTvaTtc'!C10</f>
        <v/>
      </c>
      <c r="D10" s="5">
        <f>'TD_TotalHtTvaTtc'!D10</f>
        <v/>
      </c>
      <c r="E10" s="5">
        <f>'TD_TotalHtTvaTtc'!E10</f>
        <v/>
      </c>
    </row>
    <row r="11">
      <c r="A11" s="6">
        <f>'TD_TotalHtTvaTtc'!A11</f>
        <v/>
      </c>
      <c r="B11" s="5">
        <f>'TD_TotalHtTvaTtc'!B11</f>
        <v/>
      </c>
      <c r="C11" s="5">
        <f>'TD_TotalHtTvaTtc'!C11</f>
        <v/>
      </c>
      <c r="D11" s="5">
        <f>'TD_TotalHtTvaTtc'!D11</f>
        <v/>
      </c>
      <c r="E11" s="5">
        <f>'TD_TotalHtTvaTtc'!E11</f>
        <v/>
      </c>
    </row>
    <row r="12">
      <c r="A12" s="6">
        <f>'TD_TotalHtTvaTtc'!A12</f>
        <v/>
      </c>
      <c r="B12" s="5">
        <f>'TD_TotalHtTvaTtc'!B12</f>
        <v/>
      </c>
      <c r="C12" s="5">
        <f>'TD_TotalHtTvaTtc'!C12</f>
        <v/>
      </c>
      <c r="D12" s="5">
        <f>'TD_TotalHtTvaTtc'!D12</f>
        <v/>
      </c>
      <c r="E12" s="5">
        <f>'TD_TotalHtTvaTtc'!E12</f>
        <v/>
      </c>
    </row>
    <row r="13">
      <c r="A13" s="6">
        <f>'TD_TotalHtTvaTtc'!A13</f>
        <v/>
      </c>
      <c r="B13" s="5">
        <f>'TD_TotalHtTvaTtc'!B13</f>
        <v/>
      </c>
      <c r="C13" s="5">
        <f>'TD_TotalHtTvaTtc'!C13</f>
        <v/>
      </c>
      <c r="D13" s="5">
        <f>'TD_TotalHtTvaTtc'!D13</f>
        <v/>
      </c>
      <c r="E13" s="5">
        <f>'TD_TotalHtTvaTtc'!E13</f>
        <v/>
      </c>
    </row>
    <row r="14">
      <c r="A14" s="6">
        <f>'TD_TotalHtTvaTtc'!A14</f>
        <v/>
      </c>
      <c r="B14" s="5">
        <f>'TD_TotalHtTvaTtc'!B14</f>
        <v/>
      </c>
      <c r="C14" s="5">
        <f>'TD_TotalHtTvaTtc'!C14</f>
        <v/>
      </c>
      <c r="D14" s="5">
        <f>'TD_TotalHtTvaTtc'!D14</f>
        <v/>
      </c>
      <c r="E14" s="5">
        <f>'TD_TotalHtTvaTtc'!E14</f>
        <v/>
      </c>
    </row>
    <row r="15">
      <c r="A15" s="6">
        <f>'TD_TotalHtTvaTtc'!A15</f>
        <v/>
      </c>
      <c r="B15" s="5">
        <f>'TD_TotalHtTvaTtc'!B15</f>
        <v/>
      </c>
      <c r="C15" s="5">
        <f>'TD_TotalHtTvaTtc'!C15</f>
        <v/>
      </c>
      <c r="D15" s="5">
        <f>'TD_TotalHtTvaTtc'!D15</f>
        <v/>
      </c>
      <c r="E15" s="5">
        <f>'TD_TotalHtTvaTtc'!E15</f>
        <v/>
      </c>
    </row>
    <row r="16">
      <c r="A16" s="6">
        <f>'TD_TotalHtTvaTtc'!A16</f>
        <v/>
      </c>
      <c r="B16" s="5">
        <f>'TD_TotalHtTvaTtc'!B16</f>
        <v/>
      </c>
      <c r="C16" s="5">
        <f>'TD_TotalHtTvaTtc'!C16</f>
        <v/>
      </c>
      <c r="D16" s="5">
        <f>'TD_TotalHtTvaTtc'!D16</f>
        <v/>
      </c>
      <c r="E16" s="5">
        <f>'TD_TotalHtTvaTtc'!E16</f>
        <v/>
      </c>
    </row>
    <row r="17">
      <c r="A17" s="6">
        <f>'TD_TotalHtTvaTtc'!A17</f>
        <v/>
      </c>
      <c r="B17" s="5">
        <f>'TD_TotalHtTvaTtc'!B17</f>
        <v/>
      </c>
      <c r="C17" s="5">
        <f>'TD_TotalHtTvaTtc'!C17</f>
        <v/>
      </c>
      <c r="D17" s="5">
        <f>'TD_TotalHtTvaTtc'!D17</f>
        <v/>
      </c>
      <c r="E17" s="5">
        <f>'TD_TotalHtTvaTtc'!E17</f>
        <v/>
      </c>
    </row>
    <row r="18">
      <c r="A18" s="6">
        <f>'TD_TotalHtTvaTtc'!A18</f>
        <v/>
      </c>
      <c r="B18" s="5">
        <f>'TD_TotalHtTvaTtc'!B18</f>
        <v/>
      </c>
      <c r="C18" s="5">
        <f>'TD_TotalHtTvaTtc'!C18</f>
        <v/>
      </c>
      <c r="D18" s="5">
        <f>'TD_TotalHtTvaTtc'!D18</f>
        <v/>
      </c>
      <c r="E18" s="5">
        <f>'TD_TotalHtTvaTtc'!E18</f>
        <v/>
      </c>
    </row>
    <row r="19">
      <c r="A19" s="6">
        <f>'TD_TotalHtTvaTtc'!A19</f>
        <v/>
      </c>
      <c r="B19" s="5">
        <f>'TD_TotalHtTvaTtc'!B19</f>
        <v/>
      </c>
      <c r="C19" s="5">
        <f>'TD_TotalHtTvaTtc'!C19</f>
        <v/>
      </c>
      <c r="D19" s="5">
        <f>'TD_TotalHtTvaTtc'!D19</f>
        <v/>
      </c>
      <c r="E19" s="5">
        <f>'TD_TotalHtTvaTtc'!E19</f>
        <v/>
      </c>
    </row>
    <row r="20">
      <c r="A20" s="6">
        <f>'TD_TotalHtTvaTtc'!A20</f>
        <v/>
      </c>
      <c r="B20" s="5">
        <f>'TD_TotalHtTvaTtc'!B20</f>
        <v/>
      </c>
      <c r="C20" s="5">
        <f>'TD_TotalHtTvaTtc'!C20</f>
        <v/>
      </c>
      <c r="D20" s="5">
        <f>'TD_TotalHtTvaTtc'!D20</f>
        <v/>
      </c>
      <c r="E20" s="5">
        <f>'TD_TotalHtTvaTtc'!E20</f>
        <v/>
      </c>
    </row>
    <row r="21">
      <c r="A21" s="6">
        <f>'TD_TotalHtTvaTtc'!A21</f>
        <v/>
      </c>
      <c r="B21" s="5">
        <f>'TD_TotalHtTvaTtc'!B21</f>
        <v/>
      </c>
      <c r="C21" s="5">
        <f>'TD_TotalHtTvaTtc'!C21</f>
        <v/>
      </c>
      <c r="D21" s="5">
        <f>'TD_TotalHtTvaTtc'!D21</f>
        <v/>
      </c>
      <c r="E21" s="5">
        <f>'TD_TotalHtTvaTtc'!E21</f>
        <v/>
      </c>
    </row>
    <row r="22">
      <c r="A22" s="6">
        <f>'TD_TotalHtTvaTtc'!A22</f>
        <v/>
      </c>
      <c r="B22" s="5">
        <f>'TD_TotalHtTvaTtc'!B22</f>
        <v/>
      </c>
      <c r="C22" s="5">
        <f>'TD_TotalHtTvaTtc'!C22</f>
        <v/>
      </c>
      <c r="D22" s="5">
        <f>'TD_TotalHtTvaTtc'!D22</f>
        <v/>
      </c>
      <c r="E22" s="5">
        <f>'TD_TotalHtTvaTtc'!E22</f>
        <v/>
      </c>
    </row>
    <row r="23">
      <c r="A23" s="6">
        <f>'TD_TotalHtTvaTtc'!A23</f>
        <v/>
      </c>
      <c r="B23" s="5">
        <f>'TD_TotalHtTvaTtc'!B23</f>
        <v/>
      </c>
      <c r="C23" s="5">
        <f>'TD_TotalHtTvaTtc'!C23</f>
        <v/>
      </c>
      <c r="D23" s="5">
        <f>'TD_TotalHtTvaTtc'!D23</f>
        <v/>
      </c>
      <c r="E23" s="5">
        <f>'TD_TotalHtTvaTtc'!E23</f>
        <v/>
      </c>
    </row>
    <row r="24">
      <c r="A24" s="6">
        <f>'TD_TotalHtTvaTtc'!A24</f>
        <v/>
      </c>
      <c r="B24" s="5">
        <f>'TD_TotalHtTvaTtc'!B24</f>
        <v/>
      </c>
      <c r="C24" s="5">
        <f>'TD_TotalHtTvaTtc'!C24</f>
        <v/>
      </c>
      <c r="D24" s="5">
        <f>'TD_TotalHtTvaTtc'!D24</f>
        <v/>
      </c>
      <c r="E24" s="5">
        <f>'TD_TotalHtTvaTtc'!E24</f>
        <v/>
      </c>
    </row>
    <row r="25">
      <c r="A25" s="6">
        <f>'TD_TotalHtTvaTtc'!A25</f>
        <v/>
      </c>
      <c r="B25" s="5">
        <f>'TD_TotalHtTvaTtc'!B25</f>
        <v/>
      </c>
      <c r="C25" s="5">
        <f>'TD_TotalHtTvaTtc'!C25</f>
        <v/>
      </c>
      <c r="D25" s="5">
        <f>'TD_TotalHtTvaTtc'!D25</f>
        <v/>
      </c>
      <c r="E25" s="5">
        <f>'TD_TotalHtTvaTtc'!E25</f>
        <v/>
      </c>
    </row>
    <row r="26">
      <c r="A26" s="6">
        <f>'TD_TotalHtTvaTtc'!A26</f>
        <v/>
      </c>
      <c r="B26" s="5">
        <f>'TD_TotalHtTvaTtc'!B26</f>
        <v/>
      </c>
      <c r="C26" s="5">
        <f>'TD_TotalHtTvaTtc'!C26</f>
        <v/>
      </c>
      <c r="D26" s="5">
        <f>'TD_TotalHtTvaTtc'!D26</f>
        <v/>
      </c>
      <c r="E26" s="5">
        <f>'TD_TotalHtTvaTtc'!E26</f>
        <v/>
      </c>
    </row>
    <row r="27">
      <c r="A27" s="6">
        <f>'TD_TotalHtTvaTtc'!A27</f>
        <v/>
      </c>
      <c r="B27" s="5">
        <f>'TD_TotalHtTvaTtc'!B27</f>
        <v/>
      </c>
      <c r="C27" s="5">
        <f>'TD_TotalHtTvaTtc'!C27</f>
        <v/>
      </c>
      <c r="D27" s="5">
        <f>'TD_TotalHtTvaTtc'!D27</f>
        <v/>
      </c>
      <c r="E27" s="5">
        <f>'TD_TotalHtTvaTtc'!E27</f>
        <v/>
      </c>
    </row>
    <row r="28">
      <c r="A28" s="6">
        <f>'TD_TotalHtTvaTtc'!A28</f>
        <v/>
      </c>
      <c r="B28" s="5">
        <f>'TD_TotalHtTvaTtc'!B28</f>
        <v/>
      </c>
      <c r="C28" s="5">
        <f>'TD_TotalHtTvaTtc'!C28</f>
        <v/>
      </c>
      <c r="D28" s="5">
        <f>'TD_TotalHtTvaTtc'!D28</f>
        <v/>
      </c>
      <c r="E28" s="5">
        <f>'TD_TotalHtTvaTtc'!E28</f>
        <v/>
      </c>
    </row>
    <row r="29">
      <c r="A29" s="6">
        <f>'TD_TotalHtTvaTtc'!A29</f>
        <v/>
      </c>
      <c r="B29" s="5">
        <f>'TD_TotalHtTvaTtc'!B29</f>
        <v/>
      </c>
      <c r="C29" s="5">
        <f>'TD_TotalHtTvaTtc'!C29</f>
        <v/>
      </c>
      <c r="D29" s="5">
        <f>'TD_TotalHtTvaTtc'!D29</f>
        <v/>
      </c>
      <c r="E29" s="5">
        <f>'TD_TotalHtTvaTtc'!E29</f>
        <v/>
      </c>
    </row>
    <row r="30">
      <c r="A30" s="6">
        <f>'TD_TotalHtTvaTtc'!A30</f>
        <v/>
      </c>
      <c r="B30" s="5">
        <f>'TD_TotalHtTvaTtc'!B30</f>
        <v/>
      </c>
      <c r="C30" s="5">
        <f>'TD_TotalHtTvaTtc'!C30</f>
        <v/>
      </c>
      <c r="D30" s="5">
        <f>'TD_TotalHtTvaTtc'!D30</f>
        <v/>
      </c>
      <c r="E30" s="5">
        <f>'TD_TotalHtTvaTtc'!E30</f>
        <v/>
      </c>
    </row>
    <row r="31">
      <c r="A31" s="6">
        <f>'TD_TotalHtTvaTtc'!A31</f>
        <v/>
      </c>
      <c r="B31" s="5">
        <f>'TD_TotalHtTvaTtc'!B31</f>
        <v/>
      </c>
      <c r="C31" s="5">
        <f>'TD_TotalHtTvaTtc'!C31</f>
        <v/>
      </c>
      <c r="D31" s="5">
        <f>'TD_TotalHtTvaTtc'!D31</f>
        <v/>
      </c>
      <c r="E31" s="5">
        <f>'TD_TotalHtTvaTtc'!E31</f>
        <v/>
      </c>
    </row>
    <row r="32">
      <c r="A32" s="6">
        <f>'TD_TotalHtTvaTtc'!A32</f>
        <v/>
      </c>
      <c r="B32" s="5">
        <f>'TD_TotalHtTvaTtc'!B32</f>
        <v/>
      </c>
      <c r="C32" s="5">
        <f>'TD_TotalHtTvaTtc'!C32</f>
        <v/>
      </c>
      <c r="D32" s="5">
        <f>'TD_TotalHtTvaTtc'!D32</f>
        <v/>
      </c>
      <c r="E32" s="5">
        <f>'TD_TotalHtTvaTtc'!E32</f>
        <v/>
      </c>
    </row>
    <row r="33">
      <c r="A33" s="6">
        <f>'TD_TotalHtTvaTtc'!A33</f>
        <v/>
      </c>
      <c r="B33" s="5">
        <f>'TD_TotalHtTvaTtc'!B33</f>
        <v/>
      </c>
      <c r="C33" s="5">
        <f>'TD_TotalHtTvaTtc'!C33</f>
        <v/>
      </c>
      <c r="D33" s="5">
        <f>'TD_TotalHtTvaTtc'!D33</f>
        <v/>
      </c>
      <c r="E33" s="5">
        <f>'TD_TotalHtTvaTtc'!E33</f>
        <v/>
      </c>
    </row>
  </sheetData>
  <autoFilter ref="A1:E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2026-08-14T13:10:50Z</dcterms:created>
  <dcterms:modified xsi:type="dcterms:W3CDTF">2026-08-14T13:10:58Z</dcterms:modified>
</cp:coreProperties>
</file>
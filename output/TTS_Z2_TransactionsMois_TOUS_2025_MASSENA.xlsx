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5_MASSENA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Z1_vs_ZZ2" sheetId="7" state="visible" r:id="rId7"/>
    <sheet name="Compare_ZZ1_vs_EJ" sheetId="8" state="visible" r:id="rId8"/>
  </sheets>
  <definedNames>
    <definedName name="_xlnm._FilterDatabase" localSheetId="0" hidden="1">'Z2_2025_MASSENA_0'!$A$1:$M$651</definedName>
    <definedName name="_xlnm._FilterDatabase" localSheetId="1" hidden="1">'Z2_CplteAnneeMois'!$A$1:$O$651</definedName>
    <definedName name="_xlnm._FilterDatabase" localSheetId="2" hidden="1">'TD_TotalNatureTransac'!$A$1:$F$91</definedName>
    <definedName name="_xlnm._FilterDatabase" localSheetId="3" hidden="1">'Z2_Total_ModeZZ1'!$A$1:$L$7</definedName>
    <definedName name="_xlnm._FilterDatabase" localSheetId="4" hidden="1">'Z2_Total_ModeZZ2'!$A$1:$L$7</definedName>
    <definedName name="_xlnm._FilterDatabase" localSheetId="5" hidden="1">'Z2_Total_ModeZ'!$A$1:$L$7</definedName>
    <definedName name="_xlnm._FilterDatabase" localSheetId="6" hidden="1">'Compare_ZZ1_vs_ZZ2'!$A$1:$L$7</definedName>
    <definedName name="_xlnm._FilterDatabase" localSheetId="7" hidden="1">'Compare_ZZ1_vs_EJ'!$A$1:$K$7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mm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2Raw" displayName="Z2Raw" ref="A1:M651" headerRowCount="1">
  <autoFilter ref="A1:M65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651" headerRowCount="1">
  <autoFilter ref="A1:O65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91" headerRowCount="1">
  <autoFilter ref="A1:F91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7" headerRowCount="1">
  <autoFilter ref="A1:L7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7" headerRowCount="1">
  <autoFilter ref="A1:L7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7" headerRowCount="1">
  <autoFilter ref="A1:L7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Modes" displayName="CompareZ2Modes" ref="A1:L7" headerRowCount="1">
  <autoFilter ref="A1:L7"/>
  <tableColumns count="12">
    <tableColumn id="1" name="AJ_ANNEE_Z"/>
    <tableColumn id="2" name="AJ_MOIS_Z"/>
    <tableColumn id="3" name="CARTES_AJ_ECART_QTE"/>
    <tableColumn id="4" name="CARTES_AJ_ECART_MONTANT"/>
    <tableColumn id="5" name="CHEQUES_AJ_ECART_QTE"/>
    <tableColumn id="6" name="CHEQUES_AJ_ECART_MONTANT"/>
    <tableColumn id="7" name="CORRECTION_AJ_ECART_QTE"/>
    <tableColumn id="8" name="CORRECTION_AJ_ECART_MONTANT"/>
    <tableColumn id="9" name="ESPECES_AJ_ECART_QTE"/>
    <tableColumn id="10" name="ESPECES_AJ_ECART_MONTANT"/>
    <tableColumn id="11" name="REF__TIROIR_AJ_ECART_QTE"/>
    <tableColumn id="12" name="REF__TIROIR_AJ_ECART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2EJ" displayName="CompareZ2EJ" ref="A1:K7" headerRowCount="1">
  <autoFilter ref="A1:K7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Z002_31B_072025_MASSENA.CSV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0020</t>
        </is>
      </c>
      <c r="H2" s="4" t="n">
        <v>45869</v>
      </c>
      <c r="I2" s="2" t="inlineStr">
        <is>
          <t>18:40</t>
        </is>
      </c>
      <c r="J2" s="3" t="inlineStr">
        <is>
          <t>0001</t>
        </is>
      </c>
      <c r="K2" s="2" t="inlineStr">
        <is>
          <t>ESPECES</t>
        </is>
      </c>
      <c r="L2" s="5" t="n">
        <v>402</v>
      </c>
      <c r="M2" s="5" t="n">
        <v>221991.1</v>
      </c>
    </row>
    <row r="3">
      <c r="A3" s="2" t="inlineStr">
        <is>
          <t>Z002_31B_072025_MASSENA.CSV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0020</t>
        </is>
      </c>
      <c r="H3" s="4" t="n">
        <v>45869</v>
      </c>
      <c r="I3" s="2" t="inlineStr">
        <is>
          <t>18:40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5" t="n">
        <v>0</v>
      </c>
    </row>
    <row r="4">
      <c r="A4" s="2" t="inlineStr">
        <is>
          <t>Z002_31B_072025_MASSENA.CSV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0020</t>
        </is>
      </c>
      <c r="H4" s="4" t="n">
        <v>45869</v>
      </c>
      <c r="I4" s="2" t="inlineStr">
        <is>
          <t>18:40</t>
        </is>
      </c>
      <c r="J4" s="3" t="inlineStr">
        <is>
          <t>0003</t>
        </is>
      </c>
      <c r="K4" s="2" t="inlineStr">
        <is>
          <t>CARTES</t>
        </is>
      </c>
      <c r="L4" s="5" t="n">
        <v>150</v>
      </c>
      <c r="M4" s="5" t="n">
        <v>108512.5</v>
      </c>
    </row>
    <row r="5">
      <c r="A5" s="2" t="inlineStr">
        <is>
          <t>Z002_31B_072025_MASSENA.CSV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0020</t>
        </is>
      </c>
      <c r="H5" s="4" t="n">
        <v>45869</v>
      </c>
      <c r="I5" s="2" t="inlineStr">
        <is>
          <t>18:40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5" t="n">
        <v>0</v>
      </c>
    </row>
    <row r="6">
      <c r="A6" s="2" t="inlineStr">
        <is>
          <t>Z002_31B_072025_MASSENA.CSV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0020</t>
        </is>
      </c>
      <c r="H6" s="4" t="n">
        <v>45869</v>
      </c>
      <c r="I6" s="2" t="inlineStr">
        <is>
          <t>18:40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5" t="n">
        <v>0</v>
      </c>
    </row>
    <row r="7">
      <c r="A7" s="2" t="inlineStr">
        <is>
          <t>Z002_31B_072025_MASSENA.CSV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0020</t>
        </is>
      </c>
      <c r="H7" s="4" t="n">
        <v>45869</v>
      </c>
      <c r="I7" s="2" t="inlineStr">
        <is>
          <t>18:40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5" t="n">
        <v>0</v>
      </c>
    </row>
    <row r="8">
      <c r="A8" s="2" t="inlineStr">
        <is>
          <t>Z002_31B_072025_MASSENA.CSV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0020</t>
        </is>
      </c>
      <c r="H8" s="4" t="n">
        <v>45869</v>
      </c>
      <c r="I8" s="2" t="inlineStr">
        <is>
          <t>18:40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5" t="n">
        <v>0</v>
      </c>
    </row>
    <row r="9">
      <c r="A9" s="2" t="inlineStr">
        <is>
          <t>Z002_31B_072025_MASSENA.CSV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0020</t>
        </is>
      </c>
      <c r="H9" s="4" t="n">
        <v>45869</v>
      </c>
      <c r="I9" s="2" t="inlineStr">
        <is>
          <t>18:40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5" t="n">
        <v>0</v>
      </c>
    </row>
    <row r="10">
      <c r="A10" s="2" t="inlineStr">
        <is>
          <t>Z002_31B_072025_MASSENA.CSV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0020</t>
        </is>
      </c>
      <c r="H10" s="4" t="n">
        <v>45869</v>
      </c>
      <c r="I10" s="2" t="inlineStr">
        <is>
          <t>18:40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5" t="n">
        <v>0</v>
      </c>
    </row>
    <row r="11">
      <c r="A11" s="2" t="inlineStr">
        <is>
          <t>Z002_31B_072025_MASSENA.CSV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0020</t>
        </is>
      </c>
      <c r="H11" s="4" t="n">
        <v>45869</v>
      </c>
      <c r="I11" s="2" t="inlineStr">
        <is>
          <t>18:40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5" t="n">
        <v>0</v>
      </c>
    </row>
    <row r="12">
      <c r="A12" s="2" t="inlineStr">
        <is>
          <t>Z002_31B_072025_MASSENA.CSV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0020</t>
        </is>
      </c>
      <c r="H12" s="4" t="n">
        <v>45869</v>
      </c>
      <c r="I12" s="2" t="inlineStr">
        <is>
          <t>18:40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5" t="n">
        <v>0</v>
      </c>
    </row>
    <row r="13">
      <c r="A13" s="2" t="inlineStr">
        <is>
          <t>Z002_31B_072025_MASSENA.CSV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0020</t>
        </is>
      </c>
      <c r="H13" s="4" t="n">
        <v>45869</v>
      </c>
      <c r="I13" s="2" t="inlineStr">
        <is>
          <t>18:40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5" t="n">
        <v>0</v>
      </c>
    </row>
    <row r="14">
      <c r="A14" s="2" t="inlineStr">
        <is>
          <t>Z002_31B_072025_MASSENA.CSV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0020</t>
        </is>
      </c>
      <c r="H14" s="4" t="n">
        <v>45869</v>
      </c>
      <c r="I14" s="2" t="inlineStr">
        <is>
          <t>18:40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5" t="n">
        <v>0</v>
      </c>
    </row>
    <row r="15">
      <c r="A15" s="2" t="inlineStr">
        <is>
          <t>Z002_31B_072025_MASSENA.CSV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0020</t>
        </is>
      </c>
      <c r="H15" s="4" t="n">
        <v>45869</v>
      </c>
      <c r="I15" s="2" t="inlineStr">
        <is>
          <t>18:40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5" t="n">
        <v>0</v>
      </c>
    </row>
    <row r="16">
      <c r="A16" s="2" t="inlineStr">
        <is>
          <t>Z002_31B_072025_MASSENA.CSV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0020</t>
        </is>
      </c>
      <c r="H16" s="4" t="n">
        <v>45869</v>
      </c>
      <c r="I16" s="2" t="inlineStr">
        <is>
          <t>18:40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5" t="n">
        <v>0</v>
      </c>
    </row>
    <row r="17">
      <c r="A17" s="2" t="inlineStr">
        <is>
          <t>Z002_31B_072025_MASSENA.CSV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0020</t>
        </is>
      </c>
      <c r="H17" s="4" t="n">
        <v>45869</v>
      </c>
      <c r="I17" s="2" t="inlineStr">
        <is>
          <t>18:40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5" t="n">
        <v>0</v>
      </c>
    </row>
    <row r="18">
      <c r="A18" s="2" t="inlineStr">
        <is>
          <t>Z002_31B_072025_MASSENA.CSV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0020</t>
        </is>
      </c>
      <c r="H18" s="4" t="n">
        <v>45869</v>
      </c>
      <c r="I18" s="2" t="inlineStr">
        <is>
          <t>18:40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5" t="n">
        <v>0</v>
      </c>
    </row>
    <row r="19">
      <c r="A19" s="2" t="inlineStr">
        <is>
          <t>Z002_31B_072025_MASSENA.CSV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0020</t>
        </is>
      </c>
      <c r="H19" s="4" t="n">
        <v>45869</v>
      </c>
      <c r="I19" s="2" t="inlineStr">
        <is>
          <t>18:40</t>
        </is>
      </c>
      <c r="J19" s="3" t="inlineStr">
        <is>
          <t>0018</t>
        </is>
      </c>
      <c r="K19" s="2" t="inlineStr">
        <is>
          <t>CORRECTION</t>
        </is>
      </c>
      <c r="L19" s="5" t="n">
        <v>1</v>
      </c>
      <c r="M19" s="5" t="n">
        <v>329</v>
      </c>
    </row>
    <row r="20">
      <c r="A20" s="2" t="inlineStr">
        <is>
          <t>Z002_31B_072025_MASSENA.CSV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0020</t>
        </is>
      </c>
      <c r="H20" s="4" t="n">
        <v>45869</v>
      </c>
      <c r="I20" s="2" t="inlineStr">
        <is>
          <t>18:40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5" t="n">
        <v>0</v>
      </c>
    </row>
    <row r="21">
      <c r="A21" s="2" t="inlineStr">
        <is>
          <t>Z002_31B_072025_MASSENA.CSV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0020</t>
        </is>
      </c>
      <c r="H21" s="4" t="n">
        <v>45869</v>
      </c>
      <c r="I21" s="2" t="inlineStr">
        <is>
          <t>18:40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5" t="n">
        <v>0</v>
      </c>
    </row>
    <row r="22">
      <c r="A22" s="2" t="inlineStr">
        <is>
          <t>Z002_31B_072025_MASSENA.CSV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0020</t>
        </is>
      </c>
      <c r="H22" s="4" t="n">
        <v>45869</v>
      </c>
      <c r="I22" s="2" t="inlineStr">
        <is>
          <t>18:40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5" t="n">
        <v>0</v>
      </c>
    </row>
    <row r="23">
      <c r="A23" s="2" t="inlineStr">
        <is>
          <t>Z002_31B_072025_MASSENA.CSV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0020</t>
        </is>
      </c>
      <c r="H23" s="4" t="n">
        <v>45869</v>
      </c>
      <c r="I23" s="2" t="inlineStr">
        <is>
          <t>18:40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5" t="n">
        <v>0</v>
      </c>
    </row>
    <row r="24">
      <c r="A24" s="2" t="inlineStr">
        <is>
          <t>Z002_31B_072025_MASSENA.CSV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0020</t>
        </is>
      </c>
      <c r="H24" s="4" t="n">
        <v>45869</v>
      </c>
      <c r="I24" s="2" t="inlineStr">
        <is>
          <t>18:40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5" t="n">
        <v>0</v>
      </c>
    </row>
    <row r="25">
      <c r="A25" s="2" t="inlineStr">
        <is>
          <t>Z002_31B_072025_MASSENA.CSV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0020</t>
        </is>
      </c>
      <c r="H25" s="4" t="n">
        <v>45869</v>
      </c>
      <c r="I25" s="2" t="inlineStr">
        <is>
          <t>18:40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5" t="n">
        <v>0</v>
      </c>
    </row>
    <row r="26">
      <c r="A26" s="2" t="inlineStr">
        <is>
          <t>Z002_31B_072025_MASSENA.CSV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0020</t>
        </is>
      </c>
      <c r="H26" s="4" t="n">
        <v>45869</v>
      </c>
      <c r="I26" s="2" t="inlineStr">
        <is>
          <t>18:40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5" t="n">
        <v>0</v>
      </c>
    </row>
    <row r="27">
      <c r="A27" s="2" t="inlineStr">
        <is>
          <t>Z002_31B_072025_MASSENA.CSV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0020</t>
        </is>
      </c>
      <c r="H27" s="4" t="n">
        <v>45869</v>
      </c>
      <c r="I27" s="2" t="inlineStr">
        <is>
          <t>18:40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5" t="n">
        <v>0</v>
      </c>
    </row>
    <row r="28">
      <c r="A28" s="2" t="inlineStr">
        <is>
          <t>Z002_31B_072025_MASSENA.CSV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0020</t>
        </is>
      </c>
      <c r="H28" s="4" t="n">
        <v>45869</v>
      </c>
      <c r="I28" s="2" t="inlineStr">
        <is>
          <t>18:40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5" t="n">
        <v>0</v>
      </c>
    </row>
    <row r="29">
      <c r="A29" s="2" t="inlineStr">
        <is>
          <t>Z002_31B_072025_MASSENA.CSV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0020</t>
        </is>
      </c>
      <c r="H29" s="4" t="n">
        <v>45869</v>
      </c>
      <c r="I29" s="2" t="inlineStr">
        <is>
          <t>18:40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5" t="n">
        <v>0</v>
      </c>
    </row>
    <row r="30">
      <c r="A30" s="2" t="inlineStr">
        <is>
          <t>Z002_31B_072025_MASSENA.CSV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0020</t>
        </is>
      </c>
      <c r="H30" s="4" t="n">
        <v>45869</v>
      </c>
      <c r="I30" s="2" t="inlineStr">
        <is>
          <t>18:40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5" t="n">
        <v>0</v>
      </c>
    </row>
    <row r="31">
      <c r="A31" s="2" t="inlineStr">
        <is>
          <t>Z002_31B_072025_MASSENA.CSV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0020</t>
        </is>
      </c>
      <c r="H31" s="4" t="n">
        <v>45869</v>
      </c>
      <c r="I31" s="2" t="inlineStr">
        <is>
          <t>18:40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5" t="n">
        <v>0</v>
      </c>
    </row>
    <row r="32">
      <c r="A32" s="2" t="inlineStr">
        <is>
          <t>Z002_31B_072025_MASSENA.CSV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0020</t>
        </is>
      </c>
      <c r="H32" s="4" t="n">
        <v>45869</v>
      </c>
      <c r="I32" s="2" t="inlineStr">
        <is>
          <t>18:40</t>
        </is>
      </c>
      <c r="J32" s="3" t="inlineStr">
        <is>
          <t>0031</t>
        </is>
      </c>
      <c r="K32" s="2" t="inlineStr">
        <is>
          <t>REF./TIROIR</t>
        </is>
      </c>
      <c r="L32" s="5" t="n">
        <v>4</v>
      </c>
      <c r="M32" s="5" t="n">
        <v>0</v>
      </c>
    </row>
    <row r="33">
      <c r="A33" s="2" t="inlineStr">
        <is>
          <t>Z002_31B_072025_MASSENA.CSV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0020</t>
        </is>
      </c>
      <c r="H33" s="4" t="n">
        <v>45869</v>
      </c>
      <c r="I33" s="2" t="inlineStr">
        <is>
          <t>18:40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5" t="n">
        <v>0</v>
      </c>
    </row>
    <row r="34">
      <c r="A34" s="2" t="inlineStr">
        <is>
          <t>Z002_31B_072025_MASSENA.CSV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0020</t>
        </is>
      </c>
      <c r="H34" s="4" t="n">
        <v>45869</v>
      </c>
      <c r="I34" s="2" t="inlineStr">
        <is>
          <t>18:40</t>
        </is>
      </c>
      <c r="J34" s="3" t="inlineStr">
        <is>
          <t>0033</t>
        </is>
      </c>
      <c r="K34" s="2" t="inlineStr"/>
      <c r="L34" s="5" t="n">
        <v>0</v>
      </c>
      <c r="M34" s="5" t="n">
        <v>0</v>
      </c>
    </row>
    <row r="35">
      <c r="A35" s="2" t="inlineStr">
        <is>
          <t>Z002_31B_072025_MASSENA.CSV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0020</t>
        </is>
      </c>
      <c r="H35" s="4" t="n">
        <v>45869</v>
      </c>
      <c r="I35" s="2" t="inlineStr">
        <is>
          <t>18:40</t>
        </is>
      </c>
      <c r="J35" s="3" t="inlineStr">
        <is>
          <t>0034</t>
        </is>
      </c>
      <c r="K35" s="2" t="inlineStr"/>
      <c r="L35" s="5" t="n">
        <v>0</v>
      </c>
      <c r="M35" s="5" t="n">
        <v>0</v>
      </c>
    </row>
    <row r="36">
      <c r="A36" s="2" t="inlineStr">
        <is>
          <t>Z002_31B_072025_MASSENA.CSV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0020</t>
        </is>
      </c>
      <c r="H36" s="4" t="n">
        <v>45869</v>
      </c>
      <c r="I36" s="2" t="inlineStr">
        <is>
          <t>18:40</t>
        </is>
      </c>
      <c r="J36" s="3" t="inlineStr">
        <is>
          <t>0035</t>
        </is>
      </c>
      <c r="K36" s="2" t="inlineStr"/>
      <c r="L36" s="5" t="n">
        <v>0</v>
      </c>
      <c r="M36" s="5" t="n">
        <v>0</v>
      </c>
    </row>
    <row r="37">
      <c r="A37" s="2" t="inlineStr">
        <is>
          <t>Z002_31B_072025_MASSENA.CSV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0020</t>
        </is>
      </c>
      <c r="H37" s="4" t="n">
        <v>45869</v>
      </c>
      <c r="I37" s="2" t="inlineStr">
        <is>
          <t>18:40</t>
        </is>
      </c>
      <c r="J37" s="3" t="inlineStr">
        <is>
          <t>0036</t>
        </is>
      </c>
      <c r="K37" s="2" t="inlineStr"/>
      <c r="L37" s="5" t="n">
        <v>0</v>
      </c>
      <c r="M37" s="5" t="n">
        <v>0</v>
      </c>
    </row>
    <row r="38">
      <c r="A38" s="2" t="inlineStr">
        <is>
          <t>Z002_31B_072025_MASSENA.CSV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0020</t>
        </is>
      </c>
      <c r="H38" s="4" t="n">
        <v>45869</v>
      </c>
      <c r="I38" s="2" t="inlineStr">
        <is>
          <t>18:40</t>
        </is>
      </c>
      <c r="J38" s="3" t="inlineStr">
        <is>
          <t>0037</t>
        </is>
      </c>
      <c r="K38" s="2" t="inlineStr"/>
      <c r="L38" s="5" t="n">
        <v>0</v>
      </c>
      <c r="M38" s="5" t="n">
        <v>0</v>
      </c>
    </row>
    <row r="39">
      <c r="A39" s="2" t="inlineStr">
        <is>
          <t>Z002_31B_072025_MASSENA.CSV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0020</t>
        </is>
      </c>
      <c r="H39" s="4" t="n">
        <v>45869</v>
      </c>
      <c r="I39" s="2" t="inlineStr">
        <is>
          <t>18:40</t>
        </is>
      </c>
      <c r="J39" s="3" t="inlineStr">
        <is>
          <t>0038</t>
        </is>
      </c>
      <c r="K39" s="2" t="inlineStr"/>
      <c r="L39" s="5" t="n">
        <v>0</v>
      </c>
      <c r="M39" s="5" t="n">
        <v>0</v>
      </c>
    </row>
    <row r="40">
      <c r="A40" s="2" t="inlineStr">
        <is>
          <t>Z002_31B_072025_MASSENA.CSV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0020</t>
        </is>
      </c>
      <c r="H40" s="4" t="n">
        <v>45869</v>
      </c>
      <c r="I40" s="2" t="inlineStr">
        <is>
          <t>18:40</t>
        </is>
      </c>
      <c r="J40" s="3" t="inlineStr">
        <is>
          <t>0039</t>
        </is>
      </c>
      <c r="K40" s="2" t="inlineStr"/>
      <c r="L40" s="5" t="n">
        <v>0</v>
      </c>
      <c r="M40" s="5" t="n">
        <v>0</v>
      </c>
    </row>
    <row r="41">
      <c r="A41" s="2" t="inlineStr">
        <is>
          <t>Z002_31B_072025_MASSENA.CSV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0020</t>
        </is>
      </c>
      <c r="H41" s="4" t="n">
        <v>45869</v>
      </c>
      <c r="I41" s="2" t="inlineStr">
        <is>
          <t>18:40</t>
        </is>
      </c>
      <c r="J41" s="3" t="inlineStr">
        <is>
          <t>0040</t>
        </is>
      </c>
      <c r="K41" s="2" t="inlineStr"/>
      <c r="L41" s="5" t="n">
        <v>0</v>
      </c>
      <c r="M41" s="5" t="n">
        <v>0</v>
      </c>
    </row>
    <row r="42">
      <c r="A42" s="2" t="inlineStr">
        <is>
          <t>Z002_31B_072025_MASSENA.CSV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0020</t>
        </is>
      </c>
      <c r="H42" s="4" t="n">
        <v>45869</v>
      </c>
      <c r="I42" s="2" t="inlineStr">
        <is>
          <t>18:40</t>
        </is>
      </c>
      <c r="J42" s="3" t="inlineStr">
        <is>
          <t>0041</t>
        </is>
      </c>
      <c r="K42" s="2" t="inlineStr"/>
      <c r="L42" s="5" t="n">
        <v>0</v>
      </c>
      <c r="M42" s="5" t="n">
        <v>0</v>
      </c>
    </row>
    <row r="43">
      <c r="A43" s="2" t="inlineStr">
        <is>
          <t>Z002_31B_072025_MASSENA.CSV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0020</t>
        </is>
      </c>
      <c r="H43" s="4" t="n">
        <v>45869</v>
      </c>
      <c r="I43" s="2" t="inlineStr">
        <is>
          <t>18:40</t>
        </is>
      </c>
      <c r="J43" s="3" t="inlineStr">
        <is>
          <t>0042</t>
        </is>
      </c>
      <c r="K43" s="2" t="inlineStr"/>
      <c r="L43" s="5" t="n">
        <v>0</v>
      </c>
      <c r="M43" s="5" t="n">
        <v>0</v>
      </c>
    </row>
    <row r="44">
      <c r="A44" s="2" t="inlineStr">
        <is>
          <t>Z002_31B_072025_MASSENA.CSV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0020</t>
        </is>
      </c>
      <c r="H44" s="4" t="n">
        <v>45869</v>
      </c>
      <c r="I44" s="2" t="inlineStr">
        <is>
          <t>18:40</t>
        </is>
      </c>
      <c r="J44" s="3" t="inlineStr">
        <is>
          <t>0043</t>
        </is>
      </c>
      <c r="K44" s="2" t="inlineStr"/>
      <c r="L44" s="5" t="n">
        <v>0</v>
      </c>
      <c r="M44" s="5" t="n">
        <v>0</v>
      </c>
    </row>
    <row r="45">
      <c r="A45" s="2" t="inlineStr">
        <is>
          <t>Z002_31B_072025_MASSENA.CSV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0020</t>
        </is>
      </c>
      <c r="H45" s="4" t="n">
        <v>45869</v>
      </c>
      <c r="I45" s="2" t="inlineStr">
        <is>
          <t>18:40</t>
        </is>
      </c>
      <c r="J45" s="3" t="inlineStr">
        <is>
          <t>0044</t>
        </is>
      </c>
      <c r="K45" s="2" t="inlineStr"/>
      <c r="L45" s="5" t="n">
        <v>0</v>
      </c>
      <c r="M45" s="5" t="n">
        <v>0</v>
      </c>
    </row>
    <row r="46">
      <c r="A46" s="2" t="inlineStr">
        <is>
          <t>Z002_31B_072025_MASSENA.CSV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0020</t>
        </is>
      </c>
      <c r="H46" s="4" t="n">
        <v>45869</v>
      </c>
      <c r="I46" s="2" t="inlineStr">
        <is>
          <t>18:40</t>
        </is>
      </c>
      <c r="J46" s="3" t="inlineStr">
        <is>
          <t>0045</t>
        </is>
      </c>
      <c r="K46" s="2" t="inlineStr"/>
      <c r="L46" s="5" t="n">
        <v>0</v>
      </c>
      <c r="M46" s="5" t="n">
        <v>0</v>
      </c>
    </row>
    <row r="47">
      <c r="A47" s="2" t="inlineStr">
        <is>
          <t>Z002_31B_072025_MASSENA.CSV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0020</t>
        </is>
      </c>
      <c r="H47" s="4" t="n">
        <v>45869</v>
      </c>
      <c r="I47" s="2" t="inlineStr">
        <is>
          <t>18:40</t>
        </is>
      </c>
      <c r="J47" s="3" t="inlineStr">
        <is>
          <t>0046</t>
        </is>
      </c>
      <c r="K47" s="2" t="inlineStr"/>
      <c r="L47" s="5" t="n">
        <v>0</v>
      </c>
      <c r="M47" s="5" t="n">
        <v>0</v>
      </c>
    </row>
    <row r="48">
      <c r="A48" s="2" t="inlineStr">
        <is>
          <t>Z002_31B_072025_MASSENA.CSV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0020</t>
        </is>
      </c>
      <c r="H48" s="4" t="n">
        <v>45869</v>
      </c>
      <c r="I48" s="2" t="inlineStr">
        <is>
          <t>18:40</t>
        </is>
      </c>
      <c r="J48" s="3" t="inlineStr">
        <is>
          <t>0047</t>
        </is>
      </c>
      <c r="K48" s="2" t="inlineStr"/>
      <c r="L48" s="5" t="n">
        <v>0</v>
      </c>
      <c r="M48" s="5" t="n">
        <v>0</v>
      </c>
    </row>
    <row r="49">
      <c r="A49" s="2" t="inlineStr">
        <is>
          <t>Z002_31B_072025_MASSENA.CSV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0020</t>
        </is>
      </c>
      <c r="H49" s="4" t="n">
        <v>45869</v>
      </c>
      <c r="I49" s="2" t="inlineStr">
        <is>
          <t>18:40</t>
        </is>
      </c>
      <c r="J49" s="3" t="inlineStr">
        <is>
          <t>0048</t>
        </is>
      </c>
      <c r="K49" s="2" t="inlineStr"/>
      <c r="L49" s="5" t="n">
        <v>0</v>
      </c>
      <c r="M49" s="5" t="n">
        <v>0</v>
      </c>
    </row>
    <row r="50">
      <c r="A50" s="2" t="inlineStr">
        <is>
          <t>Z002_31B_072025_MASSENA.CSV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0020</t>
        </is>
      </c>
      <c r="H50" s="4" t="n">
        <v>45869</v>
      </c>
      <c r="I50" s="2" t="inlineStr">
        <is>
          <t>18:40</t>
        </is>
      </c>
      <c r="J50" s="3" t="inlineStr">
        <is>
          <t>0049</t>
        </is>
      </c>
      <c r="K50" s="2" t="inlineStr"/>
      <c r="L50" s="5" t="n">
        <v>0</v>
      </c>
      <c r="M50" s="5" t="n">
        <v>0</v>
      </c>
    </row>
    <row r="51">
      <c r="A51" s="2" t="inlineStr">
        <is>
          <t>Z002_31B_072025_MASSENA.CSV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0020</t>
        </is>
      </c>
      <c r="H51" s="4" t="n">
        <v>45869</v>
      </c>
      <c r="I51" s="2" t="inlineStr">
        <is>
          <t>18:40</t>
        </is>
      </c>
      <c r="J51" s="3" t="inlineStr">
        <is>
          <t>0050</t>
        </is>
      </c>
      <c r="K51" s="2" t="inlineStr"/>
      <c r="L51" s="5" t="n">
        <v>0</v>
      </c>
      <c r="M51" s="5" t="n">
        <v>0</v>
      </c>
    </row>
    <row r="52">
      <c r="A52" s="2" t="inlineStr">
        <is>
          <t>Z102_01_022025_MASSENA.CSV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0086</t>
        </is>
      </c>
      <c r="H52" s="4" t="n">
        <v>45717</v>
      </c>
      <c r="I52" s="2" t="inlineStr">
        <is>
          <t>15:41</t>
        </is>
      </c>
      <c r="J52" s="3" t="inlineStr">
        <is>
          <t>0001</t>
        </is>
      </c>
      <c r="K52" s="2" t="inlineStr">
        <is>
          <t>ESPECES</t>
        </is>
      </c>
      <c r="L52" s="5" t="n">
        <v>16</v>
      </c>
      <c r="M52" s="5" t="n">
        <v>10332.8</v>
      </c>
    </row>
    <row r="53">
      <c r="A53" s="2" t="inlineStr">
        <is>
          <t>Z102_01_022025_MASSENA.CSV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0086</t>
        </is>
      </c>
      <c r="H53" s="4" t="n">
        <v>45717</v>
      </c>
      <c r="I53" s="2" t="inlineStr">
        <is>
          <t>15:41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5" t="n">
        <v>0</v>
      </c>
    </row>
    <row r="54">
      <c r="A54" s="2" t="inlineStr">
        <is>
          <t>Z102_01_022025_MASSENA.CSV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0086</t>
        </is>
      </c>
      <c r="H54" s="4" t="n">
        <v>45717</v>
      </c>
      <c r="I54" s="2" t="inlineStr">
        <is>
          <t>15:41</t>
        </is>
      </c>
      <c r="J54" s="3" t="inlineStr">
        <is>
          <t>0003</t>
        </is>
      </c>
      <c r="K54" s="2" t="inlineStr">
        <is>
          <t>CARTES</t>
        </is>
      </c>
      <c r="L54" s="5" t="n">
        <v>7</v>
      </c>
      <c r="M54" s="5" t="n">
        <v>7497</v>
      </c>
    </row>
    <row r="55">
      <c r="A55" s="2" t="inlineStr">
        <is>
          <t>Z102_01_022025_MASSENA.CSV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0086</t>
        </is>
      </c>
      <c r="H55" s="4" t="n">
        <v>45717</v>
      </c>
      <c r="I55" s="2" t="inlineStr">
        <is>
          <t>15:41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5" t="n">
        <v>0</v>
      </c>
    </row>
    <row r="56">
      <c r="A56" s="2" t="inlineStr">
        <is>
          <t>Z102_01_022025_MASSENA.CSV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0086</t>
        </is>
      </c>
      <c r="H56" s="4" t="n">
        <v>45717</v>
      </c>
      <c r="I56" s="2" t="inlineStr">
        <is>
          <t>15:41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5" t="n">
        <v>0</v>
      </c>
    </row>
    <row r="57">
      <c r="A57" s="2" t="inlineStr">
        <is>
          <t>Z102_01_022025_MASSENA.CSV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0086</t>
        </is>
      </c>
      <c r="H57" s="4" t="n">
        <v>45717</v>
      </c>
      <c r="I57" s="2" t="inlineStr">
        <is>
          <t>15:41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5" t="n">
        <v>0</v>
      </c>
    </row>
    <row r="58">
      <c r="A58" s="2" t="inlineStr">
        <is>
          <t>Z102_01_022025_MASSENA.CSV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0086</t>
        </is>
      </c>
      <c r="H58" s="4" t="n">
        <v>45717</v>
      </c>
      <c r="I58" s="2" t="inlineStr">
        <is>
          <t>15:41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5" t="n">
        <v>0</v>
      </c>
    </row>
    <row r="59">
      <c r="A59" s="2" t="inlineStr">
        <is>
          <t>Z102_01_022025_MASSENA.CSV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0086</t>
        </is>
      </c>
      <c r="H59" s="4" t="n">
        <v>45717</v>
      </c>
      <c r="I59" s="2" t="inlineStr">
        <is>
          <t>15:41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5" t="n">
        <v>0</v>
      </c>
    </row>
    <row r="60">
      <c r="A60" s="2" t="inlineStr">
        <is>
          <t>Z102_01_022025_MASSENA.CSV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0086</t>
        </is>
      </c>
      <c r="H60" s="4" t="n">
        <v>45717</v>
      </c>
      <c r="I60" s="2" t="inlineStr">
        <is>
          <t>15:41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5" t="n">
        <v>0</v>
      </c>
    </row>
    <row r="61">
      <c r="A61" s="2" t="inlineStr">
        <is>
          <t>Z102_01_022025_MASSENA.CSV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0086</t>
        </is>
      </c>
      <c r="H61" s="4" t="n">
        <v>45717</v>
      </c>
      <c r="I61" s="2" t="inlineStr">
        <is>
          <t>15:41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5" t="n">
        <v>0</v>
      </c>
    </row>
    <row r="62">
      <c r="A62" s="2" t="inlineStr">
        <is>
          <t>Z102_01_022025_MASSENA.CSV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0086</t>
        </is>
      </c>
      <c r="H62" s="4" t="n">
        <v>45717</v>
      </c>
      <c r="I62" s="2" t="inlineStr">
        <is>
          <t>15:41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5" t="n">
        <v>0</v>
      </c>
    </row>
    <row r="63">
      <c r="A63" s="2" t="inlineStr">
        <is>
          <t>Z102_01_022025_MASSENA.CSV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0086</t>
        </is>
      </c>
      <c r="H63" s="4" t="n">
        <v>45717</v>
      </c>
      <c r="I63" s="2" t="inlineStr">
        <is>
          <t>15:41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5" t="n">
        <v>0</v>
      </c>
    </row>
    <row r="64">
      <c r="A64" s="2" t="inlineStr">
        <is>
          <t>Z102_01_022025_MASSENA.CSV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0086</t>
        </is>
      </c>
      <c r="H64" s="4" t="n">
        <v>45717</v>
      </c>
      <c r="I64" s="2" t="inlineStr">
        <is>
          <t>15:41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5" t="n">
        <v>0</v>
      </c>
    </row>
    <row r="65">
      <c r="A65" s="2" t="inlineStr">
        <is>
          <t>Z102_01_022025_MASSENA.CSV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0086</t>
        </is>
      </c>
      <c r="H65" s="4" t="n">
        <v>45717</v>
      </c>
      <c r="I65" s="2" t="inlineStr">
        <is>
          <t>15:41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5" t="n">
        <v>0</v>
      </c>
    </row>
    <row r="66">
      <c r="A66" s="2" t="inlineStr">
        <is>
          <t>Z102_01_022025_MASSENA.CSV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0086</t>
        </is>
      </c>
      <c r="H66" s="4" t="n">
        <v>45717</v>
      </c>
      <c r="I66" s="2" t="inlineStr">
        <is>
          <t>15:41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5" t="n">
        <v>0</v>
      </c>
    </row>
    <row r="67">
      <c r="A67" s="2" t="inlineStr">
        <is>
          <t>Z102_01_022025_MASSENA.CSV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0086</t>
        </is>
      </c>
      <c r="H67" s="4" t="n">
        <v>45717</v>
      </c>
      <c r="I67" s="2" t="inlineStr">
        <is>
          <t>15:41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5" t="n">
        <v>0</v>
      </c>
    </row>
    <row r="68">
      <c r="A68" s="2" t="inlineStr">
        <is>
          <t>Z102_01_022025_MASSENA.CSV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0086</t>
        </is>
      </c>
      <c r="H68" s="4" t="n">
        <v>45717</v>
      </c>
      <c r="I68" s="2" t="inlineStr">
        <is>
          <t>15:41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5" t="n">
        <v>0</v>
      </c>
    </row>
    <row r="69">
      <c r="A69" s="2" t="inlineStr">
        <is>
          <t>Z102_01_022025_MASSENA.CSV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0086</t>
        </is>
      </c>
      <c r="H69" s="4" t="n">
        <v>45717</v>
      </c>
      <c r="I69" s="2" t="inlineStr">
        <is>
          <t>15:41</t>
        </is>
      </c>
      <c r="J69" s="3" t="inlineStr">
        <is>
          <t>0018</t>
        </is>
      </c>
      <c r="K69" s="2" t="inlineStr">
        <is>
          <t>CORRECTION</t>
        </is>
      </c>
      <c r="L69" s="5" t="n">
        <v>1</v>
      </c>
      <c r="M69" s="5" t="n">
        <v>329</v>
      </c>
    </row>
    <row r="70">
      <c r="A70" s="2" t="inlineStr">
        <is>
          <t>Z102_01_022025_MASSENA.CSV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0086</t>
        </is>
      </c>
      <c r="H70" s="4" t="n">
        <v>45717</v>
      </c>
      <c r="I70" s="2" t="inlineStr">
        <is>
          <t>15:41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5" t="n">
        <v>0</v>
      </c>
    </row>
    <row r="71">
      <c r="A71" s="2" t="inlineStr">
        <is>
          <t>Z102_01_022025_MASSENA.CSV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0086</t>
        </is>
      </c>
      <c r="H71" s="4" t="n">
        <v>45717</v>
      </c>
      <c r="I71" s="2" t="inlineStr">
        <is>
          <t>15:41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5" t="n">
        <v>0</v>
      </c>
    </row>
    <row r="72">
      <c r="A72" s="2" t="inlineStr">
        <is>
          <t>Z102_01_022025_MASSENA.CSV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0086</t>
        </is>
      </c>
      <c r="H72" s="4" t="n">
        <v>45717</v>
      </c>
      <c r="I72" s="2" t="inlineStr">
        <is>
          <t>15:41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5" t="n">
        <v>0</v>
      </c>
    </row>
    <row r="73">
      <c r="A73" s="2" t="inlineStr">
        <is>
          <t>Z102_01_022025_MASSENA.CSV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0086</t>
        </is>
      </c>
      <c r="H73" s="4" t="n">
        <v>45717</v>
      </c>
      <c r="I73" s="2" t="inlineStr">
        <is>
          <t>15:41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5" t="n">
        <v>0</v>
      </c>
    </row>
    <row r="74">
      <c r="A74" s="2" t="inlineStr">
        <is>
          <t>Z102_01_022025_MASSENA.CSV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0086</t>
        </is>
      </c>
      <c r="H74" s="4" t="n">
        <v>45717</v>
      </c>
      <c r="I74" s="2" t="inlineStr">
        <is>
          <t>15:41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5" t="n">
        <v>0</v>
      </c>
    </row>
    <row r="75">
      <c r="A75" s="2" t="inlineStr">
        <is>
          <t>Z102_01_022025_MASSENA.CSV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0086</t>
        </is>
      </c>
      <c r="H75" s="4" t="n">
        <v>45717</v>
      </c>
      <c r="I75" s="2" t="inlineStr">
        <is>
          <t>15:41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5" t="n">
        <v>0</v>
      </c>
    </row>
    <row r="76">
      <c r="A76" s="2" t="inlineStr">
        <is>
          <t>Z102_01_022025_MASSENA.CSV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0086</t>
        </is>
      </c>
      <c r="H76" s="4" t="n">
        <v>45717</v>
      </c>
      <c r="I76" s="2" t="inlineStr">
        <is>
          <t>15:41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5" t="n">
        <v>0</v>
      </c>
    </row>
    <row r="77">
      <c r="A77" s="2" t="inlineStr">
        <is>
          <t>Z102_01_022025_MASSENA.CSV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0086</t>
        </is>
      </c>
      <c r="H77" s="4" t="n">
        <v>45717</v>
      </c>
      <c r="I77" s="2" t="inlineStr">
        <is>
          <t>15:41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5" t="n">
        <v>0</v>
      </c>
    </row>
    <row r="78">
      <c r="A78" s="2" t="inlineStr">
        <is>
          <t>Z102_01_022025_MASSENA.CSV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0086</t>
        </is>
      </c>
      <c r="H78" s="4" t="n">
        <v>45717</v>
      </c>
      <c r="I78" s="2" t="inlineStr">
        <is>
          <t>15:41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5" t="n">
        <v>0</v>
      </c>
    </row>
    <row r="79">
      <c r="A79" s="2" t="inlineStr">
        <is>
          <t>Z102_01_022025_MASSENA.CSV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0086</t>
        </is>
      </c>
      <c r="H79" s="4" t="n">
        <v>45717</v>
      </c>
      <c r="I79" s="2" t="inlineStr">
        <is>
          <t>15:41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5" t="n">
        <v>0</v>
      </c>
    </row>
    <row r="80">
      <c r="A80" s="2" t="inlineStr">
        <is>
          <t>Z102_01_022025_MASSENA.CSV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0086</t>
        </is>
      </c>
      <c r="H80" s="4" t="n">
        <v>45717</v>
      </c>
      <c r="I80" s="2" t="inlineStr">
        <is>
          <t>15:41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5" t="n">
        <v>0</v>
      </c>
    </row>
    <row r="81">
      <c r="A81" s="2" t="inlineStr">
        <is>
          <t>Z102_01_022025_MASSENA.CSV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0086</t>
        </is>
      </c>
      <c r="H81" s="4" t="n">
        <v>45717</v>
      </c>
      <c r="I81" s="2" t="inlineStr">
        <is>
          <t>15:41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5" t="n">
        <v>0</v>
      </c>
    </row>
    <row r="82">
      <c r="A82" s="2" t="inlineStr">
        <is>
          <t>Z102_01_022025_MASSENA.CSV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0086</t>
        </is>
      </c>
      <c r="H82" s="4" t="n">
        <v>45717</v>
      </c>
      <c r="I82" s="2" t="inlineStr">
        <is>
          <t>15:41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5" t="n">
        <v>0</v>
      </c>
    </row>
    <row r="83">
      <c r="A83" s="2" t="inlineStr">
        <is>
          <t>Z102_01_022025_MASSENA.CSV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0086</t>
        </is>
      </c>
      <c r="H83" s="4" t="n">
        <v>45717</v>
      </c>
      <c r="I83" s="2" t="inlineStr">
        <is>
          <t>15:41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5" t="n">
        <v>0</v>
      </c>
    </row>
    <row r="84">
      <c r="A84" s="2" t="inlineStr">
        <is>
          <t>Z102_01_022025_MASSENA.CSV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0086</t>
        </is>
      </c>
      <c r="H84" s="4" t="n">
        <v>45717</v>
      </c>
      <c r="I84" s="2" t="inlineStr">
        <is>
          <t>15:41</t>
        </is>
      </c>
      <c r="J84" s="3" t="inlineStr">
        <is>
          <t>0033</t>
        </is>
      </c>
      <c r="K84" s="2" t="inlineStr"/>
      <c r="L84" s="5" t="n">
        <v>0</v>
      </c>
      <c r="M84" s="5" t="n">
        <v>0</v>
      </c>
    </row>
    <row r="85">
      <c r="A85" s="2" t="inlineStr">
        <is>
          <t>Z102_01_022025_MASSENA.CSV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0086</t>
        </is>
      </c>
      <c r="H85" s="4" t="n">
        <v>45717</v>
      </c>
      <c r="I85" s="2" t="inlineStr">
        <is>
          <t>15:41</t>
        </is>
      </c>
      <c r="J85" s="3" t="inlineStr">
        <is>
          <t>0034</t>
        </is>
      </c>
      <c r="K85" s="2" t="inlineStr"/>
      <c r="L85" s="5" t="n">
        <v>0</v>
      </c>
      <c r="M85" s="5" t="n">
        <v>0</v>
      </c>
    </row>
    <row r="86">
      <c r="A86" s="2" t="inlineStr">
        <is>
          <t>Z102_01_022025_MASSENA.CSV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0086</t>
        </is>
      </c>
      <c r="H86" s="4" t="n">
        <v>45717</v>
      </c>
      <c r="I86" s="2" t="inlineStr">
        <is>
          <t>15:41</t>
        </is>
      </c>
      <c r="J86" s="3" t="inlineStr">
        <is>
          <t>0035</t>
        </is>
      </c>
      <c r="K86" s="2" t="inlineStr"/>
      <c r="L86" s="5" t="n">
        <v>0</v>
      </c>
      <c r="M86" s="5" t="n">
        <v>0</v>
      </c>
    </row>
    <row r="87">
      <c r="A87" s="2" t="inlineStr">
        <is>
          <t>Z102_01_022025_MASSENA.CSV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0086</t>
        </is>
      </c>
      <c r="H87" s="4" t="n">
        <v>45717</v>
      </c>
      <c r="I87" s="2" t="inlineStr">
        <is>
          <t>15:41</t>
        </is>
      </c>
      <c r="J87" s="3" t="inlineStr">
        <is>
          <t>0036</t>
        </is>
      </c>
      <c r="K87" s="2" t="inlineStr"/>
      <c r="L87" s="5" t="n">
        <v>0</v>
      </c>
      <c r="M87" s="5" t="n">
        <v>0</v>
      </c>
    </row>
    <row r="88">
      <c r="A88" s="2" t="inlineStr">
        <is>
          <t>Z102_01_022025_MASSENA.CSV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0086</t>
        </is>
      </c>
      <c r="H88" s="4" t="n">
        <v>45717</v>
      </c>
      <c r="I88" s="2" t="inlineStr">
        <is>
          <t>15:41</t>
        </is>
      </c>
      <c r="J88" s="3" t="inlineStr">
        <is>
          <t>0037</t>
        </is>
      </c>
      <c r="K88" s="2" t="inlineStr"/>
      <c r="L88" s="5" t="n">
        <v>0</v>
      </c>
      <c r="M88" s="5" t="n">
        <v>0</v>
      </c>
    </row>
    <row r="89">
      <c r="A89" s="2" t="inlineStr">
        <is>
          <t>Z102_01_022025_MASSENA.CSV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0086</t>
        </is>
      </c>
      <c r="H89" s="4" t="n">
        <v>45717</v>
      </c>
      <c r="I89" s="2" t="inlineStr">
        <is>
          <t>15:41</t>
        </is>
      </c>
      <c r="J89" s="3" t="inlineStr">
        <is>
          <t>0038</t>
        </is>
      </c>
      <c r="K89" s="2" t="inlineStr"/>
      <c r="L89" s="5" t="n">
        <v>0</v>
      </c>
      <c r="M89" s="5" t="n">
        <v>0</v>
      </c>
    </row>
    <row r="90">
      <c r="A90" s="2" t="inlineStr">
        <is>
          <t>Z102_01_022025_MASSENA.CSV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0086</t>
        </is>
      </c>
      <c r="H90" s="4" t="n">
        <v>45717</v>
      </c>
      <c r="I90" s="2" t="inlineStr">
        <is>
          <t>15:41</t>
        </is>
      </c>
      <c r="J90" s="3" t="inlineStr">
        <is>
          <t>0039</t>
        </is>
      </c>
      <c r="K90" s="2" t="inlineStr"/>
      <c r="L90" s="5" t="n">
        <v>0</v>
      </c>
      <c r="M90" s="5" t="n">
        <v>0</v>
      </c>
    </row>
    <row r="91">
      <c r="A91" s="2" t="inlineStr">
        <is>
          <t>Z102_01_022025_MASSENA.CSV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0086</t>
        </is>
      </c>
      <c r="H91" s="4" t="n">
        <v>45717</v>
      </c>
      <c r="I91" s="2" t="inlineStr">
        <is>
          <t>15:41</t>
        </is>
      </c>
      <c r="J91" s="3" t="inlineStr">
        <is>
          <t>0040</t>
        </is>
      </c>
      <c r="K91" s="2" t="inlineStr"/>
      <c r="L91" s="5" t="n">
        <v>0</v>
      </c>
      <c r="M91" s="5" t="n">
        <v>0</v>
      </c>
    </row>
    <row r="92">
      <c r="A92" s="2" t="inlineStr">
        <is>
          <t>Z102_01_022025_MASSENA.CSV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0086</t>
        </is>
      </c>
      <c r="H92" s="4" t="n">
        <v>45717</v>
      </c>
      <c r="I92" s="2" t="inlineStr">
        <is>
          <t>15:41</t>
        </is>
      </c>
      <c r="J92" s="3" t="inlineStr">
        <is>
          <t>0041</t>
        </is>
      </c>
      <c r="K92" s="2" t="inlineStr"/>
      <c r="L92" s="5" t="n">
        <v>0</v>
      </c>
      <c r="M92" s="5" t="n">
        <v>0</v>
      </c>
    </row>
    <row r="93">
      <c r="A93" s="2" t="inlineStr">
        <is>
          <t>Z102_01_022025_MASSENA.CSV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0086</t>
        </is>
      </c>
      <c r="H93" s="4" t="n">
        <v>45717</v>
      </c>
      <c r="I93" s="2" t="inlineStr">
        <is>
          <t>15:41</t>
        </is>
      </c>
      <c r="J93" s="3" t="inlineStr">
        <is>
          <t>0042</t>
        </is>
      </c>
      <c r="K93" s="2" t="inlineStr"/>
      <c r="L93" s="5" t="n">
        <v>0</v>
      </c>
      <c r="M93" s="5" t="n">
        <v>0</v>
      </c>
    </row>
    <row r="94">
      <c r="A94" s="2" t="inlineStr">
        <is>
          <t>Z102_01_022025_MASSENA.CSV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0086</t>
        </is>
      </c>
      <c r="H94" s="4" t="n">
        <v>45717</v>
      </c>
      <c r="I94" s="2" t="inlineStr">
        <is>
          <t>15:41</t>
        </is>
      </c>
      <c r="J94" s="3" t="inlineStr">
        <is>
          <t>0043</t>
        </is>
      </c>
      <c r="K94" s="2" t="inlineStr"/>
      <c r="L94" s="5" t="n">
        <v>0</v>
      </c>
      <c r="M94" s="5" t="n">
        <v>0</v>
      </c>
    </row>
    <row r="95">
      <c r="A95" s="2" t="inlineStr">
        <is>
          <t>Z102_01_022025_MASSENA.CSV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0086</t>
        </is>
      </c>
      <c r="H95" s="4" t="n">
        <v>45717</v>
      </c>
      <c r="I95" s="2" t="inlineStr">
        <is>
          <t>15:41</t>
        </is>
      </c>
      <c r="J95" s="3" t="inlineStr">
        <is>
          <t>0044</t>
        </is>
      </c>
      <c r="K95" s="2" t="inlineStr"/>
      <c r="L95" s="5" t="n">
        <v>0</v>
      </c>
      <c r="M95" s="5" t="n">
        <v>0</v>
      </c>
    </row>
    <row r="96">
      <c r="A96" s="2" t="inlineStr">
        <is>
          <t>Z102_01_022025_MASSENA.CSV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0086</t>
        </is>
      </c>
      <c r="H96" s="4" t="n">
        <v>45717</v>
      </c>
      <c r="I96" s="2" t="inlineStr">
        <is>
          <t>15:41</t>
        </is>
      </c>
      <c r="J96" s="3" t="inlineStr">
        <is>
          <t>0045</t>
        </is>
      </c>
      <c r="K96" s="2" t="inlineStr"/>
      <c r="L96" s="5" t="n">
        <v>0</v>
      </c>
      <c r="M96" s="5" t="n">
        <v>0</v>
      </c>
    </row>
    <row r="97">
      <c r="A97" s="2" t="inlineStr">
        <is>
          <t>Z102_01_022025_MASSENA.CSV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0086</t>
        </is>
      </c>
      <c r="H97" s="4" t="n">
        <v>45717</v>
      </c>
      <c r="I97" s="2" t="inlineStr">
        <is>
          <t>15:41</t>
        </is>
      </c>
      <c r="J97" s="3" t="inlineStr">
        <is>
          <t>0046</t>
        </is>
      </c>
      <c r="K97" s="2" t="inlineStr"/>
      <c r="L97" s="5" t="n">
        <v>0</v>
      </c>
      <c r="M97" s="5" t="n">
        <v>0</v>
      </c>
    </row>
    <row r="98">
      <c r="A98" s="2" t="inlineStr">
        <is>
          <t>Z102_01_022025_MASSENA.CSV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0086</t>
        </is>
      </c>
      <c r="H98" s="4" t="n">
        <v>45717</v>
      </c>
      <c r="I98" s="2" t="inlineStr">
        <is>
          <t>15:41</t>
        </is>
      </c>
      <c r="J98" s="3" t="inlineStr">
        <is>
          <t>0047</t>
        </is>
      </c>
      <c r="K98" s="2" t="inlineStr"/>
      <c r="L98" s="5" t="n">
        <v>0</v>
      </c>
      <c r="M98" s="5" t="n">
        <v>0</v>
      </c>
    </row>
    <row r="99">
      <c r="A99" s="2" t="inlineStr">
        <is>
          <t>Z102_01_022025_MASSENA.CSV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0086</t>
        </is>
      </c>
      <c r="H99" s="4" t="n">
        <v>45717</v>
      </c>
      <c r="I99" s="2" t="inlineStr">
        <is>
          <t>15:41</t>
        </is>
      </c>
      <c r="J99" s="3" t="inlineStr">
        <is>
          <t>0048</t>
        </is>
      </c>
      <c r="K99" s="2" t="inlineStr"/>
      <c r="L99" s="5" t="n">
        <v>0</v>
      </c>
      <c r="M99" s="5" t="n">
        <v>0</v>
      </c>
    </row>
    <row r="100">
      <c r="A100" s="2" t="inlineStr">
        <is>
          <t>Z102_01_022025_MASSENA.CSV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0086</t>
        </is>
      </c>
      <c r="H100" s="4" t="n">
        <v>45717</v>
      </c>
      <c r="I100" s="2" t="inlineStr">
        <is>
          <t>15:41</t>
        </is>
      </c>
      <c r="J100" s="3" t="inlineStr">
        <is>
          <t>0049</t>
        </is>
      </c>
      <c r="K100" s="2" t="inlineStr"/>
      <c r="L100" s="5" t="n">
        <v>0</v>
      </c>
      <c r="M100" s="5" t="n">
        <v>0</v>
      </c>
    </row>
    <row r="101">
      <c r="A101" s="2" t="inlineStr">
        <is>
          <t>Z102_01_022025_MASSENA.CSV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0086</t>
        </is>
      </c>
      <c r="H101" s="4" t="n">
        <v>45717</v>
      </c>
      <c r="I101" s="2" t="inlineStr">
        <is>
          <t>15:41</t>
        </is>
      </c>
      <c r="J101" s="3" t="inlineStr">
        <is>
          <t>0050</t>
        </is>
      </c>
      <c r="K101" s="2" t="inlineStr"/>
      <c r="L101" s="5" t="n">
        <v>0</v>
      </c>
      <c r="M101" s="5" t="n">
        <v>0</v>
      </c>
    </row>
    <row r="102">
      <c r="A102" s="2" t="inlineStr">
        <is>
          <t>Z102_01_042025_052025_062025_MASSENA.CSV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0088</t>
        </is>
      </c>
      <c r="H102" s="4" t="n">
        <v>45839</v>
      </c>
      <c r="I102" s="2" t="inlineStr">
        <is>
          <t>09:58</t>
        </is>
      </c>
      <c r="J102" s="3" t="inlineStr">
        <is>
          <t>0001</t>
        </is>
      </c>
      <c r="K102" s="2" t="inlineStr">
        <is>
          <t>ESPECES</t>
        </is>
      </c>
      <c r="L102" s="5" t="n">
        <v>18</v>
      </c>
      <c r="M102" s="5" t="n">
        <v>6815.7</v>
      </c>
    </row>
    <row r="103">
      <c r="A103" s="2" t="inlineStr">
        <is>
          <t>Z102_01_042025_052025_062025_MASSENA.CSV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0088</t>
        </is>
      </c>
      <c r="H103" s="4" t="n">
        <v>45839</v>
      </c>
      <c r="I103" s="2" t="inlineStr">
        <is>
          <t>09:58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5" t="n">
        <v>0</v>
      </c>
    </row>
    <row r="104">
      <c r="A104" s="2" t="inlineStr">
        <is>
          <t>Z102_01_042025_052025_062025_MASSENA.CSV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0088</t>
        </is>
      </c>
      <c r="H104" s="4" t="n">
        <v>45839</v>
      </c>
      <c r="I104" s="2" t="inlineStr">
        <is>
          <t>09:58</t>
        </is>
      </c>
      <c r="J104" s="3" t="inlineStr">
        <is>
          <t>0003</t>
        </is>
      </c>
      <c r="K104" s="2" t="inlineStr">
        <is>
          <t>CARTES</t>
        </is>
      </c>
      <c r="L104" s="5" t="n">
        <v>16</v>
      </c>
      <c r="M104" s="5" t="n">
        <v>5642.4</v>
      </c>
    </row>
    <row r="105">
      <c r="A105" s="2" t="inlineStr">
        <is>
          <t>Z102_01_042025_052025_062025_MASSENA.CSV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0088</t>
        </is>
      </c>
      <c r="H105" s="4" t="n">
        <v>45839</v>
      </c>
      <c r="I105" s="2" t="inlineStr">
        <is>
          <t>09:58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5" t="n">
        <v>0</v>
      </c>
    </row>
    <row r="106">
      <c r="A106" s="2" t="inlineStr">
        <is>
          <t>Z102_01_042025_052025_062025_MASSENA.CSV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0088</t>
        </is>
      </c>
      <c r="H106" s="4" t="n">
        <v>45839</v>
      </c>
      <c r="I106" s="2" t="inlineStr">
        <is>
          <t>09:58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5" t="n">
        <v>0</v>
      </c>
    </row>
    <row r="107">
      <c r="A107" s="2" t="inlineStr">
        <is>
          <t>Z102_01_042025_052025_062025_MASSENA.CSV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0088</t>
        </is>
      </c>
      <c r="H107" s="4" t="n">
        <v>45839</v>
      </c>
      <c r="I107" s="2" t="inlineStr">
        <is>
          <t>09:58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5" t="n">
        <v>0</v>
      </c>
    </row>
    <row r="108">
      <c r="A108" s="2" t="inlineStr">
        <is>
          <t>Z102_01_042025_052025_062025_MASSENA.CSV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0088</t>
        </is>
      </c>
      <c r="H108" s="4" t="n">
        <v>45839</v>
      </c>
      <c r="I108" s="2" t="inlineStr">
        <is>
          <t>09:58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5" t="n">
        <v>0</v>
      </c>
    </row>
    <row r="109">
      <c r="A109" s="2" t="inlineStr">
        <is>
          <t>Z102_01_042025_052025_062025_MASSENA.CSV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0088</t>
        </is>
      </c>
      <c r="H109" s="4" t="n">
        <v>45839</v>
      </c>
      <c r="I109" s="2" t="inlineStr">
        <is>
          <t>09:58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5" t="n">
        <v>0</v>
      </c>
    </row>
    <row r="110">
      <c r="A110" s="2" t="inlineStr">
        <is>
          <t>Z102_01_042025_052025_062025_MASSENA.CSV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0088</t>
        </is>
      </c>
      <c r="H110" s="4" t="n">
        <v>45839</v>
      </c>
      <c r="I110" s="2" t="inlineStr">
        <is>
          <t>09:58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5" t="n">
        <v>0</v>
      </c>
    </row>
    <row r="111">
      <c r="A111" s="2" t="inlineStr">
        <is>
          <t>Z102_01_042025_052025_062025_MASSENA.CSV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0088</t>
        </is>
      </c>
      <c r="H111" s="4" t="n">
        <v>45839</v>
      </c>
      <c r="I111" s="2" t="inlineStr">
        <is>
          <t>09:58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5" t="n">
        <v>0</v>
      </c>
    </row>
    <row r="112">
      <c r="A112" s="2" t="inlineStr">
        <is>
          <t>Z102_01_042025_052025_062025_MASSENA.CSV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0088</t>
        </is>
      </c>
      <c r="H112" s="4" t="n">
        <v>45839</v>
      </c>
      <c r="I112" s="2" t="inlineStr">
        <is>
          <t>09:58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5" t="n">
        <v>0</v>
      </c>
    </row>
    <row r="113">
      <c r="A113" s="2" t="inlineStr">
        <is>
          <t>Z102_01_042025_052025_062025_MASSENA.CSV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0088</t>
        </is>
      </c>
      <c r="H113" s="4" t="n">
        <v>45839</v>
      </c>
      <c r="I113" s="2" t="inlineStr">
        <is>
          <t>09:58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5" t="n">
        <v>0</v>
      </c>
    </row>
    <row r="114">
      <c r="A114" s="2" t="inlineStr">
        <is>
          <t>Z102_01_042025_052025_062025_MASSENA.CSV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0088</t>
        </is>
      </c>
      <c r="H114" s="4" t="n">
        <v>45839</v>
      </c>
      <c r="I114" s="2" t="inlineStr">
        <is>
          <t>09:58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5" t="n">
        <v>0</v>
      </c>
    </row>
    <row r="115">
      <c r="A115" s="2" t="inlineStr">
        <is>
          <t>Z102_01_042025_052025_062025_MASSENA.CSV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0088</t>
        </is>
      </c>
      <c r="H115" s="4" t="n">
        <v>45839</v>
      </c>
      <c r="I115" s="2" t="inlineStr">
        <is>
          <t>09:58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5" t="n">
        <v>0</v>
      </c>
    </row>
    <row r="116">
      <c r="A116" s="2" t="inlineStr">
        <is>
          <t>Z102_01_042025_052025_062025_MASSENA.CSV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0088</t>
        </is>
      </c>
      <c r="H116" s="4" t="n">
        <v>45839</v>
      </c>
      <c r="I116" s="2" t="inlineStr">
        <is>
          <t>09:58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5" t="n">
        <v>0</v>
      </c>
    </row>
    <row r="117">
      <c r="A117" s="2" t="inlineStr">
        <is>
          <t>Z102_01_042025_052025_062025_MASSENA.CSV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0088</t>
        </is>
      </c>
      <c r="H117" s="4" t="n">
        <v>45839</v>
      </c>
      <c r="I117" s="2" t="inlineStr">
        <is>
          <t>09:58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5" t="n">
        <v>0</v>
      </c>
    </row>
    <row r="118">
      <c r="A118" s="2" t="inlineStr">
        <is>
          <t>Z102_01_042025_052025_062025_MASSENA.CSV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0088</t>
        </is>
      </c>
      <c r="H118" s="4" t="n">
        <v>45839</v>
      </c>
      <c r="I118" s="2" t="inlineStr">
        <is>
          <t>09:58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5" t="n">
        <v>0</v>
      </c>
    </row>
    <row r="119">
      <c r="A119" s="2" t="inlineStr">
        <is>
          <t>Z102_01_042025_052025_062025_MASSENA.CSV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0088</t>
        </is>
      </c>
      <c r="H119" s="4" t="n">
        <v>45839</v>
      </c>
      <c r="I119" s="2" t="inlineStr">
        <is>
          <t>09:58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5" t="n">
        <v>0</v>
      </c>
    </row>
    <row r="120">
      <c r="A120" s="2" t="inlineStr">
        <is>
          <t>Z102_01_042025_052025_062025_MASSENA.CSV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0088</t>
        </is>
      </c>
      <c r="H120" s="4" t="n">
        <v>45839</v>
      </c>
      <c r="I120" s="2" t="inlineStr">
        <is>
          <t>09:58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5" t="n">
        <v>0</v>
      </c>
    </row>
    <row r="121">
      <c r="A121" s="2" t="inlineStr">
        <is>
          <t>Z102_01_042025_052025_062025_MASSENA.CSV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0088</t>
        </is>
      </c>
      <c r="H121" s="4" t="n">
        <v>45839</v>
      </c>
      <c r="I121" s="2" t="inlineStr">
        <is>
          <t>09:58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5" t="n">
        <v>0</v>
      </c>
    </row>
    <row r="122">
      <c r="A122" s="2" t="inlineStr">
        <is>
          <t>Z102_01_042025_052025_062025_MASSENA.CSV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0088</t>
        </is>
      </c>
      <c r="H122" s="4" t="n">
        <v>45839</v>
      </c>
      <c r="I122" s="2" t="inlineStr">
        <is>
          <t>09:58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5" t="n">
        <v>0</v>
      </c>
    </row>
    <row r="123">
      <c r="A123" s="2" t="inlineStr">
        <is>
          <t>Z102_01_042025_052025_062025_MASSENA.CSV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0088</t>
        </is>
      </c>
      <c r="H123" s="4" t="n">
        <v>45839</v>
      </c>
      <c r="I123" s="2" t="inlineStr">
        <is>
          <t>09:58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5" t="n">
        <v>0</v>
      </c>
    </row>
    <row r="124">
      <c r="A124" s="2" t="inlineStr">
        <is>
          <t>Z102_01_042025_052025_062025_MASSENA.CSV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0088</t>
        </is>
      </c>
      <c r="H124" s="4" t="n">
        <v>45839</v>
      </c>
      <c r="I124" s="2" t="inlineStr">
        <is>
          <t>09:58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5" t="n">
        <v>0</v>
      </c>
    </row>
    <row r="125">
      <c r="A125" s="2" t="inlineStr">
        <is>
          <t>Z102_01_042025_052025_062025_MASSENA.CSV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0088</t>
        </is>
      </c>
      <c r="H125" s="4" t="n">
        <v>45839</v>
      </c>
      <c r="I125" s="2" t="inlineStr">
        <is>
          <t>09:58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5" t="n">
        <v>0</v>
      </c>
    </row>
    <row r="126">
      <c r="A126" s="2" t="inlineStr">
        <is>
          <t>Z102_01_042025_052025_062025_MASSENA.CSV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0088</t>
        </is>
      </c>
      <c r="H126" s="4" t="n">
        <v>45839</v>
      </c>
      <c r="I126" s="2" t="inlineStr">
        <is>
          <t>09:58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5" t="n">
        <v>0</v>
      </c>
    </row>
    <row r="127">
      <c r="A127" s="2" t="inlineStr">
        <is>
          <t>Z102_01_042025_052025_062025_MASSENA.CSV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0088</t>
        </is>
      </c>
      <c r="H127" s="4" t="n">
        <v>45839</v>
      </c>
      <c r="I127" s="2" t="inlineStr">
        <is>
          <t>09:58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5" t="n">
        <v>0</v>
      </c>
    </row>
    <row r="128">
      <c r="A128" s="2" t="inlineStr">
        <is>
          <t>Z102_01_042025_052025_062025_MASSENA.CSV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0088</t>
        </is>
      </c>
      <c r="H128" s="4" t="n">
        <v>45839</v>
      </c>
      <c r="I128" s="2" t="inlineStr">
        <is>
          <t>09:58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5" t="n">
        <v>0</v>
      </c>
    </row>
    <row r="129">
      <c r="A129" s="2" t="inlineStr">
        <is>
          <t>Z102_01_042025_052025_062025_MASSENA.CSV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0088</t>
        </is>
      </c>
      <c r="H129" s="4" t="n">
        <v>45839</v>
      </c>
      <c r="I129" s="2" t="inlineStr">
        <is>
          <t>09:58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5" t="n">
        <v>0</v>
      </c>
    </row>
    <row r="130">
      <c r="A130" s="2" t="inlineStr">
        <is>
          <t>Z102_01_042025_052025_062025_MASSENA.CSV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0088</t>
        </is>
      </c>
      <c r="H130" s="4" t="n">
        <v>45839</v>
      </c>
      <c r="I130" s="2" t="inlineStr">
        <is>
          <t>09:58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5" t="n">
        <v>0</v>
      </c>
    </row>
    <row r="131">
      <c r="A131" s="2" t="inlineStr">
        <is>
          <t>Z102_01_042025_052025_062025_MASSENA.CSV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0088</t>
        </is>
      </c>
      <c r="H131" s="4" t="n">
        <v>45839</v>
      </c>
      <c r="I131" s="2" t="inlineStr">
        <is>
          <t>09:58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5" t="n">
        <v>0</v>
      </c>
    </row>
    <row r="132">
      <c r="A132" s="2" t="inlineStr">
        <is>
          <t>Z102_01_042025_052025_062025_MASSENA.CSV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0088</t>
        </is>
      </c>
      <c r="H132" s="4" t="n">
        <v>45839</v>
      </c>
      <c r="I132" s="2" t="inlineStr">
        <is>
          <t>09:58</t>
        </is>
      </c>
      <c r="J132" s="3" t="inlineStr">
        <is>
          <t>0031</t>
        </is>
      </c>
      <c r="K132" s="2" t="inlineStr">
        <is>
          <t>REF./TIROIR</t>
        </is>
      </c>
      <c r="L132" s="5" t="n">
        <v>1</v>
      </c>
      <c r="M132" s="5" t="n">
        <v>0</v>
      </c>
    </row>
    <row r="133">
      <c r="A133" s="2" t="inlineStr">
        <is>
          <t>Z102_01_042025_052025_062025_MASSENA.CSV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0088</t>
        </is>
      </c>
      <c r="H133" s="4" t="n">
        <v>45839</v>
      </c>
      <c r="I133" s="2" t="inlineStr">
        <is>
          <t>09:58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5" t="n">
        <v>0</v>
      </c>
    </row>
    <row r="134">
      <c r="A134" s="2" t="inlineStr">
        <is>
          <t>Z102_01_042025_052025_062025_MASSENA.CSV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0088</t>
        </is>
      </c>
      <c r="H134" s="4" t="n">
        <v>45839</v>
      </c>
      <c r="I134" s="2" t="inlineStr">
        <is>
          <t>09:58</t>
        </is>
      </c>
      <c r="J134" s="3" t="inlineStr">
        <is>
          <t>0033</t>
        </is>
      </c>
      <c r="K134" s="2" t="inlineStr"/>
      <c r="L134" s="5" t="n">
        <v>0</v>
      </c>
      <c r="M134" s="5" t="n">
        <v>0</v>
      </c>
    </row>
    <row r="135">
      <c r="A135" s="2" t="inlineStr">
        <is>
          <t>Z102_01_042025_052025_062025_MASSENA.CSV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0088</t>
        </is>
      </c>
      <c r="H135" s="4" t="n">
        <v>45839</v>
      </c>
      <c r="I135" s="2" t="inlineStr">
        <is>
          <t>09:58</t>
        </is>
      </c>
      <c r="J135" s="3" t="inlineStr">
        <is>
          <t>0034</t>
        </is>
      </c>
      <c r="K135" s="2" t="inlineStr"/>
      <c r="L135" s="5" t="n">
        <v>0</v>
      </c>
      <c r="M135" s="5" t="n">
        <v>0</v>
      </c>
    </row>
    <row r="136">
      <c r="A136" s="2" t="inlineStr">
        <is>
          <t>Z102_01_042025_052025_062025_MASSENA.CSV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0088</t>
        </is>
      </c>
      <c r="H136" s="4" t="n">
        <v>45839</v>
      </c>
      <c r="I136" s="2" t="inlineStr">
        <is>
          <t>09:58</t>
        </is>
      </c>
      <c r="J136" s="3" t="inlineStr">
        <is>
          <t>0035</t>
        </is>
      </c>
      <c r="K136" s="2" t="inlineStr"/>
      <c r="L136" s="5" t="n">
        <v>0</v>
      </c>
      <c r="M136" s="5" t="n">
        <v>0</v>
      </c>
    </row>
    <row r="137">
      <c r="A137" s="2" t="inlineStr">
        <is>
          <t>Z102_01_042025_052025_062025_MASSENA.CSV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0088</t>
        </is>
      </c>
      <c r="H137" s="4" t="n">
        <v>45839</v>
      </c>
      <c r="I137" s="2" t="inlineStr">
        <is>
          <t>09:58</t>
        </is>
      </c>
      <c r="J137" s="3" t="inlineStr">
        <is>
          <t>0036</t>
        </is>
      </c>
      <c r="K137" s="2" t="inlineStr"/>
      <c r="L137" s="5" t="n">
        <v>0</v>
      </c>
      <c r="M137" s="5" t="n">
        <v>0</v>
      </c>
    </row>
    <row r="138">
      <c r="A138" s="2" t="inlineStr">
        <is>
          <t>Z102_01_042025_052025_062025_MASSENA.CSV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0088</t>
        </is>
      </c>
      <c r="H138" s="4" t="n">
        <v>45839</v>
      </c>
      <c r="I138" s="2" t="inlineStr">
        <is>
          <t>09:58</t>
        </is>
      </c>
      <c r="J138" s="3" t="inlineStr">
        <is>
          <t>0037</t>
        </is>
      </c>
      <c r="K138" s="2" t="inlineStr"/>
      <c r="L138" s="5" t="n">
        <v>0</v>
      </c>
      <c r="M138" s="5" t="n">
        <v>0</v>
      </c>
    </row>
    <row r="139">
      <c r="A139" s="2" t="inlineStr">
        <is>
          <t>Z102_01_042025_052025_062025_MASSENA.CSV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0088</t>
        </is>
      </c>
      <c r="H139" s="4" t="n">
        <v>45839</v>
      </c>
      <c r="I139" s="2" t="inlineStr">
        <is>
          <t>09:58</t>
        </is>
      </c>
      <c r="J139" s="3" t="inlineStr">
        <is>
          <t>0038</t>
        </is>
      </c>
      <c r="K139" s="2" t="inlineStr"/>
      <c r="L139" s="5" t="n">
        <v>0</v>
      </c>
      <c r="M139" s="5" t="n">
        <v>0</v>
      </c>
    </row>
    <row r="140">
      <c r="A140" s="2" t="inlineStr">
        <is>
          <t>Z102_01_042025_052025_062025_MASSENA.CSV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0088</t>
        </is>
      </c>
      <c r="H140" s="4" t="n">
        <v>45839</v>
      </c>
      <c r="I140" s="2" t="inlineStr">
        <is>
          <t>09:58</t>
        </is>
      </c>
      <c r="J140" s="3" t="inlineStr">
        <is>
          <t>0039</t>
        </is>
      </c>
      <c r="K140" s="2" t="inlineStr"/>
      <c r="L140" s="5" t="n">
        <v>0</v>
      </c>
      <c r="M140" s="5" t="n">
        <v>0</v>
      </c>
    </row>
    <row r="141">
      <c r="A141" s="2" t="inlineStr">
        <is>
          <t>Z102_01_042025_052025_062025_MASSENA.CSV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0088</t>
        </is>
      </c>
      <c r="H141" s="4" t="n">
        <v>45839</v>
      </c>
      <c r="I141" s="2" t="inlineStr">
        <is>
          <t>09:58</t>
        </is>
      </c>
      <c r="J141" s="3" t="inlineStr">
        <is>
          <t>0040</t>
        </is>
      </c>
      <c r="K141" s="2" t="inlineStr"/>
      <c r="L141" s="5" t="n">
        <v>0</v>
      </c>
      <c r="M141" s="5" t="n">
        <v>0</v>
      </c>
    </row>
    <row r="142">
      <c r="A142" s="2" t="inlineStr">
        <is>
          <t>Z102_01_042025_052025_062025_MASSENA.CSV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0088</t>
        </is>
      </c>
      <c r="H142" s="4" t="n">
        <v>45839</v>
      </c>
      <c r="I142" s="2" t="inlineStr">
        <is>
          <t>09:58</t>
        </is>
      </c>
      <c r="J142" s="3" t="inlineStr">
        <is>
          <t>0041</t>
        </is>
      </c>
      <c r="K142" s="2" t="inlineStr"/>
      <c r="L142" s="5" t="n">
        <v>0</v>
      </c>
      <c r="M142" s="5" t="n">
        <v>0</v>
      </c>
    </row>
    <row r="143">
      <c r="A143" s="2" t="inlineStr">
        <is>
          <t>Z102_01_042025_052025_062025_MASSENA.CSV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0088</t>
        </is>
      </c>
      <c r="H143" s="4" t="n">
        <v>45839</v>
      </c>
      <c r="I143" s="2" t="inlineStr">
        <is>
          <t>09:58</t>
        </is>
      </c>
      <c r="J143" s="3" t="inlineStr">
        <is>
          <t>0042</t>
        </is>
      </c>
      <c r="K143" s="2" t="inlineStr"/>
      <c r="L143" s="5" t="n">
        <v>0</v>
      </c>
      <c r="M143" s="5" t="n">
        <v>0</v>
      </c>
    </row>
    <row r="144">
      <c r="A144" s="2" t="inlineStr">
        <is>
          <t>Z102_01_042025_052025_062025_MASSENA.CSV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0088</t>
        </is>
      </c>
      <c r="H144" s="4" t="n">
        <v>45839</v>
      </c>
      <c r="I144" s="2" t="inlineStr">
        <is>
          <t>09:58</t>
        </is>
      </c>
      <c r="J144" s="3" t="inlineStr">
        <is>
          <t>0043</t>
        </is>
      </c>
      <c r="K144" s="2" t="inlineStr"/>
      <c r="L144" s="5" t="n">
        <v>0</v>
      </c>
      <c r="M144" s="5" t="n">
        <v>0</v>
      </c>
    </row>
    <row r="145">
      <c r="A145" s="2" t="inlineStr">
        <is>
          <t>Z102_01_042025_052025_062025_MASSENA.CSV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0088</t>
        </is>
      </c>
      <c r="H145" s="4" t="n">
        <v>45839</v>
      </c>
      <c r="I145" s="2" t="inlineStr">
        <is>
          <t>09:58</t>
        </is>
      </c>
      <c r="J145" s="3" t="inlineStr">
        <is>
          <t>0044</t>
        </is>
      </c>
      <c r="K145" s="2" t="inlineStr"/>
      <c r="L145" s="5" t="n">
        <v>0</v>
      </c>
      <c r="M145" s="5" t="n">
        <v>0</v>
      </c>
    </row>
    <row r="146">
      <c r="A146" s="2" t="inlineStr">
        <is>
          <t>Z102_01_042025_052025_062025_MASSENA.CSV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0088</t>
        </is>
      </c>
      <c r="H146" s="4" t="n">
        <v>45839</v>
      </c>
      <c r="I146" s="2" t="inlineStr">
        <is>
          <t>09:58</t>
        </is>
      </c>
      <c r="J146" s="3" t="inlineStr">
        <is>
          <t>0045</t>
        </is>
      </c>
      <c r="K146" s="2" t="inlineStr"/>
      <c r="L146" s="5" t="n">
        <v>0</v>
      </c>
      <c r="M146" s="5" t="n">
        <v>0</v>
      </c>
    </row>
    <row r="147">
      <c r="A147" s="2" t="inlineStr">
        <is>
          <t>Z102_01_042025_052025_062025_MASSENA.CSV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0088</t>
        </is>
      </c>
      <c r="H147" s="4" t="n">
        <v>45839</v>
      </c>
      <c r="I147" s="2" t="inlineStr">
        <is>
          <t>09:58</t>
        </is>
      </c>
      <c r="J147" s="3" t="inlineStr">
        <is>
          <t>0046</t>
        </is>
      </c>
      <c r="K147" s="2" t="inlineStr"/>
      <c r="L147" s="5" t="n">
        <v>0</v>
      </c>
      <c r="M147" s="5" t="n">
        <v>0</v>
      </c>
    </row>
    <row r="148">
      <c r="A148" s="2" t="inlineStr">
        <is>
          <t>Z102_01_042025_052025_062025_MASSENA.CSV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0088</t>
        </is>
      </c>
      <c r="H148" s="4" t="n">
        <v>45839</v>
      </c>
      <c r="I148" s="2" t="inlineStr">
        <is>
          <t>09:58</t>
        </is>
      </c>
      <c r="J148" s="3" t="inlineStr">
        <is>
          <t>0047</t>
        </is>
      </c>
      <c r="K148" s="2" t="inlineStr"/>
      <c r="L148" s="5" t="n">
        <v>0</v>
      </c>
      <c r="M148" s="5" t="n">
        <v>0</v>
      </c>
    </row>
    <row r="149">
      <c r="A149" s="2" t="inlineStr">
        <is>
          <t>Z102_01_042025_052025_062025_MASSENA.CSV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0088</t>
        </is>
      </c>
      <c r="H149" s="4" t="n">
        <v>45839</v>
      </c>
      <c r="I149" s="2" t="inlineStr">
        <is>
          <t>09:58</t>
        </is>
      </c>
      <c r="J149" s="3" t="inlineStr">
        <is>
          <t>0048</t>
        </is>
      </c>
      <c r="K149" s="2" t="inlineStr"/>
      <c r="L149" s="5" t="n">
        <v>0</v>
      </c>
      <c r="M149" s="5" t="n">
        <v>0</v>
      </c>
    </row>
    <row r="150">
      <c r="A150" s="2" t="inlineStr">
        <is>
          <t>Z102_01_042025_052025_062025_MASSENA.CSV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0088</t>
        </is>
      </c>
      <c r="H150" s="4" t="n">
        <v>45839</v>
      </c>
      <c r="I150" s="2" t="inlineStr">
        <is>
          <t>09:58</t>
        </is>
      </c>
      <c r="J150" s="3" t="inlineStr">
        <is>
          <t>0049</t>
        </is>
      </c>
      <c r="K150" s="2" t="inlineStr"/>
      <c r="L150" s="5" t="n">
        <v>0</v>
      </c>
      <c r="M150" s="5" t="n">
        <v>0</v>
      </c>
    </row>
    <row r="151">
      <c r="A151" s="2" t="inlineStr">
        <is>
          <t>Z102_01_042025_052025_062025_MASSENA.CSV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0088</t>
        </is>
      </c>
      <c r="H151" s="4" t="n">
        <v>45839</v>
      </c>
      <c r="I151" s="2" t="inlineStr">
        <is>
          <t>09:58</t>
        </is>
      </c>
      <c r="J151" s="3" t="inlineStr">
        <is>
          <t>0050</t>
        </is>
      </c>
      <c r="K151" s="2" t="inlineStr"/>
      <c r="L151" s="5" t="n">
        <v>0</v>
      </c>
      <c r="M151" s="5" t="n">
        <v>0</v>
      </c>
    </row>
    <row r="152">
      <c r="A152" s="2" t="inlineStr">
        <is>
          <t>Z102_02_082025_MASSENA.CSV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0090</t>
        </is>
      </c>
      <c r="H152" s="4" t="n">
        <v>45902</v>
      </c>
      <c r="I152" s="2" t="inlineStr">
        <is>
          <t>17:20</t>
        </is>
      </c>
      <c r="J152" s="3" t="inlineStr">
        <is>
          <t>0001</t>
        </is>
      </c>
      <c r="K152" s="2" t="inlineStr">
        <is>
          <t>ESPECES</t>
        </is>
      </c>
      <c r="L152" s="5" t="n">
        <v>6</v>
      </c>
      <c r="M152" s="5" t="n">
        <v>1914</v>
      </c>
    </row>
    <row r="153">
      <c r="A153" s="2" t="inlineStr">
        <is>
          <t>Z102_02_082025_MASSENA.CSV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0090</t>
        </is>
      </c>
      <c r="H153" s="4" t="n">
        <v>45902</v>
      </c>
      <c r="I153" s="2" t="inlineStr">
        <is>
          <t>17:20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5" t="n">
        <v>0</v>
      </c>
    </row>
    <row r="154">
      <c r="A154" s="2" t="inlineStr">
        <is>
          <t>Z102_02_082025_MASSENA.CSV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0090</t>
        </is>
      </c>
      <c r="H154" s="4" t="n">
        <v>45902</v>
      </c>
      <c r="I154" s="2" t="inlineStr">
        <is>
          <t>17:20</t>
        </is>
      </c>
      <c r="J154" s="3" t="inlineStr">
        <is>
          <t>0003</t>
        </is>
      </c>
      <c r="K154" s="2" t="inlineStr">
        <is>
          <t>CARTES</t>
        </is>
      </c>
      <c r="L154" s="5" t="n">
        <v>3</v>
      </c>
      <c r="M154" s="5" t="n">
        <v>2072</v>
      </c>
    </row>
    <row r="155">
      <c r="A155" s="2" t="inlineStr">
        <is>
          <t>Z102_02_082025_MASSENA.CSV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0090</t>
        </is>
      </c>
      <c r="H155" s="4" t="n">
        <v>45902</v>
      </c>
      <c r="I155" s="2" t="inlineStr">
        <is>
          <t>17:20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5" t="n">
        <v>0</v>
      </c>
    </row>
    <row r="156">
      <c r="A156" s="2" t="inlineStr">
        <is>
          <t>Z102_02_082025_MASSENA.CSV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0090</t>
        </is>
      </c>
      <c r="H156" s="4" t="n">
        <v>45902</v>
      </c>
      <c r="I156" s="2" t="inlineStr">
        <is>
          <t>17:20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5" t="n">
        <v>0</v>
      </c>
    </row>
    <row r="157">
      <c r="A157" s="2" t="inlineStr">
        <is>
          <t>Z102_02_082025_MASSENA.CSV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0090</t>
        </is>
      </c>
      <c r="H157" s="4" t="n">
        <v>45902</v>
      </c>
      <c r="I157" s="2" t="inlineStr">
        <is>
          <t>17:20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5" t="n">
        <v>0</v>
      </c>
    </row>
    <row r="158">
      <c r="A158" s="2" t="inlineStr">
        <is>
          <t>Z102_02_082025_MASSENA.CSV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0090</t>
        </is>
      </c>
      <c r="H158" s="4" t="n">
        <v>45902</v>
      </c>
      <c r="I158" s="2" t="inlineStr">
        <is>
          <t>17:20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5" t="n">
        <v>0</v>
      </c>
    </row>
    <row r="159">
      <c r="A159" s="2" t="inlineStr">
        <is>
          <t>Z102_02_082025_MASSENA.CSV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0090</t>
        </is>
      </c>
      <c r="H159" s="4" t="n">
        <v>45902</v>
      </c>
      <c r="I159" s="2" t="inlineStr">
        <is>
          <t>17:20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5" t="n">
        <v>0</v>
      </c>
    </row>
    <row r="160">
      <c r="A160" s="2" t="inlineStr">
        <is>
          <t>Z102_02_082025_MASSENA.CSV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0090</t>
        </is>
      </c>
      <c r="H160" s="4" t="n">
        <v>45902</v>
      </c>
      <c r="I160" s="2" t="inlineStr">
        <is>
          <t>17:20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5" t="n">
        <v>0</v>
      </c>
    </row>
    <row r="161">
      <c r="A161" s="2" t="inlineStr">
        <is>
          <t>Z102_02_082025_MASSENA.CSV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0090</t>
        </is>
      </c>
      <c r="H161" s="4" t="n">
        <v>45902</v>
      </c>
      <c r="I161" s="2" t="inlineStr">
        <is>
          <t>17:20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5" t="n">
        <v>0</v>
      </c>
    </row>
    <row r="162">
      <c r="A162" s="2" t="inlineStr">
        <is>
          <t>Z102_02_082025_MASSENA.CSV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0090</t>
        </is>
      </c>
      <c r="H162" s="4" t="n">
        <v>45902</v>
      </c>
      <c r="I162" s="2" t="inlineStr">
        <is>
          <t>17:20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5" t="n">
        <v>0</v>
      </c>
    </row>
    <row r="163">
      <c r="A163" s="2" t="inlineStr">
        <is>
          <t>Z102_02_082025_MASSENA.CSV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0090</t>
        </is>
      </c>
      <c r="H163" s="4" t="n">
        <v>45902</v>
      </c>
      <c r="I163" s="2" t="inlineStr">
        <is>
          <t>17:20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5" t="n">
        <v>0</v>
      </c>
    </row>
    <row r="164">
      <c r="A164" s="2" t="inlineStr">
        <is>
          <t>Z102_02_082025_MASSENA.CSV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0090</t>
        </is>
      </c>
      <c r="H164" s="4" t="n">
        <v>45902</v>
      </c>
      <c r="I164" s="2" t="inlineStr">
        <is>
          <t>17:20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5" t="n">
        <v>0</v>
      </c>
    </row>
    <row r="165">
      <c r="A165" s="2" t="inlineStr">
        <is>
          <t>Z102_02_082025_MASSENA.CSV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0090</t>
        </is>
      </c>
      <c r="H165" s="4" t="n">
        <v>45902</v>
      </c>
      <c r="I165" s="2" t="inlineStr">
        <is>
          <t>17:20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5" t="n">
        <v>0</v>
      </c>
    </row>
    <row r="166">
      <c r="A166" s="2" t="inlineStr">
        <is>
          <t>Z102_02_082025_MASSENA.CSV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0090</t>
        </is>
      </c>
      <c r="H166" s="4" t="n">
        <v>45902</v>
      </c>
      <c r="I166" s="2" t="inlineStr">
        <is>
          <t>17:20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5" t="n">
        <v>0</v>
      </c>
    </row>
    <row r="167">
      <c r="A167" s="2" t="inlineStr">
        <is>
          <t>Z102_02_082025_MASSENA.CSV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0090</t>
        </is>
      </c>
      <c r="H167" s="4" t="n">
        <v>45902</v>
      </c>
      <c r="I167" s="2" t="inlineStr">
        <is>
          <t>17:20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5" t="n">
        <v>0</v>
      </c>
    </row>
    <row r="168">
      <c r="A168" s="2" t="inlineStr">
        <is>
          <t>Z102_02_082025_MASSENA.CSV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0090</t>
        </is>
      </c>
      <c r="H168" s="4" t="n">
        <v>45902</v>
      </c>
      <c r="I168" s="2" t="inlineStr">
        <is>
          <t>17:20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5" t="n">
        <v>0</v>
      </c>
    </row>
    <row r="169">
      <c r="A169" s="2" t="inlineStr">
        <is>
          <t>Z102_02_082025_MASSENA.CSV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0090</t>
        </is>
      </c>
      <c r="H169" s="4" t="n">
        <v>45902</v>
      </c>
      <c r="I169" s="2" t="inlineStr">
        <is>
          <t>17:20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5" t="n">
        <v>0</v>
      </c>
    </row>
    <row r="170">
      <c r="A170" s="2" t="inlineStr">
        <is>
          <t>Z102_02_082025_MASSENA.CSV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0090</t>
        </is>
      </c>
      <c r="H170" s="4" t="n">
        <v>45902</v>
      </c>
      <c r="I170" s="2" t="inlineStr">
        <is>
          <t>17:20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5" t="n">
        <v>0</v>
      </c>
    </row>
    <row r="171">
      <c r="A171" s="2" t="inlineStr">
        <is>
          <t>Z102_02_082025_MASSENA.CSV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0090</t>
        </is>
      </c>
      <c r="H171" s="4" t="n">
        <v>45902</v>
      </c>
      <c r="I171" s="2" t="inlineStr">
        <is>
          <t>17:20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5" t="n">
        <v>0</v>
      </c>
    </row>
    <row r="172">
      <c r="A172" s="2" t="inlineStr">
        <is>
          <t>Z102_02_082025_MASSENA.CSV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0090</t>
        </is>
      </c>
      <c r="H172" s="4" t="n">
        <v>45902</v>
      </c>
      <c r="I172" s="2" t="inlineStr">
        <is>
          <t>17:20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5" t="n">
        <v>0</v>
      </c>
    </row>
    <row r="173">
      <c r="A173" s="2" t="inlineStr">
        <is>
          <t>Z102_02_082025_MASSENA.CSV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0090</t>
        </is>
      </c>
      <c r="H173" s="4" t="n">
        <v>45902</v>
      </c>
      <c r="I173" s="2" t="inlineStr">
        <is>
          <t>17:20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5" t="n">
        <v>0</v>
      </c>
    </row>
    <row r="174">
      <c r="A174" s="2" t="inlineStr">
        <is>
          <t>Z102_02_082025_MASSENA.CSV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0090</t>
        </is>
      </c>
      <c r="H174" s="4" t="n">
        <v>45902</v>
      </c>
      <c r="I174" s="2" t="inlineStr">
        <is>
          <t>17:20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5" t="n">
        <v>0</v>
      </c>
    </row>
    <row r="175">
      <c r="A175" s="2" t="inlineStr">
        <is>
          <t>Z102_02_082025_MASSENA.CSV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0090</t>
        </is>
      </c>
      <c r="H175" s="4" t="n">
        <v>45902</v>
      </c>
      <c r="I175" s="2" t="inlineStr">
        <is>
          <t>17:20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5" t="n">
        <v>0</v>
      </c>
    </row>
    <row r="176">
      <c r="A176" s="2" t="inlineStr">
        <is>
          <t>Z102_02_082025_MASSENA.CSV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0090</t>
        </is>
      </c>
      <c r="H176" s="4" t="n">
        <v>45902</v>
      </c>
      <c r="I176" s="2" t="inlineStr">
        <is>
          <t>17:20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5" t="n">
        <v>0</v>
      </c>
    </row>
    <row r="177">
      <c r="A177" s="2" t="inlineStr">
        <is>
          <t>Z102_02_082025_MASSENA.CSV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0090</t>
        </is>
      </c>
      <c r="H177" s="4" t="n">
        <v>45902</v>
      </c>
      <c r="I177" s="2" t="inlineStr">
        <is>
          <t>17:20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5" t="n">
        <v>0</v>
      </c>
    </row>
    <row r="178">
      <c r="A178" s="2" t="inlineStr">
        <is>
          <t>Z102_02_082025_MASSENA.CSV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0090</t>
        </is>
      </c>
      <c r="H178" s="4" t="n">
        <v>45902</v>
      </c>
      <c r="I178" s="2" t="inlineStr">
        <is>
          <t>17:20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5" t="n">
        <v>0</v>
      </c>
    </row>
    <row r="179">
      <c r="A179" s="2" t="inlineStr">
        <is>
          <t>Z102_02_082025_MASSENA.CSV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0090</t>
        </is>
      </c>
      <c r="H179" s="4" t="n">
        <v>45902</v>
      </c>
      <c r="I179" s="2" t="inlineStr">
        <is>
          <t>17:20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5" t="n">
        <v>0</v>
      </c>
    </row>
    <row r="180">
      <c r="A180" s="2" t="inlineStr">
        <is>
          <t>Z102_02_082025_MASSENA.CSV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0090</t>
        </is>
      </c>
      <c r="H180" s="4" t="n">
        <v>45902</v>
      </c>
      <c r="I180" s="2" t="inlineStr">
        <is>
          <t>17:20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5" t="n">
        <v>0</v>
      </c>
    </row>
    <row r="181">
      <c r="A181" s="2" t="inlineStr">
        <is>
          <t>Z102_02_082025_MASSENA.CSV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0090</t>
        </is>
      </c>
      <c r="H181" s="4" t="n">
        <v>45902</v>
      </c>
      <c r="I181" s="2" t="inlineStr">
        <is>
          <t>17:20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5" t="n">
        <v>0</v>
      </c>
    </row>
    <row r="182">
      <c r="A182" s="2" t="inlineStr">
        <is>
          <t>Z102_02_082025_MASSENA.CSV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0090</t>
        </is>
      </c>
      <c r="H182" s="4" t="n">
        <v>45902</v>
      </c>
      <c r="I182" s="2" t="inlineStr">
        <is>
          <t>17:20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5" t="n">
        <v>0</v>
      </c>
    </row>
    <row r="183">
      <c r="A183" s="2" t="inlineStr">
        <is>
          <t>Z102_02_082025_MASSENA.CSV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0090</t>
        </is>
      </c>
      <c r="H183" s="4" t="n">
        <v>45902</v>
      </c>
      <c r="I183" s="2" t="inlineStr">
        <is>
          <t>17:20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5" t="n">
        <v>0</v>
      </c>
    </row>
    <row r="184">
      <c r="A184" s="2" t="inlineStr">
        <is>
          <t>Z102_02_082025_MASSENA.CSV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0090</t>
        </is>
      </c>
      <c r="H184" s="4" t="n">
        <v>45902</v>
      </c>
      <c r="I184" s="2" t="inlineStr">
        <is>
          <t>17:20</t>
        </is>
      </c>
      <c r="J184" s="3" t="inlineStr">
        <is>
          <t>0033</t>
        </is>
      </c>
      <c r="K184" s="2" t="inlineStr"/>
      <c r="L184" s="5" t="n">
        <v>0</v>
      </c>
      <c r="M184" s="5" t="n">
        <v>0</v>
      </c>
    </row>
    <row r="185">
      <c r="A185" s="2" t="inlineStr">
        <is>
          <t>Z102_02_082025_MASSENA.CSV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0090</t>
        </is>
      </c>
      <c r="H185" s="4" t="n">
        <v>45902</v>
      </c>
      <c r="I185" s="2" t="inlineStr">
        <is>
          <t>17:20</t>
        </is>
      </c>
      <c r="J185" s="3" t="inlineStr">
        <is>
          <t>0034</t>
        </is>
      </c>
      <c r="K185" s="2" t="inlineStr"/>
      <c r="L185" s="5" t="n">
        <v>0</v>
      </c>
      <c r="M185" s="5" t="n">
        <v>0</v>
      </c>
    </row>
    <row r="186">
      <c r="A186" s="2" t="inlineStr">
        <is>
          <t>Z102_02_082025_MASSENA.CSV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0090</t>
        </is>
      </c>
      <c r="H186" s="4" t="n">
        <v>45902</v>
      </c>
      <c r="I186" s="2" t="inlineStr">
        <is>
          <t>17:20</t>
        </is>
      </c>
      <c r="J186" s="3" t="inlineStr">
        <is>
          <t>0035</t>
        </is>
      </c>
      <c r="K186" s="2" t="inlineStr"/>
      <c r="L186" s="5" t="n">
        <v>0</v>
      </c>
      <c r="M186" s="5" t="n">
        <v>0</v>
      </c>
    </row>
    <row r="187">
      <c r="A187" s="2" t="inlineStr">
        <is>
          <t>Z102_02_082025_MASSENA.CSV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0090</t>
        </is>
      </c>
      <c r="H187" s="4" t="n">
        <v>45902</v>
      </c>
      <c r="I187" s="2" t="inlineStr">
        <is>
          <t>17:20</t>
        </is>
      </c>
      <c r="J187" s="3" t="inlineStr">
        <is>
          <t>0036</t>
        </is>
      </c>
      <c r="K187" s="2" t="inlineStr"/>
      <c r="L187" s="5" t="n">
        <v>0</v>
      </c>
      <c r="M187" s="5" t="n">
        <v>0</v>
      </c>
    </row>
    <row r="188">
      <c r="A188" s="2" t="inlineStr">
        <is>
          <t>Z102_02_082025_MASSENA.CSV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0090</t>
        </is>
      </c>
      <c r="H188" s="4" t="n">
        <v>45902</v>
      </c>
      <c r="I188" s="2" t="inlineStr">
        <is>
          <t>17:20</t>
        </is>
      </c>
      <c r="J188" s="3" t="inlineStr">
        <is>
          <t>0037</t>
        </is>
      </c>
      <c r="K188" s="2" t="inlineStr"/>
      <c r="L188" s="5" t="n">
        <v>0</v>
      </c>
      <c r="M188" s="5" t="n">
        <v>0</v>
      </c>
    </row>
    <row r="189">
      <c r="A189" s="2" t="inlineStr">
        <is>
          <t>Z102_02_082025_MASSENA.CSV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0090</t>
        </is>
      </c>
      <c r="H189" s="4" t="n">
        <v>45902</v>
      </c>
      <c r="I189" s="2" t="inlineStr">
        <is>
          <t>17:20</t>
        </is>
      </c>
      <c r="J189" s="3" t="inlineStr">
        <is>
          <t>0038</t>
        </is>
      </c>
      <c r="K189" s="2" t="inlineStr"/>
      <c r="L189" s="5" t="n">
        <v>0</v>
      </c>
      <c r="M189" s="5" t="n">
        <v>0</v>
      </c>
    </row>
    <row r="190">
      <c r="A190" s="2" t="inlineStr">
        <is>
          <t>Z102_02_082025_MASSENA.CSV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0090</t>
        </is>
      </c>
      <c r="H190" s="4" t="n">
        <v>45902</v>
      </c>
      <c r="I190" s="2" t="inlineStr">
        <is>
          <t>17:20</t>
        </is>
      </c>
      <c r="J190" s="3" t="inlineStr">
        <is>
          <t>0039</t>
        </is>
      </c>
      <c r="K190" s="2" t="inlineStr"/>
      <c r="L190" s="5" t="n">
        <v>0</v>
      </c>
      <c r="M190" s="5" t="n">
        <v>0</v>
      </c>
    </row>
    <row r="191">
      <c r="A191" s="2" t="inlineStr">
        <is>
          <t>Z102_02_082025_MASSENA.CSV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0090</t>
        </is>
      </c>
      <c r="H191" s="4" t="n">
        <v>45902</v>
      </c>
      <c r="I191" s="2" t="inlineStr">
        <is>
          <t>17:20</t>
        </is>
      </c>
      <c r="J191" s="3" t="inlineStr">
        <is>
          <t>0040</t>
        </is>
      </c>
      <c r="K191" s="2" t="inlineStr"/>
      <c r="L191" s="5" t="n">
        <v>0</v>
      </c>
      <c r="M191" s="5" t="n">
        <v>0</v>
      </c>
    </row>
    <row r="192">
      <c r="A192" s="2" t="inlineStr">
        <is>
          <t>Z102_02_082025_MASSENA.CSV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0090</t>
        </is>
      </c>
      <c r="H192" s="4" t="n">
        <v>45902</v>
      </c>
      <c r="I192" s="2" t="inlineStr">
        <is>
          <t>17:20</t>
        </is>
      </c>
      <c r="J192" s="3" t="inlineStr">
        <is>
          <t>0041</t>
        </is>
      </c>
      <c r="K192" s="2" t="inlineStr"/>
      <c r="L192" s="5" t="n">
        <v>0</v>
      </c>
      <c r="M192" s="5" t="n">
        <v>0</v>
      </c>
    </row>
    <row r="193">
      <c r="A193" s="2" t="inlineStr">
        <is>
          <t>Z102_02_082025_MASSENA.CSV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0090</t>
        </is>
      </c>
      <c r="H193" s="4" t="n">
        <v>45902</v>
      </c>
      <c r="I193" s="2" t="inlineStr">
        <is>
          <t>17:20</t>
        </is>
      </c>
      <c r="J193" s="3" t="inlineStr">
        <is>
          <t>0042</t>
        </is>
      </c>
      <c r="K193" s="2" t="inlineStr"/>
      <c r="L193" s="5" t="n">
        <v>0</v>
      </c>
      <c r="M193" s="5" t="n">
        <v>0</v>
      </c>
    </row>
    <row r="194">
      <c r="A194" s="2" t="inlineStr">
        <is>
          <t>Z102_02_082025_MASSENA.CSV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0090</t>
        </is>
      </c>
      <c r="H194" s="4" t="n">
        <v>45902</v>
      </c>
      <c r="I194" s="2" t="inlineStr">
        <is>
          <t>17:20</t>
        </is>
      </c>
      <c r="J194" s="3" t="inlineStr">
        <is>
          <t>0043</t>
        </is>
      </c>
      <c r="K194" s="2" t="inlineStr"/>
      <c r="L194" s="5" t="n">
        <v>0</v>
      </c>
      <c r="M194" s="5" t="n">
        <v>0</v>
      </c>
    </row>
    <row r="195">
      <c r="A195" s="2" t="inlineStr">
        <is>
          <t>Z102_02_082025_MASSENA.CSV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0090</t>
        </is>
      </c>
      <c r="H195" s="4" t="n">
        <v>45902</v>
      </c>
      <c r="I195" s="2" t="inlineStr">
        <is>
          <t>17:20</t>
        </is>
      </c>
      <c r="J195" s="3" t="inlineStr">
        <is>
          <t>0044</t>
        </is>
      </c>
      <c r="K195" s="2" t="inlineStr"/>
      <c r="L195" s="5" t="n">
        <v>0</v>
      </c>
      <c r="M195" s="5" t="n">
        <v>0</v>
      </c>
    </row>
    <row r="196">
      <c r="A196" s="2" t="inlineStr">
        <is>
          <t>Z102_02_082025_MASSENA.CSV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0090</t>
        </is>
      </c>
      <c r="H196" s="4" t="n">
        <v>45902</v>
      </c>
      <c r="I196" s="2" t="inlineStr">
        <is>
          <t>17:20</t>
        </is>
      </c>
      <c r="J196" s="3" t="inlineStr">
        <is>
          <t>0045</t>
        </is>
      </c>
      <c r="K196" s="2" t="inlineStr"/>
      <c r="L196" s="5" t="n">
        <v>0</v>
      </c>
      <c r="M196" s="5" t="n">
        <v>0</v>
      </c>
    </row>
    <row r="197">
      <c r="A197" s="2" t="inlineStr">
        <is>
          <t>Z102_02_082025_MASSENA.CSV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0090</t>
        </is>
      </c>
      <c r="H197" s="4" t="n">
        <v>45902</v>
      </c>
      <c r="I197" s="2" t="inlineStr">
        <is>
          <t>17:20</t>
        </is>
      </c>
      <c r="J197" s="3" t="inlineStr">
        <is>
          <t>0046</t>
        </is>
      </c>
      <c r="K197" s="2" t="inlineStr"/>
      <c r="L197" s="5" t="n">
        <v>0</v>
      </c>
      <c r="M197" s="5" t="n">
        <v>0</v>
      </c>
    </row>
    <row r="198">
      <c r="A198" s="2" t="inlineStr">
        <is>
          <t>Z102_02_082025_MASSENA.CSV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0090</t>
        </is>
      </c>
      <c r="H198" s="4" t="n">
        <v>45902</v>
      </c>
      <c r="I198" s="2" t="inlineStr">
        <is>
          <t>17:20</t>
        </is>
      </c>
      <c r="J198" s="3" t="inlineStr">
        <is>
          <t>0047</t>
        </is>
      </c>
      <c r="K198" s="2" t="inlineStr"/>
      <c r="L198" s="5" t="n">
        <v>0</v>
      </c>
      <c r="M198" s="5" t="n">
        <v>0</v>
      </c>
    </row>
    <row r="199">
      <c r="A199" s="2" t="inlineStr">
        <is>
          <t>Z102_02_082025_MASSENA.CSV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0090</t>
        </is>
      </c>
      <c r="H199" s="4" t="n">
        <v>45902</v>
      </c>
      <c r="I199" s="2" t="inlineStr">
        <is>
          <t>17:20</t>
        </is>
      </c>
      <c r="J199" s="3" t="inlineStr">
        <is>
          <t>0048</t>
        </is>
      </c>
      <c r="K199" s="2" t="inlineStr"/>
      <c r="L199" s="5" t="n">
        <v>0</v>
      </c>
      <c r="M199" s="5" t="n">
        <v>0</v>
      </c>
    </row>
    <row r="200">
      <c r="A200" s="2" t="inlineStr">
        <is>
          <t>Z102_02_082025_MASSENA.CSV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0090</t>
        </is>
      </c>
      <c r="H200" s="4" t="n">
        <v>45902</v>
      </c>
      <c r="I200" s="2" t="inlineStr">
        <is>
          <t>17:20</t>
        </is>
      </c>
      <c r="J200" s="3" t="inlineStr">
        <is>
          <t>0049</t>
        </is>
      </c>
      <c r="K200" s="2" t="inlineStr"/>
      <c r="L200" s="5" t="n">
        <v>0</v>
      </c>
      <c r="M200" s="5" t="n">
        <v>0</v>
      </c>
    </row>
    <row r="201">
      <c r="A201" s="2" t="inlineStr">
        <is>
          <t>Z102_02_082025_MASSENA.CSV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0090</t>
        </is>
      </c>
      <c r="H201" s="4" t="n">
        <v>45902</v>
      </c>
      <c r="I201" s="2" t="inlineStr">
        <is>
          <t>17:20</t>
        </is>
      </c>
      <c r="J201" s="3" t="inlineStr">
        <is>
          <t>0050</t>
        </is>
      </c>
      <c r="K201" s="2" t="inlineStr"/>
      <c r="L201" s="5" t="n">
        <v>0</v>
      </c>
      <c r="M201" s="5" t="n">
        <v>0</v>
      </c>
    </row>
    <row r="202">
      <c r="A202" s="2" t="inlineStr">
        <is>
          <t>Z102_03_012025_MASSENA.CSV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0085</t>
        </is>
      </c>
      <c r="H202" s="4" t="n">
        <v>45691</v>
      </c>
      <c r="I202" s="2" t="inlineStr">
        <is>
          <t>12:18</t>
        </is>
      </c>
      <c r="J202" s="3" t="inlineStr">
        <is>
          <t>0001</t>
        </is>
      </c>
      <c r="K202" s="2" t="inlineStr">
        <is>
          <t>ESPECES</t>
        </is>
      </c>
      <c r="L202" s="5" t="n">
        <v>18</v>
      </c>
      <c r="M202" s="5" t="n">
        <v>6334.7</v>
      </c>
    </row>
    <row r="203">
      <c r="A203" s="2" t="inlineStr">
        <is>
          <t>Z102_03_012025_MASSENA.CSV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0085</t>
        </is>
      </c>
      <c r="H203" s="4" t="n">
        <v>45691</v>
      </c>
      <c r="I203" s="2" t="inlineStr">
        <is>
          <t>12:18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5" t="n">
        <v>0</v>
      </c>
    </row>
    <row r="204">
      <c r="A204" s="2" t="inlineStr">
        <is>
          <t>Z102_03_012025_MASSENA.CSV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0085</t>
        </is>
      </c>
      <c r="H204" s="4" t="n">
        <v>45691</v>
      </c>
      <c r="I204" s="2" t="inlineStr">
        <is>
          <t>12:18</t>
        </is>
      </c>
      <c r="J204" s="3" t="inlineStr">
        <is>
          <t>0003</t>
        </is>
      </c>
      <c r="K204" s="2" t="inlineStr">
        <is>
          <t>CARTES</t>
        </is>
      </c>
      <c r="L204" s="5" t="n">
        <v>11</v>
      </c>
      <c r="M204" s="5" t="n">
        <v>3089.5</v>
      </c>
    </row>
    <row r="205">
      <c r="A205" s="2" t="inlineStr">
        <is>
          <t>Z102_03_012025_MASSENA.CSV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0085</t>
        </is>
      </c>
      <c r="H205" s="4" t="n">
        <v>45691</v>
      </c>
      <c r="I205" s="2" t="inlineStr">
        <is>
          <t>12:18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5" t="n">
        <v>0</v>
      </c>
    </row>
    <row r="206">
      <c r="A206" s="2" t="inlineStr">
        <is>
          <t>Z102_03_012025_MASSENA.CSV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0085</t>
        </is>
      </c>
      <c r="H206" s="4" t="n">
        <v>45691</v>
      </c>
      <c r="I206" s="2" t="inlineStr">
        <is>
          <t>12:18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5" t="n">
        <v>0</v>
      </c>
    </row>
    <row r="207">
      <c r="A207" s="2" t="inlineStr">
        <is>
          <t>Z102_03_012025_MASSENA.CSV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0085</t>
        </is>
      </c>
      <c r="H207" s="4" t="n">
        <v>45691</v>
      </c>
      <c r="I207" s="2" t="inlineStr">
        <is>
          <t>12:18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5" t="n">
        <v>0</v>
      </c>
    </row>
    <row r="208">
      <c r="A208" s="2" t="inlineStr">
        <is>
          <t>Z102_03_012025_MASSENA.CSV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0085</t>
        </is>
      </c>
      <c r="H208" s="4" t="n">
        <v>45691</v>
      </c>
      <c r="I208" s="2" t="inlineStr">
        <is>
          <t>12:18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5" t="n">
        <v>0</v>
      </c>
    </row>
    <row r="209">
      <c r="A209" s="2" t="inlineStr">
        <is>
          <t>Z102_03_012025_MASSENA.CSV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0085</t>
        </is>
      </c>
      <c r="H209" s="4" t="n">
        <v>45691</v>
      </c>
      <c r="I209" s="2" t="inlineStr">
        <is>
          <t>12:18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5" t="n">
        <v>0</v>
      </c>
    </row>
    <row r="210">
      <c r="A210" s="2" t="inlineStr">
        <is>
          <t>Z102_03_012025_MASSENA.CSV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0085</t>
        </is>
      </c>
      <c r="H210" s="4" t="n">
        <v>45691</v>
      </c>
      <c r="I210" s="2" t="inlineStr">
        <is>
          <t>12:18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5" t="n">
        <v>0</v>
      </c>
    </row>
    <row r="211">
      <c r="A211" s="2" t="inlineStr">
        <is>
          <t>Z102_03_012025_MASSENA.CSV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0085</t>
        </is>
      </c>
      <c r="H211" s="4" t="n">
        <v>45691</v>
      </c>
      <c r="I211" s="2" t="inlineStr">
        <is>
          <t>12:18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5" t="n">
        <v>0</v>
      </c>
    </row>
    <row r="212">
      <c r="A212" s="2" t="inlineStr">
        <is>
          <t>Z102_03_012025_MASSENA.CSV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0085</t>
        </is>
      </c>
      <c r="H212" s="4" t="n">
        <v>45691</v>
      </c>
      <c r="I212" s="2" t="inlineStr">
        <is>
          <t>12:18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5" t="n">
        <v>0</v>
      </c>
    </row>
    <row r="213">
      <c r="A213" s="2" t="inlineStr">
        <is>
          <t>Z102_03_012025_MASSENA.CSV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0085</t>
        </is>
      </c>
      <c r="H213" s="4" t="n">
        <v>45691</v>
      </c>
      <c r="I213" s="2" t="inlineStr">
        <is>
          <t>12:18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5" t="n">
        <v>0</v>
      </c>
    </row>
    <row r="214">
      <c r="A214" s="2" t="inlineStr">
        <is>
          <t>Z102_03_012025_MASSENA.CSV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0085</t>
        </is>
      </c>
      <c r="H214" s="4" t="n">
        <v>45691</v>
      </c>
      <c r="I214" s="2" t="inlineStr">
        <is>
          <t>12:18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5" t="n">
        <v>0</v>
      </c>
    </row>
    <row r="215">
      <c r="A215" s="2" t="inlineStr">
        <is>
          <t>Z102_03_012025_MASSENA.CSV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0085</t>
        </is>
      </c>
      <c r="H215" s="4" t="n">
        <v>45691</v>
      </c>
      <c r="I215" s="2" t="inlineStr">
        <is>
          <t>12:18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5" t="n">
        <v>0</v>
      </c>
    </row>
    <row r="216">
      <c r="A216" s="2" t="inlineStr">
        <is>
          <t>Z102_03_012025_MASSENA.CSV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0085</t>
        </is>
      </c>
      <c r="H216" s="4" t="n">
        <v>45691</v>
      </c>
      <c r="I216" s="2" t="inlineStr">
        <is>
          <t>12:18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5" t="n">
        <v>0</v>
      </c>
    </row>
    <row r="217">
      <c r="A217" s="2" t="inlineStr">
        <is>
          <t>Z102_03_012025_MASSENA.CSV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0085</t>
        </is>
      </c>
      <c r="H217" s="4" t="n">
        <v>45691</v>
      </c>
      <c r="I217" s="2" t="inlineStr">
        <is>
          <t>12:18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5" t="n">
        <v>0</v>
      </c>
    </row>
    <row r="218">
      <c r="A218" s="2" t="inlineStr">
        <is>
          <t>Z102_03_012025_MASSENA.CSV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0085</t>
        </is>
      </c>
      <c r="H218" s="4" t="n">
        <v>45691</v>
      </c>
      <c r="I218" s="2" t="inlineStr">
        <is>
          <t>12:18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5" t="n">
        <v>0</v>
      </c>
    </row>
    <row r="219">
      <c r="A219" s="2" t="inlineStr">
        <is>
          <t>Z102_03_012025_MASSENA.CSV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0085</t>
        </is>
      </c>
      <c r="H219" s="4" t="n">
        <v>45691</v>
      </c>
      <c r="I219" s="2" t="inlineStr">
        <is>
          <t>12:18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5" t="n">
        <v>0</v>
      </c>
    </row>
    <row r="220">
      <c r="A220" s="2" t="inlineStr">
        <is>
          <t>Z102_03_012025_MASSENA.CSV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0085</t>
        </is>
      </c>
      <c r="H220" s="4" t="n">
        <v>45691</v>
      </c>
      <c r="I220" s="2" t="inlineStr">
        <is>
          <t>12:18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5" t="n">
        <v>0</v>
      </c>
    </row>
    <row r="221">
      <c r="A221" s="2" t="inlineStr">
        <is>
          <t>Z102_03_012025_MASSENA.CSV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0085</t>
        </is>
      </c>
      <c r="H221" s="4" t="n">
        <v>45691</v>
      </c>
      <c r="I221" s="2" t="inlineStr">
        <is>
          <t>12:18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5" t="n">
        <v>0</v>
      </c>
    </row>
    <row r="222">
      <c r="A222" s="2" t="inlineStr">
        <is>
          <t>Z102_03_012025_MASSENA.CSV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0085</t>
        </is>
      </c>
      <c r="H222" s="4" t="n">
        <v>45691</v>
      </c>
      <c r="I222" s="2" t="inlineStr">
        <is>
          <t>12:18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5" t="n">
        <v>0</v>
      </c>
    </row>
    <row r="223">
      <c r="A223" s="2" t="inlineStr">
        <is>
          <t>Z102_03_012025_MASSENA.CSV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0085</t>
        </is>
      </c>
      <c r="H223" s="4" t="n">
        <v>45691</v>
      </c>
      <c r="I223" s="2" t="inlineStr">
        <is>
          <t>12:18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5" t="n">
        <v>0</v>
      </c>
    </row>
    <row r="224">
      <c r="A224" s="2" t="inlineStr">
        <is>
          <t>Z102_03_012025_MASSENA.CSV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0085</t>
        </is>
      </c>
      <c r="H224" s="4" t="n">
        <v>45691</v>
      </c>
      <c r="I224" s="2" t="inlineStr">
        <is>
          <t>12:18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5" t="n">
        <v>0</v>
      </c>
    </row>
    <row r="225">
      <c r="A225" s="2" t="inlineStr">
        <is>
          <t>Z102_03_012025_MASSENA.CSV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0085</t>
        </is>
      </c>
      <c r="H225" s="4" t="n">
        <v>45691</v>
      </c>
      <c r="I225" s="2" t="inlineStr">
        <is>
          <t>12:18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5" t="n">
        <v>0</v>
      </c>
    </row>
    <row r="226">
      <c r="A226" s="2" t="inlineStr">
        <is>
          <t>Z102_03_012025_MASSENA.CSV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0085</t>
        </is>
      </c>
      <c r="H226" s="4" t="n">
        <v>45691</v>
      </c>
      <c r="I226" s="2" t="inlineStr">
        <is>
          <t>12:18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5" t="n">
        <v>0</v>
      </c>
    </row>
    <row r="227">
      <c r="A227" s="2" t="inlineStr">
        <is>
          <t>Z102_03_012025_MASSENA.CSV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0085</t>
        </is>
      </c>
      <c r="H227" s="4" t="n">
        <v>45691</v>
      </c>
      <c r="I227" s="2" t="inlineStr">
        <is>
          <t>12:18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5" t="n">
        <v>0</v>
      </c>
    </row>
    <row r="228">
      <c r="A228" s="2" t="inlineStr">
        <is>
          <t>Z102_03_012025_MASSENA.CSV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0085</t>
        </is>
      </c>
      <c r="H228" s="4" t="n">
        <v>45691</v>
      </c>
      <c r="I228" s="2" t="inlineStr">
        <is>
          <t>12:18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5" t="n">
        <v>0</v>
      </c>
    </row>
    <row r="229">
      <c r="A229" s="2" t="inlineStr">
        <is>
          <t>Z102_03_012025_MASSENA.CSV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0085</t>
        </is>
      </c>
      <c r="H229" s="4" t="n">
        <v>45691</v>
      </c>
      <c r="I229" s="2" t="inlineStr">
        <is>
          <t>12:18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5" t="n">
        <v>0</v>
      </c>
    </row>
    <row r="230">
      <c r="A230" s="2" t="inlineStr">
        <is>
          <t>Z102_03_012025_MASSENA.CSV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0085</t>
        </is>
      </c>
      <c r="H230" s="4" t="n">
        <v>45691</v>
      </c>
      <c r="I230" s="2" t="inlineStr">
        <is>
          <t>12:18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5" t="n">
        <v>0</v>
      </c>
    </row>
    <row r="231">
      <c r="A231" s="2" t="inlineStr">
        <is>
          <t>Z102_03_012025_MASSENA.CSV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0085</t>
        </is>
      </c>
      <c r="H231" s="4" t="n">
        <v>45691</v>
      </c>
      <c r="I231" s="2" t="inlineStr">
        <is>
          <t>12:18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5" t="n">
        <v>0</v>
      </c>
    </row>
    <row r="232">
      <c r="A232" s="2" t="inlineStr">
        <is>
          <t>Z102_03_012025_MASSENA.CSV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0085</t>
        </is>
      </c>
      <c r="H232" s="4" t="n">
        <v>45691</v>
      </c>
      <c r="I232" s="2" t="inlineStr">
        <is>
          <t>12:18</t>
        </is>
      </c>
      <c r="J232" s="3" t="inlineStr">
        <is>
          <t>0031</t>
        </is>
      </c>
      <c r="K232" s="2" t="inlineStr">
        <is>
          <t>REF./TIROIR</t>
        </is>
      </c>
      <c r="L232" s="5" t="n">
        <v>0</v>
      </c>
      <c r="M232" s="5" t="n">
        <v>0</v>
      </c>
    </row>
    <row r="233">
      <c r="A233" s="2" t="inlineStr">
        <is>
          <t>Z102_03_012025_MASSENA.CSV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0085</t>
        </is>
      </c>
      <c r="H233" s="4" t="n">
        <v>45691</v>
      </c>
      <c r="I233" s="2" t="inlineStr">
        <is>
          <t>12:18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5" t="n">
        <v>0</v>
      </c>
    </row>
    <row r="234">
      <c r="A234" s="2" t="inlineStr">
        <is>
          <t>Z102_03_012025_MASSENA.CSV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0085</t>
        </is>
      </c>
      <c r="H234" s="4" t="n">
        <v>45691</v>
      </c>
      <c r="I234" s="2" t="inlineStr">
        <is>
          <t>12:18</t>
        </is>
      </c>
      <c r="J234" s="3" t="inlineStr">
        <is>
          <t>0033</t>
        </is>
      </c>
      <c r="K234" s="2" t="inlineStr"/>
      <c r="L234" s="5" t="n">
        <v>0</v>
      </c>
      <c r="M234" s="5" t="n">
        <v>0</v>
      </c>
    </row>
    <row r="235">
      <c r="A235" s="2" t="inlineStr">
        <is>
          <t>Z102_03_012025_MASSENA.CSV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0085</t>
        </is>
      </c>
      <c r="H235" s="4" t="n">
        <v>45691</v>
      </c>
      <c r="I235" s="2" t="inlineStr">
        <is>
          <t>12:18</t>
        </is>
      </c>
      <c r="J235" s="3" t="inlineStr">
        <is>
          <t>0034</t>
        </is>
      </c>
      <c r="K235" s="2" t="inlineStr"/>
      <c r="L235" s="5" t="n">
        <v>0</v>
      </c>
      <c r="M235" s="5" t="n">
        <v>0</v>
      </c>
    </row>
    <row r="236">
      <c r="A236" s="2" t="inlineStr">
        <is>
          <t>Z102_03_012025_MASSENA.CSV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0085</t>
        </is>
      </c>
      <c r="H236" s="4" t="n">
        <v>45691</v>
      </c>
      <c r="I236" s="2" t="inlineStr">
        <is>
          <t>12:18</t>
        </is>
      </c>
      <c r="J236" s="3" t="inlineStr">
        <is>
          <t>0035</t>
        </is>
      </c>
      <c r="K236" s="2" t="inlineStr"/>
      <c r="L236" s="5" t="n">
        <v>0</v>
      </c>
      <c r="M236" s="5" t="n">
        <v>0</v>
      </c>
    </row>
    <row r="237">
      <c r="A237" s="2" t="inlineStr">
        <is>
          <t>Z102_03_012025_MASSENA.CSV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0085</t>
        </is>
      </c>
      <c r="H237" s="4" t="n">
        <v>45691</v>
      </c>
      <c r="I237" s="2" t="inlineStr">
        <is>
          <t>12:18</t>
        </is>
      </c>
      <c r="J237" s="3" t="inlineStr">
        <is>
          <t>0036</t>
        </is>
      </c>
      <c r="K237" s="2" t="inlineStr"/>
      <c r="L237" s="5" t="n">
        <v>0</v>
      </c>
      <c r="M237" s="5" t="n">
        <v>0</v>
      </c>
    </row>
    <row r="238">
      <c r="A238" s="2" t="inlineStr">
        <is>
          <t>Z102_03_012025_MASSENA.CSV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0085</t>
        </is>
      </c>
      <c r="H238" s="4" t="n">
        <v>45691</v>
      </c>
      <c r="I238" s="2" t="inlineStr">
        <is>
          <t>12:18</t>
        </is>
      </c>
      <c r="J238" s="3" t="inlineStr">
        <is>
          <t>0037</t>
        </is>
      </c>
      <c r="K238" s="2" t="inlineStr"/>
      <c r="L238" s="5" t="n">
        <v>0</v>
      </c>
      <c r="M238" s="5" t="n">
        <v>0</v>
      </c>
    </row>
    <row r="239">
      <c r="A239" s="2" t="inlineStr">
        <is>
          <t>Z102_03_012025_MASSENA.CSV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0085</t>
        </is>
      </c>
      <c r="H239" s="4" t="n">
        <v>45691</v>
      </c>
      <c r="I239" s="2" t="inlineStr">
        <is>
          <t>12:18</t>
        </is>
      </c>
      <c r="J239" s="3" t="inlineStr">
        <is>
          <t>0038</t>
        </is>
      </c>
      <c r="K239" s="2" t="inlineStr"/>
      <c r="L239" s="5" t="n">
        <v>0</v>
      </c>
      <c r="M239" s="5" t="n">
        <v>0</v>
      </c>
    </row>
    <row r="240">
      <c r="A240" s="2" t="inlineStr">
        <is>
          <t>Z102_03_012025_MASSENA.CSV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0085</t>
        </is>
      </c>
      <c r="H240" s="4" t="n">
        <v>45691</v>
      </c>
      <c r="I240" s="2" t="inlineStr">
        <is>
          <t>12:18</t>
        </is>
      </c>
      <c r="J240" s="3" t="inlineStr">
        <is>
          <t>0039</t>
        </is>
      </c>
      <c r="K240" s="2" t="inlineStr"/>
      <c r="L240" s="5" t="n">
        <v>0</v>
      </c>
      <c r="M240" s="5" t="n">
        <v>0</v>
      </c>
    </row>
    <row r="241">
      <c r="A241" s="2" t="inlineStr">
        <is>
          <t>Z102_03_012025_MASSENA.CSV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0085</t>
        </is>
      </c>
      <c r="H241" s="4" t="n">
        <v>45691</v>
      </c>
      <c r="I241" s="2" t="inlineStr">
        <is>
          <t>12:18</t>
        </is>
      </c>
      <c r="J241" s="3" t="inlineStr">
        <is>
          <t>0040</t>
        </is>
      </c>
      <c r="K241" s="2" t="inlineStr"/>
      <c r="L241" s="5" t="n">
        <v>0</v>
      </c>
      <c r="M241" s="5" t="n">
        <v>0</v>
      </c>
    </row>
    <row r="242">
      <c r="A242" s="2" t="inlineStr">
        <is>
          <t>Z102_03_012025_MASSENA.CSV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0085</t>
        </is>
      </c>
      <c r="H242" s="4" t="n">
        <v>45691</v>
      </c>
      <c r="I242" s="2" t="inlineStr">
        <is>
          <t>12:18</t>
        </is>
      </c>
      <c r="J242" s="3" t="inlineStr">
        <is>
          <t>0041</t>
        </is>
      </c>
      <c r="K242" s="2" t="inlineStr"/>
      <c r="L242" s="5" t="n">
        <v>0</v>
      </c>
      <c r="M242" s="5" t="n">
        <v>0</v>
      </c>
    </row>
    <row r="243">
      <c r="A243" s="2" t="inlineStr">
        <is>
          <t>Z102_03_012025_MASSENA.CSV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0085</t>
        </is>
      </c>
      <c r="H243" s="4" t="n">
        <v>45691</v>
      </c>
      <c r="I243" s="2" t="inlineStr">
        <is>
          <t>12:18</t>
        </is>
      </c>
      <c r="J243" s="3" t="inlineStr">
        <is>
          <t>0042</t>
        </is>
      </c>
      <c r="K243" s="2" t="inlineStr"/>
      <c r="L243" s="5" t="n">
        <v>0</v>
      </c>
      <c r="M243" s="5" t="n">
        <v>0</v>
      </c>
    </row>
    <row r="244">
      <c r="A244" s="2" t="inlineStr">
        <is>
          <t>Z102_03_012025_MASSENA.CSV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0085</t>
        </is>
      </c>
      <c r="H244" s="4" t="n">
        <v>45691</v>
      </c>
      <c r="I244" s="2" t="inlineStr">
        <is>
          <t>12:18</t>
        </is>
      </c>
      <c r="J244" s="3" t="inlineStr">
        <is>
          <t>0043</t>
        </is>
      </c>
      <c r="K244" s="2" t="inlineStr"/>
      <c r="L244" s="5" t="n">
        <v>0</v>
      </c>
      <c r="M244" s="5" t="n">
        <v>0</v>
      </c>
    </row>
    <row r="245">
      <c r="A245" s="2" t="inlineStr">
        <is>
          <t>Z102_03_012025_MASSENA.CSV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0085</t>
        </is>
      </c>
      <c r="H245" s="4" t="n">
        <v>45691</v>
      </c>
      <c r="I245" s="2" t="inlineStr">
        <is>
          <t>12:18</t>
        </is>
      </c>
      <c r="J245" s="3" t="inlineStr">
        <is>
          <t>0044</t>
        </is>
      </c>
      <c r="K245" s="2" t="inlineStr"/>
      <c r="L245" s="5" t="n">
        <v>0</v>
      </c>
      <c r="M245" s="5" t="n">
        <v>0</v>
      </c>
    </row>
    <row r="246">
      <c r="A246" s="2" t="inlineStr">
        <is>
          <t>Z102_03_012025_MASSENA.CSV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0085</t>
        </is>
      </c>
      <c r="H246" s="4" t="n">
        <v>45691</v>
      </c>
      <c r="I246" s="2" t="inlineStr">
        <is>
          <t>12:18</t>
        </is>
      </c>
      <c r="J246" s="3" t="inlineStr">
        <is>
          <t>0045</t>
        </is>
      </c>
      <c r="K246" s="2" t="inlineStr"/>
      <c r="L246" s="5" t="n">
        <v>0</v>
      </c>
      <c r="M246" s="5" t="n">
        <v>0</v>
      </c>
    </row>
    <row r="247">
      <c r="A247" s="2" t="inlineStr">
        <is>
          <t>Z102_03_012025_MASSENA.CSV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0085</t>
        </is>
      </c>
      <c r="H247" s="4" t="n">
        <v>45691</v>
      </c>
      <c r="I247" s="2" t="inlineStr">
        <is>
          <t>12:18</t>
        </is>
      </c>
      <c r="J247" s="3" t="inlineStr">
        <is>
          <t>0046</t>
        </is>
      </c>
      <c r="K247" s="2" t="inlineStr"/>
      <c r="L247" s="5" t="n">
        <v>0</v>
      </c>
      <c r="M247" s="5" t="n">
        <v>0</v>
      </c>
    </row>
    <row r="248">
      <c r="A248" s="2" t="inlineStr">
        <is>
          <t>Z102_03_012025_MASSENA.CSV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0085</t>
        </is>
      </c>
      <c r="H248" s="4" t="n">
        <v>45691</v>
      </c>
      <c r="I248" s="2" t="inlineStr">
        <is>
          <t>12:18</t>
        </is>
      </c>
      <c r="J248" s="3" t="inlineStr">
        <is>
          <t>0047</t>
        </is>
      </c>
      <c r="K248" s="2" t="inlineStr"/>
      <c r="L248" s="5" t="n">
        <v>0</v>
      </c>
      <c r="M248" s="5" t="n">
        <v>0</v>
      </c>
    </row>
    <row r="249">
      <c r="A249" s="2" t="inlineStr">
        <is>
          <t>Z102_03_012025_MASSENA.CSV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0085</t>
        </is>
      </c>
      <c r="H249" s="4" t="n">
        <v>45691</v>
      </c>
      <c r="I249" s="2" t="inlineStr">
        <is>
          <t>12:18</t>
        </is>
      </c>
      <c r="J249" s="3" t="inlineStr">
        <is>
          <t>0048</t>
        </is>
      </c>
      <c r="K249" s="2" t="inlineStr"/>
      <c r="L249" s="5" t="n">
        <v>0</v>
      </c>
      <c r="M249" s="5" t="n">
        <v>0</v>
      </c>
    </row>
    <row r="250">
      <c r="A250" s="2" t="inlineStr">
        <is>
          <t>Z102_03_012025_MASSENA.CSV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0085</t>
        </is>
      </c>
      <c r="H250" s="4" t="n">
        <v>45691</v>
      </c>
      <c r="I250" s="2" t="inlineStr">
        <is>
          <t>12:18</t>
        </is>
      </c>
      <c r="J250" s="3" t="inlineStr">
        <is>
          <t>0049</t>
        </is>
      </c>
      <c r="K250" s="2" t="inlineStr"/>
      <c r="L250" s="5" t="n">
        <v>0</v>
      </c>
      <c r="M250" s="5" t="n">
        <v>0</v>
      </c>
    </row>
    <row r="251">
      <c r="A251" s="2" t="inlineStr">
        <is>
          <t>Z102_03_012025_MASSENA.CSV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0085</t>
        </is>
      </c>
      <c r="H251" s="4" t="n">
        <v>45691</v>
      </c>
      <c r="I251" s="2" t="inlineStr">
        <is>
          <t>12:18</t>
        </is>
      </c>
      <c r="J251" s="3" t="inlineStr">
        <is>
          <t>0050</t>
        </is>
      </c>
      <c r="K251" s="2" t="inlineStr"/>
      <c r="L251" s="5" t="n">
        <v>0</v>
      </c>
      <c r="M251" s="5" t="n">
        <v>0</v>
      </c>
    </row>
    <row r="252">
      <c r="A252" s="2" t="inlineStr">
        <is>
          <t>Z102_29_032025_MASSENA.CSV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0087</t>
        </is>
      </c>
      <c r="H252" s="4" t="n">
        <v>45745</v>
      </c>
      <c r="I252" s="2" t="inlineStr">
        <is>
          <t>23:24</t>
        </is>
      </c>
      <c r="J252" s="3" t="inlineStr">
        <is>
          <t>0001</t>
        </is>
      </c>
      <c r="K252" s="2" t="inlineStr">
        <is>
          <t>ESPECES</t>
        </is>
      </c>
      <c r="L252" s="5" t="n">
        <v>21</v>
      </c>
      <c r="M252" s="5" t="n">
        <v>11051.7</v>
      </c>
    </row>
    <row r="253">
      <c r="A253" s="2" t="inlineStr">
        <is>
          <t>Z102_29_032025_MASSENA.CSV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0087</t>
        </is>
      </c>
      <c r="H253" s="4" t="n">
        <v>45745</v>
      </c>
      <c r="I253" s="2" t="inlineStr">
        <is>
          <t>23:24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5" t="n">
        <v>0</v>
      </c>
    </row>
    <row r="254">
      <c r="A254" s="2" t="inlineStr">
        <is>
          <t>Z102_29_032025_MASSENA.CSV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0087</t>
        </is>
      </c>
      <c r="H254" s="4" t="n">
        <v>45745</v>
      </c>
      <c r="I254" s="2" t="inlineStr">
        <is>
          <t>23:24</t>
        </is>
      </c>
      <c r="J254" s="3" t="inlineStr">
        <is>
          <t>0003</t>
        </is>
      </c>
      <c r="K254" s="2" t="inlineStr">
        <is>
          <t>CARTES</t>
        </is>
      </c>
      <c r="L254" s="5" t="n">
        <v>9</v>
      </c>
      <c r="M254" s="5" t="n">
        <v>9581</v>
      </c>
    </row>
    <row r="255">
      <c r="A255" s="2" t="inlineStr">
        <is>
          <t>Z102_29_032025_MASSENA.CSV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0087</t>
        </is>
      </c>
      <c r="H255" s="4" t="n">
        <v>45745</v>
      </c>
      <c r="I255" s="2" t="inlineStr">
        <is>
          <t>23:24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5" t="n">
        <v>0</v>
      </c>
    </row>
    <row r="256">
      <c r="A256" s="2" t="inlineStr">
        <is>
          <t>Z102_29_032025_MASSENA.CSV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0087</t>
        </is>
      </c>
      <c r="H256" s="4" t="n">
        <v>45745</v>
      </c>
      <c r="I256" s="2" t="inlineStr">
        <is>
          <t>23:24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5" t="n">
        <v>0</v>
      </c>
    </row>
    <row r="257">
      <c r="A257" s="2" t="inlineStr">
        <is>
          <t>Z102_29_032025_MASSENA.CSV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0087</t>
        </is>
      </c>
      <c r="H257" s="4" t="n">
        <v>45745</v>
      </c>
      <c r="I257" s="2" t="inlineStr">
        <is>
          <t>23:24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5" t="n">
        <v>0</v>
      </c>
    </row>
    <row r="258">
      <c r="A258" s="2" t="inlineStr">
        <is>
          <t>Z102_29_032025_MASSENA.CSV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0087</t>
        </is>
      </c>
      <c r="H258" s="4" t="n">
        <v>45745</v>
      </c>
      <c r="I258" s="2" t="inlineStr">
        <is>
          <t>23:24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5" t="n">
        <v>0</v>
      </c>
    </row>
    <row r="259">
      <c r="A259" s="2" t="inlineStr">
        <is>
          <t>Z102_29_032025_MASSENA.CSV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0087</t>
        </is>
      </c>
      <c r="H259" s="4" t="n">
        <v>45745</v>
      </c>
      <c r="I259" s="2" t="inlineStr">
        <is>
          <t>23:24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5" t="n">
        <v>0</v>
      </c>
    </row>
    <row r="260">
      <c r="A260" s="2" t="inlineStr">
        <is>
          <t>Z102_29_032025_MASSENA.CSV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0087</t>
        </is>
      </c>
      <c r="H260" s="4" t="n">
        <v>45745</v>
      </c>
      <c r="I260" s="2" t="inlineStr">
        <is>
          <t>23:24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5" t="n">
        <v>0</v>
      </c>
    </row>
    <row r="261">
      <c r="A261" s="2" t="inlineStr">
        <is>
          <t>Z102_29_032025_MASSENA.CSV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0087</t>
        </is>
      </c>
      <c r="H261" s="4" t="n">
        <v>45745</v>
      </c>
      <c r="I261" s="2" t="inlineStr">
        <is>
          <t>23:24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5" t="n">
        <v>0</v>
      </c>
    </row>
    <row r="262">
      <c r="A262" s="2" t="inlineStr">
        <is>
          <t>Z102_29_032025_MASSENA.CSV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0087</t>
        </is>
      </c>
      <c r="H262" s="4" t="n">
        <v>45745</v>
      </c>
      <c r="I262" s="2" t="inlineStr">
        <is>
          <t>23:24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5" t="n">
        <v>0</v>
      </c>
    </row>
    <row r="263">
      <c r="A263" s="2" t="inlineStr">
        <is>
          <t>Z102_29_032025_MASSENA.CSV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0087</t>
        </is>
      </c>
      <c r="H263" s="4" t="n">
        <v>45745</v>
      </c>
      <c r="I263" s="2" t="inlineStr">
        <is>
          <t>23:24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5" t="n">
        <v>0</v>
      </c>
    </row>
    <row r="264">
      <c r="A264" s="2" t="inlineStr">
        <is>
          <t>Z102_29_032025_MASSENA.CSV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0087</t>
        </is>
      </c>
      <c r="H264" s="4" t="n">
        <v>45745</v>
      </c>
      <c r="I264" s="2" t="inlineStr">
        <is>
          <t>23:24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5" t="n">
        <v>0</v>
      </c>
    </row>
    <row r="265">
      <c r="A265" s="2" t="inlineStr">
        <is>
          <t>Z102_29_032025_MASSENA.CSV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0087</t>
        </is>
      </c>
      <c r="H265" s="4" t="n">
        <v>45745</v>
      </c>
      <c r="I265" s="2" t="inlineStr">
        <is>
          <t>23:24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5" t="n">
        <v>0</v>
      </c>
    </row>
    <row r="266">
      <c r="A266" s="2" t="inlineStr">
        <is>
          <t>Z102_29_032025_MASSENA.CSV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0087</t>
        </is>
      </c>
      <c r="H266" s="4" t="n">
        <v>45745</v>
      </c>
      <c r="I266" s="2" t="inlineStr">
        <is>
          <t>23:24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5" t="n">
        <v>0</v>
      </c>
    </row>
    <row r="267">
      <c r="A267" s="2" t="inlineStr">
        <is>
          <t>Z102_29_032025_MASSENA.CSV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0087</t>
        </is>
      </c>
      <c r="H267" s="4" t="n">
        <v>45745</v>
      </c>
      <c r="I267" s="2" t="inlineStr">
        <is>
          <t>23:24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5" t="n">
        <v>0</v>
      </c>
    </row>
    <row r="268">
      <c r="A268" s="2" t="inlineStr">
        <is>
          <t>Z102_29_032025_MASSENA.CSV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0087</t>
        </is>
      </c>
      <c r="H268" s="4" t="n">
        <v>45745</v>
      </c>
      <c r="I268" s="2" t="inlineStr">
        <is>
          <t>23:24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5" t="n">
        <v>0</v>
      </c>
    </row>
    <row r="269">
      <c r="A269" s="2" t="inlineStr">
        <is>
          <t>Z102_29_032025_MASSENA.CSV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0087</t>
        </is>
      </c>
      <c r="H269" s="4" t="n">
        <v>45745</v>
      </c>
      <c r="I269" s="2" t="inlineStr">
        <is>
          <t>23:24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5" t="n">
        <v>0</v>
      </c>
    </row>
    <row r="270">
      <c r="A270" s="2" t="inlineStr">
        <is>
          <t>Z102_29_032025_MASSENA.CSV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0087</t>
        </is>
      </c>
      <c r="H270" s="4" t="n">
        <v>45745</v>
      </c>
      <c r="I270" s="2" t="inlineStr">
        <is>
          <t>23:24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5" t="n">
        <v>0</v>
      </c>
    </row>
    <row r="271">
      <c r="A271" s="2" t="inlineStr">
        <is>
          <t>Z102_29_032025_MASSENA.CSV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0087</t>
        </is>
      </c>
      <c r="H271" s="4" t="n">
        <v>45745</v>
      </c>
      <c r="I271" s="2" t="inlineStr">
        <is>
          <t>23:24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5" t="n">
        <v>0</v>
      </c>
    </row>
    <row r="272">
      <c r="A272" s="2" t="inlineStr">
        <is>
          <t>Z102_29_032025_MASSENA.CSV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0087</t>
        </is>
      </c>
      <c r="H272" s="4" t="n">
        <v>45745</v>
      </c>
      <c r="I272" s="2" t="inlineStr">
        <is>
          <t>23:24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5" t="n">
        <v>0</v>
      </c>
    </row>
    <row r="273">
      <c r="A273" s="2" t="inlineStr">
        <is>
          <t>Z102_29_032025_MASSENA.CSV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0087</t>
        </is>
      </c>
      <c r="H273" s="4" t="n">
        <v>45745</v>
      </c>
      <c r="I273" s="2" t="inlineStr">
        <is>
          <t>23:24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5" t="n">
        <v>0</v>
      </c>
    </row>
    <row r="274">
      <c r="A274" s="2" t="inlineStr">
        <is>
          <t>Z102_29_032025_MASSENA.CSV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0087</t>
        </is>
      </c>
      <c r="H274" s="4" t="n">
        <v>45745</v>
      </c>
      <c r="I274" s="2" t="inlineStr">
        <is>
          <t>23:24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5" t="n">
        <v>0</v>
      </c>
    </row>
    <row r="275">
      <c r="A275" s="2" t="inlineStr">
        <is>
          <t>Z102_29_032025_MASSENA.CSV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0087</t>
        </is>
      </c>
      <c r="H275" s="4" t="n">
        <v>45745</v>
      </c>
      <c r="I275" s="2" t="inlineStr">
        <is>
          <t>23:24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5" t="n">
        <v>0</v>
      </c>
    </row>
    <row r="276">
      <c r="A276" s="2" t="inlineStr">
        <is>
          <t>Z102_29_032025_MASSENA.CSV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0087</t>
        </is>
      </c>
      <c r="H276" s="4" t="n">
        <v>45745</v>
      </c>
      <c r="I276" s="2" t="inlineStr">
        <is>
          <t>23:24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5" t="n">
        <v>0</v>
      </c>
    </row>
    <row r="277">
      <c r="A277" s="2" t="inlineStr">
        <is>
          <t>Z102_29_032025_MASSENA.CSV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0087</t>
        </is>
      </c>
      <c r="H277" s="4" t="n">
        <v>45745</v>
      </c>
      <c r="I277" s="2" t="inlineStr">
        <is>
          <t>23:24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5" t="n">
        <v>0</v>
      </c>
    </row>
    <row r="278">
      <c r="A278" s="2" t="inlineStr">
        <is>
          <t>Z102_29_032025_MASSENA.CSV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0087</t>
        </is>
      </c>
      <c r="H278" s="4" t="n">
        <v>45745</v>
      </c>
      <c r="I278" s="2" t="inlineStr">
        <is>
          <t>23:24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5" t="n">
        <v>0</v>
      </c>
    </row>
    <row r="279">
      <c r="A279" s="2" t="inlineStr">
        <is>
          <t>Z102_29_032025_MASSENA.CSV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0087</t>
        </is>
      </c>
      <c r="H279" s="4" t="n">
        <v>45745</v>
      </c>
      <c r="I279" s="2" t="inlineStr">
        <is>
          <t>23:24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5" t="n">
        <v>0</v>
      </c>
    </row>
    <row r="280">
      <c r="A280" s="2" t="inlineStr">
        <is>
          <t>Z102_29_032025_MASSENA.CSV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0087</t>
        </is>
      </c>
      <c r="H280" s="4" t="n">
        <v>45745</v>
      </c>
      <c r="I280" s="2" t="inlineStr">
        <is>
          <t>23:24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5" t="n">
        <v>0</v>
      </c>
    </row>
    <row r="281">
      <c r="A281" s="2" t="inlineStr">
        <is>
          <t>Z102_29_032025_MASSENA.CSV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0087</t>
        </is>
      </c>
      <c r="H281" s="4" t="n">
        <v>45745</v>
      </c>
      <c r="I281" s="2" t="inlineStr">
        <is>
          <t>23:24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5" t="n">
        <v>0</v>
      </c>
    </row>
    <row r="282">
      <c r="A282" s="2" t="inlineStr">
        <is>
          <t>Z102_29_032025_MASSENA.CSV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0087</t>
        </is>
      </c>
      <c r="H282" s="4" t="n">
        <v>45745</v>
      </c>
      <c r="I282" s="2" t="inlineStr">
        <is>
          <t>23:24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5" t="n">
        <v>0</v>
      </c>
    </row>
    <row r="283">
      <c r="A283" s="2" t="inlineStr">
        <is>
          <t>Z102_29_032025_MASSENA.CSV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0087</t>
        </is>
      </c>
      <c r="H283" s="4" t="n">
        <v>45745</v>
      </c>
      <c r="I283" s="2" t="inlineStr">
        <is>
          <t>23:24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5" t="n">
        <v>0</v>
      </c>
    </row>
    <row r="284">
      <c r="A284" s="2" t="inlineStr">
        <is>
          <t>Z102_29_032025_MASSENA.CSV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0087</t>
        </is>
      </c>
      <c r="H284" s="4" t="n">
        <v>45745</v>
      </c>
      <c r="I284" s="2" t="inlineStr">
        <is>
          <t>23:24</t>
        </is>
      </c>
      <c r="J284" s="3" t="inlineStr">
        <is>
          <t>0033</t>
        </is>
      </c>
      <c r="K284" s="2" t="inlineStr"/>
      <c r="L284" s="5" t="n">
        <v>0</v>
      </c>
      <c r="M284" s="5" t="n">
        <v>0</v>
      </c>
    </row>
    <row r="285">
      <c r="A285" s="2" t="inlineStr">
        <is>
          <t>Z102_29_032025_MASSENA.CSV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0087</t>
        </is>
      </c>
      <c r="H285" s="4" t="n">
        <v>45745</v>
      </c>
      <c r="I285" s="2" t="inlineStr">
        <is>
          <t>23:24</t>
        </is>
      </c>
      <c r="J285" s="3" t="inlineStr">
        <is>
          <t>0034</t>
        </is>
      </c>
      <c r="K285" s="2" t="inlineStr"/>
      <c r="L285" s="5" t="n">
        <v>0</v>
      </c>
      <c r="M285" s="5" t="n">
        <v>0</v>
      </c>
    </row>
    <row r="286">
      <c r="A286" s="2" t="inlineStr">
        <is>
          <t>Z102_29_032025_MASSENA.CSV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0087</t>
        </is>
      </c>
      <c r="H286" s="4" t="n">
        <v>45745</v>
      </c>
      <c r="I286" s="2" t="inlineStr">
        <is>
          <t>23:24</t>
        </is>
      </c>
      <c r="J286" s="3" t="inlineStr">
        <is>
          <t>0035</t>
        </is>
      </c>
      <c r="K286" s="2" t="inlineStr"/>
      <c r="L286" s="5" t="n">
        <v>0</v>
      </c>
      <c r="M286" s="5" t="n">
        <v>0</v>
      </c>
    </row>
    <row r="287">
      <c r="A287" s="2" t="inlineStr">
        <is>
          <t>Z102_29_032025_MASSENA.CSV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0087</t>
        </is>
      </c>
      <c r="H287" s="4" t="n">
        <v>45745</v>
      </c>
      <c r="I287" s="2" t="inlineStr">
        <is>
          <t>23:24</t>
        </is>
      </c>
      <c r="J287" s="3" t="inlineStr">
        <is>
          <t>0036</t>
        </is>
      </c>
      <c r="K287" s="2" t="inlineStr"/>
      <c r="L287" s="5" t="n">
        <v>0</v>
      </c>
      <c r="M287" s="5" t="n">
        <v>0</v>
      </c>
    </row>
    <row r="288">
      <c r="A288" s="2" t="inlineStr">
        <is>
          <t>Z102_29_032025_MASSENA.CSV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0087</t>
        </is>
      </c>
      <c r="H288" s="4" t="n">
        <v>45745</v>
      </c>
      <c r="I288" s="2" t="inlineStr">
        <is>
          <t>23:24</t>
        </is>
      </c>
      <c r="J288" s="3" t="inlineStr">
        <is>
          <t>0037</t>
        </is>
      </c>
      <c r="K288" s="2" t="inlineStr"/>
      <c r="L288" s="5" t="n">
        <v>0</v>
      </c>
      <c r="M288" s="5" t="n">
        <v>0</v>
      </c>
    </row>
    <row r="289">
      <c r="A289" s="2" t="inlineStr">
        <is>
          <t>Z102_29_032025_MASSENA.CSV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0087</t>
        </is>
      </c>
      <c r="H289" s="4" t="n">
        <v>45745</v>
      </c>
      <c r="I289" s="2" t="inlineStr">
        <is>
          <t>23:24</t>
        </is>
      </c>
      <c r="J289" s="3" t="inlineStr">
        <is>
          <t>0038</t>
        </is>
      </c>
      <c r="K289" s="2" t="inlineStr"/>
      <c r="L289" s="5" t="n">
        <v>0</v>
      </c>
      <c r="M289" s="5" t="n">
        <v>0</v>
      </c>
    </row>
    <row r="290">
      <c r="A290" s="2" t="inlineStr">
        <is>
          <t>Z102_29_032025_MASSENA.CSV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0087</t>
        </is>
      </c>
      <c r="H290" s="4" t="n">
        <v>45745</v>
      </c>
      <c r="I290" s="2" t="inlineStr">
        <is>
          <t>23:24</t>
        </is>
      </c>
      <c r="J290" s="3" t="inlineStr">
        <is>
          <t>0039</t>
        </is>
      </c>
      <c r="K290" s="2" t="inlineStr"/>
      <c r="L290" s="5" t="n">
        <v>0</v>
      </c>
      <c r="M290" s="5" t="n">
        <v>0</v>
      </c>
    </row>
    <row r="291">
      <c r="A291" s="2" t="inlineStr">
        <is>
          <t>Z102_29_032025_MASSENA.CSV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0087</t>
        </is>
      </c>
      <c r="H291" s="4" t="n">
        <v>45745</v>
      </c>
      <c r="I291" s="2" t="inlineStr">
        <is>
          <t>23:24</t>
        </is>
      </c>
      <c r="J291" s="3" t="inlineStr">
        <is>
          <t>0040</t>
        </is>
      </c>
      <c r="K291" s="2" t="inlineStr"/>
      <c r="L291" s="5" t="n">
        <v>0</v>
      </c>
      <c r="M291" s="5" t="n">
        <v>0</v>
      </c>
    </row>
    <row r="292">
      <c r="A292" s="2" t="inlineStr">
        <is>
          <t>Z102_29_032025_MASSENA.CSV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0087</t>
        </is>
      </c>
      <c r="H292" s="4" t="n">
        <v>45745</v>
      </c>
      <c r="I292" s="2" t="inlineStr">
        <is>
          <t>23:24</t>
        </is>
      </c>
      <c r="J292" s="3" t="inlineStr">
        <is>
          <t>0041</t>
        </is>
      </c>
      <c r="K292" s="2" t="inlineStr"/>
      <c r="L292" s="5" t="n">
        <v>0</v>
      </c>
      <c r="M292" s="5" t="n">
        <v>0</v>
      </c>
    </row>
    <row r="293">
      <c r="A293" s="2" t="inlineStr">
        <is>
          <t>Z102_29_032025_MASSENA.CSV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0087</t>
        </is>
      </c>
      <c r="H293" s="4" t="n">
        <v>45745</v>
      </c>
      <c r="I293" s="2" t="inlineStr">
        <is>
          <t>23:24</t>
        </is>
      </c>
      <c r="J293" s="3" t="inlineStr">
        <is>
          <t>0042</t>
        </is>
      </c>
      <c r="K293" s="2" t="inlineStr"/>
      <c r="L293" s="5" t="n">
        <v>0</v>
      </c>
      <c r="M293" s="5" t="n">
        <v>0</v>
      </c>
    </row>
    <row r="294">
      <c r="A294" s="2" t="inlineStr">
        <is>
          <t>Z102_29_032025_MASSENA.CSV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0087</t>
        </is>
      </c>
      <c r="H294" s="4" t="n">
        <v>45745</v>
      </c>
      <c r="I294" s="2" t="inlineStr">
        <is>
          <t>23:24</t>
        </is>
      </c>
      <c r="J294" s="3" t="inlineStr">
        <is>
          <t>0043</t>
        </is>
      </c>
      <c r="K294" s="2" t="inlineStr"/>
      <c r="L294" s="5" t="n">
        <v>0</v>
      </c>
      <c r="M294" s="5" t="n">
        <v>0</v>
      </c>
    </row>
    <row r="295">
      <c r="A295" s="2" t="inlineStr">
        <is>
          <t>Z102_29_032025_MASSENA.CSV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0087</t>
        </is>
      </c>
      <c r="H295" s="4" t="n">
        <v>45745</v>
      </c>
      <c r="I295" s="2" t="inlineStr">
        <is>
          <t>23:24</t>
        </is>
      </c>
      <c r="J295" s="3" t="inlineStr">
        <is>
          <t>0044</t>
        </is>
      </c>
      <c r="K295" s="2" t="inlineStr"/>
      <c r="L295" s="5" t="n">
        <v>0</v>
      </c>
      <c r="M295" s="5" t="n">
        <v>0</v>
      </c>
    </row>
    <row r="296">
      <c r="A296" s="2" t="inlineStr">
        <is>
          <t>Z102_29_032025_MASSENA.CSV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0087</t>
        </is>
      </c>
      <c r="H296" s="4" t="n">
        <v>45745</v>
      </c>
      <c r="I296" s="2" t="inlineStr">
        <is>
          <t>23:24</t>
        </is>
      </c>
      <c r="J296" s="3" t="inlineStr">
        <is>
          <t>0045</t>
        </is>
      </c>
      <c r="K296" s="2" t="inlineStr"/>
      <c r="L296" s="5" t="n">
        <v>0</v>
      </c>
      <c r="M296" s="5" t="n">
        <v>0</v>
      </c>
    </row>
    <row r="297">
      <c r="A297" s="2" t="inlineStr">
        <is>
          <t>Z102_29_032025_MASSENA.CSV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0087</t>
        </is>
      </c>
      <c r="H297" s="4" t="n">
        <v>45745</v>
      </c>
      <c r="I297" s="2" t="inlineStr">
        <is>
          <t>23:24</t>
        </is>
      </c>
      <c r="J297" s="3" t="inlineStr">
        <is>
          <t>0046</t>
        </is>
      </c>
      <c r="K297" s="2" t="inlineStr"/>
      <c r="L297" s="5" t="n">
        <v>0</v>
      </c>
      <c r="M297" s="5" t="n">
        <v>0</v>
      </c>
    </row>
    <row r="298">
      <c r="A298" s="2" t="inlineStr">
        <is>
          <t>Z102_29_032025_MASSENA.CSV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0087</t>
        </is>
      </c>
      <c r="H298" s="4" t="n">
        <v>45745</v>
      </c>
      <c r="I298" s="2" t="inlineStr">
        <is>
          <t>23:24</t>
        </is>
      </c>
      <c r="J298" s="3" t="inlineStr">
        <is>
          <t>0047</t>
        </is>
      </c>
      <c r="K298" s="2" t="inlineStr"/>
      <c r="L298" s="5" t="n">
        <v>0</v>
      </c>
      <c r="M298" s="5" t="n">
        <v>0</v>
      </c>
    </row>
    <row r="299">
      <c r="A299" s="2" t="inlineStr">
        <is>
          <t>Z102_29_032025_MASSENA.CSV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0087</t>
        </is>
      </c>
      <c r="H299" s="4" t="n">
        <v>45745</v>
      </c>
      <c r="I299" s="2" t="inlineStr">
        <is>
          <t>23:24</t>
        </is>
      </c>
      <c r="J299" s="3" t="inlineStr">
        <is>
          <t>0048</t>
        </is>
      </c>
      <c r="K299" s="2" t="inlineStr"/>
      <c r="L299" s="5" t="n">
        <v>0</v>
      </c>
      <c r="M299" s="5" t="n">
        <v>0</v>
      </c>
    </row>
    <row r="300">
      <c r="A300" s="2" t="inlineStr">
        <is>
          <t>Z102_29_032025_MASSENA.CSV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0087</t>
        </is>
      </c>
      <c r="H300" s="4" t="n">
        <v>45745</v>
      </c>
      <c r="I300" s="2" t="inlineStr">
        <is>
          <t>23:24</t>
        </is>
      </c>
      <c r="J300" s="3" t="inlineStr">
        <is>
          <t>0049</t>
        </is>
      </c>
      <c r="K300" s="2" t="inlineStr"/>
      <c r="L300" s="5" t="n">
        <v>0</v>
      </c>
      <c r="M300" s="5" t="n">
        <v>0</v>
      </c>
    </row>
    <row r="301">
      <c r="A301" s="2" t="inlineStr">
        <is>
          <t>Z102_29_032025_MASSENA.CSV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0087</t>
        </is>
      </c>
      <c r="H301" s="4" t="n">
        <v>45745</v>
      </c>
      <c r="I301" s="2" t="inlineStr">
        <is>
          <t>23:24</t>
        </is>
      </c>
      <c r="J301" s="3" t="inlineStr">
        <is>
          <t>0050</t>
        </is>
      </c>
      <c r="K301" s="2" t="inlineStr"/>
      <c r="L301" s="5" t="n">
        <v>0</v>
      </c>
      <c r="M301" s="5" t="n">
        <v>0</v>
      </c>
    </row>
    <row r="302">
      <c r="A302" s="2" t="inlineStr">
        <is>
          <t>Z102_31_072025_MASSENA.CSV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0089</t>
        </is>
      </c>
      <c r="H302" s="4" t="n">
        <v>45869</v>
      </c>
      <c r="I302" s="2" t="inlineStr">
        <is>
          <t>18:38</t>
        </is>
      </c>
      <c r="J302" s="3" t="inlineStr">
        <is>
          <t>0001</t>
        </is>
      </c>
      <c r="K302" s="2" t="inlineStr">
        <is>
          <t>ESPECES</t>
        </is>
      </c>
      <c r="L302" s="5" t="n">
        <v>23</v>
      </c>
      <c r="M302" s="5" t="n">
        <v>17603.9</v>
      </c>
    </row>
    <row r="303">
      <c r="A303" s="2" t="inlineStr">
        <is>
          <t>Z102_31_072025_MASSENA.CSV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0089</t>
        </is>
      </c>
      <c r="H303" s="4" t="n">
        <v>45869</v>
      </c>
      <c r="I303" s="2" t="inlineStr">
        <is>
          <t>18:38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5" t="n">
        <v>0</v>
      </c>
    </row>
    <row r="304">
      <c r="A304" s="2" t="inlineStr">
        <is>
          <t>Z102_31_072025_MASSENA.CSV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0089</t>
        </is>
      </c>
      <c r="H304" s="4" t="n">
        <v>45869</v>
      </c>
      <c r="I304" s="2" t="inlineStr">
        <is>
          <t>18:38</t>
        </is>
      </c>
      <c r="J304" s="3" t="inlineStr">
        <is>
          <t>0003</t>
        </is>
      </c>
      <c r="K304" s="2" t="inlineStr">
        <is>
          <t>CARTES</t>
        </is>
      </c>
      <c r="L304" s="5" t="n">
        <v>4</v>
      </c>
      <c r="M304" s="5" t="n">
        <v>2581</v>
      </c>
    </row>
    <row r="305">
      <c r="A305" s="2" t="inlineStr">
        <is>
          <t>Z102_31_072025_MASSENA.CSV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0089</t>
        </is>
      </c>
      <c r="H305" s="4" t="n">
        <v>45869</v>
      </c>
      <c r="I305" s="2" t="inlineStr">
        <is>
          <t>18:38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5" t="n">
        <v>0</v>
      </c>
    </row>
    <row r="306">
      <c r="A306" s="2" t="inlineStr">
        <is>
          <t>Z102_31_072025_MASSENA.CSV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0089</t>
        </is>
      </c>
      <c r="H306" s="4" t="n">
        <v>45869</v>
      </c>
      <c r="I306" s="2" t="inlineStr">
        <is>
          <t>18:38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5" t="n">
        <v>0</v>
      </c>
    </row>
    <row r="307">
      <c r="A307" s="2" t="inlineStr">
        <is>
          <t>Z102_31_072025_MASSENA.CSV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0089</t>
        </is>
      </c>
      <c r="H307" s="4" t="n">
        <v>45869</v>
      </c>
      <c r="I307" s="2" t="inlineStr">
        <is>
          <t>18:38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5" t="n">
        <v>0</v>
      </c>
    </row>
    <row r="308">
      <c r="A308" s="2" t="inlineStr">
        <is>
          <t>Z102_31_072025_MASSENA.CSV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0089</t>
        </is>
      </c>
      <c r="H308" s="4" t="n">
        <v>45869</v>
      </c>
      <c r="I308" s="2" t="inlineStr">
        <is>
          <t>18:38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5" t="n">
        <v>0</v>
      </c>
    </row>
    <row r="309">
      <c r="A309" s="2" t="inlineStr">
        <is>
          <t>Z102_31_072025_MASSENA.CSV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0089</t>
        </is>
      </c>
      <c r="H309" s="4" t="n">
        <v>45869</v>
      </c>
      <c r="I309" s="2" t="inlineStr">
        <is>
          <t>18:38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5" t="n">
        <v>0</v>
      </c>
    </row>
    <row r="310">
      <c r="A310" s="2" t="inlineStr">
        <is>
          <t>Z102_31_072025_MASSENA.CSV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0089</t>
        </is>
      </c>
      <c r="H310" s="4" t="n">
        <v>45869</v>
      </c>
      <c r="I310" s="2" t="inlineStr">
        <is>
          <t>18:38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5" t="n">
        <v>0</v>
      </c>
    </row>
    <row r="311">
      <c r="A311" s="2" t="inlineStr">
        <is>
          <t>Z102_31_072025_MASSENA.CSV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0089</t>
        </is>
      </c>
      <c r="H311" s="4" t="n">
        <v>45869</v>
      </c>
      <c r="I311" s="2" t="inlineStr">
        <is>
          <t>18:38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5" t="n">
        <v>0</v>
      </c>
    </row>
    <row r="312">
      <c r="A312" s="2" t="inlineStr">
        <is>
          <t>Z102_31_072025_MASSENA.CSV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0089</t>
        </is>
      </c>
      <c r="H312" s="4" t="n">
        <v>45869</v>
      </c>
      <c r="I312" s="2" t="inlineStr">
        <is>
          <t>18:38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5" t="n">
        <v>0</v>
      </c>
    </row>
    <row r="313">
      <c r="A313" s="2" t="inlineStr">
        <is>
          <t>Z102_31_072025_MASSENA.CSV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0089</t>
        </is>
      </c>
      <c r="H313" s="4" t="n">
        <v>45869</v>
      </c>
      <c r="I313" s="2" t="inlineStr">
        <is>
          <t>18:38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5" t="n">
        <v>0</v>
      </c>
    </row>
    <row r="314">
      <c r="A314" s="2" t="inlineStr">
        <is>
          <t>Z102_31_072025_MASSENA.CSV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0089</t>
        </is>
      </c>
      <c r="H314" s="4" t="n">
        <v>45869</v>
      </c>
      <c r="I314" s="2" t="inlineStr">
        <is>
          <t>18:38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5" t="n">
        <v>0</v>
      </c>
    </row>
    <row r="315">
      <c r="A315" s="2" t="inlineStr">
        <is>
          <t>Z102_31_072025_MASSENA.CSV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0089</t>
        </is>
      </c>
      <c r="H315" s="4" t="n">
        <v>45869</v>
      </c>
      <c r="I315" s="2" t="inlineStr">
        <is>
          <t>18:38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5" t="n">
        <v>0</v>
      </c>
    </row>
    <row r="316">
      <c r="A316" s="2" t="inlineStr">
        <is>
          <t>Z102_31_072025_MASSENA.CSV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0089</t>
        </is>
      </c>
      <c r="H316" s="4" t="n">
        <v>45869</v>
      </c>
      <c r="I316" s="2" t="inlineStr">
        <is>
          <t>18:38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5" t="n">
        <v>0</v>
      </c>
    </row>
    <row r="317">
      <c r="A317" s="2" t="inlineStr">
        <is>
          <t>Z102_31_072025_MASSENA.CSV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0089</t>
        </is>
      </c>
      <c r="H317" s="4" t="n">
        <v>45869</v>
      </c>
      <c r="I317" s="2" t="inlineStr">
        <is>
          <t>18:38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5" t="n">
        <v>0</v>
      </c>
    </row>
    <row r="318">
      <c r="A318" s="2" t="inlineStr">
        <is>
          <t>Z102_31_072025_MASSENA.CSV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0089</t>
        </is>
      </c>
      <c r="H318" s="4" t="n">
        <v>45869</v>
      </c>
      <c r="I318" s="2" t="inlineStr">
        <is>
          <t>18:38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5" t="n">
        <v>0</v>
      </c>
    </row>
    <row r="319">
      <c r="A319" s="2" t="inlineStr">
        <is>
          <t>Z102_31_072025_MASSENA.CSV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0089</t>
        </is>
      </c>
      <c r="H319" s="4" t="n">
        <v>45869</v>
      </c>
      <c r="I319" s="2" t="inlineStr">
        <is>
          <t>18:38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5" t="n">
        <v>0</v>
      </c>
    </row>
    <row r="320">
      <c r="A320" s="2" t="inlineStr">
        <is>
          <t>Z102_31_072025_MASSENA.CSV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0089</t>
        </is>
      </c>
      <c r="H320" s="4" t="n">
        <v>45869</v>
      </c>
      <c r="I320" s="2" t="inlineStr">
        <is>
          <t>18:38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5" t="n">
        <v>0</v>
      </c>
    </row>
    <row r="321">
      <c r="A321" s="2" t="inlineStr">
        <is>
          <t>Z102_31_072025_MASSENA.CSV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0089</t>
        </is>
      </c>
      <c r="H321" s="4" t="n">
        <v>45869</v>
      </c>
      <c r="I321" s="2" t="inlineStr">
        <is>
          <t>18:38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5" t="n">
        <v>0</v>
      </c>
    </row>
    <row r="322">
      <c r="A322" s="2" t="inlineStr">
        <is>
          <t>Z102_31_072025_MASSENA.CSV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0089</t>
        </is>
      </c>
      <c r="H322" s="4" t="n">
        <v>45869</v>
      </c>
      <c r="I322" s="2" t="inlineStr">
        <is>
          <t>18:38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5" t="n">
        <v>0</v>
      </c>
    </row>
    <row r="323">
      <c r="A323" s="2" t="inlineStr">
        <is>
          <t>Z102_31_072025_MASSENA.CSV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0089</t>
        </is>
      </c>
      <c r="H323" s="4" t="n">
        <v>45869</v>
      </c>
      <c r="I323" s="2" t="inlineStr">
        <is>
          <t>18:38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5" t="n">
        <v>0</v>
      </c>
    </row>
    <row r="324">
      <c r="A324" s="2" t="inlineStr">
        <is>
          <t>Z102_31_072025_MASSENA.CSV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0089</t>
        </is>
      </c>
      <c r="H324" s="4" t="n">
        <v>45869</v>
      </c>
      <c r="I324" s="2" t="inlineStr">
        <is>
          <t>18:38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5" t="n">
        <v>0</v>
      </c>
    </row>
    <row r="325">
      <c r="A325" s="2" t="inlineStr">
        <is>
          <t>Z102_31_072025_MASSENA.CSV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0089</t>
        </is>
      </c>
      <c r="H325" s="4" t="n">
        <v>45869</v>
      </c>
      <c r="I325" s="2" t="inlineStr">
        <is>
          <t>18:38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5" t="n">
        <v>0</v>
      </c>
    </row>
    <row r="326">
      <c r="A326" s="2" t="inlineStr">
        <is>
          <t>Z102_31_072025_MASSENA.CSV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0089</t>
        </is>
      </c>
      <c r="H326" s="4" t="n">
        <v>45869</v>
      </c>
      <c r="I326" s="2" t="inlineStr">
        <is>
          <t>18:38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5" t="n">
        <v>0</v>
      </c>
    </row>
    <row r="327">
      <c r="A327" s="2" t="inlineStr">
        <is>
          <t>Z102_31_072025_MASSENA.CSV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0089</t>
        </is>
      </c>
      <c r="H327" s="4" t="n">
        <v>45869</v>
      </c>
      <c r="I327" s="2" t="inlineStr">
        <is>
          <t>18:38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5" t="n">
        <v>0</v>
      </c>
    </row>
    <row r="328">
      <c r="A328" s="2" t="inlineStr">
        <is>
          <t>Z102_31_072025_MASSENA.CSV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0089</t>
        </is>
      </c>
      <c r="H328" s="4" t="n">
        <v>45869</v>
      </c>
      <c r="I328" s="2" t="inlineStr">
        <is>
          <t>18:38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5" t="n">
        <v>0</v>
      </c>
    </row>
    <row r="329">
      <c r="A329" s="2" t="inlineStr">
        <is>
          <t>Z102_31_072025_MASSENA.CSV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0089</t>
        </is>
      </c>
      <c r="H329" s="4" t="n">
        <v>45869</v>
      </c>
      <c r="I329" s="2" t="inlineStr">
        <is>
          <t>18:38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5" t="n">
        <v>0</v>
      </c>
    </row>
    <row r="330">
      <c r="A330" s="2" t="inlineStr">
        <is>
          <t>Z102_31_072025_MASSENA.CSV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0089</t>
        </is>
      </c>
      <c r="H330" s="4" t="n">
        <v>45869</v>
      </c>
      <c r="I330" s="2" t="inlineStr">
        <is>
          <t>18:38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5" t="n">
        <v>0</v>
      </c>
    </row>
    <row r="331">
      <c r="A331" s="2" t="inlineStr">
        <is>
          <t>Z102_31_072025_MASSENA.CSV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0089</t>
        </is>
      </c>
      <c r="H331" s="4" t="n">
        <v>45869</v>
      </c>
      <c r="I331" s="2" t="inlineStr">
        <is>
          <t>18:38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5" t="n">
        <v>0</v>
      </c>
    </row>
    <row r="332">
      <c r="A332" s="2" t="inlineStr">
        <is>
          <t>Z102_31_072025_MASSENA.CSV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0089</t>
        </is>
      </c>
      <c r="H332" s="4" t="n">
        <v>45869</v>
      </c>
      <c r="I332" s="2" t="inlineStr">
        <is>
          <t>18:38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5" t="n">
        <v>0</v>
      </c>
    </row>
    <row r="333">
      <c r="A333" s="2" t="inlineStr">
        <is>
          <t>Z102_31_072025_MASSENA.CSV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0089</t>
        </is>
      </c>
      <c r="H333" s="4" t="n">
        <v>45869</v>
      </c>
      <c r="I333" s="2" t="inlineStr">
        <is>
          <t>18:38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5" t="n">
        <v>0</v>
      </c>
    </row>
    <row r="334">
      <c r="A334" s="2" t="inlineStr">
        <is>
          <t>Z102_31_072025_MASSENA.CSV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0089</t>
        </is>
      </c>
      <c r="H334" s="4" t="n">
        <v>45869</v>
      </c>
      <c r="I334" s="2" t="inlineStr">
        <is>
          <t>18:38</t>
        </is>
      </c>
      <c r="J334" s="3" t="inlineStr">
        <is>
          <t>0033</t>
        </is>
      </c>
      <c r="K334" s="2" t="inlineStr"/>
      <c r="L334" s="5" t="n">
        <v>0</v>
      </c>
      <c r="M334" s="5" t="n">
        <v>0</v>
      </c>
    </row>
    <row r="335">
      <c r="A335" s="2" t="inlineStr">
        <is>
          <t>Z102_31_072025_MASSENA.CSV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0089</t>
        </is>
      </c>
      <c r="H335" s="4" t="n">
        <v>45869</v>
      </c>
      <c r="I335" s="2" t="inlineStr">
        <is>
          <t>18:38</t>
        </is>
      </c>
      <c r="J335" s="3" t="inlineStr">
        <is>
          <t>0034</t>
        </is>
      </c>
      <c r="K335" s="2" t="inlineStr"/>
      <c r="L335" s="5" t="n">
        <v>0</v>
      </c>
      <c r="M335" s="5" t="n">
        <v>0</v>
      </c>
    </row>
    <row r="336">
      <c r="A336" s="2" t="inlineStr">
        <is>
          <t>Z102_31_072025_MASSENA.CSV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0089</t>
        </is>
      </c>
      <c r="H336" s="4" t="n">
        <v>45869</v>
      </c>
      <c r="I336" s="2" t="inlineStr">
        <is>
          <t>18:38</t>
        </is>
      </c>
      <c r="J336" s="3" t="inlineStr">
        <is>
          <t>0035</t>
        </is>
      </c>
      <c r="K336" s="2" t="inlineStr"/>
      <c r="L336" s="5" t="n">
        <v>0</v>
      </c>
      <c r="M336" s="5" t="n">
        <v>0</v>
      </c>
    </row>
    <row r="337">
      <c r="A337" s="2" t="inlineStr">
        <is>
          <t>Z102_31_072025_MASSENA.CSV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0089</t>
        </is>
      </c>
      <c r="H337" s="4" t="n">
        <v>45869</v>
      </c>
      <c r="I337" s="2" t="inlineStr">
        <is>
          <t>18:38</t>
        </is>
      </c>
      <c r="J337" s="3" t="inlineStr">
        <is>
          <t>0036</t>
        </is>
      </c>
      <c r="K337" s="2" t="inlineStr"/>
      <c r="L337" s="5" t="n">
        <v>0</v>
      </c>
      <c r="M337" s="5" t="n">
        <v>0</v>
      </c>
    </row>
    <row r="338">
      <c r="A338" s="2" t="inlineStr">
        <is>
          <t>Z102_31_072025_MASSENA.CSV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0089</t>
        </is>
      </c>
      <c r="H338" s="4" t="n">
        <v>45869</v>
      </c>
      <c r="I338" s="2" t="inlineStr">
        <is>
          <t>18:38</t>
        </is>
      </c>
      <c r="J338" s="3" t="inlineStr">
        <is>
          <t>0037</t>
        </is>
      </c>
      <c r="K338" s="2" t="inlineStr"/>
      <c r="L338" s="5" t="n">
        <v>0</v>
      </c>
      <c r="M338" s="5" t="n">
        <v>0</v>
      </c>
    </row>
    <row r="339">
      <c r="A339" s="2" t="inlineStr">
        <is>
          <t>Z102_31_072025_MASSENA.CSV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0089</t>
        </is>
      </c>
      <c r="H339" s="4" t="n">
        <v>45869</v>
      </c>
      <c r="I339" s="2" t="inlineStr">
        <is>
          <t>18:38</t>
        </is>
      </c>
      <c r="J339" s="3" t="inlineStr">
        <is>
          <t>0038</t>
        </is>
      </c>
      <c r="K339" s="2" t="inlineStr"/>
      <c r="L339" s="5" t="n">
        <v>0</v>
      </c>
      <c r="M339" s="5" t="n">
        <v>0</v>
      </c>
    </row>
    <row r="340">
      <c r="A340" s="2" t="inlineStr">
        <is>
          <t>Z102_31_072025_MASSENA.CSV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0089</t>
        </is>
      </c>
      <c r="H340" s="4" t="n">
        <v>45869</v>
      </c>
      <c r="I340" s="2" t="inlineStr">
        <is>
          <t>18:38</t>
        </is>
      </c>
      <c r="J340" s="3" t="inlineStr">
        <is>
          <t>0039</t>
        </is>
      </c>
      <c r="K340" s="2" t="inlineStr"/>
      <c r="L340" s="5" t="n">
        <v>0</v>
      </c>
      <c r="M340" s="5" t="n">
        <v>0</v>
      </c>
    </row>
    <row r="341">
      <c r="A341" s="2" t="inlineStr">
        <is>
          <t>Z102_31_072025_MASSENA.CSV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0089</t>
        </is>
      </c>
      <c r="H341" s="4" t="n">
        <v>45869</v>
      </c>
      <c r="I341" s="2" t="inlineStr">
        <is>
          <t>18:38</t>
        </is>
      </c>
      <c r="J341" s="3" t="inlineStr">
        <is>
          <t>0040</t>
        </is>
      </c>
      <c r="K341" s="2" t="inlineStr"/>
      <c r="L341" s="5" t="n">
        <v>0</v>
      </c>
      <c r="M341" s="5" t="n">
        <v>0</v>
      </c>
    </row>
    <row r="342">
      <c r="A342" s="2" t="inlineStr">
        <is>
          <t>Z102_31_072025_MASSENA.CSV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0089</t>
        </is>
      </c>
      <c r="H342" s="4" t="n">
        <v>45869</v>
      </c>
      <c r="I342" s="2" t="inlineStr">
        <is>
          <t>18:38</t>
        </is>
      </c>
      <c r="J342" s="3" t="inlineStr">
        <is>
          <t>0041</t>
        </is>
      </c>
      <c r="K342" s="2" t="inlineStr"/>
      <c r="L342" s="5" t="n">
        <v>0</v>
      </c>
      <c r="M342" s="5" t="n">
        <v>0</v>
      </c>
    </row>
    <row r="343">
      <c r="A343" s="2" t="inlineStr">
        <is>
          <t>Z102_31_072025_MASSENA.CSV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0089</t>
        </is>
      </c>
      <c r="H343" s="4" t="n">
        <v>45869</v>
      </c>
      <c r="I343" s="2" t="inlineStr">
        <is>
          <t>18:38</t>
        </is>
      </c>
      <c r="J343" s="3" t="inlineStr">
        <is>
          <t>0042</t>
        </is>
      </c>
      <c r="K343" s="2" t="inlineStr"/>
      <c r="L343" s="5" t="n">
        <v>0</v>
      </c>
      <c r="M343" s="5" t="n">
        <v>0</v>
      </c>
    </row>
    <row r="344">
      <c r="A344" s="2" t="inlineStr">
        <is>
          <t>Z102_31_072025_MASSENA.CSV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0089</t>
        </is>
      </c>
      <c r="H344" s="4" t="n">
        <v>45869</v>
      </c>
      <c r="I344" s="2" t="inlineStr">
        <is>
          <t>18:38</t>
        </is>
      </c>
      <c r="J344" s="3" t="inlineStr">
        <is>
          <t>0043</t>
        </is>
      </c>
      <c r="K344" s="2" t="inlineStr"/>
      <c r="L344" s="5" t="n">
        <v>0</v>
      </c>
      <c r="M344" s="5" t="n">
        <v>0</v>
      </c>
    </row>
    <row r="345">
      <c r="A345" s="2" t="inlineStr">
        <is>
          <t>Z102_31_072025_MASSENA.CSV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0089</t>
        </is>
      </c>
      <c r="H345" s="4" t="n">
        <v>45869</v>
      </c>
      <c r="I345" s="2" t="inlineStr">
        <is>
          <t>18:38</t>
        </is>
      </c>
      <c r="J345" s="3" t="inlineStr">
        <is>
          <t>0044</t>
        </is>
      </c>
      <c r="K345" s="2" t="inlineStr"/>
      <c r="L345" s="5" t="n">
        <v>0</v>
      </c>
      <c r="M345" s="5" t="n">
        <v>0</v>
      </c>
    </row>
    <row r="346">
      <c r="A346" s="2" t="inlineStr">
        <is>
          <t>Z102_31_072025_MASSENA.CSV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0089</t>
        </is>
      </c>
      <c r="H346" s="4" t="n">
        <v>45869</v>
      </c>
      <c r="I346" s="2" t="inlineStr">
        <is>
          <t>18:38</t>
        </is>
      </c>
      <c r="J346" s="3" t="inlineStr">
        <is>
          <t>0045</t>
        </is>
      </c>
      <c r="K346" s="2" t="inlineStr"/>
      <c r="L346" s="5" t="n">
        <v>0</v>
      </c>
      <c r="M346" s="5" t="n">
        <v>0</v>
      </c>
    </row>
    <row r="347">
      <c r="A347" s="2" t="inlineStr">
        <is>
          <t>Z102_31_072025_MASSENA.CSV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0089</t>
        </is>
      </c>
      <c r="H347" s="4" t="n">
        <v>45869</v>
      </c>
      <c r="I347" s="2" t="inlineStr">
        <is>
          <t>18:38</t>
        </is>
      </c>
      <c r="J347" s="3" t="inlineStr">
        <is>
          <t>0046</t>
        </is>
      </c>
      <c r="K347" s="2" t="inlineStr"/>
      <c r="L347" s="5" t="n">
        <v>0</v>
      </c>
      <c r="M347" s="5" t="n">
        <v>0</v>
      </c>
    </row>
    <row r="348">
      <c r="A348" s="2" t="inlineStr">
        <is>
          <t>Z102_31_072025_MASSENA.CSV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0089</t>
        </is>
      </c>
      <c r="H348" s="4" t="n">
        <v>45869</v>
      </c>
      <c r="I348" s="2" t="inlineStr">
        <is>
          <t>18:38</t>
        </is>
      </c>
      <c r="J348" s="3" t="inlineStr">
        <is>
          <t>0047</t>
        </is>
      </c>
      <c r="K348" s="2" t="inlineStr"/>
      <c r="L348" s="5" t="n">
        <v>0</v>
      </c>
      <c r="M348" s="5" t="n">
        <v>0</v>
      </c>
    </row>
    <row r="349">
      <c r="A349" s="2" t="inlineStr">
        <is>
          <t>Z102_31_072025_MASSENA.CSV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0089</t>
        </is>
      </c>
      <c r="H349" s="4" t="n">
        <v>45869</v>
      </c>
      <c r="I349" s="2" t="inlineStr">
        <is>
          <t>18:38</t>
        </is>
      </c>
      <c r="J349" s="3" t="inlineStr">
        <is>
          <t>0048</t>
        </is>
      </c>
      <c r="K349" s="2" t="inlineStr"/>
      <c r="L349" s="5" t="n">
        <v>0</v>
      </c>
      <c r="M349" s="5" t="n">
        <v>0</v>
      </c>
    </row>
    <row r="350">
      <c r="A350" s="2" t="inlineStr">
        <is>
          <t>Z102_31_072025_MASSENA.CSV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0089</t>
        </is>
      </c>
      <c r="H350" s="4" t="n">
        <v>45869</v>
      </c>
      <c r="I350" s="2" t="inlineStr">
        <is>
          <t>18:38</t>
        </is>
      </c>
      <c r="J350" s="3" t="inlineStr">
        <is>
          <t>0049</t>
        </is>
      </c>
      <c r="K350" s="2" t="inlineStr"/>
      <c r="L350" s="5" t="n">
        <v>0</v>
      </c>
      <c r="M350" s="5" t="n">
        <v>0</v>
      </c>
    </row>
    <row r="351">
      <c r="A351" s="2" t="inlineStr">
        <is>
          <t>Z102_31_072025_MASSENA.CSV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0089</t>
        </is>
      </c>
      <c r="H351" s="4" t="n">
        <v>45869</v>
      </c>
      <c r="I351" s="2" t="inlineStr">
        <is>
          <t>18:38</t>
        </is>
      </c>
      <c r="J351" s="3" t="inlineStr">
        <is>
          <t>0050</t>
        </is>
      </c>
      <c r="K351" s="2" t="inlineStr"/>
      <c r="L351" s="5" t="n">
        <v>0</v>
      </c>
      <c r="M351" s="5" t="n">
        <v>0</v>
      </c>
    </row>
    <row r="352">
      <c r="A352" s="2" t="inlineStr">
        <is>
          <t>Z202_01A_022025_MASSENA.CSV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FILE202</t>
        </is>
      </c>
      <c r="F352" s="2" t="inlineStr">
        <is>
          <t>ZZ2</t>
        </is>
      </c>
      <c r="G352" s="3" t="inlineStr">
        <is>
          <t>0082</t>
        </is>
      </c>
      <c r="H352" s="4" t="n">
        <v>45717</v>
      </c>
      <c r="I352" s="2" t="inlineStr">
        <is>
          <t>15:42</t>
        </is>
      </c>
      <c r="J352" s="3" t="inlineStr">
        <is>
          <t>0001</t>
        </is>
      </c>
      <c r="K352" s="2" t="inlineStr">
        <is>
          <t>ESPECES</t>
        </is>
      </c>
      <c r="L352" s="5" t="n">
        <v>16</v>
      </c>
      <c r="M352" s="5" t="n">
        <v>10332.8</v>
      </c>
    </row>
    <row r="353">
      <c r="A353" s="2" t="inlineStr">
        <is>
          <t>Z202_01A_022025_MASSENA.CSV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FILE202</t>
        </is>
      </c>
      <c r="F353" s="2" t="inlineStr">
        <is>
          <t>ZZ2</t>
        </is>
      </c>
      <c r="G353" s="3" t="inlineStr">
        <is>
          <t>0082</t>
        </is>
      </c>
      <c r="H353" s="4" t="n">
        <v>45717</v>
      </c>
      <c r="I353" s="2" t="inlineStr">
        <is>
          <t>15:42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5" t="n">
        <v>0</v>
      </c>
    </row>
    <row r="354">
      <c r="A354" s="2" t="inlineStr">
        <is>
          <t>Z202_01A_022025_MASSENA.CSV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FILE202</t>
        </is>
      </c>
      <c r="F354" s="2" t="inlineStr">
        <is>
          <t>ZZ2</t>
        </is>
      </c>
      <c r="G354" s="3" t="inlineStr">
        <is>
          <t>0082</t>
        </is>
      </c>
      <c r="H354" s="4" t="n">
        <v>45717</v>
      </c>
      <c r="I354" s="2" t="inlineStr">
        <is>
          <t>15:42</t>
        </is>
      </c>
      <c r="J354" s="3" t="inlineStr">
        <is>
          <t>0003</t>
        </is>
      </c>
      <c r="K354" s="2" t="inlineStr">
        <is>
          <t>CARTES</t>
        </is>
      </c>
      <c r="L354" s="5" t="n">
        <v>7</v>
      </c>
      <c r="M354" s="5" t="n">
        <v>7497</v>
      </c>
    </row>
    <row r="355">
      <c r="A355" s="2" t="inlineStr">
        <is>
          <t>Z202_01A_022025_MASSENA.CSV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FILE202</t>
        </is>
      </c>
      <c r="F355" s="2" t="inlineStr">
        <is>
          <t>ZZ2</t>
        </is>
      </c>
      <c r="G355" s="3" t="inlineStr">
        <is>
          <t>0082</t>
        </is>
      </c>
      <c r="H355" s="4" t="n">
        <v>45717</v>
      </c>
      <c r="I355" s="2" t="inlineStr">
        <is>
          <t>15:42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5" t="n">
        <v>0</v>
      </c>
    </row>
    <row r="356">
      <c r="A356" s="2" t="inlineStr">
        <is>
          <t>Z202_01A_022025_MASSENA.CSV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FILE202</t>
        </is>
      </c>
      <c r="F356" s="2" t="inlineStr">
        <is>
          <t>ZZ2</t>
        </is>
      </c>
      <c r="G356" s="3" t="inlineStr">
        <is>
          <t>0082</t>
        </is>
      </c>
      <c r="H356" s="4" t="n">
        <v>45717</v>
      </c>
      <c r="I356" s="2" t="inlineStr">
        <is>
          <t>15:42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5" t="n">
        <v>0</v>
      </c>
    </row>
    <row r="357">
      <c r="A357" s="2" t="inlineStr">
        <is>
          <t>Z202_01A_022025_MASSENA.CSV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FILE202</t>
        </is>
      </c>
      <c r="F357" s="2" t="inlineStr">
        <is>
          <t>ZZ2</t>
        </is>
      </c>
      <c r="G357" s="3" t="inlineStr">
        <is>
          <t>0082</t>
        </is>
      </c>
      <c r="H357" s="4" t="n">
        <v>45717</v>
      </c>
      <c r="I357" s="2" t="inlineStr">
        <is>
          <t>15:42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5" t="n">
        <v>0</v>
      </c>
    </row>
    <row r="358">
      <c r="A358" s="2" t="inlineStr">
        <is>
          <t>Z202_01A_022025_MASSENA.CSV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FILE202</t>
        </is>
      </c>
      <c r="F358" s="2" t="inlineStr">
        <is>
          <t>ZZ2</t>
        </is>
      </c>
      <c r="G358" s="3" t="inlineStr">
        <is>
          <t>0082</t>
        </is>
      </c>
      <c r="H358" s="4" t="n">
        <v>45717</v>
      </c>
      <c r="I358" s="2" t="inlineStr">
        <is>
          <t>15:42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5" t="n">
        <v>0</v>
      </c>
    </row>
    <row r="359">
      <c r="A359" s="2" t="inlineStr">
        <is>
          <t>Z202_01A_022025_MASSENA.CSV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FILE202</t>
        </is>
      </c>
      <c r="F359" s="2" t="inlineStr">
        <is>
          <t>ZZ2</t>
        </is>
      </c>
      <c r="G359" s="3" t="inlineStr">
        <is>
          <t>0082</t>
        </is>
      </c>
      <c r="H359" s="4" t="n">
        <v>45717</v>
      </c>
      <c r="I359" s="2" t="inlineStr">
        <is>
          <t>15:42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5" t="n">
        <v>0</v>
      </c>
    </row>
    <row r="360">
      <c r="A360" s="2" t="inlineStr">
        <is>
          <t>Z202_01A_022025_MASSENA.CSV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FILE202</t>
        </is>
      </c>
      <c r="F360" s="2" t="inlineStr">
        <is>
          <t>ZZ2</t>
        </is>
      </c>
      <c r="G360" s="3" t="inlineStr">
        <is>
          <t>0082</t>
        </is>
      </c>
      <c r="H360" s="4" t="n">
        <v>45717</v>
      </c>
      <c r="I360" s="2" t="inlineStr">
        <is>
          <t>15:42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5" t="n">
        <v>0</v>
      </c>
    </row>
    <row r="361">
      <c r="A361" s="2" t="inlineStr">
        <is>
          <t>Z202_01A_022025_MASSENA.CSV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FILE202</t>
        </is>
      </c>
      <c r="F361" s="2" t="inlineStr">
        <is>
          <t>ZZ2</t>
        </is>
      </c>
      <c r="G361" s="3" t="inlineStr">
        <is>
          <t>0082</t>
        </is>
      </c>
      <c r="H361" s="4" t="n">
        <v>45717</v>
      </c>
      <c r="I361" s="2" t="inlineStr">
        <is>
          <t>15:42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5" t="n">
        <v>0</v>
      </c>
    </row>
    <row r="362">
      <c r="A362" s="2" t="inlineStr">
        <is>
          <t>Z202_01A_022025_MASSENA.CSV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FILE202</t>
        </is>
      </c>
      <c r="F362" s="2" t="inlineStr">
        <is>
          <t>ZZ2</t>
        </is>
      </c>
      <c r="G362" s="3" t="inlineStr">
        <is>
          <t>0082</t>
        </is>
      </c>
      <c r="H362" s="4" t="n">
        <v>45717</v>
      </c>
      <c r="I362" s="2" t="inlineStr">
        <is>
          <t>15:42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5" t="n">
        <v>0</v>
      </c>
    </row>
    <row r="363">
      <c r="A363" s="2" t="inlineStr">
        <is>
          <t>Z202_01A_022025_MASSENA.CSV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FILE202</t>
        </is>
      </c>
      <c r="F363" s="2" t="inlineStr">
        <is>
          <t>ZZ2</t>
        </is>
      </c>
      <c r="G363" s="3" t="inlineStr">
        <is>
          <t>0082</t>
        </is>
      </c>
      <c r="H363" s="4" t="n">
        <v>45717</v>
      </c>
      <c r="I363" s="2" t="inlineStr">
        <is>
          <t>15:42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5" t="n">
        <v>0</v>
      </c>
    </row>
    <row r="364">
      <c r="A364" s="2" t="inlineStr">
        <is>
          <t>Z202_01A_022025_MASSENA.CSV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FILE202</t>
        </is>
      </c>
      <c r="F364" s="2" t="inlineStr">
        <is>
          <t>ZZ2</t>
        </is>
      </c>
      <c r="G364" s="3" t="inlineStr">
        <is>
          <t>0082</t>
        </is>
      </c>
      <c r="H364" s="4" t="n">
        <v>45717</v>
      </c>
      <c r="I364" s="2" t="inlineStr">
        <is>
          <t>15:42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5" t="n">
        <v>0</v>
      </c>
    </row>
    <row r="365">
      <c r="A365" s="2" t="inlineStr">
        <is>
          <t>Z202_01A_022025_MASSENA.CSV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FILE202</t>
        </is>
      </c>
      <c r="F365" s="2" t="inlineStr">
        <is>
          <t>ZZ2</t>
        </is>
      </c>
      <c r="G365" s="3" t="inlineStr">
        <is>
          <t>0082</t>
        </is>
      </c>
      <c r="H365" s="4" t="n">
        <v>45717</v>
      </c>
      <c r="I365" s="2" t="inlineStr">
        <is>
          <t>15:42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5" t="n">
        <v>0</v>
      </c>
    </row>
    <row r="366">
      <c r="A366" s="2" t="inlineStr">
        <is>
          <t>Z202_01A_022025_MASSENA.CSV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FILE202</t>
        </is>
      </c>
      <c r="F366" s="2" t="inlineStr">
        <is>
          <t>ZZ2</t>
        </is>
      </c>
      <c r="G366" s="3" t="inlineStr">
        <is>
          <t>0082</t>
        </is>
      </c>
      <c r="H366" s="4" t="n">
        <v>45717</v>
      </c>
      <c r="I366" s="2" t="inlineStr">
        <is>
          <t>15:42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5" t="n">
        <v>0</v>
      </c>
    </row>
    <row r="367">
      <c r="A367" s="2" t="inlineStr">
        <is>
          <t>Z202_01A_022025_MASSENA.CSV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FILE202</t>
        </is>
      </c>
      <c r="F367" s="2" t="inlineStr">
        <is>
          <t>ZZ2</t>
        </is>
      </c>
      <c r="G367" s="3" t="inlineStr">
        <is>
          <t>0082</t>
        </is>
      </c>
      <c r="H367" s="4" t="n">
        <v>45717</v>
      </c>
      <c r="I367" s="2" t="inlineStr">
        <is>
          <t>15:42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5" t="n">
        <v>0</v>
      </c>
    </row>
    <row r="368">
      <c r="A368" s="2" t="inlineStr">
        <is>
          <t>Z202_01A_022025_MASSENA.CSV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FILE202</t>
        </is>
      </c>
      <c r="F368" s="2" t="inlineStr">
        <is>
          <t>ZZ2</t>
        </is>
      </c>
      <c r="G368" s="3" t="inlineStr">
        <is>
          <t>0082</t>
        </is>
      </c>
      <c r="H368" s="4" t="n">
        <v>45717</v>
      </c>
      <c r="I368" s="2" t="inlineStr">
        <is>
          <t>15:42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5" t="n">
        <v>0</v>
      </c>
    </row>
    <row r="369">
      <c r="A369" s="2" t="inlineStr">
        <is>
          <t>Z202_01A_022025_MASSENA.CSV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FILE202</t>
        </is>
      </c>
      <c r="F369" s="2" t="inlineStr">
        <is>
          <t>ZZ2</t>
        </is>
      </c>
      <c r="G369" s="3" t="inlineStr">
        <is>
          <t>0082</t>
        </is>
      </c>
      <c r="H369" s="4" t="n">
        <v>45717</v>
      </c>
      <c r="I369" s="2" t="inlineStr">
        <is>
          <t>15:42</t>
        </is>
      </c>
      <c r="J369" s="3" t="inlineStr">
        <is>
          <t>0018</t>
        </is>
      </c>
      <c r="K369" s="2" t="inlineStr">
        <is>
          <t>CORRECTION</t>
        </is>
      </c>
      <c r="L369" s="5" t="n">
        <v>1</v>
      </c>
      <c r="M369" s="5" t="n">
        <v>329</v>
      </c>
    </row>
    <row r="370">
      <c r="A370" s="2" t="inlineStr">
        <is>
          <t>Z202_01A_022025_MASSENA.CSV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FILE202</t>
        </is>
      </c>
      <c r="F370" s="2" t="inlineStr">
        <is>
          <t>ZZ2</t>
        </is>
      </c>
      <c r="G370" s="3" t="inlineStr">
        <is>
          <t>0082</t>
        </is>
      </c>
      <c r="H370" s="4" t="n">
        <v>45717</v>
      </c>
      <c r="I370" s="2" t="inlineStr">
        <is>
          <t>15:42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5" t="n">
        <v>0</v>
      </c>
    </row>
    <row r="371">
      <c r="A371" s="2" t="inlineStr">
        <is>
          <t>Z202_01A_022025_MASSENA.CSV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FILE202</t>
        </is>
      </c>
      <c r="F371" s="2" t="inlineStr">
        <is>
          <t>ZZ2</t>
        </is>
      </c>
      <c r="G371" s="3" t="inlineStr">
        <is>
          <t>0082</t>
        </is>
      </c>
      <c r="H371" s="4" t="n">
        <v>45717</v>
      </c>
      <c r="I371" s="2" t="inlineStr">
        <is>
          <t>15:42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5" t="n">
        <v>0</v>
      </c>
    </row>
    <row r="372">
      <c r="A372" s="2" t="inlineStr">
        <is>
          <t>Z202_01A_022025_MASSENA.CSV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FILE202</t>
        </is>
      </c>
      <c r="F372" s="2" t="inlineStr">
        <is>
          <t>ZZ2</t>
        </is>
      </c>
      <c r="G372" s="3" t="inlineStr">
        <is>
          <t>0082</t>
        </is>
      </c>
      <c r="H372" s="4" t="n">
        <v>45717</v>
      </c>
      <c r="I372" s="2" t="inlineStr">
        <is>
          <t>15:42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5" t="n">
        <v>0</v>
      </c>
    </row>
    <row r="373">
      <c r="A373" s="2" t="inlineStr">
        <is>
          <t>Z202_01A_022025_MASSENA.CSV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FILE202</t>
        </is>
      </c>
      <c r="F373" s="2" t="inlineStr">
        <is>
          <t>ZZ2</t>
        </is>
      </c>
      <c r="G373" s="3" t="inlineStr">
        <is>
          <t>0082</t>
        </is>
      </c>
      <c r="H373" s="4" t="n">
        <v>45717</v>
      </c>
      <c r="I373" s="2" t="inlineStr">
        <is>
          <t>15:42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5" t="n">
        <v>0</v>
      </c>
    </row>
    <row r="374">
      <c r="A374" s="2" t="inlineStr">
        <is>
          <t>Z202_01A_022025_MASSENA.CSV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FILE202</t>
        </is>
      </c>
      <c r="F374" s="2" t="inlineStr">
        <is>
          <t>ZZ2</t>
        </is>
      </c>
      <c r="G374" s="3" t="inlineStr">
        <is>
          <t>0082</t>
        </is>
      </c>
      <c r="H374" s="4" t="n">
        <v>45717</v>
      </c>
      <c r="I374" s="2" t="inlineStr">
        <is>
          <t>15:42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5" t="n">
        <v>0</v>
      </c>
    </row>
    <row r="375">
      <c r="A375" s="2" t="inlineStr">
        <is>
          <t>Z202_01A_022025_MASSENA.CSV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FILE202</t>
        </is>
      </c>
      <c r="F375" s="2" t="inlineStr">
        <is>
          <t>ZZ2</t>
        </is>
      </c>
      <c r="G375" s="3" t="inlineStr">
        <is>
          <t>0082</t>
        </is>
      </c>
      <c r="H375" s="4" t="n">
        <v>45717</v>
      </c>
      <c r="I375" s="2" t="inlineStr">
        <is>
          <t>15:42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5" t="n">
        <v>0</v>
      </c>
    </row>
    <row r="376">
      <c r="A376" s="2" t="inlineStr">
        <is>
          <t>Z202_01A_022025_MASSENA.CSV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FILE202</t>
        </is>
      </c>
      <c r="F376" s="2" t="inlineStr">
        <is>
          <t>ZZ2</t>
        </is>
      </c>
      <c r="G376" s="3" t="inlineStr">
        <is>
          <t>0082</t>
        </is>
      </c>
      <c r="H376" s="4" t="n">
        <v>45717</v>
      </c>
      <c r="I376" s="2" t="inlineStr">
        <is>
          <t>15:42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5" t="n">
        <v>0</v>
      </c>
    </row>
    <row r="377">
      <c r="A377" s="2" t="inlineStr">
        <is>
          <t>Z202_01A_022025_MASSENA.CSV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FILE202</t>
        </is>
      </c>
      <c r="F377" s="2" t="inlineStr">
        <is>
          <t>ZZ2</t>
        </is>
      </c>
      <c r="G377" s="3" t="inlineStr">
        <is>
          <t>0082</t>
        </is>
      </c>
      <c r="H377" s="4" t="n">
        <v>45717</v>
      </c>
      <c r="I377" s="2" t="inlineStr">
        <is>
          <t>15:42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5" t="n">
        <v>0</v>
      </c>
    </row>
    <row r="378">
      <c r="A378" s="2" t="inlineStr">
        <is>
          <t>Z202_01A_022025_MASSENA.CSV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FILE202</t>
        </is>
      </c>
      <c r="F378" s="2" t="inlineStr">
        <is>
          <t>ZZ2</t>
        </is>
      </c>
      <c r="G378" s="3" t="inlineStr">
        <is>
          <t>0082</t>
        </is>
      </c>
      <c r="H378" s="4" t="n">
        <v>45717</v>
      </c>
      <c r="I378" s="2" t="inlineStr">
        <is>
          <t>15:42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5" t="n">
        <v>0</v>
      </c>
    </row>
    <row r="379">
      <c r="A379" s="2" t="inlineStr">
        <is>
          <t>Z202_01A_022025_MASSENA.CSV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FILE202</t>
        </is>
      </c>
      <c r="F379" s="2" t="inlineStr">
        <is>
          <t>ZZ2</t>
        </is>
      </c>
      <c r="G379" s="3" t="inlineStr">
        <is>
          <t>0082</t>
        </is>
      </c>
      <c r="H379" s="4" t="n">
        <v>45717</v>
      </c>
      <c r="I379" s="2" t="inlineStr">
        <is>
          <t>15:42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5" t="n">
        <v>0</v>
      </c>
    </row>
    <row r="380">
      <c r="A380" s="2" t="inlineStr">
        <is>
          <t>Z202_01A_022025_MASSENA.CSV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FILE202</t>
        </is>
      </c>
      <c r="F380" s="2" t="inlineStr">
        <is>
          <t>ZZ2</t>
        </is>
      </c>
      <c r="G380" s="3" t="inlineStr">
        <is>
          <t>0082</t>
        </is>
      </c>
      <c r="H380" s="4" t="n">
        <v>45717</v>
      </c>
      <c r="I380" s="2" t="inlineStr">
        <is>
          <t>15:42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5" t="n">
        <v>0</v>
      </c>
    </row>
    <row r="381">
      <c r="A381" s="2" t="inlineStr">
        <is>
          <t>Z202_01A_022025_MASSENA.CSV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FILE202</t>
        </is>
      </c>
      <c r="F381" s="2" t="inlineStr">
        <is>
          <t>ZZ2</t>
        </is>
      </c>
      <c r="G381" s="3" t="inlineStr">
        <is>
          <t>0082</t>
        </is>
      </c>
      <c r="H381" s="4" t="n">
        <v>45717</v>
      </c>
      <c r="I381" s="2" t="inlineStr">
        <is>
          <t>15:42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5" t="n">
        <v>0</v>
      </c>
    </row>
    <row r="382">
      <c r="A382" s="2" t="inlineStr">
        <is>
          <t>Z202_01A_022025_MASSENA.CSV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FILE202</t>
        </is>
      </c>
      <c r="F382" s="2" t="inlineStr">
        <is>
          <t>ZZ2</t>
        </is>
      </c>
      <c r="G382" s="3" t="inlineStr">
        <is>
          <t>0082</t>
        </is>
      </c>
      <c r="H382" s="4" t="n">
        <v>45717</v>
      </c>
      <c r="I382" s="2" t="inlineStr">
        <is>
          <t>15:42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5" t="n">
        <v>0</v>
      </c>
    </row>
    <row r="383">
      <c r="A383" s="2" t="inlineStr">
        <is>
          <t>Z202_01A_022025_MASSENA.CSV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FILE202</t>
        </is>
      </c>
      <c r="F383" s="2" t="inlineStr">
        <is>
          <t>ZZ2</t>
        </is>
      </c>
      <c r="G383" s="3" t="inlineStr">
        <is>
          <t>0082</t>
        </is>
      </c>
      <c r="H383" s="4" t="n">
        <v>45717</v>
      </c>
      <c r="I383" s="2" t="inlineStr">
        <is>
          <t>15:42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5" t="n">
        <v>0</v>
      </c>
    </row>
    <row r="384">
      <c r="A384" s="2" t="inlineStr">
        <is>
          <t>Z202_01A_022025_MASSENA.CSV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FILE202</t>
        </is>
      </c>
      <c r="F384" s="2" t="inlineStr">
        <is>
          <t>ZZ2</t>
        </is>
      </c>
      <c r="G384" s="3" t="inlineStr">
        <is>
          <t>0082</t>
        </is>
      </c>
      <c r="H384" s="4" t="n">
        <v>45717</v>
      </c>
      <c r="I384" s="2" t="inlineStr">
        <is>
          <t>15:42</t>
        </is>
      </c>
      <c r="J384" s="3" t="inlineStr">
        <is>
          <t>0033</t>
        </is>
      </c>
      <c r="K384" s="2" t="inlineStr"/>
      <c r="L384" s="5" t="n">
        <v>0</v>
      </c>
      <c r="M384" s="5" t="n">
        <v>0</v>
      </c>
    </row>
    <row r="385">
      <c r="A385" s="2" t="inlineStr">
        <is>
          <t>Z202_01A_022025_MASSENA.CSV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FILE202</t>
        </is>
      </c>
      <c r="F385" s="2" t="inlineStr">
        <is>
          <t>ZZ2</t>
        </is>
      </c>
      <c r="G385" s="3" t="inlineStr">
        <is>
          <t>0082</t>
        </is>
      </c>
      <c r="H385" s="4" t="n">
        <v>45717</v>
      </c>
      <c r="I385" s="2" t="inlineStr">
        <is>
          <t>15:42</t>
        </is>
      </c>
      <c r="J385" s="3" t="inlineStr">
        <is>
          <t>0034</t>
        </is>
      </c>
      <c r="K385" s="2" t="inlineStr"/>
      <c r="L385" s="5" t="n">
        <v>0</v>
      </c>
      <c r="M385" s="5" t="n">
        <v>0</v>
      </c>
    </row>
    <row r="386">
      <c r="A386" s="2" t="inlineStr">
        <is>
          <t>Z202_01A_022025_MASSENA.CSV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FILE202</t>
        </is>
      </c>
      <c r="F386" s="2" t="inlineStr">
        <is>
          <t>ZZ2</t>
        </is>
      </c>
      <c r="G386" s="3" t="inlineStr">
        <is>
          <t>0082</t>
        </is>
      </c>
      <c r="H386" s="4" t="n">
        <v>45717</v>
      </c>
      <c r="I386" s="2" t="inlineStr">
        <is>
          <t>15:42</t>
        </is>
      </c>
      <c r="J386" s="3" t="inlineStr">
        <is>
          <t>0035</t>
        </is>
      </c>
      <c r="K386" s="2" t="inlineStr"/>
      <c r="L386" s="5" t="n">
        <v>0</v>
      </c>
      <c r="M386" s="5" t="n">
        <v>0</v>
      </c>
    </row>
    <row r="387">
      <c r="A387" s="2" t="inlineStr">
        <is>
          <t>Z202_01A_022025_MASSENA.CSV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FILE202</t>
        </is>
      </c>
      <c r="F387" s="2" t="inlineStr">
        <is>
          <t>ZZ2</t>
        </is>
      </c>
      <c r="G387" s="3" t="inlineStr">
        <is>
          <t>0082</t>
        </is>
      </c>
      <c r="H387" s="4" t="n">
        <v>45717</v>
      </c>
      <c r="I387" s="2" t="inlineStr">
        <is>
          <t>15:42</t>
        </is>
      </c>
      <c r="J387" s="3" t="inlineStr">
        <is>
          <t>0036</t>
        </is>
      </c>
      <c r="K387" s="2" t="inlineStr"/>
      <c r="L387" s="5" t="n">
        <v>0</v>
      </c>
      <c r="M387" s="5" t="n">
        <v>0</v>
      </c>
    </row>
    <row r="388">
      <c r="A388" s="2" t="inlineStr">
        <is>
          <t>Z202_01A_022025_MASSENA.CSV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FILE202</t>
        </is>
      </c>
      <c r="F388" s="2" t="inlineStr">
        <is>
          <t>ZZ2</t>
        </is>
      </c>
      <c r="G388" s="3" t="inlineStr">
        <is>
          <t>0082</t>
        </is>
      </c>
      <c r="H388" s="4" t="n">
        <v>45717</v>
      </c>
      <c r="I388" s="2" t="inlineStr">
        <is>
          <t>15:42</t>
        </is>
      </c>
      <c r="J388" s="3" t="inlineStr">
        <is>
          <t>0037</t>
        </is>
      </c>
      <c r="K388" s="2" t="inlineStr"/>
      <c r="L388" s="5" t="n">
        <v>0</v>
      </c>
      <c r="M388" s="5" t="n">
        <v>0</v>
      </c>
    </row>
    <row r="389">
      <c r="A389" s="2" t="inlineStr">
        <is>
          <t>Z202_01A_022025_MASSENA.CSV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FILE202</t>
        </is>
      </c>
      <c r="F389" s="2" t="inlineStr">
        <is>
          <t>ZZ2</t>
        </is>
      </c>
      <c r="G389" s="3" t="inlineStr">
        <is>
          <t>0082</t>
        </is>
      </c>
      <c r="H389" s="4" t="n">
        <v>45717</v>
      </c>
      <c r="I389" s="2" t="inlineStr">
        <is>
          <t>15:42</t>
        </is>
      </c>
      <c r="J389" s="3" t="inlineStr">
        <is>
          <t>0038</t>
        </is>
      </c>
      <c r="K389" s="2" t="inlineStr"/>
      <c r="L389" s="5" t="n">
        <v>0</v>
      </c>
      <c r="M389" s="5" t="n">
        <v>0</v>
      </c>
    </row>
    <row r="390">
      <c r="A390" s="2" t="inlineStr">
        <is>
          <t>Z202_01A_022025_MASSENA.CSV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FILE202</t>
        </is>
      </c>
      <c r="F390" s="2" t="inlineStr">
        <is>
          <t>ZZ2</t>
        </is>
      </c>
      <c r="G390" s="3" t="inlineStr">
        <is>
          <t>0082</t>
        </is>
      </c>
      <c r="H390" s="4" t="n">
        <v>45717</v>
      </c>
      <c r="I390" s="2" t="inlineStr">
        <is>
          <t>15:42</t>
        </is>
      </c>
      <c r="J390" s="3" t="inlineStr">
        <is>
          <t>0039</t>
        </is>
      </c>
      <c r="K390" s="2" t="inlineStr"/>
      <c r="L390" s="5" t="n">
        <v>0</v>
      </c>
      <c r="M390" s="5" t="n">
        <v>0</v>
      </c>
    </row>
    <row r="391">
      <c r="A391" s="2" t="inlineStr">
        <is>
          <t>Z202_01A_022025_MASSENA.CSV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FILE202</t>
        </is>
      </c>
      <c r="F391" s="2" t="inlineStr">
        <is>
          <t>ZZ2</t>
        </is>
      </c>
      <c r="G391" s="3" t="inlineStr">
        <is>
          <t>0082</t>
        </is>
      </c>
      <c r="H391" s="4" t="n">
        <v>45717</v>
      </c>
      <c r="I391" s="2" t="inlineStr">
        <is>
          <t>15:42</t>
        </is>
      </c>
      <c r="J391" s="3" t="inlineStr">
        <is>
          <t>0040</t>
        </is>
      </c>
      <c r="K391" s="2" t="inlineStr"/>
      <c r="L391" s="5" t="n">
        <v>0</v>
      </c>
      <c r="M391" s="5" t="n">
        <v>0</v>
      </c>
    </row>
    <row r="392">
      <c r="A392" s="2" t="inlineStr">
        <is>
          <t>Z202_01A_022025_MASSENA.CSV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FILE202</t>
        </is>
      </c>
      <c r="F392" s="2" t="inlineStr">
        <is>
          <t>ZZ2</t>
        </is>
      </c>
      <c r="G392" s="3" t="inlineStr">
        <is>
          <t>0082</t>
        </is>
      </c>
      <c r="H392" s="4" t="n">
        <v>45717</v>
      </c>
      <c r="I392" s="2" t="inlineStr">
        <is>
          <t>15:42</t>
        </is>
      </c>
      <c r="J392" s="3" t="inlineStr">
        <is>
          <t>0041</t>
        </is>
      </c>
      <c r="K392" s="2" t="inlineStr"/>
      <c r="L392" s="5" t="n">
        <v>0</v>
      </c>
      <c r="M392" s="5" t="n">
        <v>0</v>
      </c>
    </row>
    <row r="393">
      <c r="A393" s="2" t="inlineStr">
        <is>
          <t>Z202_01A_022025_MASSENA.CSV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FILE202</t>
        </is>
      </c>
      <c r="F393" s="2" t="inlineStr">
        <is>
          <t>ZZ2</t>
        </is>
      </c>
      <c r="G393" s="3" t="inlineStr">
        <is>
          <t>0082</t>
        </is>
      </c>
      <c r="H393" s="4" t="n">
        <v>45717</v>
      </c>
      <c r="I393" s="2" t="inlineStr">
        <is>
          <t>15:42</t>
        </is>
      </c>
      <c r="J393" s="3" t="inlineStr">
        <is>
          <t>0042</t>
        </is>
      </c>
      <c r="K393" s="2" t="inlineStr"/>
      <c r="L393" s="5" t="n">
        <v>0</v>
      </c>
      <c r="M393" s="5" t="n">
        <v>0</v>
      </c>
    </row>
    <row r="394">
      <c r="A394" s="2" t="inlineStr">
        <is>
          <t>Z202_01A_022025_MASSENA.CSV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FILE202</t>
        </is>
      </c>
      <c r="F394" s="2" t="inlineStr">
        <is>
          <t>ZZ2</t>
        </is>
      </c>
      <c r="G394" s="3" t="inlineStr">
        <is>
          <t>0082</t>
        </is>
      </c>
      <c r="H394" s="4" t="n">
        <v>45717</v>
      </c>
      <c r="I394" s="2" t="inlineStr">
        <is>
          <t>15:42</t>
        </is>
      </c>
      <c r="J394" s="3" t="inlineStr">
        <is>
          <t>0043</t>
        </is>
      </c>
      <c r="K394" s="2" t="inlineStr"/>
      <c r="L394" s="5" t="n">
        <v>0</v>
      </c>
      <c r="M394" s="5" t="n">
        <v>0</v>
      </c>
    </row>
    <row r="395">
      <c r="A395" s="2" t="inlineStr">
        <is>
          <t>Z202_01A_022025_MASSENA.CSV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FILE202</t>
        </is>
      </c>
      <c r="F395" s="2" t="inlineStr">
        <is>
          <t>ZZ2</t>
        </is>
      </c>
      <c r="G395" s="3" t="inlineStr">
        <is>
          <t>0082</t>
        </is>
      </c>
      <c r="H395" s="4" t="n">
        <v>45717</v>
      </c>
      <c r="I395" s="2" t="inlineStr">
        <is>
          <t>15:42</t>
        </is>
      </c>
      <c r="J395" s="3" t="inlineStr">
        <is>
          <t>0044</t>
        </is>
      </c>
      <c r="K395" s="2" t="inlineStr"/>
      <c r="L395" s="5" t="n">
        <v>0</v>
      </c>
      <c r="M395" s="5" t="n">
        <v>0</v>
      </c>
    </row>
    <row r="396">
      <c r="A396" s="2" t="inlineStr">
        <is>
          <t>Z202_01A_022025_MASSENA.CSV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FILE202</t>
        </is>
      </c>
      <c r="F396" s="2" t="inlineStr">
        <is>
          <t>ZZ2</t>
        </is>
      </c>
      <c r="G396" s="3" t="inlineStr">
        <is>
          <t>0082</t>
        </is>
      </c>
      <c r="H396" s="4" t="n">
        <v>45717</v>
      </c>
      <c r="I396" s="2" t="inlineStr">
        <is>
          <t>15:42</t>
        </is>
      </c>
      <c r="J396" s="3" t="inlineStr">
        <is>
          <t>0045</t>
        </is>
      </c>
      <c r="K396" s="2" t="inlineStr"/>
      <c r="L396" s="5" t="n">
        <v>0</v>
      </c>
      <c r="M396" s="5" t="n">
        <v>0</v>
      </c>
    </row>
    <row r="397">
      <c r="A397" s="2" t="inlineStr">
        <is>
          <t>Z202_01A_022025_MASSENA.CSV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FILE202</t>
        </is>
      </c>
      <c r="F397" s="2" t="inlineStr">
        <is>
          <t>ZZ2</t>
        </is>
      </c>
      <c r="G397" s="3" t="inlineStr">
        <is>
          <t>0082</t>
        </is>
      </c>
      <c r="H397" s="4" t="n">
        <v>45717</v>
      </c>
      <c r="I397" s="2" t="inlineStr">
        <is>
          <t>15:42</t>
        </is>
      </c>
      <c r="J397" s="3" t="inlineStr">
        <is>
          <t>0046</t>
        </is>
      </c>
      <c r="K397" s="2" t="inlineStr"/>
      <c r="L397" s="5" t="n">
        <v>0</v>
      </c>
      <c r="M397" s="5" t="n">
        <v>0</v>
      </c>
    </row>
    <row r="398">
      <c r="A398" s="2" t="inlineStr">
        <is>
          <t>Z202_01A_022025_MASSENA.CSV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FILE202</t>
        </is>
      </c>
      <c r="F398" s="2" t="inlineStr">
        <is>
          <t>ZZ2</t>
        </is>
      </c>
      <c r="G398" s="3" t="inlineStr">
        <is>
          <t>0082</t>
        </is>
      </c>
      <c r="H398" s="4" t="n">
        <v>45717</v>
      </c>
      <c r="I398" s="2" t="inlineStr">
        <is>
          <t>15:42</t>
        </is>
      </c>
      <c r="J398" s="3" t="inlineStr">
        <is>
          <t>0047</t>
        </is>
      </c>
      <c r="K398" s="2" t="inlineStr"/>
      <c r="L398" s="5" t="n">
        <v>0</v>
      </c>
      <c r="M398" s="5" t="n">
        <v>0</v>
      </c>
    </row>
    <row r="399">
      <c r="A399" s="2" t="inlineStr">
        <is>
          <t>Z202_01A_022025_MASSENA.CSV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FILE202</t>
        </is>
      </c>
      <c r="F399" s="2" t="inlineStr">
        <is>
          <t>ZZ2</t>
        </is>
      </c>
      <c r="G399" s="3" t="inlineStr">
        <is>
          <t>0082</t>
        </is>
      </c>
      <c r="H399" s="4" t="n">
        <v>45717</v>
      </c>
      <c r="I399" s="2" t="inlineStr">
        <is>
          <t>15:42</t>
        </is>
      </c>
      <c r="J399" s="3" t="inlineStr">
        <is>
          <t>0048</t>
        </is>
      </c>
      <c r="K399" s="2" t="inlineStr"/>
      <c r="L399" s="5" t="n">
        <v>0</v>
      </c>
      <c r="M399" s="5" t="n">
        <v>0</v>
      </c>
    </row>
    <row r="400">
      <c r="A400" s="2" t="inlineStr">
        <is>
          <t>Z202_01A_022025_MASSENA.CSV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FILE202</t>
        </is>
      </c>
      <c r="F400" s="2" t="inlineStr">
        <is>
          <t>ZZ2</t>
        </is>
      </c>
      <c r="G400" s="3" t="inlineStr">
        <is>
          <t>0082</t>
        </is>
      </c>
      <c r="H400" s="4" t="n">
        <v>45717</v>
      </c>
      <c r="I400" s="2" t="inlineStr">
        <is>
          <t>15:42</t>
        </is>
      </c>
      <c r="J400" s="3" t="inlineStr">
        <is>
          <t>0049</t>
        </is>
      </c>
      <c r="K400" s="2" t="inlineStr"/>
      <c r="L400" s="5" t="n">
        <v>0</v>
      </c>
      <c r="M400" s="5" t="n">
        <v>0</v>
      </c>
    </row>
    <row r="401">
      <c r="A401" s="2" t="inlineStr">
        <is>
          <t>Z202_01A_022025_MASSENA.CSV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FILE202</t>
        </is>
      </c>
      <c r="F401" s="2" t="inlineStr">
        <is>
          <t>ZZ2</t>
        </is>
      </c>
      <c r="G401" s="3" t="inlineStr">
        <is>
          <t>0082</t>
        </is>
      </c>
      <c r="H401" s="4" t="n">
        <v>45717</v>
      </c>
      <c r="I401" s="2" t="inlineStr">
        <is>
          <t>15:42</t>
        </is>
      </c>
      <c r="J401" s="3" t="inlineStr">
        <is>
          <t>0050</t>
        </is>
      </c>
      <c r="K401" s="2" t="inlineStr"/>
      <c r="L401" s="5" t="n">
        <v>0</v>
      </c>
      <c r="M401" s="5" t="n">
        <v>0</v>
      </c>
    </row>
    <row r="402">
      <c r="A402" s="2" t="inlineStr">
        <is>
          <t>Z202_01A_042025_052025_062025_MASSENA.CSV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FILE202</t>
        </is>
      </c>
      <c r="F402" s="2" t="inlineStr">
        <is>
          <t>ZZ2</t>
        </is>
      </c>
      <c r="G402" s="3" t="inlineStr">
        <is>
          <t>0084</t>
        </is>
      </c>
      <c r="H402" s="4" t="n">
        <v>45839</v>
      </c>
      <c r="I402" s="2" t="inlineStr">
        <is>
          <t>09:59</t>
        </is>
      </c>
      <c r="J402" s="3" t="inlineStr">
        <is>
          <t>0001</t>
        </is>
      </c>
      <c r="K402" s="2" t="inlineStr">
        <is>
          <t>ESPECES</t>
        </is>
      </c>
      <c r="L402" s="5" t="n">
        <v>18</v>
      </c>
      <c r="M402" s="5" t="n">
        <v>6815.7</v>
      </c>
    </row>
    <row r="403">
      <c r="A403" s="2" t="inlineStr">
        <is>
          <t>Z202_01A_042025_052025_062025_MASSENA.CSV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FILE202</t>
        </is>
      </c>
      <c r="F403" s="2" t="inlineStr">
        <is>
          <t>ZZ2</t>
        </is>
      </c>
      <c r="G403" s="3" t="inlineStr">
        <is>
          <t>0084</t>
        </is>
      </c>
      <c r="H403" s="4" t="n">
        <v>45839</v>
      </c>
      <c r="I403" s="2" t="inlineStr">
        <is>
          <t>09:59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5" t="n">
        <v>0</v>
      </c>
    </row>
    <row r="404">
      <c r="A404" s="2" t="inlineStr">
        <is>
          <t>Z202_01A_042025_052025_062025_MASSENA.CSV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FILE202</t>
        </is>
      </c>
      <c r="F404" s="2" t="inlineStr">
        <is>
          <t>ZZ2</t>
        </is>
      </c>
      <c r="G404" s="3" t="inlineStr">
        <is>
          <t>0084</t>
        </is>
      </c>
      <c r="H404" s="4" t="n">
        <v>45839</v>
      </c>
      <c r="I404" s="2" t="inlineStr">
        <is>
          <t>09:59</t>
        </is>
      </c>
      <c r="J404" s="3" t="inlineStr">
        <is>
          <t>0003</t>
        </is>
      </c>
      <c r="K404" s="2" t="inlineStr">
        <is>
          <t>CARTES</t>
        </is>
      </c>
      <c r="L404" s="5" t="n">
        <v>16</v>
      </c>
      <c r="M404" s="5" t="n">
        <v>5642.4</v>
      </c>
    </row>
    <row r="405">
      <c r="A405" s="2" t="inlineStr">
        <is>
          <t>Z202_01A_042025_052025_062025_MASSENA.CSV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FILE202</t>
        </is>
      </c>
      <c r="F405" s="2" t="inlineStr">
        <is>
          <t>ZZ2</t>
        </is>
      </c>
      <c r="G405" s="3" t="inlineStr">
        <is>
          <t>0084</t>
        </is>
      </c>
      <c r="H405" s="4" t="n">
        <v>45839</v>
      </c>
      <c r="I405" s="2" t="inlineStr">
        <is>
          <t>09:59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5" t="n">
        <v>0</v>
      </c>
    </row>
    <row r="406">
      <c r="A406" s="2" t="inlineStr">
        <is>
          <t>Z202_01A_042025_052025_062025_MASSENA.CSV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FILE202</t>
        </is>
      </c>
      <c r="F406" s="2" t="inlineStr">
        <is>
          <t>ZZ2</t>
        </is>
      </c>
      <c r="G406" s="3" t="inlineStr">
        <is>
          <t>0084</t>
        </is>
      </c>
      <c r="H406" s="4" t="n">
        <v>45839</v>
      </c>
      <c r="I406" s="2" t="inlineStr">
        <is>
          <t>09:59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5" t="n">
        <v>0</v>
      </c>
    </row>
    <row r="407">
      <c r="A407" s="2" t="inlineStr">
        <is>
          <t>Z202_01A_042025_052025_062025_MASSENA.CSV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FILE202</t>
        </is>
      </c>
      <c r="F407" s="2" t="inlineStr">
        <is>
          <t>ZZ2</t>
        </is>
      </c>
      <c r="G407" s="3" t="inlineStr">
        <is>
          <t>0084</t>
        </is>
      </c>
      <c r="H407" s="4" t="n">
        <v>45839</v>
      </c>
      <c r="I407" s="2" t="inlineStr">
        <is>
          <t>09:59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5" t="n">
        <v>0</v>
      </c>
    </row>
    <row r="408">
      <c r="A408" s="2" t="inlineStr">
        <is>
          <t>Z202_01A_042025_052025_062025_MASSENA.CSV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FILE202</t>
        </is>
      </c>
      <c r="F408" s="2" t="inlineStr">
        <is>
          <t>ZZ2</t>
        </is>
      </c>
      <c r="G408" s="3" t="inlineStr">
        <is>
          <t>0084</t>
        </is>
      </c>
      <c r="H408" s="4" t="n">
        <v>45839</v>
      </c>
      <c r="I408" s="2" t="inlineStr">
        <is>
          <t>09:59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5" t="n">
        <v>0</v>
      </c>
    </row>
    <row r="409">
      <c r="A409" s="2" t="inlineStr">
        <is>
          <t>Z202_01A_042025_052025_062025_MASSENA.CSV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FILE202</t>
        </is>
      </c>
      <c r="F409" s="2" t="inlineStr">
        <is>
          <t>ZZ2</t>
        </is>
      </c>
      <c r="G409" s="3" t="inlineStr">
        <is>
          <t>0084</t>
        </is>
      </c>
      <c r="H409" s="4" t="n">
        <v>45839</v>
      </c>
      <c r="I409" s="2" t="inlineStr">
        <is>
          <t>09:59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5" t="n">
        <v>0</v>
      </c>
    </row>
    <row r="410">
      <c r="A410" s="2" t="inlineStr">
        <is>
          <t>Z202_01A_042025_052025_062025_MASSENA.CSV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FILE202</t>
        </is>
      </c>
      <c r="F410" s="2" t="inlineStr">
        <is>
          <t>ZZ2</t>
        </is>
      </c>
      <c r="G410" s="3" t="inlineStr">
        <is>
          <t>0084</t>
        </is>
      </c>
      <c r="H410" s="4" t="n">
        <v>45839</v>
      </c>
      <c r="I410" s="2" t="inlineStr">
        <is>
          <t>09:59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5" t="n">
        <v>0</v>
      </c>
    </row>
    <row r="411">
      <c r="A411" s="2" t="inlineStr">
        <is>
          <t>Z202_01A_042025_052025_062025_MASSENA.CSV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FILE202</t>
        </is>
      </c>
      <c r="F411" s="2" t="inlineStr">
        <is>
          <t>ZZ2</t>
        </is>
      </c>
      <c r="G411" s="3" t="inlineStr">
        <is>
          <t>0084</t>
        </is>
      </c>
      <c r="H411" s="4" t="n">
        <v>45839</v>
      </c>
      <c r="I411" s="2" t="inlineStr">
        <is>
          <t>09:59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5" t="n">
        <v>0</v>
      </c>
    </row>
    <row r="412">
      <c r="A412" s="2" t="inlineStr">
        <is>
          <t>Z202_01A_042025_052025_062025_MASSENA.CSV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FILE202</t>
        </is>
      </c>
      <c r="F412" s="2" t="inlineStr">
        <is>
          <t>ZZ2</t>
        </is>
      </c>
      <c r="G412" s="3" t="inlineStr">
        <is>
          <t>0084</t>
        </is>
      </c>
      <c r="H412" s="4" t="n">
        <v>45839</v>
      </c>
      <c r="I412" s="2" t="inlineStr">
        <is>
          <t>09:59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5" t="n">
        <v>0</v>
      </c>
    </row>
    <row r="413">
      <c r="A413" s="2" t="inlineStr">
        <is>
          <t>Z202_01A_042025_052025_062025_MASSENA.CSV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FILE202</t>
        </is>
      </c>
      <c r="F413" s="2" t="inlineStr">
        <is>
          <t>ZZ2</t>
        </is>
      </c>
      <c r="G413" s="3" t="inlineStr">
        <is>
          <t>0084</t>
        </is>
      </c>
      <c r="H413" s="4" t="n">
        <v>45839</v>
      </c>
      <c r="I413" s="2" t="inlineStr">
        <is>
          <t>09:59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5" t="n">
        <v>0</v>
      </c>
    </row>
    <row r="414">
      <c r="A414" s="2" t="inlineStr">
        <is>
          <t>Z202_01A_042025_052025_062025_MASSENA.CSV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FILE202</t>
        </is>
      </c>
      <c r="F414" s="2" t="inlineStr">
        <is>
          <t>ZZ2</t>
        </is>
      </c>
      <c r="G414" s="3" t="inlineStr">
        <is>
          <t>0084</t>
        </is>
      </c>
      <c r="H414" s="4" t="n">
        <v>45839</v>
      </c>
      <c r="I414" s="2" t="inlineStr">
        <is>
          <t>09:59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5" t="n">
        <v>0</v>
      </c>
    </row>
    <row r="415">
      <c r="A415" s="2" t="inlineStr">
        <is>
          <t>Z202_01A_042025_052025_062025_MASSENA.CSV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FILE202</t>
        </is>
      </c>
      <c r="F415" s="2" t="inlineStr">
        <is>
          <t>ZZ2</t>
        </is>
      </c>
      <c r="G415" s="3" t="inlineStr">
        <is>
          <t>0084</t>
        </is>
      </c>
      <c r="H415" s="4" t="n">
        <v>45839</v>
      </c>
      <c r="I415" s="2" t="inlineStr">
        <is>
          <t>09:59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5" t="n">
        <v>0</v>
      </c>
    </row>
    <row r="416">
      <c r="A416" s="2" t="inlineStr">
        <is>
          <t>Z202_01A_042025_052025_062025_MASSENA.CSV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FILE202</t>
        </is>
      </c>
      <c r="F416" s="2" t="inlineStr">
        <is>
          <t>ZZ2</t>
        </is>
      </c>
      <c r="G416" s="3" t="inlineStr">
        <is>
          <t>0084</t>
        </is>
      </c>
      <c r="H416" s="4" t="n">
        <v>45839</v>
      </c>
      <c r="I416" s="2" t="inlineStr">
        <is>
          <t>09:59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5" t="n">
        <v>0</v>
      </c>
    </row>
    <row r="417">
      <c r="A417" s="2" t="inlineStr">
        <is>
          <t>Z202_01A_042025_052025_062025_MASSENA.CSV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FILE202</t>
        </is>
      </c>
      <c r="F417" s="2" t="inlineStr">
        <is>
          <t>ZZ2</t>
        </is>
      </c>
      <c r="G417" s="3" t="inlineStr">
        <is>
          <t>0084</t>
        </is>
      </c>
      <c r="H417" s="4" t="n">
        <v>45839</v>
      </c>
      <c r="I417" s="2" t="inlineStr">
        <is>
          <t>09:59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5" t="n">
        <v>0</v>
      </c>
    </row>
    <row r="418">
      <c r="A418" s="2" t="inlineStr">
        <is>
          <t>Z202_01A_042025_052025_062025_MASSENA.CSV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FILE202</t>
        </is>
      </c>
      <c r="F418" s="2" t="inlineStr">
        <is>
          <t>ZZ2</t>
        </is>
      </c>
      <c r="G418" s="3" t="inlineStr">
        <is>
          <t>0084</t>
        </is>
      </c>
      <c r="H418" s="4" t="n">
        <v>45839</v>
      </c>
      <c r="I418" s="2" t="inlineStr">
        <is>
          <t>09:59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5" t="n">
        <v>0</v>
      </c>
    </row>
    <row r="419">
      <c r="A419" s="2" t="inlineStr">
        <is>
          <t>Z202_01A_042025_052025_062025_MASSENA.CSV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FILE202</t>
        </is>
      </c>
      <c r="F419" s="2" t="inlineStr">
        <is>
          <t>ZZ2</t>
        </is>
      </c>
      <c r="G419" s="3" t="inlineStr">
        <is>
          <t>0084</t>
        </is>
      </c>
      <c r="H419" s="4" t="n">
        <v>45839</v>
      </c>
      <c r="I419" s="2" t="inlineStr">
        <is>
          <t>09:59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5" t="n">
        <v>0</v>
      </c>
    </row>
    <row r="420">
      <c r="A420" s="2" t="inlineStr">
        <is>
          <t>Z202_01A_042025_052025_062025_MASSENA.CSV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FILE202</t>
        </is>
      </c>
      <c r="F420" s="2" t="inlineStr">
        <is>
          <t>ZZ2</t>
        </is>
      </c>
      <c r="G420" s="3" t="inlineStr">
        <is>
          <t>0084</t>
        </is>
      </c>
      <c r="H420" s="4" t="n">
        <v>45839</v>
      </c>
      <c r="I420" s="2" t="inlineStr">
        <is>
          <t>09:59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5" t="n">
        <v>0</v>
      </c>
    </row>
    <row r="421">
      <c r="A421" s="2" t="inlineStr">
        <is>
          <t>Z202_01A_042025_052025_062025_MASSENA.CSV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FILE202</t>
        </is>
      </c>
      <c r="F421" s="2" t="inlineStr">
        <is>
          <t>ZZ2</t>
        </is>
      </c>
      <c r="G421" s="3" t="inlineStr">
        <is>
          <t>0084</t>
        </is>
      </c>
      <c r="H421" s="4" t="n">
        <v>45839</v>
      </c>
      <c r="I421" s="2" t="inlineStr">
        <is>
          <t>09:59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5" t="n">
        <v>0</v>
      </c>
    </row>
    <row r="422">
      <c r="A422" s="2" t="inlineStr">
        <is>
          <t>Z202_01A_042025_052025_062025_MASSENA.CSV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FILE202</t>
        </is>
      </c>
      <c r="F422" s="2" t="inlineStr">
        <is>
          <t>ZZ2</t>
        </is>
      </c>
      <c r="G422" s="3" t="inlineStr">
        <is>
          <t>0084</t>
        </is>
      </c>
      <c r="H422" s="4" t="n">
        <v>45839</v>
      </c>
      <c r="I422" s="2" t="inlineStr">
        <is>
          <t>09:59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5" t="n">
        <v>0</v>
      </c>
    </row>
    <row r="423">
      <c r="A423" s="2" t="inlineStr">
        <is>
          <t>Z202_01A_042025_052025_062025_MASSENA.CSV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FILE202</t>
        </is>
      </c>
      <c r="F423" s="2" t="inlineStr">
        <is>
          <t>ZZ2</t>
        </is>
      </c>
      <c r="G423" s="3" t="inlineStr">
        <is>
          <t>0084</t>
        </is>
      </c>
      <c r="H423" s="4" t="n">
        <v>45839</v>
      </c>
      <c r="I423" s="2" t="inlineStr">
        <is>
          <t>09:59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5" t="n">
        <v>0</v>
      </c>
    </row>
    <row r="424">
      <c r="A424" s="2" t="inlineStr">
        <is>
          <t>Z202_01A_042025_052025_062025_MASSENA.CSV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FILE202</t>
        </is>
      </c>
      <c r="F424" s="2" t="inlineStr">
        <is>
          <t>ZZ2</t>
        </is>
      </c>
      <c r="G424" s="3" t="inlineStr">
        <is>
          <t>0084</t>
        </is>
      </c>
      <c r="H424" s="4" t="n">
        <v>45839</v>
      </c>
      <c r="I424" s="2" t="inlineStr">
        <is>
          <t>09:59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5" t="n">
        <v>0</v>
      </c>
    </row>
    <row r="425">
      <c r="A425" s="2" t="inlineStr">
        <is>
          <t>Z202_01A_042025_052025_062025_MASSENA.CSV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FILE202</t>
        </is>
      </c>
      <c r="F425" s="2" t="inlineStr">
        <is>
          <t>ZZ2</t>
        </is>
      </c>
      <c r="G425" s="3" t="inlineStr">
        <is>
          <t>0084</t>
        </is>
      </c>
      <c r="H425" s="4" t="n">
        <v>45839</v>
      </c>
      <c r="I425" s="2" t="inlineStr">
        <is>
          <t>09:59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5" t="n">
        <v>0</v>
      </c>
    </row>
    <row r="426">
      <c r="A426" s="2" t="inlineStr">
        <is>
          <t>Z202_01A_042025_052025_062025_MASSENA.CSV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FILE202</t>
        </is>
      </c>
      <c r="F426" s="2" t="inlineStr">
        <is>
          <t>ZZ2</t>
        </is>
      </c>
      <c r="G426" s="3" t="inlineStr">
        <is>
          <t>0084</t>
        </is>
      </c>
      <c r="H426" s="4" t="n">
        <v>45839</v>
      </c>
      <c r="I426" s="2" t="inlineStr">
        <is>
          <t>09:59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5" t="n">
        <v>0</v>
      </c>
    </row>
    <row r="427">
      <c r="A427" s="2" t="inlineStr">
        <is>
          <t>Z202_01A_042025_052025_062025_MASSENA.CSV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FILE202</t>
        </is>
      </c>
      <c r="F427" s="2" t="inlineStr">
        <is>
          <t>ZZ2</t>
        </is>
      </c>
      <c r="G427" s="3" t="inlineStr">
        <is>
          <t>0084</t>
        </is>
      </c>
      <c r="H427" s="4" t="n">
        <v>45839</v>
      </c>
      <c r="I427" s="2" t="inlineStr">
        <is>
          <t>09:59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5" t="n">
        <v>0</v>
      </c>
    </row>
    <row r="428">
      <c r="A428" s="2" t="inlineStr">
        <is>
          <t>Z202_01A_042025_052025_062025_MASSENA.CSV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FILE202</t>
        </is>
      </c>
      <c r="F428" s="2" t="inlineStr">
        <is>
          <t>ZZ2</t>
        </is>
      </c>
      <c r="G428" s="3" t="inlineStr">
        <is>
          <t>0084</t>
        </is>
      </c>
      <c r="H428" s="4" t="n">
        <v>45839</v>
      </c>
      <c r="I428" s="2" t="inlineStr">
        <is>
          <t>09:59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5" t="n">
        <v>0</v>
      </c>
    </row>
    <row r="429">
      <c r="A429" s="2" t="inlineStr">
        <is>
          <t>Z202_01A_042025_052025_062025_MASSENA.CSV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FILE202</t>
        </is>
      </c>
      <c r="F429" s="2" t="inlineStr">
        <is>
          <t>ZZ2</t>
        </is>
      </c>
      <c r="G429" s="3" t="inlineStr">
        <is>
          <t>0084</t>
        </is>
      </c>
      <c r="H429" s="4" t="n">
        <v>45839</v>
      </c>
      <c r="I429" s="2" t="inlineStr">
        <is>
          <t>09:59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5" t="n">
        <v>0</v>
      </c>
    </row>
    <row r="430">
      <c r="A430" s="2" t="inlineStr">
        <is>
          <t>Z202_01A_042025_052025_062025_MASSENA.CSV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FILE202</t>
        </is>
      </c>
      <c r="F430" s="2" t="inlineStr">
        <is>
          <t>ZZ2</t>
        </is>
      </c>
      <c r="G430" s="3" t="inlineStr">
        <is>
          <t>0084</t>
        </is>
      </c>
      <c r="H430" s="4" t="n">
        <v>45839</v>
      </c>
      <c r="I430" s="2" t="inlineStr">
        <is>
          <t>09:59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5" t="n">
        <v>0</v>
      </c>
    </row>
    <row r="431">
      <c r="A431" s="2" t="inlineStr">
        <is>
          <t>Z202_01A_042025_052025_062025_MASSENA.CSV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FILE202</t>
        </is>
      </c>
      <c r="F431" s="2" t="inlineStr">
        <is>
          <t>ZZ2</t>
        </is>
      </c>
      <c r="G431" s="3" t="inlineStr">
        <is>
          <t>0084</t>
        </is>
      </c>
      <c r="H431" s="4" t="n">
        <v>45839</v>
      </c>
      <c r="I431" s="2" t="inlineStr">
        <is>
          <t>09:59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5" t="n">
        <v>0</v>
      </c>
    </row>
    <row r="432">
      <c r="A432" s="2" t="inlineStr">
        <is>
          <t>Z202_01A_042025_052025_062025_MASSENA.CSV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FILE202</t>
        </is>
      </c>
      <c r="F432" s="2" t="inlineStr">
        <is>
          <t>ZZ2</t>
        </is>
      </c>
      <c r="G432" s="3" t="inlineStr">
        <is>
          <t>0084</t>
        </is>
      </c>
      <c r="H432" s="4" t="n">
        <v>45839</v>
      </c>
      <c r="I432" s="2" t="inlineStr">
        <is>
          <t>09:59</t>
        </is>
      </c>
      <c r="J432" s="3" t="inlineStr">
        <is>
          <t>0031</t>
        </is>
      </c>
      <c r="K432" s="2" t="inlineStr">
        <is>
          <t>REF./TIROIR</t>
        </is>
      </c>
      <c r="L432" s="5" t="n">
        <v>1</v>
      </c>
      <c r="M432" s="5" t="n">
        <v>0</v>
      </c>
    </row>
    <row r="433">
      <c r="A433" s="2" t="inlineStr">
        <is>
          <t>Z202_01A_042025_052025_062025_MASSENA.CSV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FILE202</t>
        </is>
      </c>
      <c r="F433" s="2" t="inlineStr">
        <is>
          <t>ZZ2</t>
        </is>
      </c>
      <c r="G433" s="3" t="inlineStr">
        <is>
          <t>0084</t>
        </is>
      </c>
      <c r="H433" s="4" t="n">
        <v>45839</v>
      </c>
      <c r="I433" s="2" t="inlineStr">
        <is>
          <t>09:59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5" t="n">
        <v>0</v>
      </c>
    </row>
    <row r="434">
      <c r="A434" s="2" t="inlineStr">
        <is>
          <t>Z202_01A_042025_052025_062025_MASSENA.CSV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FILE202</t>
        </is>
      </c>
      <c r="F434" s="2" t="inlineStr">
        <is>
          <t>ZZ2</t>
        </is>
      </c>
      <c r="G434" s="3" t="inlineStr">
        <is>
          <t>0084</t>
        </is>
      </c>
      <c r="H434" s="4" t="n">
        <v>45839</v>
      </c>
      <c r="I434" s="2" t="inlineStr">
        <is>
          <t>09:59</t>
        </is>
      </c>
      <c r="J434" s="3" t="inlineStr">
        <is>
          <t>0033</t>
        </is>
      </c>
      <c r="K434" s="2" t="inlineStr"/>
      <c r="L434" s="5" t="n">
        <v>0</v>
      </c>
      <c r="M434" s="5" t="n">
        <v>0</v>
      </c>
    </row>
    <row r="435">
      <c r="A435" s="2" t="inlineStr">
        <is>
          <t>Z202_01A_042025_052025_062025_MASSENA.CSV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FILE202</t>
        </is>
      </c>
      <c r="F435" s="2" t="inlineStr">
        <is>
          <t>ZZ2</t>
        </is>
      </c>
      <c r="G435" s="3" t="inlineStr">
        <is>
          <t>0084</t>
        </is>
      </c>
      <c r="H435" s="4" t="n">
        <v>45839</v>
      </c>
      <c r="I435" s="2" t="inlineStr">
        <is>
          <t>09:59</t>
        </is>
      </c>
      <c r="J435" s="3" t="inlineStr">
        <is>
          <t>0034</t>
        </is>
      </c>
      <c r="K435" s="2" t="inlineStr"/>
      <c r="L435" s="5" t="n">
        <v>0</v>
      </c>
      <c r="M435" s="5" t="n">
        <v>0</v>
      </c>
    </row>
    <row r="436">
      <c r="A436" s="2" t="inlineStr">
        <is>
          <t>Z202_01A_042025_052025_062025_MASSENA.CSV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FILE202</t>
        </is>
      </c>
      <c r="F436" s="2" t="inlineStr">
        <is>
          <t>ZZ2</t>
        </is>
      </c>
      <c r="G436" s="3" t="inlineStr">
        <is>
          <t>0084</t>
        </is>
      </c>
      <c r="H436" s="4" t="n">
        <v>45839</v>
      </c>
      <c r="I436" s="2" t="inlineStr">
        <is>
          <t>09:59</t>
        </is>
      </c>
      <c r="J436" s="3" t="inlineStr">
        <is>
          <t>0035</t>
        </is>
      </c>
      <c r="K436" s="2" t="inlineStr"/>
      <c r="L436" s="5" t="n">
        <v>0</v>
      </c>
      <c r="M436" s="5" t="n">
        <v>0</v>
      </c>
    </row>
    <row r="437">
      <c r="A437" s="2" t="inlineStr">
        <is>
          <t>Z202_01A_042025_052025_062025_MASSENA.CSV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FILE202</t>
        </is>
      </c>
      <c r="F437" s="2" t="inlineStr">
        <is>
          <t>ZZ2</t>
        </is>
      </c>
      <c r="G437" s="3" t="inlineStr">
        <is>
          <t>0084</t>
        </is>
      </c>
      <c r="H437" s="4" t="n">
        <v>45839</v>
      </c>
      <c r="I437" s="2" t="inlineStr">
        <is>
          <t>09:59</t>
        </is>
      </c>
      <c r="J437" s="3" t="inlineStr">
        <is>
          <t>0036</t>
        </is>
      </c>
      <c r="K437" s="2" t="inlineStr"/>
      <c r="L437" s="5" t="n">
        <v>0</v>
      </c>
      <c r="M437" s="5" t="n">
        <v>0</v>
      </c>
    </row>
    <row r="438">
      <c r="A438" s="2" t="inlineStr">
        <is>
          <t>Z202_01A_042025_052025_062025_MASSENA.CSV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FILE202</t>
        </is>
      </c>
      <c r="F438" s="2" t="inlineStr">
        <is>
          <t>ZZ2</t>
        </is>
      </c>
      <c r="G438" s="3" t="inlineStr">
        <is>
          <t>0084</t>
        </is>
      </c>
      <c r="H438" s="4" t="n">
        <v>45839</v>
      </c>
      <c r="I438" s="2" t="inlineStr">
        <is>
          <t>09:59</t>
        </is>
      </c>
      <c r="J438" s="3" t="inlineStr">
        <is>
          <t>0037</t>
        </is>
      </c>
      <c r="K438" s="2" t="inlineStr"/>
      <c r="L438" s="5" t="n">
        <v>0</v>
      </c>
      <c r="M438" s="5" t="n">
        <v>0</v>
      </c>
    </row>
    <row r="439">
      <c r="A439" s="2" t="inlineStr">
        <is>
          <t>Z202_01A_042025_052025_062025_MASSENA.CSV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FILE202</t>
        </is>
      </c>
      <c r="F439" s="2" t="inlineStr">
        <is>
          <t>ZZ2</t>
        </is>
      </c>
      <c r="G439" s="3" t="inlineStr">
        <is>
          <t>0084</t>
        </is>
      </c>
      <c r="H439" s="4" t="n">
        <v>45839</v>
      </c>
      <c r="I439" s="2" t="inlineStr">
        <is>
          <t>09:59</t>
        </is>
      </c>
      <c r="J439" s="3" t="inlineStr">
        <is>
          <t>0038</t>
        </is>
      </c>
      <c r="K439" s="2" t="inlineStr"/>
      <c r="L439" s="5" t="n">
        <v>0</v>
      </c>
      <c r="M439" s="5" t="n">
        <v>0</v>
      </c>
    </row>
    <row r="440">
      <c r="A440" s="2" t="inlineStr">
        <is>
          <t>Z202_01A_042025_052025_062025_MASSENA.CSV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FILE202</t>
        </is>
      </c>
      <c r="F440" s="2" t="inlineStr">
        <is>
          <t>ZZ2</t>
        </is>
      </c>
      <c r="G440" s="3" t="inlineStr">
        <is>
          <t>0084</t>
        </is>
      </c>
      <c r="H440" s="4" t="n">
        <v>45839</v>
      </c>
      <c r="I440" s="2" t="inlineStr">
        <is>
          <t>09:59</t>
        </is>
      </c>
      <c r="J440" s="3" t="inlineStr">
        <is>
          <t>0039</t>
        </is>
      </c>
      <c r="K440" s="2" t="inlineStr"/>
      <c r="L440" s="5" t="n">
        <v>0</v>
      </c>
      <c r="M440" s="5" t="n">
        <v>0</v>
      </c>
    </row>
    <row r="441">
      <c r="A441" s="2" t="inlineStr">
        <is>
          <t>Z202_01A_042025_052025_062025_MASSENA.CSV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FILE202</t>
        </is>
      </c>
      <c r="F441" s="2" t="inlineStr">
        <is>
          <t>ZZ2</t>
        </is>
      </c>
      <c r="G441" s="3" t="inlineStr">
        <is>
          <t>0084</t>
        </is>
      </c>
      <c r="H441" s="4" t="n">
        <v>45839</v>
      </c>
      <c r="I441" s="2" t="inlineStr">
        <is>
          <t>09:59</t>
        </is>
      </c>
      <c r="J441" s="3" t="inlineStr">
        <is>
          <t>0040</t>
        </is>
      </c>
      <c r="K441" s="2" t="inlineStr"/>
      <c r="L441" s="5" t="n">
        <v>0</v>
      </c>
      <c r="M441" s="5" t="n">
        <v>0</v>
      </c>
    </row>
    <row r="442">
      <c r="A442" s="2" t="inlineStr">
        <is>
          <t>Z202_01A_042025_052025_062025_MASSENA.CSV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FILE202</t>
        </is>
      </c>
      <c r="F442" s="2" t="inlineStr">
        <is>
          <t>ZZ2</t>
        </is>
      </c>
      <c r="G442" s="3" t="inlineStr">
        <is>
          <t>0084</t>
        </is>
      </c>
      <c r="H442" s="4" t="n">
        <v>45839</v>
      </c>
      <c r="I442" s="2" t="inlineStr">
        <is>
          <t>09:59</t>
        </is>
      </c>
      <c r="J442" s="3" t="inlineStr">
        <is>
          <t>0041</t>
        </is>
      </c>
      <c r="K442" s="2" t="inlineStr"/>
      <c r="L442" s="5" t="n">
        <v>0</v>
      </c>
      <c r="M442" s="5" t="n">
        <v>0</v>
      </c>
    </row>
    <row r="443">
      <c r="A443" s="2" t="inlineStr">
        <is>
          <t>Z202_01A_042025_052025_062025_MASSENA.CSV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FILE202</t>
        </is>
      </c>
      <c r="F443" s="2" t="inlineStr">
        <is>
          <t>ZZ2</t>
        </is>
      </c>
      <c r="G443" s="3" t="inlineStr">
        <is>
          <t>0084</t>
        </is>
      </c>
      <c r="H443" s="4" t="n">
        <v>45839</v>
      </c>
      <c r="I443" s="2" t="inlineStr">
        <is>
          <t>09:59</t>
        </is>
      </c>
      <c r="J443" s="3" t="inlineStr">
        <is>
          <t>0042</t>
        </is>
      </c>
      <c r="K443" s="2" t="inlineStr"/>
      <c r="L443" s="5" t="n">
        <v>0</v>
      </c>
      <c r="M443" s="5" t="n">
        <v>0</v>
      </c>
    </row>
    <row r="444">
      <c r="A444" s="2" t="inlineStr">
        <is>
          <t>Z202_01A_042025_052025_062025_MASSENA.CSV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FILE202</t>
        </is>
      </c>
      <c r="F444" s="2" t="inlineStr">
        <is>
          <t>ZZ2</t>
        </is>
      </c>
      <c r="G444" s="3" t="inlineStr">
        <is>
          <t>0084</t>
        </is>
      </c>
      <c r="H444" s="4" t="n">
        <v>45839</v>
      </c>
      <c r="I444" s="2" t="inlineStr">
        <is>
          <t>09:59</t>
        </is>
      </c>
      <c r="J444" s="3" t="inlineStr">
        <is>
          <t>0043</t>
        </is>
      </c>
      <c r="K444" s="2" t="inlineStr"/>
      <c r="L444" s="5" t="n">
        <v>0</v>
      </c>
      <c r="M444" s="5" t="n">
        <v>0</v>
      </c>
    </row>
    <row r="445">
      <c r="A445" s="2" t="inlineStr">
        <is>
          <t>Z202_01A_042025_052025_062025_MASSENA.CSV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FILE202</t>
        </is>
      </c>
      <c r="F445" s="2" t="inlineStr">
        <is>
          <t>ZZ2</t>
        </is>
      </c>
      <c r="G445" s="3" t="inlineStr">
        <is>
          <t>0084</t>
        </is>
      </c>
      <c r="H445" s="4" t="n">
        <v>45839</v>
      </c>
      <c r="I445" s="2" t="inlineStr">
        <is>
          <t>09:59</t>
        </is>
      </c>
      <c r="J445" s="3" t="inlineStr">
        <is>
          <t>0044</t>
        </is>
      </c>
      <c r="K445" s="2" t="inlineStr"/>
      <c r="L445" s="5" t="n">
        <v>0</v>
      </c>
      <c r="M445" s="5" t="n">
        <v>0</v>
      </c>
    </row>
    <row r="446">
      <c r="A446" s="2" t="inlineStr">
        <is>
          <t>Z202_01A_042025_052025_062025_MASSENA.CSV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FILE202</t>
        </is>
      </c>
      <c r="F446" s="2" t="inlineStr">
        <is>
          <t>ZZ2</t>
        </is>
      </c>
      <c r="G446" s="3" t="inlineStr">
        <is>
          <t>0084</t>
        </is>
      </c>
      <c r="H446" s="4" t="n">
        <v>45839</v>
      </c>
      <c r="I446" s="2" t="inlineStr">
        <is>
          <t>09:59</t>
        </is>
      </c>
      <c r="J446" s="3" t="inlineStr">
        <is>
          <t>0045</t>
        </is>
      </c>
      <c r="K446" s="2" t="inlineStr"/>
      <c r="L446" s="5" t="n">
        <v>0</v>
      </c>
      <c r="M446" s="5" t="n">
        <v>0</v>
      </c>
    </row>
    <row r="447">
      <c r="A447" s="2" t="inlineStr">
        <is>
          <t>Z202_01A_042025_052025_062025_MASSENA.CSV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FILE202</t>
        </is>
      </c>
      <c r="F447" s="2" t="inlineStr">
        <is>
          <t>ZZ2</t>
        </is>
      </c>
      <c r="G447" s="3" t="inlineStr">
        <is>
          <t>0084</t>
        </is>
      </c>
      <c r="H447" s="4" t="n">
        <v>45839</v>
      </c>
      <c r="I447" s="2" t="inlineStr">
        <is>
          <t>09:59</t>
        </is>
      </c>
      <c r="J447" s="3" t="inlineStr">
        <is>
          <t>0046</t>
        </is>
      </c>
      <c r="K447" s="2" t="inlineStr"/>
      <c r="L447" s="5" t="n">
        <v>0</v>
      </c>
      <c r="M447" s="5" t="n">
        <v>0</v>
      </c>
    </row>
    <row r="448">
      <c r="A448" s="2" t="inlineStr">
        <is>
          <t>Z202_01A_042025_052025_062025_MASSENA.CSV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FILE202</t>
        </is>
      </c>
      <c r="F448" s="2" t="inlineStr">
        <is>
          <t>ZZ2</t>
        </is>
      </c>
      <c r="G448" s="3" t="inlineStr">
        <is>
          <t>0084</t>
        </is>
      </c>
      <c r="H448" s="4" t="n">
        <v>45839</v>
      </c>
      <c r="I448" s="2" t="inlineStr">
        <is>
          <t>09:59</t>
        </is>
      </c>
      <c r="J448" s="3" t="inlineStr">
        <is>
          <t>0047</t>
        </is>
      </c>
      <c r="K448" s="2" t="inlineStr"/>
      <c r="L448" s="5" t="n">
        <v>0</v>
      </c>
      <c r="M448" s="5" t="n">
        <v>0</v>
      </c>
    </row>
    <row r="449">
      <c r="A449" s="2" t="inlineStr">
        <is>
          <t>Z202_01A_042025_052025_062025_MASSENA.CSV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FILE202</t>
        </is>
      </c>
      <c r="F449" s="2" t="inlineStr">
        <is>
          <t>ZZ2</t>
        </is>
      </c>
      <c r="G449" s="3" t="inlineStr">
        <is>
          <t>0084</t>
        </is>
      </c>
      <c r="H449" s="4" t="n">
        <v>45839</v>
      </c>
      <c r="I449" s="2" t="inlineStr">
        <is>
          <t>09:59</t>
        </is>
      </c>
      <c r="J449" s="3" t="inlineStr">
        <is>
          <t>0048</t>
        </is>
      </c>
      <c r="K449" s="2" t="inlineStr"/>
      <c r="L449" s="5" t="n">
        <v>0</v>
      </c>
      <c r="M449" s="5" t="n">
        <v>0</v>
      </c>
    </row>
    <row r="450">
      <c r="A450" s="2" t="inlineStr">
        <is>
          <t>Z202_01A_042025_052025_062025_MASSENA.CSV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FILE202</t>
        </is>
      </c>
      <c r="F450" s="2" t="inlineStr">
        <is>
          <t>ZZ2</t>
        </is>
      </c>
      <c r="G450" s="3" t="inlineStr">
        <is>
          <t>0084</t>
        </is>
      </c>
      <c r="H450" s="4" t="n">
        <v>45839</v>
      </c>
      <c r="I450" s="2" t="inlineStr">
        <is>
          <t>09:59</t>
        </is>
      </c>
      <c r="J450" s="3" t="inlineStr">
        <is>
          <t>0049</t>
        </is>
      </c>
      <c r="K450" s="2" t="inlineStr"/>
      <c r="L450" s="5" t="n">
        <v>0</v>
      </c>
      <c r="M450" s="5" t="n">
        <v>0</v>
      </c>
    </row>
    <row r="451">
      <c r="A451" s="2" t="inlineStr">
        <is>
          <t>Z202_01A_042025_052025_062025_MASSENA.CSV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FILE202</t>
        </is>
      </c>
      <c r="F451" s="2" t="inlineStr">
        <is>
          <t>ZZ2</t>
        </is>
      </c>
      <c r="G451" s="3" t="inlineStr">
        <is>
          <t>0084</t>
        </is>
      </c>
      <c r="H451" s="4" t="n">
        <v>45839</v>
      </c>
      <c r="I451" s="2" t="inlineStr">
        <is>
          <t>09:59</t>
        </is>
      </c>
      <c r="J451" s="3" t="inlineStr">
        <is>
          <t>0050</t>
        </is>
      </c>
      <c r="K451" s="2" t="inlineStr"/>
      <c r="L451" s="5" t="n">
        <v>0</v>
      </c>
      <c r="M451" s="5" t="n">
        <v>0</v>
      </c>
    </row>
    <row r="452">
      <c r="A452" s="2" t="inlineStr">
        <is>
          <t>Z202_02A_082025_MASSENA.CSV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FILE202</t>
        </is>
      </c>
      <c r="F452" s="2" t="inlineStr">
        <is>
          <t>ZZ2</t>
        </is>
      </c>
      <c r="G452" s="3" t="inlineStr">
        <is>
          <t>0086</t>
        </is>
      </c>
      <c r="H452" s="4" t="n">
        <v>45902</v>
      </c>
      <c r="I452" s="2" t="inlineStr">
        <is>
          <t>17:21</t>
        </is>
      </c>
      <c r="J452" s="3" t="inlineStr">
        <is>
          <t>0001</t>
        </is>
      </c>
      <c r="K452" s="2" t="inlineStr">
        <is>
          <t>ESPECES</t>
        </is>
      </c>
      <c r="L452" s="5" t="n">
        <v>6</v>
      </c>
      <c r="M452" s="5" t="n">
        <v>1914</v>
      </c>
    </row>
    <row r="453">
      <c r="A453" s="2" t="inlineStr">
        <is>
          <t>Z202_02A_082025_MASSENA.CSV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FILE202</t>
        </is>
      </c>
      <c r="F453" s="2" t="inlineStr">
        <is>
          <t>ZZ2</t>
        </is>
      </c>
      <c r="G453" s="3" t="inlineStr">
        <is>
          <t>0086</t>
        </is>
      </c>
      <c r="H453" s="4" t="n">
        <v>45902</v>
      </c>
      <c r="I453" s="2" t="inlineStr">
        <is>
          <t>17:21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5" t="n">
        <v>0</v>
      </c>
    </row>
    <row r="454">
      <c r="A454" s="2" t="inlineStr">
        <is>
          <t>Z202_02A_082025_MASSENA.CSV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FILE202</t>
        </is>
      </c>
      <c r="F454" s="2" t="inlineStr">
        <is>
          <t>ZZ2</t>
        </is>
      </c>
      <c r="G454" s="3" t="inlineStr">
        <is>
          <t>0086</t>
        </is>
      </c>
      <c r="H454" s="4" t="n">
        <v>45902</v>
      </c>
      <c r="I454" s="2" t="inlineStr">
        <is>
          <t>17:21</t>
        </is>
      </c>
      <c r="J454" s="3" t="inlineStr">
        <is>
          <t>0003</t>
        </is>
      </c>
      <c r="K454" s="2" t="inlineStr">
        <is>
          <t>CARTES</t>
        </is>
      </c>
      <c r="L454" s="5" t="n">
        <v>3</v>
      </c>
      <c r="M454" s="5" t="n">
        <v>2072</v>
      </c>
    </row>
    <row r="455">
      <c r="A455" s="2" t="inlineStr">
        <is>
          <t>Z202_02A_082025_MASSENA.CSV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FILE202</t>
        </is>
      </c>
      <c r="F455" s="2" t="inlineStr">
        <is>
          <t>ZZ2</t>
        </is>
      </c>
      <c r="G455" s="3" t="inlineStr">
        <is>
          <t>0086</t>
        </is>
      </c>
      <c r="H455" s="4" t="n">
        <v>45902</v>
      </c>
      <c r="I455" s="2" t="inlineStr">
        <is>
          <t>17:21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5" t="n">
        <v>0</v>
      </c>
    </row>
    <row r="456">
      <c r="A456" s="2" t="inlineStr">
        <is>
          <t>Z202_02A_082025_MASSENA.CSV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FILE202</t>
        </is>
      </c>
      <c r="F456" s="2" t="inlineStr">
        <is>
          <t>ZZ2</t>
        </is>
      </c>
      <c r="G456" s="3" t="inlineStr">
        <is>
          <t>0086</t>
        </is>
      </c>
      <c r="H456" s="4" t="n">
        <v>45902</v>
      </c>
      <c r="I456" s="2" t="inlineStr">
        <is>
          <t>17:21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5" t="n">
        <v>0</v>
      </c>
    </row>
    <row r="457">
      <c r="A457" s="2" t="inlineStr">
        <is>
          <t>Z202_02A_082025_MASSENA.CSV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FILE202</t>
        </is>
      </c>
      <c r="F457" s="2" t="inlineStr">
        <is>
          <t>ZZ2</t>
        </is>
      </c>
      <c r="G457" s="3" t="inlineStr">
        <is>
          <t>0086</t>
        </is>
      </c>
      <c r="H457" s="4" t="n">
        <v>45902</v>
      </c>
      <c r="I457" s="2" t="inlineStr">
        <is>
          <t>17:21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5" t="n">
        <v>0</v>
      </c>
    </row>
    <row r="458">
      <c r="A458" s="2" t="inlineStr">
        <is>
          <t>Z202_02A_082025_MASSENA.CSV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FILE202</t>
        </is>
      </c>
      <c r="F458" s="2" t="inlineStr">
        <is>
          <t>ZZ2</t>
        </is>
      </c>
      <c r="G458" s="3" t="inlineStr">
        <is>
          <t>0086</t>
        </is>
      </c>
      <c r="H458" s="4" t="n">
        <v>45902</v>
      </c>
      <c r="I458" s="2" t="inlineStr">
        <is>
          <t>17:21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5" t="n">
        <v>0</v>
      </c>
    </row>
    <row r="459">
      <c r="A459" s="2" t="inlineStr">
        <is>
          <t>Z202_02A_082025_MASSENA.CSV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FILE202</t>
        </is>
      </c>
      <c r="F459" s="2" t="inlineStr">
        <is>
          <t>ZZ2</t>
        </is>
      </c>
      <c r="G459" s="3" t="inlineStr">
        <is>
          <t>0086</t>
        </is>
      </c>
      <c r="H459" s="4" t="n">
        <v>45902</v>
      </c>
      <c r="I459" s="2" t="inlineStr">
        <is>
          <t>17:21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5" t="n">
        <v>0</v>
      </c>
    </row>
    <row r="460">
      <c r="A460" s="2" t="inlineStr">
        <is>
          <t>Z202_02A_082025_MASSENA.CSV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FILE202</t>
        </is>
      </c>
      <c r="F460" s="2" t="inlineStr">
        <is>
          <t>ZZ2</t>
        </is>
      </c>
      <c r="G460" s="3" t="inlineStr">
        <is>
          <t>0086</t>
        </is>
      </c>
      <c r="H460" s="4" t="n">
        <v>45902</v>
      </c>
      <c r="I460" s="2" t="inlineStr">
        <is>
          <t>17:21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5" t="n">
        <v>0</v>
      </c>
    </row>
    <row r="461">
      <c r="A461" s="2" t="inlineStr">
        <is>
          <t>Z202_02A_082025_MASSENA.CSV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FILE202</t>
        </is>
      </c>
      <c r="F461" s="2" t="inlineStr">
        <is>
          <t>ZZ2</t>
        </is>
      </c>
      <c r="G461" s="3" t="inlineStr">
        <is>
          <t>0086</t>
        </is>
      </c>
      <c r="H461" s="4" t="n">
        <v>45902</v>
      </c>
      <c r="I461" s="2" t="inlineStr">
        <is>
          <t>17:21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5" t="n">
        <v>0</v>
      </c>
    </row>
    <row r="462">
      <c r="A462" s="2" t="inlineStr">
        <is>
          <t>Z202_02A_082025_MASSENA.CSV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FILE202</t>
        </is>
      </c>
      <c r="F462" s="2" t="inlineStr">
        <is>
          <t>ZZ2</t>
        </is>
      </c>
      <c r="G462" s="3" t="inlineStr">
        <is>
          <t>0086</t>
        </is>
      </c>
      <c r="H462" s="4" t="n">
        <v>45902</v>
      </c>
      <c r="I462" s="2" t="inlineStr">
        <is>
          <t>17:21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5" t="n">
        <v>0</v>
      </c>
    </row>
    <row r="463">
      <c r="A463" s="2" t="inlineStr">
        <is>
          <t>Z202_02A_082025_MASSENA.CSV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FILE202</t>
        </is>
      </c>
      <c r="F463" s="2" t="inlineStr">
        <is>
          <t>ZZ2</t>
        </is>
      </c>
      <c r="G463" s="3" t="inlineStr">
        <is>
          <t>0086</t>
        </is>
      </c>
      <c r="H463" s="4" t="n">
        <v>45902</v>
      </c>
      <c r="I463" s="2" t="inlineStr">
        <is>
          <t>17:21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5" t="n">
        <v>0</v>
      </c>
    </row>
    <row r="464">
      <c r="A464" s="2" t="inlineStr">
        <is>
          <t>Z202_02A_082025_MASSENA.CSV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FILE202</t>
        </is>
      </c>
      <c r="F464" s="2" t="inlineStr">
        <is>
          <t>ZZ2</t>
        </is>
      </c>
      <c r="G464" s="3" t="inlineStr">
        <is>
          <t>0086</t>
        </is>
      </c>
      <c r="H464" s="4" t="n">
        <v>45902</v>
      </c>
      <c r="I464" s="2" t="inlineStr">
        <is>
          <t>17:21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5" t="n">
        <v>0</v>
      </c>
    </row>
    <row r="465">
      <c r="A465" s="2" t="inlineStr">
        <is>
          <t>Z202_02A_082025_MASSENA.CSV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FILE202</t>
        </is>
      </c>
      <c r="F465" s="2" t="inlineStr">
        <is>
          <t>ZZ2</t>
        </is>
      </c>
      <c r="G465" s="3" t="inlineStr">
        <is>
          <t>0086</t>
        </is>
      </c>
      <c r="H465" s="4" t="n">
        <v>45902</v>
      </c>
      <c r="I465" s="2" t="inlineStr">
        <is>
          <t>17:21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5" t="n">
        <v>0</v>
      </c>
    </row>
    <row r="466">
      <c r="A466" s="2" t="inlineStr">
        <is>
          <t>Z202_02A_082025_MASSENA.CSV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FILE202</t>
        </is>
      </c>
      <c r="F466" s="2" t="inlineStr">
        <is>
          <t>ZZ2</t>
        </is>
      </c>
      <c r="G466" s="3" t="inlineStr">
        <is>
          <t>0086</t>
        </is>
      </c>
      <c r="H466" s="4" t="n">
        <v>45902</v>
      </c>
      <c r="I466" s="2" t="inlineStr">
        <is>
          <t>17:21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5" t="n">
        <v>0</v>
      </c>
    </row>
    <row r="467">
      <c r="A467" s="2" t="inlineStr">
        <is>
          <t>Z202_02A_082025_MASSENA.CSV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FILE202</t>
        </is>
      </c>
      <c r="F467" s="2" t="inlineStr">
        <is>
          <t>ZZ2</t>
        </is>
      </c>
      <c r="G467" s="3" t="inlineStr">
        <is>
          <t>0086</t>
        </is>
      </c>
      <c r="H467" s="4" t="n">
        <v>45902</v>
      </c>
      <c r="I467" s="2" t="inlineStr">
        <is>
          <t>17:21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5" t="n">
        <v>0</v>
      </c>
    </row>
    <row r="468">
      <c r="A468" s="2" t="inlineStr">
        <is>
          <t>Z202_02A_082025_MASSENA.CSV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FILE202</t>
        </is>
      </c>
      <c r="F468" s="2" t="inlineStr">
        <is>
          <t>ZZ2</t>
        </is>
      </c>
      <c r="G468" s="3" t="inlineStr">
        <is>
          <t>0086</t>
        </is>
      </c>
      <c r="H468" s="4" t="n">
        <v>45902</v>
      </c>
      <c r="I468" s="2" t="inlineStr">
        <is>
          <t>17:21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5" t="n">
        <v>0</v>
      </c>
    </row>
    <row r="469">
      <c r="A469" s="2" t="inlineStr">
        <is>
          <t>Z202_02A_082025_MASSENA.CSV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FILE202</t>
        </is>
      </c>
      <c r="F469" s="2" t="inlineStr">
        <is>
          <t>ZZ2</t>
        </is>
      </c>
      <c r="G469" s="3" t="inlineStr">
        <is>
          <t>0086</t>
        </is>
      </c>
      <c r="H469" s="4" t="n">
        <v>45902</v>
      </c>
      <c r="I469" s="2" t="inlineStr">
        <is>
          <t>17:21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5" t="n">
        <v>0</v>
      </c>
    </row>
    <row r="470">
      <c r="A470" s="2" t="inlineStr">
        <is>
          <t>Z202_02A_082025_MASSENA.CSV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FILE202</t>
        </is>
      </c>
      <c r="F470" s="2" t="inlineStr">
        <is>
          <t>ZZ2</t>
        </is>
      </c>
      <c r="G470" s="3" t="inlineStr">
        <is>
          <t>0086</t>
        </is>
      </c>
      <c r="H470" s="4" t="n">
        <v>45902</v>
      </c>
      <c r="I470" s="2" t="inlineStr">
        <is>
          <t>17:21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5" t="n">
        <v>0</v>
      </c>
    </row>
    <row r="471">
      <c r="A471" s="2" t="inlineStr">
        <is>
          <t>Z202_02A_082025_MASSENA.CSV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FILE202</t>
        </is>
      </c>
      <c r="F471" s="2" t="inlineStr">
        <is>
          <t>ZZ2</t>
        </is>
      </c>
      <c r="G471" s="3" t="inlineStr">
        <is>
          <t>0086</t>
        </is>
      </c>
      <c r="H471" s="4" t="n">
        <v>45902</v>
      </c>
      <c r="I471" s="2" t="inlineStr">
        <is>
          <t>17:21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5" t="n">
        <v>0</v>
      </c>
    </row>
    <row r="472">
      <c r="A472" s="2" t="inlineStr">
        <is>
          <t>Z202_02A_082025_MASSENA.CSV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FILE202</t>
        </is>
      </c>
      <c r="F472" s="2" t="inlineStr">
        <is>
          <t>ZZ2</t>
        </is>
      </c>
      <c r="G472" s="3" t="inlineStr">
        <is>
          <t>0086</t>
        </is>
      </c>
      <c r="H472" s="4" t="n">
        <v>45902</v>
      </c>
      <c r="I472" s="2" t="inlineStr">
        <is>
          <t>17:21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5" t="n">
        <v>0</v>
      </c>
    </row>
    <row r="473">
      <c r="A473" s="2" t="inlineStr">
        <is>
          <t>Z202_02A_082025_MASSENA.CSV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FILE202</t>
        </is>
      </c>
      <c r="F473" s="2" t="inlineStr">
        <is>
          <t>ZZ2</t>
        </is>
      </c>
      <c r="G473" s="3" t="inlineStr">
        <is>
          <t>0086</t>
        </is>
      </c>
      <c r="H473" s="4" t="n">
        <v>45902</v>
      </c>
      <c r="I473" s="2" t="inlineStr">
        <is>
          <t>17:21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5" t="n">
        <v>0</v>
      </c>
    </row>
    <row r="474">
      <c r="A474" s="2" t="inlineStr">
        <is>
          <t>Z202_02A_082025_MASSENA.CSV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FILE202</t>
        </is>
      </c>
      <c r="F474" s="2" t="inlineStr">
        <is>
          <t>ZZ2</t>
        </is>
      </c>
      <c r="G474" s="3" t="inlineStr">
        <is>
          <t>0086</t>
        </is>
      </c>
      <c r="H474" s="4" t="n">
        <v>45902</v>
      </c>
      <c r="I474" s="2" t="inlineStr">
        <is>
          <t>17:21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5" t="n">
        <v>0</v>
      </c>
    </row>
    <row r="475">
      <c r="A475" s="2" t="inlineStr">
        <is>
          <t>Z202_02A_082025_MASSENA.CSV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FILE202</t>
        </is>
      </c>
      <c r="F475" s="2" t="inlineStr">
        <is>
          <t>ZZ2</t>
        </is>
      </c>
      <c r="G475" s="3" t="inlineStr">
        <is>
          <t>0086</t>
        </is>
      </c>
      <c r="H475" s="4" t="n">
        <v>45902</v>
      </c>
      <c r="I475" s="2" t="inlineStr">
        <is>
          <t>17:21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5" t="n">
        <v>0</v>
      </c>
    </row>
    <row r="476">
      <c r="A476" s="2" t="inlineStr">
        <is>
          <t>Z202_02A_082025_MASSENA.CSV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FILE202</t>
        </is>
      </c>
      <c r="F476" s="2" t="inlineStr">
        <is>
          <t>ZZ2</t>
        </is>
      </c>
      <c r="G476" s="3" t="inlineStr">
        <is>
          <t>0086</t>
        </is>
      </c>
      <c r="H476" s="4" t="n">
        <v>45902</v>
      </c>
      <c r="I476" s="2" t="inlineStr">
        <is>
          <t>17:21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5" t="n">
        <v>0</v>
      </c>
    </row>
    <row r="477">
      <c r="A477" s="2" t="inlineStr">
        <is>
          <t>Z202_02A_082025_MASSENA.CSV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FILE202</t>
        </is>
      </c>
      <c r="F477" s="2" t="inlineStr">
        <is>
          <t>ZZ2</t>
        </is>
      </c>
      <c r="G477" s="3" t="inlineStr">
        <is>
          <t>0086</t>
        </is>
      </c>
      <c r="H477" s="4" t="n">
        <v>45902</v>
      </c>
      <c r="I477" s="2" t="inlineStr">
        <is>
          <t>17:21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5" t="n">
        <v>0</v>
      </c>
    </row>
    <row r="478">
      <c r="A478" s="2" t="inlineStr">
        <is>
          <t>Z202_02A_082025_MASSENA.CSV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FILE202</t>
        </is>
      </c>
      <c r="F478" s="2" t="inlineStr">
        <is>
          <t>ZZ2</t>
        </is>
      </c>
      <c r="G478" s="3" t="inlineStr">
        <is>
          <t>0086</t>
        </is>
      </c>
      <c r="H478" s="4" t="n">
        <v>45902</v>
      </c>
      <c r="I478" s="2" t="inlineStr">
        <is>
          <t>17:21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5" t="n">
        <v>0</v>
      </c>
    </row>
    <row r="479">
      <c r="A479" s="2" t="inlineStr">
        <is>
          <t>Z202_02A_082025_MASSENA.CSV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FILE202</t>
        </is>
      </c>
      <c r="F479" s="2" t="inlineStr">
        <is>
          <t>ZZ2</t>
        </is>
      </c>
      <c r="G479" s="3" t="inlineStr">
        <is>
          <t>0086</t>
        </is>
      </c>
      <c r="H479" s="4" t="n">
        <v>45902</v>
      </c>
      <c r="I479" s="2" t="inlineStr">
        <is>
          <t>17:21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5" t="n">
        <v>0</v>
      </c>
    </row>
    <row r="480">
      <c r="A480" s="2" t="inlineStr">
        <is>
          <t>Z202_02A_082025_MASSENA.CSV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FILE202</t>
        </is>
      </c>
      <c r="F480" s="2" t="inlineStr">
        <is>
          <t>ZZ2</t>
        </is>
      </c>
      <c r="G480" s="3" t="inlineStr">
        <is>
          <t>0086</t>
        </is>
      </c>
      <c r="H480" s="4" t="n">
        <v>45902</v>
      </c>
      <c r="I480" s="2" t="inlineStr">
        <is>
          <t>17:21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5" t="n">
        <v>0</v>
      </c>
    </row>
    <row r="481">
      <c r="A481" s="2" t="inlineStr">
        <is>
          <t>Z202_02A_082025_MASSENA.CSV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FILE202</t>
        </is>
      </c>
      <c r="F481" s="2" t="inlineStr">
        <is>
          <t>ZZ2</t>
        </is>
      </c>
      <c r="G481" s="3" t="inlineStr">
        <is>
          <t>0086</t>
        </is>
      </c>
      <c r="H481" s="4" t="n">
        <v>45902</v>
      </c>
      <c r="I481" s="2" t="inlineStr">
        <is>
          <t>17:21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5" t="n">
        <v>0</v>
      </c>
    </row>
    <row r="482">
      <c r="A482" s="2" t="inlineStr">
        <is>
          <t>Z202_02A_082025_MASSENA.CSV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FILE202</t>
        </is>
      </c>
      <c r="F482" s="2" t="inlineStr">
        <is>
          <t>ZZ2</t>
        </is>
      </c>
      <c r="G482" s="3" t="inlineStr">
        <is>
          <t>0086</t>
        </is>
      </c>
      <c r="H482" s="4" t="n">
        <v>45902</v>
      </c>
      <c r="I482" s="2" t="inlineStr">
        <is>
          <t>17:21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5" t="n">
        <v>0</v>
      </c>
    </row>
    <row r="483">
      <c r="A483" s="2" t="inlineStr">
        <is>
          <t>Z202_02A_082025_MASSENA.CSV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FILE202</t>
        </is>
      </c>
      <c r="F483" s="2" t="inlineStr">
        <is>
          <t>ZZ2</t>
        </is>
      </c>
      <c r="G483" s="3" t="inlineStr">
        <is>
          <t>0086</t>
        </is>
      </c>
      <c r="H483" s="4" t="n">
        <v>45902</v>
      </c>
      <c r="I483" s="2" t="inlineStr">
        <is>
          <t>17:21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5" t="n">
        <v>0</v>
      </c>
    </row>
    <row r="484">
      <c r="A484" s="2" t="inlineStr">
        <is>
          <t>Z202_02A_082025_MASSENA.CSV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FILE202</t>
        </is>
      </c>
      <c r="F484" s="2" t="inlineStr">
        <is>
          <t>ZZ2</t>
        </is>
      </c>
      <c r="G484" s="3" t="inlineStr">
        <is>
          <t>0086</t>
        </is>
      </c>
      <c r="H484" s="4" t="n">
        <v>45902</v>
      </c>
      <c r="I484" s="2" t="inlineStr">
        <is>
          <t>17:21</t>
        </is>
      </c>
      <c r="J484" s="3" t="inlineStr">
        <is>
          <t>0033</t>
        </is>
      </c>
      <c r="K484" s="2" t="inlineStr"/>
      <c r="L484" s="5" t="n">
        <v>0</v>
      </c>
      <c r="M484" s="5" t="n">
        <v>0</v>
      </c>
    </row>
    <row r="485">
      <c r="A485" s="2" t="inlineStr">
        <is>
          <t>Z202_02A_082025_MASSENA.CSV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FILE202</t>
        </is>
      </c>
      <c r="F485" s="2" t="inlineStr">
        <is>
          <t>ZZ2</t>
        </is>
      </c>
      <c r="G485" s="3" t="inlineStr">
        <is>
          <t>0086</t>
        </is>
      </c>
      <c r="H485" s="4" t="n">
        <v>45902</v>
      </c>
      <c r="I485" s="2" t="inlineStr">
        <is>
          <t>17:21</t>
        </is>
      </c>
      <c r="J485" s="3" t="inlineStr">
        <is>
          <t>0034</t>
        </is>
      </c>
      <c r="K485" s="2" t="inlineStr"/>
      <c r="L485" s="5" t="n">
        <v>0</v>
      </c>
      <c r="M485" s="5" t="n">
        <v>0</v>
      </c>
    </row>
    <row r="486">
      <c r="A486" s="2" t="inlineStr">
        <is>
          <t>Z202_02A_082025_MASSENA.CSV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FILE202</t>
        </is>
      </c>
      <c r="F486" s="2" t="inlineStr">
        <is>
          <t>ZZ2</t>
        </is>
      </c>
      <c r="G486" s="3" t="inlineStr">
        <is>
          <t>0086</t>
        </is>
      </c>
      <c r="H486" s="4" t="n">
        <v>45902</v>
      </c>
      <c r="I486" s="2" t="inlineStr">
        <is>
          <t>17:21</t>
        </is>
      </c>
      <c r="J486" s="3" t="inlineStr">
        <is>
          <t>0035</t>
        </is>
      </c>
      <c r="K486" s="2" t="inlineStr"/>
      <c r="L486" s="5" t="n">
        <v>0</v>
      </c>
      <c r="M486" s="5" t="n">
        <v>0</v>
      </c>
    </row>
    <row r="487">
      <c r="A487" s="2" t="inlineStr">
        <is>
          <t>Z202_02A_082025_MASSENA.CSV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FILE202</t>
        </is>
      </c>
      <c r="F487" s="2" t="inlineStr">
        <is>
          <t>ZZ2</t>
        </is>
      </c>
      <c r="G487" s="3" t="inlineStr">
        <is>
          <t>0086</t>
        </is>
      </c>
      <c r="H487" s="4" t="n">
        <v>45902</v>
      </c>
      <c r="I487" s="2" t="inlineStr">
        <is>
          <t>17:21</t>
        </is>
      </c>
      <c r="J487" s="3" t="inlineStr">
        <is>
          <t>0036</t>
        </is>
      </c>
      <c r="K487" s="2" t="inlineStr"/>
      <c r="L487" s="5" t="n">
        <v>0</v>
      </c>
      <c r="M487" s="5" t="n">
        <v>0</v>
      </c>
    </row>
    <row r="488">
      <c r="A488" s="2" t="inlineStr">
        <is>
          <t>Z202_02A_082025_MASSENA.CSV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FILE202</t>
        </is>
      </c>
      <c r="F488" s="2" t="inlineStr">
        <is>
          <t>ZZ2</t>
        </is>
      </c>
      <c r="G488" s="3" t="inlineStr">
        <is>
          <t>0086</t>
        </is>
      </c>
      <c r="H488" s="4" t="n">
        <v>45902</v>
      </c>
      <c r="I488" s="2" t="inlineStr">
        <is>
          <t>17:21</t>
        </is>
      </c>
      <c r="J488" s="3" t="inlineStr">
        <is>
          <t>0037</t>
        </is>
      </c>
      <c r="K488" s="2" t="inlineStr"/>
      <c r="L488" s="5" t="n">
        <v>0</v>
      </c>
      <c r="M488" s="5" t="n">
        <v>0</v>
      </c>
    </row>
    <row r="489">
      <c r="A489" s="2" t="inlineStr">
        <is>
          <t>Z202_02A_082025_MASSENA.CSV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FILE202</t>
        </is>
      </c>
      <c r="F489" s="2" t="inlineStr">
        <is>
          <t>ZZ2</t>
        </is>
      </c>
      <c r="G489" s="3" t="inlineStr">
        <is>
          <t>0086</t>
        </is>
      </c>
      <c r="H489" s="4" t="n">
        <v>45902</v>
      </c>
      <c r="I489" s="2" t="inlineStr">
        <is>
          <t>17:21</t>
        </is>
      </c>
      <c r="J489" s="3" t="inlineStr">
        <is>
          <t>0038</t>
        </is>
      </c>
      <c r="K489" s="2" t="inlineStr"/>
      <c r="L489" s="5" t="n">
        <v>0</v>
      </c>
      <c r="M489" s="5" t="n">
        <v>0</v>
      </c>
    </row>
    <row r="490">
      <c r="A490" s="2" t="inlineStr">
        <is>
          <t>Z202_02A_082025_MASSENA.CSV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FILE202</t>
        </is>
      </c>
      <c r="F490" s="2" t="inlineStr">
        <is>
          <t>ZZ2</t>
        </is>
      </c>
      <c r="G490" s="3" t="inlineStr">
        <is>
          <t>0086</t>
        </is>
      </c>
      <c r="H490" s="4" t="n">
        <v>45902</v>
      </c>
      <c r="I490" s="2" t="inlineStr">
        <is>
          <t>17:21</t>
        </is>
      </c>
      <c r="J490" s="3" t="inlineStr">
        <is>
          <t>0039</t>
        </is>
      </c>
      <c r="K490" s="2" t="inlineStr"/>
      <c r="L490" s="5" t="n">
        <v>0</v>
      </c>
      <c r="M490" s="5" t="n">
        <v>0</v>
      </c>
    </row>
    <row r="491">
      <c r="A491" s="2" t="inlineStr">
        <is>
          <t>Z202_02A_082025_MASSENA.CSV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FILE202</t>
        </is>
      </c>
      <c r="F491" s="2" t="inlineStr">
        <is>
          <t>ZZ2</t>
        </is>
      </c>
      <c r="G491" s="3" t="inlineStr">
        <is>
          <t>0086</t>
        </is>
      </c>
      <c r="H491" s="4" t="n">
        <v>45902</v>
      </c>
      <c r="I491" s="2" t="inlineStr">
        <is>
          <t>17:21</t>
        </is>
      </c>
      <c r="J491" s="3" t="inlineStr">
        <is>
          <t>0040</t>
        </is>
      </c>
      <c r="K491" s="2" t="inlineStr"/>
      <c r="L491" s="5" t="n">
        <v>0</v>
      </c>
      <c r="M491" s="5" t="n">
        <v>0</v>
      </c>
    </row>
    <row r="492">
      <c r="A492" s="2" t="inlineStr">
        <is>
          <t>Z202_02A_082025_MASSENA.CSV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FILE202</t>
        </is>
      </c>
      <c r="F492" s="2" t="inlineStr">
        <is>
          <t>ZZ2</t>
        </is>
      </c>
      <c r="G492" s="3" t="inlineStr">
        <is>
          <t>0086</t>
        </is>
      </c>
      <c r="H492" s="4" t="n">
        <v>45902</v>
      </c>
      <c r="I492" s="2" t="inlineStr">
        <is>
          <t>17:21</t>
        </is>
      </c>
      <c r="J492" s="3" t="inlineStr">
        <is>
          <t>0041</t>
        </is>
      </c>
      <c r="K492" s="2" t="inlineStr"/>
      <c r="L492" s="5" t="n">
        <v>0</v>
      </c>
      <c r="M492" s="5" t="n">
        <v>0</v>
      </c>
    </row>
    <row r="493">
      <c r="A493" s="2" t="inlineStr">
        <is>
          <t>Z202_02A_082025_MASSENA.CSV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FILE202</t>
        </is>
      </c>
      <c r="F493" s="2" t="inlineStr">
        <is>
          <t>ZZ2</t>
        </is>
      </c>
      <c r="G493" s="3" t="inlineStr">
        <is>
          <t>0086</t>
        </is>
      </c>
      <c r="H493" s="4" t="n">
        <v>45902</v>
      </c>
      <c r="I493" s="2" t="inlineStr">
        <is>
          <t>17:21</t>
        </is>
      </c>
      <c r="J493" s="3" t="inlineStr">
        <is>
          <t>0042</t>
        </is>
      </c>
      <c r="K493" s="2" t="inlineStr"/>
      <c r="L493" s="5" t="n">
        <v>0</v>
      </c>
      <c r="M493" s="5" t="n">
        <v>0</v>
      </c>
    </row>
    <row r="494">
      <c r="A494" s="2" t="inlineStr">
        <is>
          <t>Z202_02A_082025_MASSENA.CSV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FILE202</t>
        </is>
      </c>
      <c r="F494" s="2" t="inlineStr">
        <is>
          <t>ZZ2</t>
        </is>
      </c>
      <c r="G494" s="3" t="inlineStr">
        <is>
          <t>0086</t>
        </is>
      </c>
      <c r="H494" s="4" t="n">
        <v>45902</v>
      </c>
      <c r="I494" s="2" t="inlineStr">
        <is>
          <t>17:21</t>
        </is>
      </c>
      <c r="J494" s="3" t="inlineStr">
        <is>
          <t>0043</t>
        </is>
      </c>
      <c r="K494" s="2" t="inlineStr"/>
      <c r="L494" s="5" t="n">
        <v>0</v>
      </c>
      <c r="M494" s="5" t="n">
        <v>0</v>
      </c>
    </row>
    <row r="495">
      <c r="A495" s="2" t="inlineStr">
        <is>
          <t>Z202_02A_082025_MASSENA.CSV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FILE202</t>
        </is>
      </c>
      <c r="F495" s="2" t="inlineStr">
        <is>
          <t>ZZ2</t>
        </is>
      </c>
      <c r="G495" s="3" t="inlineStr">
        <is>
          <t>0086</t>
        </is>
      </c>
      <c r="H495" s="4" t="n">
        <v>45902</v>
      </c>
      <c r="I495" s="2" t="inlineStr">
        <is>
          <t>17:21</t>
        </is>
      </c>
      <c r="J495" s="3" t="inlineStr">
        <is>
          <t>0044</t>
        </is>
      </c>
      <c r="K495" s="2" t="inlineStr"/>
      <c r="L495" s="5" t="n">
        <v>0</v>
      </c>
      <c r="M495" s="5" t="n">
        <v>0</v>
      </c>
    </row>
    <row r="496">
      <c r="A496" s="2" t="inlineStr">
        <is>
          <t>Z202_02A_082025_MASSENA.CSV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FILE202</t>
        </is>
      </c>
      <c r="F496" s="2" t="inlineStr">
        <is>
          <t>ZZ2</t>
        </is>
      </c>
      <c r="G496" s="3" t="inlineStr">
        <is>
          <t>0086</t>
        </is>
      </c>
      <c r="H496" s="4" t="n">
        <v>45902</v>
      </c>
      <c r="I496" s="2" t="inlineStr">
        <is>
          <t>17:21</t>
        </is>
      </c>
      <c r="J496" s="3" t="inlineStr">
        <is>
          <t>0045</t>
        </is>
      </c>
      <c r="K496" s="2" t="inlineStr"/>
      <c r="L496" s="5" t="n">
        <v>0</v>
      </c>
      <c r="M496" s="5" t="n">
        <v>0</v>
      </c>
    </row>
    <row r="497">
      <c r="A497" s="2" t="inlineStr">
        <is>
          <t>Z202_02A_082025_MASSENA.CSV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FILE202</t>
        </is>
      </c>
      <c r="F497" s="2" t="inlineStr">
        <is>
          <t>ZZ2</t>
        </is>
      </c>
      <c r="G497" s="3" t="inlineStr">
        <is>
          <t>0086</t>
        </is>
      </c>
      <c r="H497" s="4" t="n">
        <v>45902</v>
      </c>
      <c r="I497" s="2" t="inlineStr">
        <is>
          <t>17:21</t>
        </is>
      </c>
      <c r="J497" s="3" t="inlineStr">
        <is>
          <t>0046</t>
        </is>
      </c>
      <c r="K497" s="2" t="inlineStr"/>
      <c r="L497" s="5" t="n">
        <v>0</v>
      </c>
      <c r="M497" s="5" t="n">
        <v>0</v>
      </c>
    </row>
    <row r="498">
      <c r="A498" s="2" t="inlineStr">
        <is>
          <t>Z202_02A_082025_MASSENA.CSV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FILE202</t>
        </is>
      </c>
      <c r="F498" s="2" t="inlineStr">
        <is>
          <t>ZZ2</t>
        </is>
      </c>
      <c r="G498" s="3" t="inlineStr">
        <is>
          <t>0086</t>
        </is>
      </c>
      <c r="H498" s="4" t="n">
        <v>45902</v>
      </c>
      <c r="I498" s="2" t="inlineStr">
        <is>
          <t>17:21</t>
        </is>
      </c>
      <c r="J498" s="3" t="inlineStr">
        <is>
          <t>0047</t>
        </is>
      </c>
      <c r="K498" s="2" t="inlineStr"/>
      <c r="L498" s="5" t="n">
        <v>0</v>
      </c>
      <c r="M498" s="5" t="n">
        <v>0</v>
      </c>
    </row>
    <row r="499">
      <c r="A499" s="2" t="inlineStr">
        <is>
          <t>Z202_02A_082025_MASSENA.CSV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FILE202</t>
        </is>
      </c>
      <c r="F499" s="2" t="inlineStr">
        <is>
          <t>ZZ2</t>
        </is>
      </c>
      <c r="G499" s="3" t="inlineStr">
        <is>
          <t>0086</t>
        </is>
      </c>
      <c r="H499" s="4" t="n">
        <v>45902</v>
      </c>
      <c r="I499" s="2" t="inlineStr">
        <is>
          <t>17:21</t>
        </is>
      </c>
      <c r="J499" s="3" t="inlineStr">
        <is>
          <t>0048</t>
        </is>
      </c>
      <c r="K499" s="2" t="inlineStr"/>
      <c r="L499" s="5" t="n">
        <v>0</v>
      </c>
      <c r="M499" s="5" t="n">
        <v>0</v>
      </c>
    </row>
    <row r="500">
      <c r="A500" s="2" t="inlineStr">
        <is>
          <t>Z202_02A_082025_MASSENA.CSV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FILE202</t>
        </is>
      </c>
      <c r="F500" s="2" t="inlineStr">
        <is>
          <t>ZZ2</t>
        </is>
      </c>
      <c r="G500" s="3" t="inlineStr">
        <is>
          <t>0086</t>
        </is>
      </c>
      <c r="H500" s="4" t="n">
        <v>45902</v>
      </c>
      <c r="I500" s="2" t="inlineStr">
        <is>
          <t>17:21</t>
        </is>
      </c>
      <c r="J500" s="3" t="inlineStr">
        <is>
          <t>0049</t>
        </is>
      </c>
      <c r="K500" s="2" t="inlineStr"/>
      <c r="L500" s="5" t="n">
        <v>0</v>
      </c>
      <c r="M500" s="5" t="n">
        <v>0</v>
      </c>
    </row>
    <row r="501">
      <c r="A501" s="2" t="inlineStr">
        <is>
          <t>Z202_02A_082025_MASSENA.CSV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FILE202</t>
        </is>
      </c>
      <c r="F501" s="2" t="inlineStr">
        <is>
          <t>ZZ2</t>
        </is>
      </c>
      <c r="G501" s="3" t="inlineStr">
        <is>
          <t>0086</t>
        </is>
      </c>
      <c r="H501" s="4" t="n">
        <v>45902</v>
      </c>
      <c r="I501" s="2" t="inlineStr">
        <is>
          <t>17:21</t>
        </is>
      </c>
      <c r="J501" s="3" t="inlineStr">
        <is>
          <t>0050</t>
        </is>
      </c>
      <c r="K501" s="2" t="inlineStr"/>
      <c r="L501" s="5" t="n">
        <v>0</v>
      </c>
      <c r="M501" s="5" t="n">
        <v>0</v>
      </c>
    </row>
    <row r="502">
      <c r="A502" s="2" t="inlineStr">
        <is>
          <t>Z202_03A_012025_MASSENA.CSV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FILE202</t>
        </is>
      </c>
      <c r="F502" s="2" t="inlineStr">
        <is>
          <t>ZZ2</t>
        </is>
      </c>
      <c r="G502" s="3" t="inlineStr">
        <is>
          <t>0081</t>
        </is>
      </c>
      <c r="H502" s="4" t="n">
        <v>45691</v>
      </c>
      <c r="I502" s="2" t="inlineStr">
        <is>
          <t>12:19</t>
        </is>
      </c>
      <c r="J502" s="3" t="inlineStr">
        <is>
          <t>0001</t>
        </is>
      </c>
      <c r="K502" s="2" t="inlineStr">
        <is>
          <t>ESPECES</t>
        </is>
      </c>
      <c r="L502" s="5" t="n">
        <v>18</v>
      </c>
      <c r="M502" s="5" t="n">
        <v>6334.7</v>
      </c>
    </row>
    <row r="503">
      <c r="A503" s="2" t="inlineStr">
        <is>
          <t>Z202_03A_012025_MASSENA.CSV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FILE202</t>
        </is>
      </c>
      <c r="F503" s="2" t="inlineStr">
        <is>
          <t>ZZ2</t>
        </is>
      </c>
      <c r="G503" s="3" t="inlineStr">
        <is>
          <t>0081</t>
        </is>
      </c>
      <c r="H503" s="4" t="n">
        <v>45691</v>
      </c>
      <c r="I503" s="2" t="inlineStr">
        <is>
          <t>12:19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5" t="n">
        <v>0</v>
      </c>
    </row>
    <row r="504">
      <c r="A504" s="2" t="inlineStr">
        <is>
          <t>Z202_03A_012025_MASSENA.CSV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FILE202</t>
        </is>
      </c>
      <c r="F504" s="2" t="inlineStr">
        <is>
          <t>ZZ2</t>
        </is>
      </c>
      <c r="G504" s="3" t="inlineStr">
        <is>
          <t>0081</t>
        </is>
      </c>
      <c r="H504" s="4" t="n">
        <v>45691</v>
      </c>
      <c r="I504" s="2" t="inlineStr">
        <is>
          <t>12:19</t>
        </is>
      </c>
      <c r="J504" s="3" t="inlineStr">
        <is>
          <t>0003</t>
        </is>
      </c>
      <c r="K504" s="2" t="inlineStr">
        <is>
          <t>CARTES</t>
        </is>
      </c>
      <c r="L504" s="5" t="n">
        <v>11</v>
      </c>
      <c r="M504" s="5" t="n">
        <v>3089.5</v>
      </c>
    </row>
    <row r="505">
      <c r="A505" s="2" t="inlineStr">
        <is>
          <t>Z202_03A_012025_MASSENA.CSV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FILE202</t>
        </is>
      </c>
      <c r="F505" s="2" t="inlineStr">
        <is>
          <t>ZZ2</t>
        </is>
      </c>
      <c r="G505" s="3" t="inlineStr">
        <is>
          <t>0081</t>
        </is>
      </c>
      <c r="H505" s="4" t="n">
        <v>45691</v>
      </c>
      <c r="I505" s="2" t="inlineStr">
        <is>
          <t>12:19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5" t="n">
        <v>0</v>
      </c>
    </row>
    <row r="506">
      <c r="A506" s="2" t="inlineStr">
        <is>
          <t>Z202_03A_012025_MASSENA.CSV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FILE202</t>
        </is>
      </c>
      <c r="F506" s="2" t="inlineStr">
        <is>
          <t>ZZ2</t>
        </is>
      </c>
      <c r="G506" s="3" t="inlineStr">
        <is>
          <t>0081</t>
        </is>
      </c>
      <c r="H506" s="4" t="n">
        <v>45691</v>
      </c>
      <c r="I506" s="2" t="inlineStr">
        <is>
          <t>12:19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5" t="n">
        <v>0</v>
      </c>
    </row>
    <row r="507">
      <c r="A507" s="2" t="inlineStr">
        <is>
          <t>Z202_03A_012025_MASSENA.CSV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FILE202</t>
        </is>
      </c>
      <c r="F507" s="2" t="inlineStr">
        <is>
          <t>ZZ2</t>
        </is>
      </c>
      <c r="G507" s="3" t="inlineStr">
        <is>
          <t>0081</t>
        </is>
      </c>
      <c r="H507" s="4" t="n">
        <v>45691</v>
      </c>
      <c r="I507" s="2" t="inlineStr">
        <is>
          <t>12:19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5" t="n">
        <v>0</v>
      </c>
    </row>
    <row r="508">
      <c r="A508" s="2" t="inlineStr">
        <is>
          <t>Z202_03A_012025_MASSENA.CSV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FILE202</t>
        </is>
      </c>
      <c r="F508" s="2" t="inlineStr">
        <is>
          <t>ZZ2</t>
        </is>
      </c>
      <c r="G508" s="3" t="inlineStr">
        <is>
          <t>0081</t>
        </is>
      </c>
      <c r="H508" s="4" t="n">
        <v>45691</v>
      </c>
      <c r="I508" s="2" t="inlineStr">
        <is>
          <t>12:19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5" t="n">
        <v>0</v>
      </c>
    </row>
    <row r="509">
      <c r="A509" s="2" t="inlineStr">
        <is>
          <t>Z202_03A_012025_MASSENA.CSV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FILE202</t>
        </is>
      </c>
      <c r="F509" s="2" t="inlineStr">
        <is>
          <t>ZZ2</t>
        </is>
      </c>
      <c r="G509" s="3" t="inlineStr">
        <is>
          <t>0081</t>
        </is>
      </c>
      <c r="H509" s="4" t="n">
        <v>45691</v>
      </c>
      <c r="I509" s="2" t="inlineStr">
        <is>
          <t>12:19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5" t="n">
        <v>0</v>
      </c>
    </row>
    <row r="510">
      <c r="A510" s="2" t="inlineStr">
        <is>
          <t>Z202_03A_012025_MASSENA.CSV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FILE202</t>
        </is>
      </c>
      <c r="F510" s="2" t="inlineStr">
        <is>
          <t>ZZ2</t>
        </is>
      </c>
      <c r="G510" s="3" t="inlineStr">
        <is>
          <t>0081</t>
        </is>
      </c>
      <c r="H510" s="4" t="n">
        <v>45691</v>
      </c>
      <c r="I510" s="2" t="inlineStr">
        <is>
          <t>12:19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5" t="n">
        <v>0</v>
      </c>
    </row>
    <row r="511">
      <c r="A511" s="2" t="inlineStr">
        <is>
          <t>Z202_03A_012025_MASSENA.CSV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FILE202</t>
        </is>
      </c>
      <c r="F511" s="2" t="inlineStr">
        <is>
          <t>ZZ2</t>
        </is>
      </c>
      <c r="G511" s="3" t="inlineStr">
        <is>
          <t>0081</t>
        </is>
      </c>
      <c r="H511" s="4" t="n">
        <v>45691</v>
      </c>
      <c r="I511" s="2" t="inlineStr">
        <is>
          <t>12:19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5" t="n">
        <v>0</v>
      </c>
    </row>
    <row r="512">
      <c r="A512" s="2" t="inlineStr">
        <is>
          <t>Z202_03A_012025_MASSENA.CSV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FILE202</t>
        </is>
      </c>
      <c r="F512" s="2" t="inlineStr">
        <is>
          <t>ZZ2</t>
        </is>
      </c>
      <c r="G512" s="3" t="inlineStr">
        <is>
          <t>0081</t>
        </is>
      </c>
      <c r="H512" s="4" t="n">
        <v>45691</v>
      </c>
      <c r="I512" s="2" t="inlineStr">
        <is>
          <t>12:19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5" t="n">
        <v>0</v>
      </c>
    </row>
    <row r="513">
      <c r="A513" s="2" t="inlineStr">
        <is>
          <t>Z202_03A_012025_MASSENA.CSV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FILE202</t>
        </is>
      </c>
      <c r="F513" s="2" t="inlineStr">
        <is>
          <t>ZZ2</t>
        </is>
      </c>
      <c r="G513" s="3" t="inlineStr">
        <is>
          <t>0081</t>
        </is>
      </c>
      <c r="H513" s="4" t="n">
        <v>45691</v>
      </c>
      <c r="I513" s="2" t="inlineStr">
        <is>
          <t>12:19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5" t="n">
        <v>0</v>
      </c>
    </row>
    <row r="514">
      <c r="A514" s="2" t="inlineStr">
        <is>
          <t>Z202_03A_012025_MASSENA.CSV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FILE202</t>
        </is>
      </c>
      <c r="F514" s="2" t="inlineStr">
        <is>
          <t>ZZ2</t>
        </is>
      </c>
      <c r="G514" s="3" t="inlineStr">
        <is>
          <t>0081</t>
        </is>
      </c>
      <c r="H514" s="4" t="n">
        <v>45691</v>
      </c>
      <c r="I514" s="2" t="inlineStr">
        <is>
          <t>12:19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5" t="n">
        <v>0</v>
      </c>
    </row>
    <row r="515">
      <c r="A515" s="2" t="inlineStr">
        <is>
          <t>Z202_03A_012025_MASSENA.CSV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FILE202</t>
        </is>
      </c>
      <c r="F515" s="2" t="inlineStr">
        <is>
          <t>ZZ2</t>
        </is>
      </c>
      <c r="G515" s="3" t="inlineStr">
        <is>
          <t>0081</t>
        </is>
      </c>
      <c r="H515" s="4" t="n">
        <v>45691</v>
      </c>
      <c r="I515" s="2" t="inlineStr">
        <is>
          <t>12:19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5" t="n">
        <v>0</v>
      </c>
    </row>
    <row r="516">
      <c r="A516" s="2" t="inlineStr">
        <is>
          <t>Z202_03A_012025_MASSENA.CSV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FILE202</t>
        </is>
      </c>
      <c r="F516" s="2" t="inlineStr">
        <is>
          <t>ZZ2</t>
        </is>
      </c>
      <c r="G516" s="3" t="inlineStr">
        <is>
          <t>0081</t>
        </is>
      </c>
      <c r="H516" s="4" t="n">
        <v>45691</v>
      </c>
      <c r="I516" s="2" t="inlineStr">
        <is>
          <t>12:19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5" t="n">
        <v>0</v>
      </c>
    </row>
    <row r="517">
      <c r="A517" s="2" t="inlineStr">
        <is>
          <t>Z202_03A_012025_MASSENA.CSV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FILE202</t>
        </is>
      </c>
      <c r="F517" s="2" t="inlineStr">
        <is>
          <t>ZZ2</t>
        </is>
      </c>
      <c r="G517" s="3" t="inlineStr">
        <is>
          <t>0081</t>
        </is>
      </c>
      <c r="H517" s="4" t="n">
        <v>45691</v>
      </c>
      <c r="I517" s="2" t="inlineStr">
        <is>
          <t>12:19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5" t="n">
        <v>0</v>
      </c>
    </row>
    <row r="518">
      <c r="A518" s="2" t="inlineStr">
        <is>
          <t>Z202_03A_012025_MASSENA.CSV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FILE202</t>
        </is>
      </c>
      <c r="F518" s="2" t="inlineStr">
        <is>
          <t>ZZ2</t>
        </is>
      </c>
      <c r="G518" s="3" t="inlineStr">
        <is>
          <t>0081</t>
        </is>
      </c>
      <c r="H518" s="4" t="n">
        <v>45691</v>
      </c>
      <c r="I518" s="2" t="inlineStr">
        <is>
          <t>12:19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5" t="n">
        <v>0</v>
      </c>
    </row>
    <row r="519">
      <c r="A519" s="2" t="inlineStr">
        <is>
          <t>Z202_03A_012025_MASSENA.CSV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FILE202</t>
        </is>
      </c>
      <c r="F519" s="2" t="inlineStr">
        <is>
          <t>ZZ2</t>
        </is>
      </c>
      <c r="G519" s="3" t="inlineStr">
        <is>
          <t>0081</t>
        </is>
      </c>
      <c r="H519" s="4" t="n">
        <v>45691</v>
      </c>
      <c r="I519" s="2" t="inlineStr">
        <is>
          <t>12:19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5" t="n">
        <v>0</v>
      </c>
    </row>
    <row r="520">
      <c r="A520" s="2" t="inlineStr">
        <is>
          <t>Z202_03A_012025_MASSENA.CSV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FILE202</t>
        </is>
      </c>
      <c r="F520" s="2" t="inlineStr">
        <is>
          <t>ZZ2</t>
        </is>
      </c>
      <c r="G520" s="3" t="inlineStr">
        <is>
          <t>0081</t>
        </is>
      </c>
      <c r="H520" s="4" t="n">
        <v>45691</v>
      </c>
      <c r="I520" s="2" t="inlineStr">
        <is>
          <t>12:19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5" t="n">
        <v>0</v>
      </c>
    </row>
    <row r="521">
      <c r="A521" s="2" t="inlineStr">
        <is>
          <t>Z202_03A_012025_MASSENA.CSV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FILE202</t>
        </is>
      </c>
      <c r="F521" s="2" t="inlineStr">
        <is>
          <t>ZZ2</t>
        </is>
      </c>
      <c r="G521" s="3" t="inlineStr">
        <is>
          <t>0081</t>
        </is>
      </c>
      <c r="H521" s="4" t="n">
        <v>45691</v>
      </c>
      <c r="I521" s="2" t="inlineStr">
        <is>
          <t>12:19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5" t="n">
        <v>0</v>
      </c>
    </row>
    <row r="522">
      <c r="A522" s="2" t="inlineStr">
        <is>
          <t>Z202_03A_012025_MASSENA.CSV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FILE202</t>
        </is>
      </c>
      <c r="F522" s="2" t="inlineStr">
        <is>
          <t>ZZ2</t>
        </is>
      </c>
      <c r="G522" s="3" t="inlineStr">
        <is>
          <t>0081</t>
        </is>
      </c>
      <c r="H522" s="4" t="n">
        <v>45691</v>
      </c>
      <c r="I522" s="2" t="inlineStr">
        <is>
          <t>12:19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5" t="n">
        <v>0</v>
      </c>
    </row>
    <row r="523">
      <c r="A523" s="2" t="inlineStr">
        <is>
          <t>Z202_03A_012025_MASSENA.CSV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FILE202</t>
        </is>
      </c>
      <c r="F523" s="2" t="inlineStr">
        <is>
          <t>ZZ2</t>
        </is>
      </c>
      <c r="G523" s="3" t="inlineStr">
        <is>
          <t>0081</t>
        </is>
      </c>
      <c r="H523" s="4" t="n">
        <v>45691</v>
      </c>
      <c r="I523" s="2" t="inlineStr">
        <is>
          <t>12:19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5" t="n">
        <v>0</v>
      </c>
    </row>
    <row r="524">
      <c r="A524" s="2" t="inlineStr">
        <is>
          <t>Z202_03A_012025_MASSENA.CSV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FILE202</t>
        </is>
      </c>
      <c r="F524" s="2" t="inlineStr">
        <is>
          <t>ZZ2</t>
        </is>
      </c>
      <c r="G524" s="3" t="inlineStr">
        <is>
          <t>0081</t>
        </is>
      </c>
      <c r="H524" s="4" t="n">
        <v>45691</v>
      </c>
      <c r="I524" s="2" t="inlineStr">
        <is>
          <t>12:19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5" t="n">
        <v>0</v>
      </c>
    </row>
    <row r="525">
      <c r="A525" s="2" t="inlineStr">
        <is>
          <t>Z202_03A_012025_MASSENA.CSV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FILE202</t>
        </is>
      </c>
      <c r="F525" s="2" t="inlineStr">
        <is>
          <t>ZZ2</t>
        </is>
      </c>
      <c r="G525" s="3" t="inlineStr">
        <is>
          <t>0081</t>
        </is>
      </c>
      <c r="H525" s="4" t="n">
        <v>45691</v>
      </c>
      <c r="I525" s="2" t="inlineStr">
        <is>
          <t>12:19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5" t="n">
        <v>0</v>
      </c>
    </row>
    <row r="526">
      <c r="A526" s="2" t="inlineStr">
        <is>
          <t>Z202_03A_012025_MASSENA.CSV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FILE202</t>
        </is>
      </c>
      <c r="F526" s="2" t="inlineStr">
        <is>
          <t>ZZ2</t>
        </is>
      </c>
      <c r="G526" s="3" t="inlineStr">
        <is>
          <t>0081</t>
        </is>
      </c>
      <c r="H526" s="4" t="n">
        <v>45691</v>
      </c>
      <c r="I526" s="2" t="inlineStr">
        <is>
          <t>12:19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5" t="n">
        <v>0</v>
      </c>
    </row>
    <row r="527">
      <c r="A527" s="2" t="inlineStr">
        <is>
          <t>Z202_03A_012025_MASSENA.CSV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FILE202</t>
        </is>
      </c>
      <c r="F527" s="2" t="inlineStr">
        <is>
          <t>ZZ2</t>
        </is>
      </c>
      <c r="G527" s="3" t="inlineStr">
        <is>
          <t>0081</t>
        </is>
      </c>
      <c r="H527" s="4" t="n">
        <v>45691</v>
      </c>
      <c r="I527" s="2" t="inlineStr">
        <is>
          <t>12:19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5" t="n">
        <v>0</v>
      </c>
    </row>
    <row r="528">
      <c r="A528" s="2" t="inlineStr">
        <is>
          <t>Z202_03A_012025_MASSENA.CSV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FILE202</t>
        </is>
      </c>
      <c r="F528" s="2" t="inlineStr">
        <is>
          <t>ZZ2</t>
        </is>
      </c>
      <c r="G528" s="3" t="inlineStr">
        <is>
          <t>0081</t>
        </is>
      </c>
      <c r="H528" s="4" t="n">
        <v>45691</v>
      </c>
      <c r="I528" s="2" t="inlineStr">
        <is>
          <t>12:19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5" t="n">
        <v>0</v>
      </c>
    </row>
    <row r="529">
      <c r="A529" s="2" t="inlineStr">
        <is>
          <t>Z202_03A_012025_MASSENA.CSV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FILE202</t>
        </is>
      </c>
      <c r="F529" s="2" t="inlineStr">
        <is>
          <t>ZZ2</t>
        </is>
      </c>
      <c r="G529" s="3" t="inlineStr">
        <is>
          <t>0081</t>
        </is>
      </c>
      <c r="H529" s="4" t="n">
        <v>45691</v>
      </c>
      <c r="I529" s="2" t="inlineStr">
        <is>
          <t>12:19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5" t="n">
        <v>0</v>
      </c>
    </row>
    <row r="530">
      <c r="A530" s="2" t="inlineStr">
        <is>
          <t>Z202_03A_012025_MASSENA.CSV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FILE202</t>
        </is>
      </c>
      <c r="F530" s="2" t="inlineStr">
        <is>
          <t>ZZ2</t>
        </is>
      </c>
      <c r="G530" s="3" t="inlineStr">
        <is>
          <t>0081</t>
        </is>
      </c>
      <c r="H530" s="4" t="n">
        <v>45691</v>
      </c>
      <c r="I530" s="2" t="inlineStr">
        <is>
          <t>12:19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5" t="n">
        <v>0</v>
      </c>
    </row>
    <row r="531">
      <c r="A531" s="2" t="inlineStr">
        <is>
          <t>Z202_03A_012025_MASSENA.CSV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FILE202</t>
        </is>
      </c>
      <c r="F531" s="2" t="inlineStr">
        <is>
          <t>ZZ2</t>
        </is>
      </c>
      <c r="G531" s="3" t="inlineStr">
        <is>
          <t>0081</t>
        </is>
      </c>
      <c r="H531" s="4" t="n">
        <v>45691</v>
      </c>
      <c r="I531" s="2" t="inlineStr">
        <is>
          <t>12:19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5" t="n">
        <v>0</v>
      </c>
    </row>
    <row r="532">
      <c r="A532" s="2" t="inlineStr">
        <is>
          <t>Z202_03A_012025_MASSENA.CSV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FILE202</t>
        </is>
      </c>
      <c r="F532" s="2" t="inlineStr">
        <is>
          <t>ZZ2</t>
        </is>
      </c>
      <c r="G532" s="3" t="inlineStr">
        <is>
          <t>0081</t>
        </is>
      </c>
      <c r="H532" s="4" t="n">
        <v>45691</v>
      </c>
      <c r="I532" s="2" t="inlineStr">
        <is>
          <t>12:19</t>
        </is>
      </c>
      <c r="J532" s="3" t="inlineStr">
        <is>
          <t>0031</t>
        </is>
      </c>
      <c r="K532" s="2" t="inlineStr">
        <is>
          <t>REF./TIROIR</t>
        </is>
      </c>
      <c r="L532" s="5" t="n">
        <v>0</v>
      </c>
      <c r="M532" s="5" t="n">
        <v>0</v>
      </c>
    </row>
    <row r="533">
      <c r="A533" s="2" t="inlineStr">
        <is>
          <t>Z202_03A_012025_MASSENA.CSV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FILE202</t>
        </is>
      </c>
      <c r="F533" s="2" t="inlineStr">
        <is>
          <t>ZZ2</t>
        </is>
      </c>
      <c r="G533" s="3" t="inlineStr">
        <is>
          <t>0081</t>
        </is>
      </c>
      <c r="H533" s="4" t="n">
        <v>45691</v>
      </c>
      <c r="I533" s="2" t="inlineStr">
        <is>
          <t>12:19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5" t="n">
        <v>0</v>
      </c>
    </row>
    <row r="534">
      <c r="A534" s="2" t="inlineStr">
        <is>
          <t>Z202_03A_012025_MASSENA.CSV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FILE202</t>
        </is>
      </c>
      <c r="F534" s="2" t="inlineStr">
        <is>
          <t>ZZ2</t>
        </is>
      </c>
      <c r="G534" s="3" t="inlineStr">
        <is>
          <t>0081</t>
        </is>
      </c>
      <c r="H534" s="4" t="n">
        <v>45691</v>
      </c>
      <c r="I534" s="2" t="inlineStr">
        <is>
          <t>12:19</t>
        </is>
      </c>
      <c r="J534" s="3" t="inlineStr">
        <is>
          <t>0033</t>
        </is>
      </c>
      <c r="K534" s="2" t="inlineStr"/>
      <c r="L534" s="5" t="n">
        <v>0</v>
      </c>
      <c r="M534" s="5" t="n">
        <v>0</v>
      </c>
    </row>
    <row r="535">
      <c r="A535" s="2" t="inlineStr">
        <is>
          <t>Z202_03A_012025_MASSENA.CSV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FILE202</t>
        </is>
      </c>
      <c r="F535" s="2" t="inlineStr">
        <is>
          <t>ZZ2</t>
        </is>
      </c>
      <c r="G535" s="3" t="inlineStr">
        <is>
          <t>0081</t>
        </is>
      </c>
      <c r="H535" s="4" t="n">
        <v>45691</v>
      </c>
      <c r="I535" s="2" t="inlineStr">
        <is>
          <t>12:19</t>
        </is>
      </c>
      <c r="J535" s="3" t="inlineStr">
        <is>
          <t>0034</t>
        </is>
      </c>
      <c r="K535" s="2" t="inlineStr"/>
      <c r="L535" s="5" t="n">
        <v>0</v>
      </c>
      <c r="M535" s="5" t="n">
        <v>0</v>
      </c>
    </row>
    <row r="536">
      <c r="A536" s="2" t="inlineStr">
        <is>
          <t>Z202_03A_012025_MASSENA.CSV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FILE202</t>
        </is>
      </c>
      <c r="F536" s="2" t="inlineStr">
        <is>
          <t>ZZ2</t>
        </is>
      </c>
      <c r="G536" s="3" t="inlineStr">
        <is>
          <t>0081</t>
        </is>
      </c>
      <c r="H536" s="4" t="n">
        <v>45691</v>
      </c>
      <c r="I536" s="2" t="inlineStr">
        <is>
          <t>12:19</t>
        </is>
      </c>
      <c r="J536" s="3" t="inlineStr">
        <is>
          <t>0035</t>
        </is>
      </c>
      <c r="K536" s="2" t="inlineStr"/>
      <c r="L536" s="5" t="n">
        <v>0</v>
      </c>
      <c r="M536" s="5" t="n">
        <v>0</v>
      </c>
    </row>
    <row r="537">
      <c r="A537" s="2" t="inlineStr">
        <is>
          <t>Z202_03A_012025_MASSENA.CSV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FILE202</t>
        </is>
      </c>
      <c r="F537" s="2" t="inlineStr">
        <is>
          <t>ZZ2</t>
        </is>
      </c>
      <c r="G537" s="3" t="inlineStr">
        <is>
          <t>0081</t>
        </is>
      </c>
      <c r="H537" s="4" t="n">
        <v>45691</v>
      </c>
      <c r="I537" s="2" t="inlineStr">
        <is>
          <t>12:19</t>
        </is>
      </c>
      <c r="J537" s="3" t="inlineStr">
        <is>
          <t>0036</t>
        </is>
      </c>
      <c r="K537" s="2" t="inlineStr"/>
      <c r="L537" s="5" t="n">
        <v>0</v>
      </c>
      <c r="M537" s="5" t="n">
        <v>0</v>
      </c>
    </row>
    <row r="538">
      <c r="A538" s="2" t="inlineStr">
        <is>
          <t>Z202_03A_012025_MASSENA.CSV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FILE202</t>
        </is>
      </c>
      <c r="F538" s="2" t="inlineStr">
        <is>
          <t>ZZ2</t>
        </is>
      </c>
      <c r="G538" s="3" t="inlineStr">
        <is>
          <t>0081</t>
        </is>
      </c>
      <c r="H538" s="4" t="n">
        <v>45691</v>
      </c>
      <c r="I538" s="2" t="inlineStr">
        <is>
          <t>12:19</t>
        </is>
      </c>
      <c r="J538" s="3" t="inlineStr">
        <is>
          <t>0037</t>
        </is>
      </c>
      <c r="K538" s="2" t="inlineStr"/>
      <c r="L538" s="5" t="n">
        <v>0</v>
      </c>
      <c r="M538" s="5" t="n">
        <v>0</v>
      </c>
    </row>
    <row r="539">
      <c r="A539" s="2" t="inlineStr">
        <is>
          <t>Z202_03A_012025_MASSENA.CSV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FILE202</t>
        </is>
      </c>
      <c r="F539" s="2" t="inlineStr">
        <is>
          <t>ZZ2</t>
        </is>
      </c>
      <c r="G539" s="3" t="inlineStr">
        <is>
          <t>0081</t>
        </is>
      </c>
      <c r="H539" s="4" t="n">
        <v>45691</v>
      </c>
      <c r="I539" s="2" t="inlineStr">
        <is>
          <t>12:19</t>
        </is>
      </c>
      <c r="J539" s="3" t="inlineStr">
        <is>
          <t>0038</t>
        </is>
      </c>
      <c r="K539" s="2" t="inlineStr"/>
      <c r="L539" s="5" t="n">
        <v>0</v>
      </c>
      <c r="M539" s="5" t="n">
        <v>0</v>
      </c>
    </row>
    <row r="540">
      <c r="A540" s="2" t="inlineStr">
        <is>
          <t>Z202_03A_012025_MASSENA.CSV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FILE202</t>
        </is>
      </c>
      <c r="F540" s="2" t="inlineStr">
        <is>
          <t>ZZ2</t>
        </is>
      </c>
      <c r="G540" s="3" t="inlineStr">
        <is>
          <t>0081</t>
        </is>
      </c>
      <c r="H540" s="4" t="n">
        <v>45691</v>
      </c>
      <c r="I540" s="2" t="inlineStr">
        <is>
          <t>12:19</t>
        </is>
      </c>
      <c r="J540" s="3" t="inlineStr">
        <is>
          <t>0039</t>
        </is>
      </c>
      <c r="K540" s="2" t="inlineStr"/>
      <c r="L540" s="5" t="n">
        <v>0</v>
      </c>
      <c r="M540" s="5" t="n">
        <v>0</v>
      </c>
    </row>
    <row r="541">
      <c r="A541" s="2" t="inlineStr">
        <is>
          <t>Z202_03A_012025_MASSENA.CSV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FILE202</t>
        </is>
      </c>
      <c r="F541" s="2" t="inlineStr">
        <is>
          <t>ZZ2</t>
        </is>
      </c>
      <c r="G541" s="3" t="inlineStr">
        <is>
          <t>0081</t>
        </is>
      </c>
      <c r="H541" s="4" t="n">
        <v>45691</v>
      </c>
      <c r="I541" s="2" t="inlineStr">
        <is>
          <t>12:19</t>
        </is>
      </c>
      <c r="J541" s="3" t="inlineStr">
        <is>
          <t>0040</t>
        </is>
      </c>
      <c r="K541" s="2" t="inlineStr"/>
      <c r="L541" s="5" t="n">
        <v>0</v>
      </c>
      <c r="M541" s="5" t="n">
        <v>0</v>
      </c>
    </row>
    <row r="542">
      <c r="A542" s="2" t="inlineStr">
        <is>
          <t>Z202_03A_012025_MASSENA.CSV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FILE202</t>
        </is>
      </c>
      <c r="F542" s="2" t="inlineStr">
        <is>
          <t>ZZ2</t>
        </is>
      </c>
      <c r="G542" s="3" t="inlineStr">
        <is>
          <t>0081</t>
        </is>
      </c>
      <c r="H542" s="4" t="n">
        <v>45691</v>
      </c>
      <c r="I542" s="2" t="inlineStr">
        <is>
          <t>12:19</t>
        </is>
      </c>
      <c r="J542" s="3" t="inlineStr">
        <is>
          <t>0041</t>
        </is>
      </c>
      <c r="K542" s="2" t="inlineStr"/>
      <c r="L542" s="5" t="n">
        <v>0</v>
      </c>
      <c r="M542" s="5" t="n">
        <v>0</v>
      </c>
    </row>
    <row r="543">
      <c r="A543" s="2" t="inlineStr">
        <is>
          <t>Z202_03A_012025_MASSENA.CSV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FILE202</t>
        </is>
      </c>
      <c r="F543" s="2" t="inlineStr">
        <is>
          <t>ZZ2</t>
        </is>
      </c>
      <c r="G543" s="3" t="inlineStr">
        <is>
          <t>0081</t>
        </is>
      </c>
      <c r="H543" s="4" t="n">
        <v>45691</v>
      </c>
      <c r="I543" s="2" t="inlineStr">
        <is>
          <t>12:19</t>
        </is>
      </c>
      <c r="J543" s="3" t="inlineStr">
        <is>
          <t>0042</t>
        </is>
      </c>
      <c r="K543" s="2" t="inlineStr"/>
      <c r="L543" s="5" t="n">
        <v>0</v>
      </c>
      <c r="M543" s="5" t="n">
        <v>0</v>
      </c>
    </row>
    <row r="544">
      <c r="A544" s="2" t="inlineStr">
        <is>
          <t>Z202_03A_012025_MASSENA.CSV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FILE202</t>
        </is>
      </c>
      <c r="F544" s="2" t="inlineStr">
        <is>
          <t>ZZ2</t>
        </is>
      </c>
      <c r="G544" s="3" t="inlineStr">
        <is>
          <t>0081</t>
        </is>
      </c>
      <c r="H544" s="4" t="n">
        <v>45691</v>
      </c>
      <c r="I544" s="2" t="inlineStr">
        <is>
          <t>12:19</t>
        </is>
      </c>
      <c r="J544" s="3" t="inlineStr">
        <is>
          <t>0043</t>
        </is>
      </c>
      <c r="K544" s="2" t="inlineStr"/>
      <c r="L544" s="5" t="n">
        <v>0</v>
      </c>
      <c r="M544" s="5" t="n">
        <v>0</v>
      </c>
    </row>
    <row r="545">
      <c r="A545" s="2" t="inlineStr">
        <is>
          <t>Z202_03A_012025_MASSENA.CSV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FILE202</t>
        </is>
      </c>
      <c r="F545" s="2" t="inlineStr">
        <is>
          <t>ZZ2</t>
        </is>
      </c>
      <c r="G545" s="3" t="inlineStr">
        <is>
          <t>0081</t>
        </is>
      </c>
      <c r="H545" s="4" t="n">
        <v>45691</v>
      </c>
      <c r="I545" s="2" t="inlineStr">
        <is>
          <t>12:19</t>
        </is>
      </c>
      <c r="J545" s="3" t="inlineStr">
        <is>
          <t>0044</t>
        </is>
      </c>
      <c r="K545" s="2" t="inlineStr"/>
      <c r="L545" s="5" t="n">
        <v>0</v>
      </c>
      <c r="M545" s="5" t="n">
        <v>0</v>
      </c>
    </row>
    <row r="546">
      <c r="A546" s="2" t="inlineStr">
        <is>
          <t>Z202_03A_012025_MASSENA.CSV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FILE202</t>
        </is>
      </c>
      <c r="F546" s="2" t="inlineStr">
        <is>
          <t>ZZ2</t>
        </is>
      </c>
      <c r="G546" s="3" t="inlineStr">
        <is>
          <t>0081</t>
        </is>
      </c>
      <c r="H546" s="4" t="n">
        <v>45691</v>
      </c>
      <c r="I546" s="2" t="inlineStr">
        <is>
          <t>12:19</t>
        </is>
      </c>
      <c r="J546" s="3" t="inlineStr">
        <is>
          <t>0045</t>
        </is>
      </c>
      <c r="K546" s="2" t="inlineStr"/>
      <c r="L546" s="5" t="n">
        <v>0</v>
      </c>
      <c r="M546" s="5" t="n">
        <v>0</v>
      </c>
    </row>
    <row r="547">
      <c r="A547" s="2" t="inlineStr">
        <is>
          <t>Z202_03A_012025_MASSENA.CSV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FILE202</t>
        </is>
      </c>
      <c r="F547" s="2" t="inlineStr">
        <is>
          <t>ZZ2</t>
        </is>
      </c>
      <c r="G547" s="3" t="inlineStr">
        <is>
          <t>0081</t>
        </is>
      </c>
      <c r="H547" s="4" t="n">
        <v>45691</v>
      </c>
      <c r="I547" s="2" t="inlineStr">
        <is>
          <t>12:19</t>
        </is>
      </c>
      <c r="J547" s="3" t="inlineStr">
        <is>
          <t>0046</t>
        </is>
      </c>
      <c r="K547" s="2" t="inlineStr"/>
      <c r="L547" s="5" t="n">
        <v>0</v>
      </c>
      <c r="M547" s="5" t="n">
        <v>0</v>
      </c>
    </row>
    <row r="548">
      <c r="A548" s="2" t="inlineStr">
        <is>
          <t>Z202_03A_012025_MASSENA.CSV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FILE202</t>
        </is>
      </c>
      <c r="F548" s="2" t="inlineStr">
        <is>
          <t>ZZ2</t>
        </is>
      </c>
      <c r="G548" s="3" t="inlineStr">
        <is>
          <t>0081</t>
        </is>
      </c>
      <c r="H548" s="4" t="n">
        <v>45691</v>
      </c>
      <c r="I548" s="2" t="inlineStr">
        <is>
          <t>12:19</t>
        </is>
      </c>
      <c r="J548" s="3" t="inlineStr">
        <is>
          <t>0047</t>
        </is>
      </c>
      <c r="K548" s="2" t="inlineStr"/>
      <c r="L548" s="5" t="n">
        <v>0</v>
      </c>
      <c r="M548" s="5" t="n">
        <v>0</v>
      </c>
    </row>
    <row r="549">
      <c r="A549" s="2" t="inlineStr">
        <is>
          <t>Z202_03A_012025_MASSENA.CSV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FILE202</t>
        </is>
      </c>
      <c r="F549" s="2" t="inlineStr">
        <is>
          <t>ZZ2</t>
        </is>
      </c>
      <c r="G549" s="3" t="inlineStr">
        <is>
          <t>0081</t>
        </is>
      </c>
      <c r="H549" s="4" t="n">
        <v>45691</v>
      </c>
      <c r="I549" s="2" t="inlineStr">
        <is>
          <t>12:19</t>
        </is>
      </c>
      <c r="J549" s="3" t="inlineStr">
        <is>
          <t>0048</t>
        </is>
      </c>
      <c r="K549" s="2" t="inlineStr"/>
      <c r="L549" s="5" t="n">
        <v>0</v>
      </c>
      <c r="M549" s="5" t="n">
        <v>0</v>
      </c>
    </row>
    <row r="550">
      <c r="A550" s="2" t="inlineStr">
        <is>
          <t>Z202_03A_012025_MASSENA.CSV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FILE202</t>
        </is>
      </c>
      <c r="F550" s="2" t="inlineStr">
        <is>
          <t>ZZ2</t>
        </is>
      </c>
      <c r="G550" s="3" t="inlineStr">
        <is>
          <t>0081</t>
        </is>
      </c>
      <c r="H550" s="4" t="n">
        <v>45691</v>
      </c>
      <c r="I550" s="2" t="inlineStr">
        <is>
          <t>12:19</t>
        </is>
      </c>
      <c r="J550" s="3" t="inlineStr">
        <is>
          <t>0049</t>
        </is>
      </c>
      <c r="K550" s="2" t="inlineStr"/>
      <c r="L550" s="5" t="n">
        <v>0</v>
      </c>
      <c r="M550" s="5" t="n">
        <v>0</v>
      </c>
    </row>
    <row r="551">
      <c r="A551" s="2" t="inlineStr">
        <is>
          <t>Z202_03A_012025_MASSENA.CSV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FILE202</t>
        </is>
      </c>
      <c r="F551" s="2" t="inlineStr">
        <is>
          <t>ZZ2</t>
        </is>
      </c>
      <c r="G551" s="3" t="inlineStr">
        <is>
          <t>0081</t>
        </is>
      </c>
      <c r="H551" s="4" t="n">
        <v>45691</v>
      </c>
      <c r="I551" s="2" t="inlineStr">
        <is>
          <t>12:19</t>
        </is>
      </c>
      <c r="J551" s="3" t="inlineStr">
        <is>
          <t>0050</t>
        </is>
      </c>
      <c r="K551" s="2" t="inlineStr"/>
      <c r="L551" s="5" t="n">
        <v>0</v>
      </c>
      <c r="M551" s="5" t="n">
        <v>0</v>
      </c>
    </row>
    <row r="552">
      <c r="A552" s="2" t="inlineStr">
        <is>
          <t>Z202_29A_032025_MASSENA.CSV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FILE202</t>
        </is>
      </c>
      <c r="F552" s="2" t="inlineStr">
        <is>
          <t>ZZ2</t>
        </is>
      </c>
      <c r="G552" s="3" t="inlineStr">
        <is>
          <t>0083</t>
        </is>
      </c>
      <c r="H552" s="4" t="n">
        <v>45745</v>
      </c>
      <c r="I552" s="2" t="inlineStr">
        <is>
          <t>23:25</t>
        </is>
      </c>
      <c r="J552" s="3" t="inlineStr">
        <is>
          <t>0001</t>
        </is>
      </c>
      <c r="K552" s="2" t="inlineStr">
        <is>
          <t>ESPECES</t>
        </is>
      </c>
      <c r="L552" s="5" t="n">
        <v>21</v>
      </c>
      <c r="M552" s="5" t="n">
        <v>11051.7</v>
      </c>
    </row>
    <row r="553">
      <c r="A553" s="2" t="inlineStr">
        <is>
          <t>Z202_29A_032025_MASSENA.CSV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FILE202</t>
        </is>
      </c>
      <c r="F553" s="2" t="inlineStr">
        <is>
          <t>ZZ2</t>
        </is>
      </c>
      <c r="G553" s="3" t="inlineStr">
        <is>
          <t>0083</t>
        </is>
      </c>
      <c r="H553" s="4" t="n">
        <v>45745</v>
      </c>
      <c r="I553" s="2" t="inlineStr">
        <is>
          <t>23:25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5" t="n">
        <v>0</v>
      </c>
    </row>
    <row r="554">
      <c r="A554" s="2" t="inlineStr">
        <is>
          <t>Z202_29A_032025_MASSENA.CSV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FILE202</t>
        </is>
      </c>
      <c r="F554" s="2" t="inlineStr">
        <is>
          <t>ZZ2</t>
        </is>
      </c>
      <c r="G554" s="3" t="inlineStr">
        <is>
          <t>0083</t>
        </is>
      </c>
      <c r="H554" s="4" t="n">
        <v>45745</v>
      </c>
      <c r="I554" s="2" t="inlineStr">
        <is>
          <t>23:25</t>
        </is>
      </c>
      <c r="J554" s="3" t="inlineStr">
        <is>
          <t>0003</t>
        </is>
      </c>
      <c r="K554" s="2" t="inlineStr">
        <is>
          <t>CARTES</t>
        </is>
      </c>
      <c r="L554" s="5" t="n">
        <v>9</v>
      </c>
      <c r="M554" s="5" t="n">
        <v>9581</v>
      </c>
    </row>
    <row r="555">
      <c r="A555" s="2" t="inlineStr">
        <is>
          <t>Z202_29A_032025_MASSENA.CSV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FILE202</t>
        </is>
      </c>
      <c r="F555" s="2" t="inlineStr">
        <is>
          <t>ZZ2</t>
        </is>
      </c>
      <c r="G555" s="3" t="inlineStr">
        <is>
          <t>0083</t>
        </is>
      </c>
      <c r="H555" s="4" t="n">
        <v>45745</v>
      </c>
      <c r="I555" s="2" t="inlineStr">
        <is>
          <t>23:25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5" t="n">
        <v>0</v>
      </c>
    </row>
    <row r="556">
      <c r="A556" s="2" t="inlineStr">
        <is>
          <t>Z202_29A_032025_MASSENA.CSV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FILE202</t>
        </is>
      </c>
      <c r="F556" s="2" t="inlineStr">
        <is>
          <t>ZZ2</t>
        </is>
      </c>
      <c r="G556" s="3" t="inlineStr">
        <is>
          <t>0083</t>
        </is>
      </c>
      <c r="H556" s="4" t="n">
        <v>45745</v>
      </c>
      <c r="I556" s="2" t="inlineStr">
        <is>
          <t>23:25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5" t="n">
        <v>0</v>
      </c>
    </row>
    <row r="557">
      <c r="A557" s="2" t="inlineStr">
        <is>
          <t>Z202_29A_032025_MASSENA.CSV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FILE202</t>
        </is>
      </c>
      <c r="F557" s="2" t="inlineStr">
        <is>
          <t>ZZ2</t>
        </is>
      </c>
      <c r="G557" s="3" t="inlineStr">
        <is>
          <t>0083</t>
        </is>
      </c>
      <c r="H557" s="4" t="n">
        <v>45745</v>
      </c>
      <c r="I557" s="2" t="inlineStr">
        <is>
          <t>23:25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5" t="n">
        <v>0</v>
      </c>
    </row>
    <row r="558">
      <c r="A558" s="2" t="inlineStr">
        <is>
          <t>Z202_29A_032025_MASSENA.CSV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FILE202</t>
        </is>
      </c>
      <c r="F558" s="2" t="inlineStr">
        <is>
          <t>ZZ2</t>
        </is>
      </c>
      <c r="G558" s="3" t="inlineStr">
        <is>
          <t>0083</t>
        </is>
      </c>
      <c r="H558" s="4" t="n">
        <v>45745</v>
      </c>
      <c r="I558" s="2" t="inlineStr">
        <is>
          <t>23:25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5" t="n">
        <v>0</v>
      </c>
    </row>
    <row r="559">
      <c r="A559" s="2" t="inlineStr">
        <is>
          <t>Z202_29A_032025_MASSENA.CSV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FILE202</t>
        </is>
      </c>
      <c r="F559" s="2" t="inlineStr">
        <is>
          <t>ZZ2</t>
        </is>
      </c>
      <c r="G559" s="3" t="inlineStr">
        <is>
          <t>0083</t>
        </is>
      </c>
      <c r="H559" s="4" t="n">
        <v>45745</v>
      </c>
      <c r="I559" s="2" t="inlineStr">
        <is>
          <t>23:25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5" t="n">
        <v>0</v>
      </c>
    </row>
    <row r="560">
      <c r="A560" s="2" t="inlineStr">
        <is>
          <t>Z202_29A_032025_MASSENA.CSV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FILE202</t>
        </is>
      </c>
      <c r="F560" s="2" t="inlineStr">
        <is>
          <t>ZZ2</t>
        </is>
      </c>
      <c r="G560" s="3" t="inlineStr">
        <is>
          <t>0083</t>
        </is>
      </c>
      <c r="H560" s="4" t="n">
        <v>45745</v>
      </c>
      <c r="I560" s="2" t="inlineStr">
        <is>
          <t>23:25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5" t="n">
        <v>0</v>
      </c>
    </row>
    <row r="561">
      <c r="A561" s="2" t="inlineStr">
        <is>
          <t>Z202_29A_032025_MASSENA.CSV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FILE202</t>
        </is>
      </c>
      <c r="F561" s="2" t="inlineStr">
        <is>
          <t>ZZ2</t>
        </is>
      </c>
      <c r="G561" s="3" t="inlineStr">
        <is>
          <t>0083</t>
        </is>
      </c>
      <c r="H561" s="4" t="n">
        <v>45745</v>
      </c>
      <c r="I561" s="2" t="inlineStr">
        <is>
          <t>23:25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5" t="n">
        <v>0</v>
      </c>
    </row>
    <row r="562">
      <c r="A562" s="2" t="inlineStr">
        <is>
          <t>Z202_29A_032025_MASSENA.CSV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FILE202</t>
        </is>
      </c>
      <c r="F562" s="2" t="inlineStr">
        <is>
          <t>ZZ2</t>
        </is>
      </c>
      <c r="G562" s="3" t="inlineStr">
        <is>
          <t>0083</t>
        </is>
      </c>
      <c r="H562" s="4" t="n">
        <v>45745</v>
      </c>
      <c r="I562" s="2" t="inlineStr">
        <is>
          <t>23:25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5" t="n">
        <v>0</v>
      </c>
    </row>
    <row r="563">
      <c r="A563" s="2" t="inlineStr">
        <is>
          <t>Z202_29A_032025_MASSENA.CSV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FILE202</t>
        </is>
      </c>
      <c r="F563" s="2" t="inlineStr">
        <is>
          <t>ZZ2</t>
        </is>
      </c>
      <c r="G563" s="3" t="inlineStr">
        <is>
          <t>0083</t>
        </is>
      </c>
      <c r="H563" s="4" t="n">
        <v>45745</v>
      </c>
      <c r="I563" s="2" t="inlineStr">
        <is>
          <t>23:25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5" t="n">
        <v>0</v>
      </c>
    </row>
    <row r="564">
      <c r="A564" s="2" t="inlineStr">
        <is>
          <t>Z202_29A_032025_MASSENA.CSV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FILE202</t>
        </is>
      </c>
      <c r="F564" s="2" t="inlineStr">
        <is>
          <t>ZZ2</t>
        </is>
      </c>
      <c r="G564" s="3" t="inlineStr">
        <is>
          <t>0083</t>
        </is>
      </c>
      <c r="H564" s="4" t="n">
        <v>45745</v>
      </c>
      <c r="I564" s="2" t="inlineStr">
        <is>
          <t>23:25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5" t="n">
        <v>0</v>
      </c>
    </row>
    <row r="565">
      <c r="A565" s="2" t="inlineStr">
        <is>
          <t>Z202_29A_032025_MASSENA.CSV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FILE202</t>
        </is>
      </c>
      <c r="F565" s="2" t="inlineStr">
        <is>
          <t>ZZ2</t>
        </is>
      </c>
      <c r="G565" s="3" t="inlineStr">
        <is>
          <t>0083</t>
        </is>
      </c>
      <c r="H565" s="4" t="n">
        <v>45745</v>
      </c>
      <c r="I565" s="2" t="inlineStr">
        <is>
          <t>23:25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5" t="n">
        <v>0</v>
      </c>
    </row>
    <row r="566">
      <c r="A566" s="2" t="inlineStr">
        <is>
          <t>Z202_29A_032025_MASSENA.CSV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FILE202</t>
        </is>
      </c>
      <c r="F566" s="2" t="inlineStr">
        <is>
          <t>ZZ2</t>
        </is>
      </c>
      <c r="G566" s="3" t="inlineStr">
        <is>
          <t>0083</t>
        </is>
      </c>
      <c r="H566" s="4" t="n">
        <v>45745</v>
      </c>
      <c r="I566" s="2" t="inlineStr">
        <is>
          <t>23:25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5" t="n">
        <v>0</v>
      </c>
    </row>
    <row r="567">
      <c r="A567" s="2" t="inlineStr">
        <is>
          <t>Z202_29A_032025_MASSENA.CSV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FILE202</t>
        </is>
      </c>
      <c r="F567" s="2" t="inlineStr">
        <is>
          <t>ZZ2</t>
        </is>
      </c>
      <c r="G567" s="3" t="inlineStr">
        <is>
          <t>0083</t>
        </is>
      </c>
      <c r="H567" s="4" t="n">
        <v>45745</v>
      </c>
      <c r="I567" s="2" t="inlineStr">
        <is>
          <t>23:25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5" t="n">
        <v>0</v>
      </c>
    </row>
    <row r="568">
      <c r="A568" s="2" t="inlineStr">
        <is>
          <t>Z202_29A_032025_MASSENA.CSV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FILE202</t>
        </is>
      </c>
      <c r="F568" s="2" t="inlineStr">
        <is>
          <t>ZZ2</t>
        </is>
      </c>
      <c r="G568" s="3" t="inlineStr">
        <is>
          <t>0083</t>
        </is>
      </c>
      <c r="H568" s="4" t="n">
        <v>45745</v>
      </c>
      <c r="I568" s="2" t="inlineStr">
        <is>
          <t>23:25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5" t="n">
        <v>0</v>
      </c>
    </row>
    <row r="569">
      <c r="A569" s="2" t="inlineStr">
        <is>
          <t>Z202_29A_032025_MASSENA.CSV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FILE202</t>
        </is>
      </c>
      <c r="F569" s="2" t="inlineStr">
        <is>
          <t>ZZ2</t>
        </is>
      </c>
      <c r="G569" s="3" t="inlineStr">
        <is>
          <t>0083</t>
        </is>
      </c>
      <c r="H569" s="4" t="n">
        <v>45745</v>
      </c>
      <c r="I569" s="2" t="inlineStr">
        <is>
          <t>23:25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5" t="n">
        <v>0</v>
      </c>
    </row>
    <row r="570">
      <c r="A570" s="2" t="inlineStr">
        <is>
          <t>Z202_29A_032025_MASSENA.CSV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FILE202</t>
        </is>
      </c>
      <c r="F570" s="2" t="inlineStr">
        <is>
          <t>ZZ2</t>
        </is>
      </c>
      <c r="G570" s="3" t="inlineStr">
        <is>
          <t>0083</t>
        </is>
      </c>
      <c r="H570" s="4" t="n">
        <v>45745</v>
      </c>
      <c r="I570" s="2" t="inlineStr">
        <is>
          <t>23:25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5" t="n">
        <v>0</v>
      </c>
    </row>
    <row r="571">
      <c r="A571" s="2" t="inlineStr">
        <is>
          <t>Z202_29A_032025_MASSENA.CSV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FILE202</t>
        </is>
      </c>
      <c r="F571" s="2" t="inlineStr">
        <is>
          <t>ZZ2</t>
        </is>
      </c>
      <c r="G571" s="3" t="inlineStr">
        <is>
          <t>0083</t>
        </is>
      </c>
      <c r="H571" s="4" t="n">
        <v>45745</v>
      </c>
      <c r="I571" s="2" t="inlineStr">
        <is>
          <t>23:25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5" t="n">
        <v>0</v>
      </c>
    </row>
    <row r="572">
      <c r="A572" s="2" t="inlineStr">
        <is>
          <t>Z202_29A_032025_MASSENA.CSV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FILE202</t>
        </is>
      </c>
      <c r="F572" s="2" t="inlineStr">
        <is>
          <t>ZZ2</t>
        </is>
      </c>
      <c r="G572" s="3" t="inlineStr">
        <is>
          <t>0083</t>
        </is>
      </c>
      <c r="H572" s="4" t="n">
        <v>45745</v>
      </c>
      <c r="I572" s="2" t="inlineStr">
        <is>
          <t>23:25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5" t="n">
        <v>0</v>
      </c>
    </row>
    <row r="573">
      <c r="A573" s="2" t="inlineStr">
        <is>
          <t>Z202_29A_032025_MASSENA.CSV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FILE202</t>
        </is>
      </c>
      <c r="F573" s="2" t="inlineStr">
        <is>
          <t>ZZ2</t>
        </is>
      </c>
      <c r="G573" s="3" t="inlineStr">
        <is>
          <t>0083</t>
        </is>
      </c>
      <c r="H573" s="4" t="n">
        <v>45745</v>
      </c>
      <c r="I573" s="2" t="inlineStr">
        <is>
          <t>23:25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5" t="n">
        <v>0</v>
      </c>
    </row>
    <row r="574">
      <c r="A574" s="2" t="inlineStr">
        <is>
          <t>Z202_29A_032025_MASSENA.CSV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FILE202</t>
        </is>
      </c>
      <c r="F574" s="2" t="inlineStr">
        <is>
          <t>ZZ2</t>
        </is>
      </c>
      <c r="G574" s="3" t="inlineStr">
        <is>
          <t>0083</t>
        </is>
      </c>
      <c r="H574" s="4" t="n">
        <v>45745</v>
      </c>
      <c r="I574" s="2" t="inlineStr">
        <is>
          <t>23:25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5" t="n">
        <v>0</v>
      </c>
    </row>
    <row r="575">
      <c r="A575" s="2" t="inlineStr">
        <is>
          <t>Z202_29A_032025_MASSENA.CSV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FILE202</t>
        </is>
      </c>
      <c r="F575" s="2" t="inlineStr">
        <is>
          <t>ZZ2</t>
        </is>
      </c>
      <c r="G575" s="3" t="inlineStr">
        <is>
          <t>0083</t>
        </is>
      </c>
      <c r="H575" s="4" t="n">
        <v>45745</v>
      </c>
      <c r="I575" s="2" t="inlineStr">
        <is>
          <t>23:25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5" t="n">
        <v>0</v>
      </c>
    </row>
    <row r="576">
      <c r="A576" s="2" t="inlineStr">
        <is>
          <t>Z202_29A_032025_MASSENA.CSV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FILE202</t>
        </is>
      </c>
      <c r="F576" s="2" t="inlineStr">
        <is>
          <t>ZZ2</t>
        </is>
      </c>
      <c r="G576" s="3" t="inlineStr">
        <is>
          <t>0083</t>
        </is>
      </c>
      <c r="H576" s="4" t="n">
        <v>45745</v>
      </c>
      <c r="I576" s="2" t="inlineStr">
        <is>
          <t>23:25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5" t="n">
        <v>0</v>
      </c>
    </row>
    <row r="577">
      <c r="A577" s="2" t="inlineStr">
        <is>
          <t>Z202_29A_032025_MASSENA.CSV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FILE202</t>
        </is>
      </c>
      <c r="F577" s="2" t="inlineStr">
        <is>
          <t>ZZ2</t>
        </is>
      </c>
      <c r="G577" s="3" t="inlineStr">
        <is>
          <t>0083</t>
        </is>
      </c>
      <c r="H577" s="4" t="n">
        <v>45745</v>
      </c>
      <c r="I577" s="2" t="inlineStr">
        <is>
          <t>23:25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5" t="n">
        <v>0</v>
      </c>
    </row>
    <row r="578">
      <c r="A578" s="2" t="inlineStr">
        <is>
          <t>Z202_29A_032025_MASSENA.CSV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FILE202</t>
        </is>
      </c>
      <c r="F578" s="2" t="inlineStr">
        <is>
          <t>ZZ2</t>
        </is>
      </c>
      <c r="G578" s="3" t="inlineStr">
        <is>
          <t>0083</t>
        </is>
      </c>
      <c r="H578" s="4" t="n">
        <v>45745</v>
      </c>
      <c r="I578" s="2" t="inlineStr">
        <is>
          <t>23:25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5" t="n">
        <v>0</v>
      </c>
    </row>
    <row r="579">
      <c r="A579" s="2" t="inlineStr">
        <is>
          <t>Z202_29A_032025_MASSENA.CSV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FILE202</t>
        </is>
      </c>
      <c r="F579" s="2" t="inlineStr">
        <is>
          <t>ZZ2</t>
        </is>
      </c>
      <c r="G579" s="3" t="inlineStr">
        <is>
          <t>0083</t>
        </is>
      </c>
      <c r="H579" s="4" t="n">
        <v>45745</v>
      </c>
      <c r="I579" s="2" t="inlineStr">
        <is>
          <t>23:25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5" t="n">
        <v>0</v>
      </c>
    </row>
    <row r="580">
      <c r="A580" s="2" t="inlineStr">
        <is>
          <t>Z202_29A_032025_MASSENA.CSV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FILE202</t>
        </is>
      </c>
      <c r="F580" s="2" t="inlineStr">
        <is>
          <t>ZZ2</t>
        </is>
      </c>
      <c r="G580" s="3" t="inlineStr">
        <is>
          <t>0083</t>
        </is>
      </c>
      <c r="H580" s="4" t="n">
        <v>45745</v>
      </c>
      <c r="I580" s="2" t="inlineStr">
        <is>
          <t>23:25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5" t="n">
        <v>0</v>
      </c>
    </row>
    <row r="581">
      <c r="A581" s="2" t="inlineStr">
        <is>
          <t>Z202_29A_032025_MASSENA.CSV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FILE202</t>
        </is>
      </c>
      <c r="F581" s="2" t="inlineStr">
        <is>
          <t>ZZ2</t>
        </is>
      </c>
      <c r="G581" s="3" t="inlineStr">
        <is>
          <t>0083</t>
        </is>
      </c>
      <c r="H581" s="4" t="n">
        <v>45745</v>
      </c>
      <c r="I581" s="2" t="inlineStr">
        <is>
          <t>23:25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5" t="n">
        <v>0</v>
      </c>
    </row>
    <row r="582">
      <c r="A582" s="2" t="inlineStr">
        <is>
          <t>Z202_29A_032025_MASSENA.CSV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FILE202</t>
        </is>
      </c>
      <c r="F582" s="2" t="inlineStr">
        <is>
          <t>ZZ2</t>
        </is>
      </c>
      <c r="G582" s="3" t="inlineStr">
        <is>
          <t>0083</t>
        </is>
      </c>
      <c r="H582" s="4" t="n">
        <v>45745</v>
      </c>
      <c r="I582" s="2" t="inlineStr">
        <is>
          <t>23:25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5" t="n">
        <v>0</v>
      </c>
    </row>
    <row r="583">
      <c r="A583" s="2" t="inlineStr">
        <is>
          <t>Z202_29A_032025_MASSENA.CSV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FILE202</t>
        </is>
      </c>
      <c r="F583" s="2" t="inlineStr">
        <is>
          <t>ZZ2</t>
        </is>
      </c>
      <c r="G583" s="3" t="inlineStr">
        <is>
          <t>0083</t>
        </is>
      </c>
      <c r="H583" s="4" t="n">
        <v>45745</v>
      </c>
      <c r="I583" s="2" t="inlineStr">
        <is>
          <t>23:25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5" t="n">
        <v>0</v>
      </c>
    </row>
    <row r="584">
      <c r="A584" s="2" t="inlineStr">
        <is>
          <t>Z202_29A_032025_MASSENA.CSV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FILE202</t>
        </is>
      </c>
      <c r="F584" s="2" t="inlineStr">
        <is>
          <t>ZZ2</t>
        </is>
      </c>
      <c r="G584" s="3" t="inlineStr">
        <is>
          <t>0083</t>
        </is>
      </c>
      <c r="H584" s="4" t="n">
        <v>45745</v>
      </c>
      <c r="I584" s="2" t="inlineStr">
        <is>
          <t>23:25</t>
        </is>
      </c>
      <c r="J584" s="3" t="inlineStr">
        <is>
          <t>0033</t>
        </is>
      </c>
      <c r="K584" s="2" t="inlineStr"/>
      <c r="L584" s="5" t="n">
        <v>0</v>
      </c>
      <c r="M584" s="5" t="n">
        <v>0</v>
      </c>
    </row>
    <row r="585">
      <c r="A585" s="2" t="inlineStr">
        <is>
          <t>Z202_29A_032025_MASSENA.CSV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FILE202</t>
        </is>
      </c>
      <c r="F585" s="2" t="inlineStr">
        <is>
          <t>ZZ2</t>
        </is>
      </c>
      <c r="G585" s="3" t="inlineStr">
        <is>
          <t>0083</t>
        </is>
      </c>
      <c r="H585" s="4" t="n">
        <v>45745</v>
      </c>
      <c r="I585" s="2" t="inlineStr">
        <is>
          <t>23:25</t>
        </is>
      </c>
      <c r="J585" s="3" t="inlineStr">
        <is>
          <t>0034</t>
        </is>
      </c>
      <c r="K585" s="2" t="inlineStr"/>
      <c r="L585" s="5" t="n">
        <v>0</v>
      </c>
      <c r="M585" s="5" t="n">
        <v>0</v>
      </c>
    </row>
    <row r="586">
      <c r="A586" s="2" t="inlineStr">
        <is>
          <t>Z202_29A_032025_MASSENA.CSV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FILE202</t>
        </is>
      </c>
      <c r="F586" s="2" t="inlineStr">
        <is>
          <t>ZZ2</t>
        </is>
      </c>
      <c r="G586" s="3" t="inlineStr">
        <is>
          <t>0083</t>
        </is>
      </c>
      <c r="H586" s="4" t="n">
        <v>45745</v>
      </c>
      <c r="I586" s="2" t="inlineStr">
        <is>
          <t>23:25</t>
        </is>
      </c>
      <c r="J586" s="3" t="inlineStr">
        <is>
          <t>0035</t>
        </is>
      </c>
      <c r="K586" s="2" t="inlineStr"/>
      <c r="L586" s="5" t="n">
        <v>0</v>
      </c>
      <c r="M586" s="5" t="n">
        <v>0</v>
      </c>
    </row>
    <row r="587">
      <c r="A587" s="2" t="inlineStr">
        <is>
          <t>Z202_29A_032025_MASSENA.CSV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FILE202</t>
        </is>
      </c>
      <c r="F587" s="2" t="inlineStr">
        <is>
          <t>ZZ2</t>
        </is>
      </c>
      <c r="G587" s="3" t="inlineStr">
        <is>
          <t>0083</t>
        </is>
      </c>
      <c r="H587" s="4" t="n">
        <v>45745</v>
      </c>
      <c r="I587" s="2" t="inlineStr">
        <is>
          <t>23:25</t>
        </is>
      </c>
      <c r="J587" s="3" t="inlineStr">
        <is>
          <t>0036</t>
        </is>
      </c>
      <c r="K587" s="2" t="inlineStr"/>
      <c r="L587" s="5" t="n">
        <v>0</v>
      </c>
      <c r="M587" s="5" t="n">
        <v>0</v>
      </c>
    </row>
    <row r="588">
      <c r="A588" s="2" t="inlineStr">
        <is>
          <t>Z202_29A_032025_MASSENA.CSV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FILE202</t>
        </is>
      </c>
      <c r="F588" s="2" t="inlineStr">
        <is>
          <t>ZZ2</t>
        </is>
      </c>
      <c r="G588" s="3" t="inlineStr">
        <is>
          <t>0083</t>
        </is>
      </c>
      <c r="H588" s="4" t="n">
        <v>45745</v>
      </c>
      <c r="I588" s="2" t="inlineStr">
        <is>
          <t>23:25</t>
        </is>
      </c>
      <c r="J588" s="3" t="inlineStr">
        <is>
          <t>0037</t>
        </is>
      </c>
      <c r="K588" s="2" t="inlineStr"/>
      <c r="L588" s="5" t="n">
        <v>0</v>
      </c>
      <c r="M588" s="5" t="n">
        <v>0</v>
      </c>
    </row>
    <row r="589">
      <c r="A589" s="2" t="inlineStr">
        <is>
          <t>Z202_29A_032025_MASSENA.CSV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FILE202</t>
        </is>
      </c>
      <c r="F589" s="2" t="inlineStr">
        <is>
          <t>ZZ2</t>
        </is>
      </c>
      <c r="G589" s="3" t="inlineStr">
        <is>
          <t>0083</t>
        </is>
      </c>
      <c r="H589" s="4" t="n">
        <v>45745</v>
      </c>
      <c r="I589" s="2" t="inlineStr">
        <is>
          <t>23:25</t>
        </is>
      </c>
      <c r="J589" s="3" t="inlineStr">
        <is>
          <t>0038</t>
        </is>
      </c>
      <c r="K589" s="2" t="inlineStr"/>
      <c r="L589" s="5" t="n">
        <v>0</v>
      </c>
      <c r="M589" s="5" t="n">
        <v>0</v>
      </c>
    </row>
    <row r="590">
      <c r="A590" s="2" t="inlineStr">
        <is>
          <t>Z202_29A_032025_MASSENA.CSV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FILE202</t>
        </is>
      </c>
      <c r="F590" s="2" t="inlineStr">
        <is>
          <t>ZZ2</t>
        </is>
      </c>
      <c r="G590" s="3" t="inlineStr">
        <is>
          <t>0083</t>
        </is>
      </c>
      <c r="H590" s="4" t="n">
        <v>45745</v>
      </c>
      <c r="I590" s="2" t="inlineStr">
        <is>
          <t>23:25</t>
        </is>
      </c>
      <c r="J590" s="3" t="inlineStr">
        <is>
          <t>0039</t>
        </is>
      </c>
      <c r="K590" s="2" t="inlineStr"/>
      <c r="L590" s="5" t="n">
        <v>0</v>
      </c>
      <c r="M590" s="5" t="n">
        <v>0</v>
      </c>
    </row>
    <row r="591">
      <c r="A591" s="2" t="inlineStr">
        <is>
          <t>Z202_29A_032025_MASSENA.CSV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FILE202</t>
        </is>
      </c>
      <c r="F591" s="2" t="inlineStr">
        <is>
          <t>ZZ2</t>
        </is>
      </c>
      <c r="G591" s="3" t="inlineStr">
        <is>
          <t>0083</t>
        </is>
      </c>
      <c r="H591" s="4" t="n">
        <v>45745</v>
      </c>
      <c r="I591" s="2" t="inlineStr">
        <is>
          <t>23:25</t>
        </is>
      </c>
      <c r="J591" s="3" t="inlineStr">
        <is>
          <t>0040</t>
        </is>
      </c>
      <c r="K591" s="2" t="inlineStr"/>
      <c r="L591" s="5" t="n">
        <v>0</v>
      </c>
      <c r="M591" s="5" t="n">
        <v>0</v>
      </c>
    </row>
    <row r="592">
      <c r="A592" s="2" t="inlineStr">
        <is>
          <t>Z202_29A_032025_MASSENA.CSV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FILE202</t>
        </is>
      </c>
      <c r="F592" s="2" t="inlineStr">
        <is>
          <t>ZZ2</t>
        </is>
      </c>
      <c r="G592" s="3" t="inlineStr">
        <is>
          <t>0083</t>
        </is>
      </c>
      <c r="H592" s="4" t="n">
        <v>45745</v>
      </c>
      <c r="I592" s="2" t="inlineStr">
        <is>
          <t>23:25</t>
        </is>
      </c>
      <c r="J592" s="3" t="inlineStr">
        <is>
          <t>0041</t>
        </is>
      </c>
      <c r="K592" s="2" t="inlineStr"/>
      <c r="L592" s="5" t="n">
        <v>0</v>
      </c>
      <c r="M592" s="5" t="n">
        <v>0</v>
      </c>
    </row>
    <row r="593">
      <c r="A593" s="2" t="inlineStr">
        <is>
          <t>Z202_29A_032025_MASSENA.CSV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FILE202</t>
        </is>
      </c>
      <c r="F593" s="2" t="inlineStr">
        <is>
          <t>ZZ2</t>
        </is>
      </c>
      <c r="G593" s="3" t="inlineStr">
        <is>
          <t>0083</t>
        </is>
      </c>
      <c r="H593" s="4" t="n">
        <v>45745</v>
      </c>
      <c r="I593" s="2" t="inlineStr">
        <is>
          <t>23:25</t>
        </is>
      </c>
      <c r="J593" s="3" t="inlineStr">
        <is>
          <t>0042</t>
        </is>
      </c>
      <c r="K593" s="2" t="inlineStr"/>
      <c r="L593" s="5" t="n">
        <v>0</v>
      </c>
      <c r="M593" s="5" t="n">
        <v>0</v>
      </c>
    </row>
    <row r="594">
      <c r="A594" s="2" t="inlineStr">
        <is>
          <t>Z202_29A_032025_MASSENA.CSV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FILE202</t>
        </is>
      </c>
      <c r="F594" s="2" t="inlineStr">
        <is>
          <t>ZZ2</t>
        </is>
      </c>
      <c r="G594" s="3" t="inlineStr">
        <is>
          <t>0083</t>
        </is>
      </c>
      <c r="H594" s="4" t="n">
        <v>45745</v>
      </c>
      <c r="I594" s="2" t="inlineStr">
        <is>
          <t>23:25</t>
        </is>
      </c>
      <c r="J594" s="3" t="inlineStr">
        <is>
          <t>0043</t>
        </is>
      </c>
      <c r="K594" s="2" t="inlineStr"/>
      <c r="L594" s="5" t="n">
        <v>0</v>
      </c>
      <c r="M594" s="5" t="n">
        <v>0</v>
      </c>
    </row>
    <row r="595">
      <c r="A595" s="2" t="inlineStr">
        <is>
          <t>Z202_29A_032025_MASSENA.CSV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FILE202</t>
        </is>
      </c>
      <c r="F595" s="2" t="inlineStr">
        <is>
          <t>ZZ2</t>
        </is>
      </c>
      <c r="G595" s="3" t="inlineStr">
        <is>
          <t>0083</t>
        </is>
      </c>
      <c r="H595" s="4" t="n">
        <v>45745</v>
      </c>
      <c r="I595" s="2" t="inlineStr">
        <is>
          <t>23:25</t>
        </is>
      </c>
      <c r="J595" s="3" t="inlineStr">
        <is>
          <t>0044</t>
        </is>
      </c>
      <c r="K595" s="2" t="inlineStr"/>
      <c r="L595" s="5" t="n">
        <v>0</v>
      </c>
      <c r="M595" s="5" t="n">
        <v>0</v>
      </c>
    </row>
    <row r="596">
      <c r="A596" s="2" t="inlineStr">
        <is>
          <t>Z202_29A_032025_MASSENA.CSV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FILE202</t>
        </is>
      </c>
      <c r="F596" s="2" t="inlineStr">
        <is>
          <t>ZZ2</t>
        </is>
      </c>
      <c r="G596" s="3" t="inlineStr">
        <is>
          <t>0083</t>
        </is>
      </c>
      <c r="H596" s="4" t="n">
        <v>45745</v>
      </c>
      <c r="I596" s="2" t="inlineStr">
        <is>
          <t>23:25</t>
        </is>
      </c>
      <c r="J596" s="3" t="inlineStr">
        <is>
          <t>0045</t>
        </is>
      </c>
      <c r="K596" s="2" t="inlineStr"/>
      <c r="L596" s="5" t="n">
        <v>0</v>
      </c>
      <c r="M596" s="5" t="n">
        <v>0</v>
      </c>
    </row>
    <row r="597">
      <c r="A597" s="2" t="inlineStr">
        <is>
          <t>Z202_29A_032025_MASSENA.CSV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FILE202</t>
        </is>
      </c>
      <c r="F597" s="2" t="inlineStr">
        <is>
          <t>ZZ2</t>
        </is>
      </c>
      <c r="G597" s="3" t="inlineStr">
        <is>
          <t>0083</t>
        </is>
      </c>
      <c r="H597" s="4" t="n">
        <v>45745</v>
      </c>
      <c r="I597" s="2" t="inlineStr">
        <is>
          <t>23:25</t>
        </is>
      </c>
      <c r="J597" s="3" t="inlineStr">
        <is>
          <t>0046</t>
        </is>
      </c>
      <c r="K597" s="2" t="inlineStr"/>
      <c r="L597" s="5" t="n">
        <v>0</v>
      </c>
      <c r="M597" s="5" t="n">
        <v>0</v>
      </c>
    </row>
    <row r="598">
      <c r="A598" s="2" t="inlineStr">
        <is>
          <t>Z202_29A_032025_MASSENA.CSV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FILE202</t>
        </is>
      </c>
      <c r="F598" s="2" t="inlineStr">
        <is>
          <t>ZZ2</t>
        </is>
      </c>
      <c r="G598" s="3" t="inlineStr">
        <is>
          <t>0083</t>
        </is>
      </c>
      <c r="H598" s="4" t="n">
        <v>45745</v>
      </c>
      <c r="I598" s="2" t="inlineStr">
        <is>
          <t>23:25</t>
        </is>
      </c>
      <c r="J598" s="3" t="inlineStr">
        <is>
          <t>0047</t>
        </is>
      </c>
      <c r="K598" s="2" t="inlineStr"/>
      <c r="L598" s="5" t="n">
        <v>0</v>
      </c>
      <c r="M598" s="5" t="n">
        <v>0</v>
      </c>
    </row>
    <row r="599">
      <c r="A599" s="2" t="inlineStr">
        <is>
          <t>Z202_29A_032025_MASSENA.CSV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FILE202</t>
        </is>
      </c>
      <c r="F599" s="2" t="inlineStr">
        <is>
          <t>ZZ2</t>
        </is>
      </c>
      <c r="G599" s="3" t="inlineStr">
        <is>
          <t>0083</t>
        </is>
      </c>
      <c r="H599" s="4" t="n">
        <v>45745</v>
      </c>
      <c r="I599" s="2" t="inlineStr">
        <is>
          <t>23:25</t>
        </is>
      </c>
      <c r="J599" s="3" t="inlineStr">
        <is>
          <t>0048</t>
        </is>
      </c>
      <c r="K599" s="2" t="inlineStr"/>
      <c r="L599" s="5" t="n">
        <v>0</v>
      </c>
      <c r="M599" s="5" t="n">
        <v>0</v>
      </c>
    </row>
    <row r="600">
      <c r="A600" s="2" t="inlineStr">
        <is>
          <t>Z202_29A_032025_MASSENA.CSV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FILE202</t>
        </is>
      </c>
      <c r="F600" s="2" t="inlineStr">
        <is>
          <t>ZZ2</t>
        </is>
      </c>
      <c r="G600" s="3" t="inlineStr">
        <is>
          <t>0083</t>
        </is>
      </c>
      <c r="H600" s="4" t="n">
        <v>45745</v>
      </c>
      <c r="I600" s="2" t="inlineStr">
        <is>
          <t>23:25</t>
        </is>
      </c>
      <c r="J600" s="3" t="inlineStr">
        <is>
          <t>0049</t>
        </is>
      </c>
      <c r="K600" s="2" t="inlineStr"/>
      <c r="L600" s="5" t="n">
        <v>0</v>
      </c>
      <c r="M600" s="5" t="n">
        <v>0</v>
      </c>
    </row>
    <row r="601">
      <c r="A601" s="2" t="inlineStr">
        <is>
          <t>Z202_29A_032025_MASSENA.CSV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FILE202</t>
        </is>
      </c>
      <c r="F601" s="2" t="inlineStr">
        <is>
          <t>ZZ2</t>
        </is>
      </c>
      <c r="G601" s="3" t="inlineStr">
        <is>
          <t>0083</t>
        </is>
      </c>
      <c r="H601" s="4" t="n">
        <v>45745</v>
      </c>
      <c r="I601" s="2" t="inlineStr">
        <is>
          <t>23:25</t>
        </is>
      </c>
      <c r="J601" s="3" t="inlineStr">
        <is>
          <t>0050</t>
        </is>
      </c>
      <c r="K601" s="2" t="inlineStr"/>
      <c r="L601" s="5" t="n">
        <v>0</v>
      </c>
      <c r="M601" s="5" t="n">
        <v>0</v>
      </c>
    </row>
    <row r="602">
      <c r="A602" s="2" t="inlineStr">
        <is>
          <t>Z202_31A_072025_MASSENA.CSV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0085</t>
        </is>
      </c>
      <c r="H602" s="4" t="n">
        <v>45869</v>
      </c>
      <c r="I602" s="2" t="inlineStr">
        <is>
          <t>18:39</t>
        </is>
      </c>
      <c r="J602" s="3" t="inlineStr">
        <is>
          <t>0001</t>
        </is>
      </c>
      <c r="K602" s="2" t="inlineStr">
        <is>
          <t>ESPECES</t>
        </is>
      </c>
      <c r="L602" s="5" t="n">
        <v>23</v>
      </c>
      <c r="M602" s="5" t="n">
        <v>17603.9</v>
      </c>
    </row>
    <row r="603">
      <c r="A603" s="2" t="inlineStr">
        <is>
          <t>Z202_31A_072025_MASSENA.CSV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0085</t>
        </is>
      </c>
      <c r="H603" s="4" t="n">
        <v>45869</v>
      </c>
      <c r="I603" s="2" t="inlineStr">
        <is>
          <t>18:39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5" t="n">
        <v>0</v>
      </c>
    </row>
    <row r="604">
      <c r="A604" s="2" t="inlineStr">
        <is>
          <t>Z202_31A_072025_MASSENA.CSV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0085</t>
        </is>
      </c>
      <c r="H604" s="4" t="n">
        <v>45869</v>
      </c>
      <c r="I604" s="2" t="inlineStr">
        <is>
          <t>18:39</t>
        </is>
      </c>
      <c r="J604" s="3" t="inlineStr">
        <is>
          <t>0003</t>
        </is>
      </c>
      <c r="K604" s="2" t="inlineStr">
        <is>
          <t>CARTES</t>
        </is>
      </c>
      <c r="L604" s="5" t="n">
        <v>4</v>
      </c>
      <c r="M604" s="5" t="n">
        <v>2581</v>
      </c>
    </row>
    <row r="605">
      <c r="A605" s="2" t="inlineStr">
        <is>
          <t>Z202_31A_072025_MASSENA.CSV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0085</t>
        </is>
      </c>
      <c r="H605" s="4" t="n">
        <v>45869</v>
      </c>
      <c r="I605" s="2" t="inlineStr">
        <is>
          <t>18:39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5" t="n">
        <v>0</v>
      </c>
    </row>
    <row r="606">
      <c r="A606" s="2" t="inlineStr">
        <is>
          <t>Z202_31A_072025_MASSENA.CSV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0085</t>
        </is>
      </c>
      <c r="H606" s="4" t="n">
        <v>45869</v>
      </c>
      <c r="I606" s="2" t="inlineStr">
        <is>
          <t>18:39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5" t="n">
        <v>0</v>
      </c>
    </row>
    <row r="607">
      <c r="A607" s="2" t="inlineStr">
        <is>
          <t>Z202_31A_072025_MASSENA.CSV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0085</t>
        </is>
      </c>
      <c r="H607" s="4" t="n">
        <v>45869</v>
      </c>
      <c r="I607" s="2" t="inlineStr">
        <is>
          <t>18:39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5" t="n">
        <v>0</v>
      </c>
    </row>
    <row r="608">
      <c r="A608" s="2" t="inlineStr">
        <is>
          <t>Z202_31A_072025_MASSENA.CSV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0085</t>
        </is>
      </c>
      <c r="H608" s="4" t="n">
        <v>45869</v>
      </c>
      <c r="I608" s="2" t="inlineStr">
        <is>
          <t>18:39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5" t="n">
        <v>0</v>
      </c>
    </row>
    <row r="609">
      <c r="A609" s="2" t="inlineStr">
        <is>
          <t>Z202_31A_072025_MASSENA.CSV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0085</t>
        </is>
      </c>
      <c r="H609" s="4" t="n">
        <v>45869</v>
      </c>
      <c r="I609" s="2" t="inlineStr">
        <is>
          <t>18:39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5" t="n">
        <v>0</v>
      </c>
    </row>
    <row r="610">
      <c r="A610" s="2" t="inlineStr">
        <is>
          <t>Z202_31A_072025_MASSENA.CSV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0085</t>
        </is>
      </c>
      <c r="H610" s="4" t="n">
        <v>45869</v>
      </c>
      <c r="I610" s="2" t="inlineStr">
        <is>
          <t>18:39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5" t="n">
        <v>0</v>
      </c>
    </row>
    <row r="611">
      <c r="A611" s="2" t="inlineStr">
        <is>
          <t>Z202_31A_072025_MASSENA.CSV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0085</t>
        </is>
      </c>
      <c r="H611" s="4" t="n">
        <v>45869</v>
      </c>
      <c r="I611" s="2" t="inlineStr">
        <is>
          <t>18:39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5" t="n">
        <v>0</v>
      </c>
    </row>
    <row r="612">
      <c r="A612" s="2" t="inlineStr">
        <is>
          <t>Z202_31A_072025_MASSENA.CSV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0085</t>
        </is>
      </c>
      <c r="H612" s="4" t="n">
        <v>45869</v>
      </c>
      <c r="I612" s="2" t="inlineStr">
        <is>
          <t>18:39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5" t="n">
        <v>0</v>
      </c>
    </row>
    <row r="613">
      <c r="A613" s="2" t="inlineStr">
        <is>
          <t>Z202_31A_072025_MASSENA.CSV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0085</t>
        </is>
      </c>
      <c r="H613" s="4" t="n">
        <v>45869</v>
      </c>
      <c r="I613" s="2" t="inlineStr">
        <is>
          <t>18:39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5" t="n">
        <v>0</v>
      </c>
    </row>
    <row r="614">
      <c r="A614" s="2" t="inlineStr">
        <is>
          <t>Z202_31A_072025_MASSENA.CSV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0085</t>
        </is>
      </c>
      <c r="H614" s="4" t="n">
        <v>45869</v>
      </c>
      <c r="I614" s="2" t="inlineStr">
        <is>
          <t>18:39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5" t="n">
        <v>0</v>
      </c>
    </row>
    <row r="615">
      <c r="A615" s="2" t="inlineStr">
        <is>
          <t>Z202_31A_072025_MASSENA.CSV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0085</t>
        </is>
      </c>
      <c r="H615" s="4" t="n">
        <v>45869</v>
      </c>
      <c r="I615" s="2" t="inlineStr">
        <is>
          <t>18:39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5" t="n">
        <v>0</v>
      </c>
    </row>
    <row r="616">
      <c r="A616" s="2" t="inlineStr">
        <is>
          <t>Z202_31A_072025_MASSENA.CSV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0085</t>
        </is>
      </c>
      <c r="H616" s="4" t="n">
        <v>45869</v>
      </c>
      <c r="I616" s="2" t="inlineStr">
        <is>
          <t>18:39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5" t="n">
        <v>0</v>
      </c>
    </row>
    <row r="617">
      <c r="A617" s="2" t="inlineStr">
        <is>
          <t>Z202_31A_072025_MASSENA.CSV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0085</t>
        </is>
      </c>
      <c r="H617" s="4" t="n">
        <v>45869</v>
      </c>
      <c r="I617" s="2" t="inlineStr">
        <is>
          <t>18:39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5" t="n">
        <v>0</v>
      </c>
    </row>
    <row r="618">
      <c r="A618" s="2" t="inlineStr">
        <is>
          <t>Z202_31A_072025_MASSENA.CSV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0085</t>
        </is>
      </c>
      <c r="H618" s="4" t="n">
        <v>45869</v>
      </c>
      <c r="I618" s="2" t="inlineStr">
        <is>
          <t>18:39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5" t="n">
        <v>0</v>
      </c>
    </row>
    <row r="619">
      <c r="A619" s="2" t="inlineStr">
        <is>
          <t>Z202_31A_072025_MASSENA.CSV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0085</t>
        </is>
      </c>
      <c r="H619" s="4" t="n">
        <v>45869</v>
      </c>
      <c r="I619" s="2" t="inlineStr">
        <is>
          <t>18:39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5" t="n">
        <v>0</v>
      </c>
    </row>
    <row r="620">
      <c r="A620" s="2" t="inlineStr">
        <is>
          <t>Z202_31A_072025_MASSENA.CSV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0085</t>
        </is>
      </c>
      <c r="H620" s="4" t="n">
        <v>45869</v>
      </c>
      <c r="I620" s="2" t="inlineStr">
        <is>
          <t>18:39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5" t="n">
        <v>0</v>
      </c>
    </row>
    <row r="621">
      <c r="A621" s="2" t="inlineStr">
        <is>
          <t>Z202_31A_072025_MASSENA.CSV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0085</t>
        </is>
      </c>
      <c r="H621" s="4" t="n">
        <v>45869</v>
      </c>
      <c r="I621" s="2" t="inlineStr">
        <is>
          <t>18:39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5" t="n">
        <v>0</v>
      </c>
    </row>
    <row r="622">
      <c r="A622" s="2" t="inlineStr">
        <is>
          <t>Z202_31A_072025_MASSENA.CSV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0085</t>
        </is>
      </c>
      <c r="H622" s="4" t="n">
        <v>45869</v>
      </c>
      <c r="I622" s="2" t="inlineStr">
        <is>
          <t>18:39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5" t="n">
        <v>0</v>
      </c>
    </row>
    <row r="623">
      <c r="A623" s="2" t="inlineStr">
        <is>
          <t>Z202_31A_072025_MASSENA.CSV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0085</t>
        </is>
      </c>
      <c r="H623" s="4" t="n">
        <v>45869</v>
      </c>
      <c r="I623" s="2" t="inlineStr">
        <is>
          <t>18:39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5" t="n">
        <v>0</v>
      </c>
    </row>
    <row r="624">
      <c r="A624" s="2" t="inlineStr">
        <is>
          <t>Z202_31A_072025_MASSENA.CSV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0085</t>
        </is>
      </c>
      <c r="H624" s="4" t="n">
        <v>45869</v>
      </c>
      <c r="I624" s="2" t="inlineStr">
        <is>
          <t>18:39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5" t="n">
        <v>0</v>
      </c>
    </row>
    <row r="625">
      <c r="A625" s="2" t="inlineStr">
        <is>
          <t>Z202_31A_072025_MASSENA.CSV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0085</t>
        </is>
      </c>
      <c r="H625" s="4" t="n">
        <v>45869</v>
      </c>
      <c r="I625" s="2" t="inlineStr">
        <is>
          <t>18:39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5" t="n">
        <v>0</v>
      </c>
    </row>
    <row r="626">
      <c r="A626" s="2" t="inlineStr">
        <is>
          <t>Z202_31A_072025_MASSENA.CSV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0085</t>
        </is>
      </c>
      <c r="H626" s="4" t="n">
        <v>45869</v>
      </c>
      <c r="I626" s="2" t="inlineStr">
        <is>
          <t>18:39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5" t="n">
        <v>0</v>
      </c>
    </row>
    <row r="627">
      <c r="A627" s="2" t="inlineStr">
        <is>
          <t>Z202_31A_072025_MASSENA.CSV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0085</t>
        </is>
      </c>
      <c r="H627" s="4" t="n">
        <v>45869</v>
      </c>
      <c r="I627" s="2" t="inlineStr">
        <is>
          <t>18:39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5" t="n">
        <v>0</v>
      </c>
    </row>
    <row r="628">
      <c r="A628" s="2" t="inlineStr">
        <is>
          <t>Z202_31A_072025_MASSENA.CSV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0085</t>
        </is>
      </c>
      <c r="H628" s="4" t="n">
        <v>45869</v>
      </c>
      <c r="I628" s="2" t="inlineStr">
        <is>
          <t>18:39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5" t="n">
        <v>0</v>
      </c>
    </row>
    <row r="629">
      <c r="A629" s="2" t="inlineStr">
        <is>
          <t>Z202_31A_072025_MASSENA.CSV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0085</t>
        </is>
      </c>
      <c r="H629" s="4" t="n">
        <v>45869</v>
      </c>
      <c r="I629" s="2" t="inlineStr">
        <is>
          <t>18:39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5" t="n">
        <v>0</v>
      </c>
    </row>
    <row r="630">
      <c r="A630" s="2" t="inlineStr">
        <is>
          <t>Z202_31A_072025_MASSENA.CSV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0085</t>
        </is>
      </c>
      <c r="H630" s="4" t="n">
        <v>45869</v>
      </c>
      <c r="I630" s="2" t="inlineStr">
        <is>
          <t>18:39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5" t="n">
        <v>0</v>
      </c>
    </row>
    <row r="631">
      <c r="A631" s="2" t="inlineStr">
        <is>
          <t>Z202_31A_072025_MASSENA.CSV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0085</t>
        </is>
      </c>
      <c r="H631" s="4" t="n">
        <v>45869</v>
      </c>
      <c r="I631" s="2" t="inlineStr">
        <is>
          <t>18:39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5" t="n">
        <v>0</v>
      </c>
    </row>
    <row r="632">
      <c r="A632" s="2" t="inlineStr">
        <is>
          <t>Z202_31A_072025_MASSENA.CSV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0085</t>
        </is>
      </c>
      <c r="H632" s="4" t="n">
        <v>45869</v>
      </c>
      <c r="I632" s="2" t="inlineStr">
        <is>
          <t>18:39</t>
        </is>
      </c>
      <c r="J632" s="3" t="inlineStr">
        <is>
          <t>0031</t>
        </is>
      </c>
      <c r="K632" s="2" t="inlineStr">
        <is>
          <t>REF./TIROIR</t>
        </is>
      </c>
      <c r="L632" s="5" t="n">
        <v>0</v>
      </c>
      <c r="M632" s="5" t="n">
        <v>0</v>
      </c>
    </row>
    <row r="633">
      <c r="A633" s="2" t="inlineStr">
        <is>
          <t>Z202_31A_072025_MASSENA.CSV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0085</t>
        </is>
      </c>
      <c r="H633" s="4" t="n">
        <v>45869</v>
      </c>
      <c r="I633" s="2" t="inlineStr">
        <is>
          <t>18:39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5" t="n">
        <v>0</v>
      </c>
    </row>
    <row r="634">
      <c r="A634" s="2" t="inlineStr">
        <is>
          <t>Z202_31A_072025_MASSENA.CSV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0085</t>
        </is>
      </c>
      <c r="H634" s="4" t="n">
        <v>45869</v>
      </c>
      <c r="I634" s="2" t="inlineStr">
        <is>
          <t>18:39</t>
        </is>
      </c>
      <c r="J634" s="3" t="inlineStr">
        <is>
          <t>0033</t>
        </is>
      </c>
      <c r="K634" s="2" t="inlineStr"/>
      <c r="L634" s="5" t="n">
        <v>0</v>
      </c>
      <c r="M634" s="5" t="n">
        <v>0</v>
      </c>
    </row>
    <row r="635">
      <c r="A635" s="2" t="inlineStr">
        <is>
          <t>Z202_31A_072025_MASSENA.CSV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0085</t>
        </is>
      </c>
      <c r="H635" s="4" t="n">
        <v>45869</v>
      </c>
      <c r="I635" s="2" t="inlineStr">
        <is>
          <t>18:39</t>
        </is>
      </c>
      <c r="J635" s="3" t="inlineStr">
        <is>
          <t>0034</t>
        </is>
      </c>
      <c r="K635" s="2" t="inlineStr"/>
      <c r="L635" s="5" t="n">
        <v>0</v>
      </c>
      <c r="M635" s="5" t="n">
        <v>0</v>
      </c>
    </row>
    <row r="636">
      <c r="A636" s="2" t="inlineStr">
        <is>
          <t>Z202_31A_072025_MASSENA.CSV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0085</t>
        </is>
      </c>
      <c r="H636" s="4" t="n">
        <v>45869</v>
      </c>
      <c r="I636" s="2" t="inlineStr">
        <is>
          <t>18:39</t>
        </is>
      </c>
      <c r="J636" s="3" t="inlineStr">
        <is>
          <t>0035</t>
        </is>
      </c>
      <c r="K636" s="2" t="inlineStr"/>
      <c r="L636" s="5" t="n">
        <v>0</v>
      </c>
      <c r="M636" s="5" t="n">
        <v>0</v>
      </c>
    </row>
    <row r="637">
      <c r="A637" s="2" t="inlineStr">
        <is>
          <t>Z202_31A_072025_MASSENA.CSV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0085</t>
        </is>
      </c>
      <c r="H637" s="4" t="n">
        <v>45869</v>
      </c>
      <c r="I637" s="2" t="inlineStr">
        <is>
          <t>18:39</t>
        </is>
      </c>
      <c r="J637" s="3" t="inlineStr">
        <is>
          <t>0036</t>
        </is>
      </c>
      <c r="K637" s="2" t="inlineStr"/>
      <c r="L637" s="5" t="n">
        <v>0</v>
      </c>
      <c r="M637" s="5" t="n">
        <v>0</v>
      </c>
    </row>
    <row r="638">
      <c r="A638" s="2" t="inlineStr">
        <is>
          <t>Z202_31A_072025_MASSENA.CSV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0085</t>
        </is>
      </c>
      <c r="H638" s="4" t="n">
        <v>45869</v>
      </c>
      <c r="I638" s="2" t="inlineStr">
        <is>
          <t>18:39</t>
        </is>
      </c>
      <c r="J638" s="3" t="inlineStr">
        <is>
          <t>0037</t>
        </is>
      </c>
      <c r="K638" s="2" t="inlineStr"/>
      <c r="L638" s="5" t="n">
        <v>0</v>
      </c>
      <c r="M638" s="5" t="n">
        <v>0</v>
      </c>
    </row>
    <row r="639">
      <c r="A639" s="2" t="inlineStr">
        <is>
          <t>Z202_31A_072025_MASSENA.CSV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0085</t>
        </is>
      </c>
      <c r="H639" s="4" t="n">
        <v>45869</v>
      </c>
      <c r="I639" s="2" t="inlineStr">
        <is>
          <t>18:39</t>
        </is>
      </c>
      <c r="J639" s="3" t="inlineStr">
        <is>
          <t>0038</t>
        </is>
      </c>
      <c r="K639" s="2" t="inlineStr"/>
      <c r="L639" s="5" t="n">
        <v>0</v>
      </c>
      <c r="M639" s="5" t="n">
        <v>0</v>
      </c>
    </row>
    <row r="640">
      <c r="A640" s="2" t="inlineStr">
        <is>
          <t>Z202_31A_072025_MASSENA.CSV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0085</t>
        </is>
      </c>
      <c r="H640" s="4" t="n">
        <v>45869</v>
      </c>
      <c r="I640" s="2" t="inlineStr">
        <is>
          <t>18:39</t>
        </is>
      </c>
      <c r="J640" s="3" t="inlineStr">
        <is>
          <t>0039</t>
        </is>
      </c>
      <c r="K640" s="2" t="inlineStr"/>
      <c r="L640" s="5" t="n">
        <v>0</v>
      </c>
      <c r="M640" s="5" t="n">
        <v>0</v>
      </c>
    </row>
    <row r="641">
      <c r="A641" s="2" t="inlineStr">
        <is>
          <t>Z202_31A_072025_MASSENA.CSV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0085</t>
        </is>
      </c>
      <c r="H641" s="4" t="n">
        <v>45869</v>
      </c>
      <c r="I641" s="2" t="inlineStr">
        <is>
          <t>18:39</t>
        </is>
      </c>
      <c r="J641" s="3" t="inlineStr">
        <is>
          <t>0040</t>
        </is>
      </c>
      <c r="K641" s="2" t="inlineStr"/>
      <c r="L641" s="5" t="n">
        <v>0</v>
      </c>
      <c r="M641" s="5" t="n">
        <v>0</v>
      </c>
    </row>
    <row r="642">
      <c r="A642" s="2" t="inlineStr">
        <is>
          <t>Z202_31A_072025_MASSENA.CSV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0085</t>
        </is>
      </c>
      <c r="H642" s="4" t="n">
        <v>45869</v>
      </c>
      <c r="I642" s="2" t="inlineStr">
        <is>
          <t>18:39</t>
        </is>
      </c>
      <c r="J642" s="3" t="inlineStr">
        <is>
          <t>0041</t>
        </is>
      </c>
      <c r="K642" s="2" t="inlineStr"/>
      <c r="L642" s="5" t="n">
        <v>0</v>
      </c>
      <c r="M642" s="5" t="n">
        <v>0</v>
      </c>
    </row>
    <row r="643">
      <c r="A643" s="2" t="inlineStr">
        <is>
          <t>Z202_31A_072025_MASSENA.CSV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0085</t>
        </is>
      </c>
      <c r="H643" s="4" t="n">
        <v>45869</v>
      </c>
      <c r="I643" s="2" t="inlineStr">
        <is>
          <t>18:39</t>
        </is>
      </c>
      <c r="J643" s="3" t="inlineStr">
        <is>
          <t>0042</t>
        </is>
      </c>
      <c r="K643" s="2" t="inlineStr"/>
      <c r="L643" s="5" t="n">
        <v>0</v>
      </c>
      <c r="M643" s="5" t="n">
        <v>0</v>
      </c>
    </row>
    <row r="644">
      <c r="A644" s="2" t="inlineStr">
        <is>
          <t>Z202_31A_072025_MASSENA.CSV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0085</t>
        </is>
      </c>
      <c r="H644" s="4" t="n">
        <v>45869</v>
      </c>
      <c r="I644" s="2" t="inlineStr">
        <is>
          <t>18:39</t>
        </is>
      </c>
      <c r="J644" s="3" t="inlineStr">
        <is>
          <t>0043</t>
        </is>
      </c>
      <c r="K644" s="2" t="inlineStr"/>
      <c r="L644" s="5" t="n">
        <v>0</v>
      </c>
      <c r="M644" s="5" t="n">
        <v>0</v>
      </c>
    </row>
    <row r="645">
      <c r="A645" s="2" t="inlineStr">
        <is>
          <t>Z202_31A_072025_MASSENA.CSV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0085</t>
        </is>
      </c>
      <c r="H645" s="4" t="n">
        <v>45869</v>
      </c>
      <c r="I645" s="2" t="inlineStr">
        <is>
          <t>18:39</t>
        </is>
      </c>
      <c r="J645" s="3" t="inlineStr">
        <is>
          <t>0044</t>
        </is>
      </c>
      <c r="K645" s="2" t="inlineStr"/>
      <c r="L645" s="5" t="n">
        <v>0</v>
      </c>
      <c r="M645" s="5" t="n">
        <v>0</v>
      </c>
    </row>
    <row r="646">
      <c r="A646" s="2" t="inlineStr">
        <is>
          <t>Z202_31A_072025_MASSENA.CSV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0085</t>
        </is>
      </c>
      <c r="H646" s="4" t="n">
        <v>45869</v>
      </c>
      <c r="I646" s="2" t="inlineStr">
        <is>
          <t>18:39</t>
        </is>
      </c>
      <c r="J646" s="3" t="inlineStr">
        <is>
          <t>0045</t>
        </is>
      </c>
      <c r="K646" s="2" t="inlineStr"/>
      <c r="L646" s="5" t="n">
        <v>0</v>
      </c>
      <c r="M646" s="5" t="n">
        <v>0</v>
      </c>
    </row>
    <row r="647">
      <c r="A647" s="2" t="inlineStr">
        <is>
          <t>Z202_31A_072025_MASSENA.CSV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0085</t>
        </is>
      </c>
      <c r="H647" s="4" t="n">
        <v>45869</v>
      </c>
      <c r="I647" s="2" t="inlineStr">
        <is>
          <t>18:39</t>
        </is>
      </c>
      <c r="J647" s="3" t="inlineStr">
        <is>
          <t>0046</t>
        </is>
      </c>
      <c r="K647" s="2" t="inlineStr"/>
      <c r="L647" s="5" t="n">
        <v>0</v>
      </c>
      <c r="M647" s="5" t="n">
        <v>0</v>
      </c>
    </row>
    <row r="648">
      <c r="A648" s="2" t="inlineStr">
        <is>
          <t>Z202_31A_072025_MASSENA.CSV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0085</t>
        </is>
      </c>
      <c r="H648" s="4" t="n">
        <v>45869</v>
      </c>
      <c r="I648" s="2" t="inlineStr">
        <is>
          <t>18:39</t>
        </is>
      </c>
      <c r="J648" s="3" t="inlineStr">
        <is>
          <t>0047</t>
        </is>
      </c>
      <c r="K648" s="2" t="inlineStr"/>
      <c r="L648" s="5" t="n">
        <v>0</v>
      </c>
      <c r="M648" s="5" t="n">
        <v>0</v>
      </c>
    </row>
    <row r="649">
      <c r="A649" s="2" t="inlineStr">
        <is>
          <t>Z202_31A_072025_MASSENA.CSV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0085</t>
        </is>
      </c>
      <c r="H649" s="4" t="n">
        <v>45869</v>
      </c>
      <c r="I649" s="2" t="inlineStr">
        <is>
          <t>18:39</t>
        </is>
      </c>
      <c r="J649" s="3" t="inlineStr">
        <is>
          <t>0048</t>
        </is>
      </c>
      <c r="K649" s="2" t="inlineStr"/>
      <c r="L649" s="5" t="n">
        <v>0</v>
      </c>
      <c r="M649" s="5" t="n">
        <v>0</v>
      </c>
    </row>
    <row r="650">
      <c r="A650" s="2" t="inlineStr">
        <is>
          <t>Z202_31A_072025_MASSENA.CSV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0085</t>
        </is>
      </c>
      <c r="H650" s="4" t="n">
        <v>45869</v>
      </c>
      <c r="I650" s="2" t="inlineStr">
        <is>
          <t>18:39</t>
        </is>
      </c>
      <c r="J650" s="3" t="inlineStr">
        <is>
          <t>0049</t>
        </is>
      </c>
      <c r="K650" s="2" t="inlineStr"/>
      <c r="L650" s="5" t="n">
        <v>0</v>
      </c>
      <c r="M650" s="5" t="n">
        <v>0</v>
      </c>
    </row>
    <row r="651">
      <c r="A651" s="2" t="inlineStr">
        <is>
          <t>Z202_31A_072025_MASSENA.CSV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0085</t>
        </is>
      </c>
      <c r="H651" s="4" t="n">
        <v>45869</v>
      </c>
      <c r="I651" s="2" t="inlineStr">
        <is>
          <t>18:39</t>
        </is>
      </c>
      <c r="J651" s="3" t="inlineStr">
        <is>
          <t>0050</t>
        </is>
      </c>
      <c r="K651" s="2" t="inlineStr"/>
      <c r="L651" s="5" t="n">
        <v>0</v>
      </c>
      <c r="M651" s="5" t="n">
        <v>0</v>
      </c>
    </row>
  </sheetData>
  <autoFilter ref="A1:M6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Z002_31B_072025_MASSENA.CSV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0020</t>
        </is>
      </c>
      <c r="H2" s="4" t="n">
        <v>45869</v>
      </c>
      <c r="I2" s="2" t="inlineStr">
        <is>
          <t>18:40</t>
        </is>
      </c>
      <c r="J2" s="3" t="inlineStr">
        <is>
          <t>0001</t>
        </is>
      </c>
      <c r="K2" s="2" t="inlineStr">
        <is>
          <t>ESPECES</t>
        </is>
      </c>
      <c r="L2" s="5" t="n">
        <v>402</v>
      </c>
      <c r="M2" s="5" t="n">
        <v>221991.1</v>
      </c>
      <c r="N2" s="6" t="n">
        <v>2025</v>
      </c>
      <c r="O2" s="5" t="inlineStr">
        <is>
          <t>2025-07</t>
        </is>
      </c>
    </row>
    <row r="3">
      <c r="A3" s="2" t="inlineStr">
        <is>
          <t>Z002_31B_072025_MASSENA.CSV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0020</t>
        </is>
      </c>
      <c r="H3" s="4" t="n">
        <v>45869</v>
      </c>
      <c r="I3" s="2" t="inlineStr">
        <is>
          <t>18:40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5" t="n">
        <v>0</v>
      </c>
      <c r="N3" s="6" t="n">
        <v>2025</v>
      </c>
      <c r="O3" s="5" t="inlineStr">
        <is>
          <t>2025-07</t>
        </is>
      </c>
    </row>
    <row r="4">
      <c r="A4" s="2" t="inlineStr">
        <is>
          <t>Z002_31B_072025_MASSENA.CSV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0020</t>
        </is>
      </c>
      <c r="H4" s="4" t="n">
        <v>45869</v>
      </c>
      <c r="I4" s="2" t="inlineStr">
        <is>
          <t>18:40</t>
        </is>
      </c>
      <c r="J4" s="3" t="inlineStr">
        <is>
          <t>0003</t>
        </is>
      </c>
      <c r="K4" s="2" t="inlineStr">
        <is>
          <t>CARTES</t>
        </is>
      </c>
      <c r="L4" s="5" t="n">
        <v>150</v>
      </c>
      <c r="M4" s="5" t="n">
        <v>108512.5</v>
      </c>
      <c r="N4" s="6" t="n">
        <v>2025</v>
      </c>
      <c r="O4" s="5" t="inlineStr">
        <is>
          <t>2025-07</t>
        </is>
      </c>
    </row>
    <row r="5">
      <c r="A5" s="2" t="inlineStr">
        <is>
          <t>Z002_31B_072025_MASSENA.CSV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0020</t>
        </is>
      </c>
      <c r="H5" s="4" t="n">
        <v>45869</v>
      </c>
      <c r="I5" s="2" t="inlineStr">
        <is>
          <t>18:40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5" t="n">
        <v>0</v>
      </c>
      <c r="N5" s="6" t="n">
        <v>2025</v>
      </c>
      <c r="O5" s="5" t="inlineStr">
        <is>
          <t>2025-07</t>
        </is>
      </c>
    </row>
    <row r="6">
      <c r="A6" s="2" t="inlineStr">
        <is>
          <t>Z002_31B_072025_MASSENA.CSV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0020</t>
        </is>
      </c>
      <c r="H6" s="4" t="n">
        <v>45869</v>
      </c>
      <c r="I6" s="2" t="inlineStr">
        <is>
          <t>18:40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5" t="n">
        <v>0</v>
      </c>
      <c r="N6" s="6" t="n">
        <v>2025</v>
      </c>
      <c r="O6" s="5" t="inlineStr">
        <is>
          <t>2025-07</t>
        </is>
      </c>
    </row>
    <row r="7">
      <c r="A7" s="2" t="inlineStr">
        <is>
          <t>Z002_31B_072025_MASSENA.CSV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0020</t>
        </is>
      </c>
      <c r="H7" s="4" t="n">
        <v>45869</v>
      </c>
      <c r="I7" s="2" t="inlineStr">
        <is>
          <t>18:40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5" t="n">
        <v>0</v>
      </c>
      <c r="N7" s="6" t="n">
        <v>2025</v>
      </c>
      <c r="O7" s="5" t="inlineStr">
        <is>
          <t>2025-07</t>
        </is>
      </c>
    </row>
    <row r="8">
      <c r="A8" s="2" t="inlineStr">
        <is>
          <t>Z002_31B_072025_MASSENA.CSV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0020</t>
        </is>
      </c>
      <c r="H8" s="4" t="n">
        <v>45869</v>
      </c>
      <c r="I8" s="2" t="inlineStr">
        <is>
          <t>18:40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5" t="n">
        <v>0</v>
      </c>
      <c r="N8" s="6" t="n">
        <v>2025</v>
      </c>
      <c r="O8" s="5" t="inlineStr">
        <is>
          <t>2025-07</t>
        </is>
      </c>
    </row>
    <row r="9">
      <c r="A9" s="2" t="inlineStr">
        <is>
          <t>Z002_31B_072025_MASSENA.CSV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0020</t>
        </is>
      </c>
      <c r="H9" s="4" t="n">
        <v>45869</v>
      </c>
      <c r="I9" s="2" t="inlineStr">
        <is>
          <t>18:40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5" t="n">
        <v>0</v>
      </c>
      <c r="N9" s="6" t="n">
        <v>2025</v>
      </c>
      <c r="O9" s="5" t="inlineStr">
        <is>
          <t>2025-07</t>
        </is>
      </c>
    </row>
    <row r="10">
      <c r="A10" s="2" t="inlineStr">
        <is>
          <t>Z002_31B_072025_MASSENA.CSV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0020</t>
        </is>
      </c>
      <c r="H10" s="4" t="n">
        <v>45869</v>
      </c>
      <c r="I10" s="2" t="inlineStr">
        <is>
          <t>18:40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5" t="n">
        <v>0</v>
      </c>
      <c r="N10" s="6" t="n">
        <v>2025</v>
      </c>
      <c r="O10" s="5" t="inlineStr">
        <is>
          <t>2025-07</t>
        </is>
      </c>
    </row>
    <row r="11">
      <c r="A11" s="2" t="inlineStr">
        <is>
          <t>Z002_31B_072025_MASSENA.CSV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0020</t>
        </is>
      </c>
      <c r="H11" s="4" t="n">
        <v>45869</v>
      </c>
      <c r="I11" s="2" t="inlineStr">
        <is>
          <t>18:40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5" t="n">
        <v>0</v>
      </c>
      <c r="N11" s="6" t="n">
        <v>2025</v>
      </c>
      <c r="O11" s="5" t="inlineStr">
        <is>
          <t>2025-07</t>
        </is>
      </c>
    </row>
    <row r="12">
      <c r="A12" s="2" t="inlineStr">
        <is>
          <t>Z002_31B_072025_MASSENA.CSV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0020</t>
        </is>
      </c>
      <c r="H12" s="4" t="n">
        <v>45869</v>
      </c>
      <c r="I12" s="2" t="inlineStr">
        <is>
          <t>18:40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5" t="n">
        <v>0</v>
      </c>
      <c r="N12" s="6" t="n">
        <v>2025</v>
      </c>
      <c r="O12" s="5" t="inlineStr">
        <is>
          <t>2025-07</t>
        </is>
      </c>
    </row>
    <row r="13">
      <c r="A13" s="2" t="inlineStr">
        <is>
          <t>Z002_31B_072025_MASSENA.CSV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0020</t>
        </is>
      </c>
      <c r="H13" s="4" t="n">
        <v>45869</v>
      </c>
      <c r="I13" s="2" t="inlineStr">
        <is>
          <t>18:40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5" t="n">
        <v>0</v>
      </c>
      <c r="N13" s="6" t="n">
        <v>2025</v>
      </c>
      <c r="O13" s="5" t="inlineStr">
        <is>
          <t>2025-07</t>
        </is>
      </c>
    </row>
    <row r="14">
      <c r="A14" s="2" t="inlineStr">
        <is>
          <t>Z002_31B_072025_MASSENA.CSV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0020</t>
        </is>
      </c>
      <c r="H14" s="4" t="n">
        <v>45869</v>
      </c>
      <c r="I14" s="2" t="inlineStr">
        <is>
          <t>18:40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5" t="n">
        <v>0</v>
      </c>
      <c r="N14" s="6" t="n">
        <v>2025</v>
      </c>
      <c r="O14" s="5" t="inlineStr">
        <is>
          <t>2025-07</t>
        </is>
      </c>
    </row>
    <row r="15">
      <c r="A15" s="2" t="inlineStr">
        <is>
          <t>Z002_31B_072025_MASSENA.CSV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0020</t>
        </is>
      </c>
      <c r="H15" s="4" t="n">
        <v>45869</v>
      </c>
      <c r="I15" s="2" t="inlineStr">
        <is>
          <t>18:40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5" t="n">
        <v>0</v>
      </c>
      <c r="N15" s="6" t="n">
        <v>2025</v>
      </c>
      <c r="O15" s="5" t="inlineStr">
        <is>
          <t>2025-07</t>
        </is>
      </c>
    </row>
    <row r="16">
      <c r="A16" s="2" t="inlineStr">
        <is>
          <t>Z002_31B_072025_MASSENA.CSV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0020</t>
        </is>
      </c>
      <c r="H16" s="4" t="n">
        <v>45869</v>
      </c>
      <c r="I16" s="2" t="inlineStr">
        <is>
          <t>18:40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5" t="n">
        <v>0</v>
      </c>
      <c r="N16" s="6" t="n">
        <v>2025</v>
      </c>
      <c r="O16" s="5" t="inlineStr">
        <is>
          <t>2025-07</t>
        </is>
      </c>
    </row>
    <row r="17">
      <c r="A17" s="2" t="inlineStr">
        <is>
          <t>Z002_31B_072025_MASSENA.CSV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0020</t>
        </is>
      </c>
      <c r="H17" s="4" t="n">
        <v>45869</v>
      </c>
      <c r="I17" s="2" t="inlineStr">
        <is>
          <t>18:40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5" t="n">
        <v>0</v>
      </c>
      <c r="N17" s="6" t="n">
        <v>2025</v>
      </c>
      <c r="O17" s="5" t="inlineStr">
        <is>
          <t>2025-07</t>
        </is>
      </c>
    </row>
    <row r="18">
      <c r="A18" s="2" t="inlineStr">
        <is>
          <t>Z002_31B_072025_MASSENA.CSV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0020</t>
        </is>
      </c>
      <c r="H18" s="4" t="n">
        <v>45869</v>
      </c>
      <c r="I18" s="2" t="inlineStr">
        <is>
          <t>18:40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5" t="n">
        <v>0</v>
      </c>
      <c r="N18" s="6" t="n">
        <v>2025</v>
      </c>
      <c r="O18" s="5" t="inlineStr">
        <is>
          <t>2025-07</t>
        </is>
      </c>
    </row>
    <row r="19">
      <c r="A19" s="2" t="inlineStr">
        <is>
          <t>Z002_31B_072025_MASSENA.CSV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0020</t>
        </is>
      </c>
      <c r="H19" s="4" t="n">
        <v>45869</v>
      </c>
      <c r="I19" s="2" t="inlineStr">
        <is>
          <t>18:40</t>
        </is>
      </c>
      <c r="J19" s="3" t="inlineStr">
        <is>
          <t>0018</t>
        </is>
      </c>
      <c r="K19" s="2" t="inlineStr">
        <is>
          <t>CORRECTION</t>
        </is>
      </c>
      <c r="L19" s="5" t="n">
        <v>1</v>
      </c>
      <c r="M19" s="5" t="n">
        <v>329</v>
      </c>
      <c r="N19" s="6" t="n">
        <v>2025</v>
      </c>
      <c r="O19" s="5" t="inlineStr">
        <is>
          <t>2025-07</t>
        </is>
      </c>
    </row>
    <row r="20">
      <c r="A20" s="2" t="inlineStr">
        <is>
          <t>Z002_31B_072025_MASSENA.CSV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0020</t>
        </is>
      </c>
      <c r="H20" s="4" t="n">
        <v>45869</v>
      </c>
      <c r="I20" s="2" t="inlineStr">
        <is>
          <t>18:40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5" t="n">
        <v>0</v>
      </c>
      <c r="N20" s="6" t="n">
        <v>2025</v>
      </c>
      <c r="O20" s="5" t="inlineStr">
        <is>
          <t>2025-07</t>
        </is>
      </c>
    </row>
    <row r="21">
      <c r="A21" s="2" t="inlineStr">
        <is>
          <t>Z002_31B_072025_MASSENA.CSV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0020</t>
        </is>
      </c>
      <c r="H21" s="4" t="n">
        <v>45869</v>
      </c>
      <c r="I21" s="2" t="inlineStr">
        <is>
          <t>18:40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5" t="n">
        <v>0</v>
      </c>
      <c r="N21" s="6" t="n">
        <v>2025</v>
      </c>
      <c r="O21" s="5" t="inlineStr">
        <is>
          <t>2025-07</t>
        </is>
      </c>
    </row>
    <row r="22">
      <c r="A22" s="2" t="inlineStr">
        <is>
          <t>Z002_31B_072025_MASSENA.CSV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0020</t>
        </is>
      </c>
      <c r="H22" s="4" t="n">
        <v>45869</v>
      </c>
      <c r="I22" s="2" t="inlineStr">
        <is>
          <t>18:40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5" t="n">
        <v>0</v>
      </c>
      <c r="N22" s="6" t="n">
        <v>2025</v>
      </c>
      <c r="O22" s="5" t="inlineStr">
        <is>
          <t>2025-07</t>
        </is>
      </c>
    </row>
    <row r="23">
      <c r="A23" s="2" t="inlineStr">
        <is>
          <t>Z002_31B_072025_MASSENA.CSV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0020</t>
        </is>
      </c>
      <c r="H23" s="4" t="n">
        <v>45869</v>
      </c>
      <c r="I23" s="2" t="inlineStr">
        <is>
          <t>18:40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5" t="n">
        <v>0</v>
      </c>
      <c r="N23" s="6" t="n">
        <v>2025</v>
      </c>
      <c r="O23" s="5" t="inlineStr">
        <is>
          <t>2025-07</t>
        </is>
      </c>
    </row>
    <row r="24">
      <c r="A24" s="2" t="inlineStr">
        <is>
          <t>Z002_31B_072025_MASSENA.CSV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0020</t>
        </is>
      </c>
      <c r="H24" s="4" t="n">
        <v>45869</v>
      </c>
      <c r="I24" s="2" t="inlineStr">
        <is>
          <t>18:40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5" t="n">
        <v>0</v>
      </c>
      <c r="N24" s="6" t="n">
        <v>2025</v>
      </c>
      <c r="O24" s="5" t="inlineStr">
        <is>
          <t>2025-07</t>
        </is>
      </c>
    </row>
    <row r="25">
      <c r="A25" s="2" t="inlineStr">
        <is>
          <t>Z002_31B_072025_MASSENA.CSV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0020</t>
        </is>
      </c>
      <c r="H25" s="4" t="n">
        <v>45869</v>
      </c>
      <c r="I25" s="2" t="inlineStr">
        <is>
          <t>18:40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5" t="n">
        <v>0</v>
      </c>
      <c r="N25" s="6" t="n">
        <v>2025</v>
      </c>
      <c r="O25" s="5" t="inlineStr">
        <is>
          <t>2025-07</t>
        </is>
      </c>
    </row>
    <row r="26">
      <c r="A26" s="2" t="inlineStr">
        <is>
          <t>Z002_31B_072025_MASSENA.CSV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0020</t>
        </is>
      </c>
      <c r="H26" s="4" t="n">
        <v>45869</v>
      </c>
      <c r="I26" s="2" t="inlineStr">
        <is>
          <t>18:40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5" t="n">
        <v>0</v>
      </c>
      <c r="N26" s="6" t="n">
        <v>2025</v>
      </c>
      <c r="O26" s="5" t="inlineStr">
        <is>
          <t>2025-07</t>
        </is>
      </c>
    </row>
    <row r="27">
      <c r="A27" s="2" t="inlineStr">
        <is>
          <t>Z002_31B_072025_MASSENA.CSV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0020</t>
        </is>
      </c>
      <c r="H27" s="4" t="n">
        <v>45869</v>
      </c>
      <c r="I27" s="2" t="inlineStr">
        <is>
          <t>18:40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5" t="n">
        <v>0</v>
      </c>
      <c r="N27" s="6" t="n">
        <v>2025</v>
      </c>
      <c r="O27" s="5" t="inlineStr">
        <is>
          <t>2025-07</t>
        </is>
      </c>
    </row>
    <row r="28">
      <c r="A28" s="2" t="inlineStr">
        <is>
          <t>Z002_31B_072025_MASSENA.CSV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0020</t>
        </is>
      </c>
      <c r="H28" s="4" t="n">
        <v>45869</v>
      </c>
      <c r="I28" s="2" t="inlineStr">
        <is>
          <t>18:40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5" t="n">
        <v>0</v>
      </c>
      <c r="N28" s="6" t="n">
        <v>2025</v>
      </c>
      <c r="O28" s="5" t="inlineStr">
        <is>
          <t>2025-07</t>
        </is>
      </c>
    </row>
    <row r="29">
      <c r="A29" s="2" t="inlineStr">
        <is>
          <t>Z002_31B_072025_MASSENA.CSV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0020</t>
        </is>
      </c>
      <c r="H29" s="4" t="n">
        <v>45869</v>
      </c>
      <c r="I29" s="2" t="inlineStr">
        <is>
          <t>18:40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5" t="n">
        <v>0</v>
      </c>
      <c r="N29" s="6" t="n">
        <v>2025</v>
      </c>
      <c r="O29" s="5" t="inlineStr">
        <is>
          <t>2025-07</t>
        </is>
      </c>
    </row>
    <row r="30">
      <c r="A30" s="2" t="inlineStr">
        <is>
          <t>Z002_31B_072025_MASSENA.CSV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0020</t>
        </is>
      </c>
      <c r="H30" s="4" t="n">
        <v>45869</v>
      </c>
      <c r="I30" s="2" t="inlineStr">
        <is>
          <t>18:40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5" t="n">
        <v>0</v>
      </c>
      <c r="N30" s="6" t="n">
        <v>2025</v>
      </c>
      <c r="O30" s="5" t="inlineStr">
        <is>
          <t>2025-07</t>
        </is>
      </c>
    </row>
    <row r="31">
      <c r="A31" s="2" t="inlineStr">
        <is>
          <t>Z002_31B_072025_MASSENA.CSV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0020</t>
        </is>
      </c>
      <c r="H31" s="4" t="n">
        <v>45869</v>
      </c>
      <c r="I31" s="2" t="inlineStr">
        <is>
          <t>18:40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5" t="n">
        <v>0</v>
      </c>
      <c r="N31" s="6" t="n">
        <v>2025</v>
      </c>
      <c r="O31" s="5" t="inlineStr">
        <is>
          <t>2025-07</t>
        </is>
      </c>
    </row>
    <row r="32">
      <c r="A32" s="2" t="inlineStr">
        <is>
          <t>Z002_31B_072025_MASSENA.CSV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0020</t>
        </is>
      </c>
      <c r="H32" s="4" t="n">
        <v>45869</v>
      </c>
      <c r="I32" s="2" t="inlineStr">
        <is>
          <t>18:40</t>
        </is>
      </c>
      <c r="J32" s="3" t="inlineStr">
        <is>
          <t>0031</t>
        </is>
      </c>
      <c r="K32" s="2" t="inlineStr">
        <is>
          <t>REF./TIROIR</t>
        </is>
      </c>
      <c r="L32" s="5" t="n">
        <v>4</v>
      </c>
      <c r="M32" s="5" t="n">
        <v>0</v>
      </c>
      <c r="N32" s="6" t="n">
        <v>2025</v>
      </c>
      <c r="O32" s="5" t="inlineStr">
        <is>
          <t>2025-07</t>
        </is>
      </c>
    </row>
    <row r="33">
      <c r="A33" s="2" t="inlineStr">
        <is>
          <t>Z002_31B_072025_MASSENA.CSV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0020</t>
        </is>
      </c>
      <c r="H33" s="4" t="n">
        <v>45869</v>
      </c>
      <c r="I33" s="2" t="inlineStr">
        <is>
          <t>18:40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5" t="n">
        <v>0</v>
      </c>
      <c r="N33" s="6" t="n">
        <v>2025</v>
      </c>
      <c r="O33" s="5" t="inlineStr">
        <is>
          <t>2025-07</t>
        </is>
      </c>
    </row>
    <row r="34">
      <c r="A34" s="2" t="inlineStr">
        <is>
          <t>Z002_31B_072025_MASSENA.CSV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0020</t>
        </is>
      </c>
      <c r="H34" s="4" t="n">
        <v>45869</v>
      </c>
      <c r="I34" s="2" t="inlineStr">
        <is>
          <t>18:40</t>
        </is>
      </c>
      <c r="J34" s="3" t="inlineStr">
        <is>
          <t>0033</t>
        </is>
      </c>
      <c r="K34" s="2" t="inlineStr"/>
      <c r="L34" s="5" t="n">
        <v>0</v>
      </c>
      <c r="M34" s="5" t="n">
        <v>0</v>
      </c>
      <c r="N34" s="6" t="n">
        <v>2025</v>
      </c>
      <c r="O34" s="5" t="inlineStr">
        <is>
          <t>2025-07</t>
        </is>
      </c>
    </row>
    <row r="35">
      <c r="A35" s="2" t="inlineStr">
        <is>
          <t>Z002_31B_072025_MASSENA.CSV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0020</t>
        </is>
      </c>
      <c r="H35" s="4" t="n">
        <v>45869</v>
      </c>
      <c r="I35" s="2" t="inlineStr">
        <is>
          <t>18:40</t>
        </is>
      </c>
      <c r="J35" s="3" t="inlineStr">
        <is>
          <t>0034</t>
        </is>
      </c>
      <c r="K35" s="2" t="inlineStr"/>
      <c r="L35" s="5" t="n">
        <v>0</v>
      </c>
      <c r="M35" s="5" t="n">
        <v>0</v>
      </c>
      <c r="N35" s="6" t="n">
        <v>2025</v>
      </c>
      <c r="O35" s="5" t="inlineStr">
        <is>
          <t>2025-07</t>
        </is>
      </c>
    </row>
    <row r="36">
      <c r="A36" s="2" t="inlineStr">
        <is>
          <t>Z002_31B_072025_MASSENA.CSV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0020</t>
        </is>
      </c>
      <c r="H36" s="4" t="n">
        <v>45869</v>
      </c>
      <c r="I36" s="2" t="inlineStr">
        <is>
          <t>18:40</t>
        </is>
      </c>
      <c r="J36" s="3" t="inlineStr">
        <is>
          <t>0035</t>
        </is>
      </c>
      <c r="K36" s="2" t="inlineStr"/>
      <c r="L36" s="5" t="n">
        <v>0</v>
      </c>
      <c r="M36" s="5" t="n">
        <v>0</v>
      </c>
      <c r="N36" s="6" t="n">
        <v>2025</v>
      </c>
      <c r="O36" s="5" t="inlineStr">
        <is>
          <t>2025-07</t>
        </is>
      </c>
    </row>
    <row r="37">
      <c r="A37" s="2" t="inlineStr">
        <is>
          <t>Z002_31B_072025_MASSENA.CSV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0020</t>
        </is>
      </c>
      <c r="H37" s="4" t="n">
        <v>45869</v>
      </c>
      <c r="I37" s="2" t="inlineStr">
        <is>
          <t>18:40</t>
        </is>
      </c>
      <c r="J37" s="3" t="inlineStr">
        <is>
          <t>0036</t>
        </is>
      </c>
      <c r="K37" s="2" t="inlineStr"/>
      <c r="L37" s="5" t="n">
        <v>0</v>
      </c>
      <c r="M37" s="5" t="n">
        <v>0</v>
      </c>
      <c r="N37" s="6" t="n">
        <v>2025</v>
      </c>
      <c r="O37" s="5" t="inlineStr">
        <is>
          <t>2025-07</t>
        </is>
      </c>
    </row>
    <row r="38">
      <c r="A38" s="2" t="inlineStr">
        <is>
          <t>Z002_31B_072025_MASSENA.CSV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0020</t>
        </is>
      </c>
      <c r="H38" s="4" t="n">
        <v>45869</v>
      </c>
      <c r="I38" s="2" t="inlineStr">
        <is>
          <t>18:40</t>
        </is>
      </c>
      <c r="J38" s="3" t="inlineStr">
        <is>
          <t>0037</t>
        </is>
      </c>
      <c r="K38" s="2" t="inlineStr"/>
      <c r="L38" s="5" t="n">
        <v>0</v>
      </c>
      <c r="M38" s="5" t="n">
        <v>0</v>
      </c>
      <c r="N38" s="6" t="n">
        <v>2025</v>
      </c>
      <c r="O38" s="5" t="inlineStr">
        <is>
          <t>2025-07</t>
        </is>
      </c>
    </row>
    <row r="39">
      <c r="A39" s="2" t="inlineStr">
        <is>
          <t>Z002_31B_072025_MASSENA.CSV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0020</t>
        </is>
      </c>
      <c r="H39" s="4" t="n">
        <v>45869</v>
      </c>
      <c r="I39" s="2" t="inlineStr">
        <is>
          <t>18:40</t>
        </is>
      </c>
      <c r="J39" s="3" t="inlineStr">
        <is>
          <t>0038</t>
        </is>
      </c>
      <c r="K39" s="2" t="inlineStr"/>
      <c r="L39" s="5" t="n">
        <v>0</v>
      </c>
      <c r="M39" s="5" t="n">
        <v>0</v>
      </c>
      <c r="N39" s="6" t="n">
        <v>2025</v>
      </c>
      <c r="O39" s="5" t="inlineStr">
        <is>
          <t>2025-07</t>
        </is>
      </c>
    </row>
    <row r="40">
      <c r="A40" s="2" t="inlineStr">
        <is>
          <t>Z002_31B_072025_MASSENA.CSV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0020</t>
        </is>
      </c>
      <c r="H40" s="4" t="n">
        <v>45869</v>
      </c>
      <c r="I40" s="2" t="inlineStr">
        <is>
          <t>18:40</t>
        </is>
      </c>
      <c r="J40" s="3" t="inlineStr">
        <is>
          <t>0039</t>
        </is>
      </c>
      <c r="K40" s="2" t="inlineStr"/>
      <c r="L40" s="5" t="n">
        <v>0</v>
      </c>
      <c r="M40" s="5" t="n">
        <v>0</v>
      </c>
      <c r="N40" s="6" t="n">
        <v>2025</v>
      </c>
      <c r="O40" s="5" t="inlineStr">
        <is>
          <t>2025-07</t>
        </is>
      </c>
    </row>
    <row r="41">
      <c r="A41" s="2" t="inlineStr">
        <is>
          <t>Z002_31B_072025_MASSENA.CSV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0020</t>
        </is>
      </c>
      <c r="H41" s="4" t="n">
        <v>45869</v>
      </c>
      <c r="I41" s="2" t="inlineStr">
        <is>
          <t>18:40</t>
        </is>
      </c>
      <c r="J41" s="3" t="inlineStr">
        <is>
          <t>0040</t>
        </is>
      </c>
      <c r="K41" s="2" t="inlineStr"/>
      <c r="L41" s="5" t="n">
        <v>0</v>
      </c>
      <c r="M41" s="5" t="n">
        <v>0</v>
      </c>
      <c r="N41" s="6" t="n">
        <v>2025</v>
      </c>
      <c r="O41" s="5" t="inlineStr">
        <is>
          <t>2025-07</t>
        </is>
      </c>
    </row>
    <row r="42">
      <c r="A42" s="2" t="inlineStr">
        <is>
          <t>Z002_31B_072025_MASSENA.CSV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0020</t>
        </is>
      </c>
      <c r="H42" s="4" t="n">
        <v>45869</v>
      </c>
      <c r="I42" s="2" t="inlineStr">
        <is>
          <t>18:40</t>
        </is>
      </c>
      <c r="J42" s="3" t="inlineStr">
        <is>
          <t>0041</t>
        </is>
      </c>
      <c r="K42" s="2" t="inlineStr"/>
      <c r="L42" s="5" t="n">
        <v>0</v>
      </c>
      <c r="M42" s="5" t="n">
        <v>0</v>
      </c>
      <c r="N42" s="6" t="n">
        <v>2025</v>
      </c>
      <c r="O42" s="5" t="inlineStr">
        <is>
          <t>2025-07</t>
        </is>
      </c>
    </row>
    <row r="43">
      <c r="A43" s="2" t="inlineStr">
        <is>
          <t>Z002_31B_072025_MASSENA.CSV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0020</t>
        </is>
      </c>
      <c r="H43" s="4" t="n">
        <v>45869</v>
      </c>
      <c r="I43" s="2" t="inlineStr">
        <is>
          <t>18:40</t>
        </is>
      </c>
      <c r="J43" s="3" t="inlineStr">
        <is>
          <t>0042</t>
        </is>
      </c>
      <c r="K43" s="2" t="inlineStr"/>
      <c r="L43" s="5" t="n">
        <v>0</v>
      </c>
      <c r="M43" s="5" t="n">
        <v>0</v>
      </c>
      <c r="N43" s="6" t="n">
        <v>2025</v>
      </c>
      <c r="O43" s="5" t="inlineStr">
        <is>
          <t>2025-07</t>
        </is>
      </c>
    </row>
    <row r="44">
      <c r="A44" s="2" t="inlineStr">
        <is>
          <t>Z002_31B_072025_MASSENA.CSV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0020</t>
        </is>
      </c>
      <c r="H44" s="4" t="n">
        <v>45869</v>
      </c>
      <c r="I44" s="2" t="inlineStr">
        <is>
          <t>18:40</t>
        </is>
      </c>
      <c r="J44" s="3" t="inlineStr">
        <is>
          <t>0043</t>
        </is>
      </c>
      <c r="K44" s="2" t="inlineStr"/>
      <c r="L44" s="5" t="n">
        <v>0</v>
      </c>
      <c r="M44" s="5" t="n">
        <v>0</v>
      </c>
      <c r="N44" s="6" t="n">
        <v>2025</v>
      </c>
      <c r="O44" s="5" t="inlineStr">
        <is>
          <t>2025-07</t>
        </is>
      </c>
    </row>
    <row r="45">
      <c r="A45" s="2" t="inlineStr">
        <is>
          <t>Z002_31B_072025_MASSENA.CSV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0020</t>
        </is>
      </c>
      <c r="H45" s="4" t="n">
        <v>45869</v>
      </c>
      <c r="I45" s="2" t="inlineStr">
        <is>
          <t>18:40</t>
        </is>
      </c>
      <c r="J45" s="3" t="inlineStr">
        <is>
          <t>0044</t>
        </is>
      </c>
      <c r="K45" s="2" t="inlineStr"/>
      <c r="L45" s="5" t="n">
        <v>0</v>
      </c>
      <c r="M45" s="5" t="n">
        <v>0</v>
      </c>
      <c r="N45" s="6" t="n">
        <v>2025</v>
      </c>
      <c r="O45" s="5" t="inlineStr">
        <is>
          <t>2025-07</t>
        </is>
      </c>
    </row>
    <row r="46">
      <c r="A46" s="2" t="inlineStr">
        <is>
          <t>Z002_31B_072025_MASSENA.CSV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0020</t>
        </is>
      </c>
      <c r="H46" s="4" t="n">
        <v>45869</v>
      </c>
      <c r="I46" s="2" t="inlineStr">
        <is>
          <t>18:40</t>
        </is>
      </c>
      <c r="J46" s="3" t="inlineStr">
        <is>
          <t>0045</t>
        </is>
      </c>
      <c r="K46" s="2" t="inlineStr"/>
      <c r="L46" s="5" t="n">
        <v>0</v>
      </c>
      <c r="M46" s="5" t="n">
        <v>0</v>
      </c>
      <c r="N46" s="6" t="n">
        <v>2025</v>
      </c>
      <c r="O46" s="5" t="inlineStr">
        <is>
          <t>2025-07</t>
        </is>
      </c>
    </row>
    <row r="47">
      <c r="A47" s="2" t="inlineStr">
        <is>
          <t>Z002_31B_072025_MASSENA.CSV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0020</t>
        </is>
      </c>
      <c r="H47" s="4" t="n">
        <v>45869</v>
      </c>
      <c r="I47" s="2" t="inlineStr">
        <is>
          <t>18:40</t>
        </is>
      </c>
      <c r="J47" s="3" t="inlineStr">
        <is>
          <t>0046</t>
        </is>
      </c>
      <c r="K47" s="2" t="inlineStr"/>
      <c r="L47" s="5" t="n">
        <v>0</v>
      </c>
      <c r="M47" s="5" t="n">
        <v>0</v>
      </c>
      <c r="N47" s="6" t="n">
        <v>2025</v>
      </c>
      <c r="O47" s="5" t="inlineStr">
        <is>
          <t>2025-07</t>
        </is>
      </c>
    </row>
    <row r="48">
      <c r="A48" s="2" t="inlineStr">
        <is>
          <t>Z002_31B_072025_MASSENA.CSV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0020</t>
        </is>
      </c>
      <c r="H48" s="4" t="n">
        <v>45869</v>
      </c>
      <c r="I48" s="2" t="inlineStr">
        <is>
          <t>18:40</t>
        </is>
      </c>
      <c r="J48" s="3" t="inlineStr">
        <is>
          <t>0047</t>
        </is>
      </c>
      <c r="K48" s="2" t="inlineStr"/>
      <c r="L48" s="5" t="n">
        <v>0</v>
      </c>
      <c r="M48" s="5" t="n">
        <v>0</v>
      </c>
      <c r="N48" s="6" t="n">
        <v>2025</v>
      </c>
      <c r="O48" s="5" t="inlineStr">
        <is>
          <t>2025-07</t>
        </is>
      </c>
    </row>
    <row r="49">
      <c r="A49" s="2" t="inlineStr">
        <is>
          <t>Z002_31B_072025_MASSENA.CSV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0020</t>
        </is>
      </c>
      <c r="H49" s="4" t="n">
        <v>45869</v>
      </c>
      <c r="I49" s="2" t="inlineStr">
        <is>
          <t>18:40</t>
        </is>
      </c>
      <c r="J49" s="3" t="inlineStr">
        <is>
          <t>0048</t>
        </is>
      </c>
      <c r="K49" s="2" t="inlineStr"/>
      <c r="L49" s="5" t="n">
        <v>0</v>
      </c>
      <c r="M49" s="5" t="n">
        <v>0</v>
      </c>
      <c r="N49" s="6" t="n">
        <v>2025</v>
      </c>
      <c r="O49" s="5" t="inlineStr">
        <is>
          <t>2025-07</t>
        </is>
      </c>
    </row>
    <row r="50">
      <c r="A50" s="2" t="inlineStr">
        <is>
          <t>Z002_31B_072025_MASSENA.CSV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0020</t>
        </is>
      </c>
      <c r="H50" s="4" t="n">
        <v>45869</v>
      </c>
      <c r="I50" s="2" t="inlineStr">
        <is>
          <t>18:40</t>
        </is>
      </c>
      <c r="J50" s="3" t="inlineStr">
        <is>
          <t>0049</t>
        </is>
      </c>
      <c r="K50" s="2" t="inlineStr"/>
      <c r="L50" s="5" t="n">
        <v>0</v>
      </c>
      <c r="M50" s="5" t="n">
        <v>0</v>
      </c>
      <c r="N50" s="6" t="n">
        <v>2025</v>
      </c>
      <c r="O50" s="5" t="inlineStr">
        <is>
          <t>2025-07</t>
        </is>
      </c>
    </row>
    <row r="51">
      <c r="A51" s="2" t="inlineStr">
        <is>
          <t>Z002_31B_072025_MASSENA.CSV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0020</t>
        </is>
      </c>
      <c r="H51" s="4" t="n">
        <v>45869</v>
      </c>
      <c r="I51" s="2" t="inlineStr">
        <is>
          <t>18:40</t>
        </is>
      </c>
      <c r="J51" s="3" t="inlineStr">
        <is>
          <t>0050</t>
        </is>
      </c>
      <c r="K51" s="2" t="inlineStr"/>
      <c r="L51" s="5" t="n">
        <v>0</v>
      </c>
      <c r="M51" s="5" t="n">
        <v>0</v>
      </c>
      <c r="N51" s="6" t="n">
        <v>2025</v>
      </c>
      <c r="O51" s="5" t="inlineStr">
        <is>
          <t>2025-07</t>
        </is>
      </c>
    </row>
    <row r="52">
      <c r="A52" s="2" t="inlineStr">
        <is>
          <t>Z102_01_022025_MASSENA.CSV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0086</t>
        </is>
      </c>
      <c r="H52" s="4" t="n">
        <v>45717</v>
      </c>
      <c r="I52" s="2" t="inlineStr">
        <is>
          <t>15:41</t>
        </is>
      </c>
      <c r="J52" s="3" t="inlineStr">
        <is>
          <t>0001</t>
        </is>
      </c>
      <c r="K52" s="2" t="inlineStr">
        <is>
          <t>ESPECES</t>
        </is>
      </c>
      <c r="L52" s="5" t="n">
        <v>16</v>
      </c>
      <c r="M52" s="5" t="n">
        <v>10332.8</v>
      </c>
      <c r="N52" s="6" t="n">
        <v>2025</v>
      </c>
      <c r="O52" s="5" t="inlineStr">
        <is>
          <t>2025-02</t>
        </is>
      </c>
    </row>
    <row r="53">
      <c r="A53" s="2" t="inlineStr">
        <is>
          <t>Z102_01_022025_MASSENA.CSV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0086</t>
        </is>
      </c>
      <c r="H53" s="4" t="n">
        <v>45717</v>
      </c>
      <c r="I53" s="2" t="inlineStr">
        <is>
          <t>15:41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5" t="n">
        <v>0</v>
      </c>
      <c r="N53" s="6" t="n">
        <v>2025</v>
      </c>
      <c r="O53" s="5" t="inlineStr">
        <is>
          <t>2025-02</t>
        </is>
      </c>
    </row>
    <row r="54">
      <c r="A54" s="2" t="inlineStr">
        <is>
          <t>Z102_01_022025_MASSENA.CSV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0086</t>
        </is>
      </c>
      <c r="H54" s="4" t="n">
        <v>45717</v>
      </c>
      <c r="I54" s="2" t="inlineStr">
        <is>
          <t>15:41</t>
        </is>
      </c>
      <c r="J54" s="3" t="inlineStr">
        <is>
          <t>0003</t>
        </is>
      </c>
      <c r="K54" s="2" t="inlineStr">
        <is>
          <t>CARTES</t>
        </is>
      </c>
      <c r="L54" s="5" t="n">
        <v>7</v>
      </c>
      <c r="M54" s="5" t="n">
        <v>7497</v>
      </c>
      <c r="N54" s="6" t="n">
        <v>2025</v>
      </c>
      <c r="O54" s="5" t="inlineStr">
        <is>
          <t>2025-02</t>
        </is>
      </c>
    </row>
    <row r="55">
      <c r="A55" s="2" t="inlineStr">
        <is>
          <t>Z102_01_022025_MASSENA.CSV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0086</t>
        </is>
      </c>
      <c r="H55" s="4" t="n">
        <v>45717</v>
      </c>
      <c r="I55" s="2" t="inlineStr">
        <is>
          <t>15:41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5" t="n">
        <v>0</v>
      </c>
      <c r="N55" s="6" t="n">
        <v>2025</v>
      </c>
      <c r="O55" s="5" t="inlineStr">
        <is>
          <t>2025-02</t>
        </is>
      </c>
    </row>
    <row r="56">
      <c r="A56" s="2" t="inlineStr">
        <is>
          <t>Z102_01_022025_MASSENA.CSV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0086</t>
        </is>
      </c>
      <c r="H56" s="4" t="n">
        <v>45717</v>
      </c>
      <c r="I56" s="2" t="inlineStr">
        <is>
          <t>15:41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5" t="n">
        <v>0</v>
      </c>
      <c r="N56" s="6" t="n">
        <v>2025</v>
      </c>
      <c r="O56" s="5" t="inlineStr">
        <is>
          <t>2025-02</t>
        </is>
      </c>
    </row>
    <row r="57">
      <c r="A57" s="2" t="inlineStr">
        <is>
          <t>Z102_01_022025_MASSENA.CSV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0086</t>
        </is>
      </c>
      <c r="H57" s="4" t="n">
        <v>45717</v>
      </c>
      <c r="I57" s="2" t="inlineStr">
        <is>
          <t>15:41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5" t="n">
        <v>0</v>
      </c>
      <c r="N57" s="6" t="n">
        <v>2025</v>
      </c>
      <c r="O57" s="5" t="inlineStr">
        <is>
          <t>2025-02</t>
        </is>
      </c>
    </row>
    <row r="58">
      <c r="A58" s="2" t="inlineStr">
        <is>
          <t>Z102_01_022025_MASSENA.CSV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0086</t>
        </is>
      </c>
      <c r="H58" s="4" t="n">
        <v>45717</v>
      </c>
      <c r="I58" s="2" t="inlineStr">
        <is>
          <t>15:41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5" t="n">
        <v>0</v>
      </c>
      <c r="N58" s="6" t="n">
        <v>2025</v>
      </c>
      <c r="O58" s="5" t="inlineStr">
        <is>
          <t>2025-02</t>
        </is>
      </c>
    </row>
    <row r="59">
      <c r="A59" s="2" t="inlineStr">
        <is>
          <t>Z102_01_022025_MASSENA.CSV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0086</t>
        </is>
      </c>
      <c r="H59" s="4" t="n">
        <v>45717</v>
      </c>
      <c r="I59" s="2" t="inlineStr">
        <is>
          <t>15:41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5" t="n">
        <v>0</v>
      </c>
      <c r="N59" s="6" t="n">
        <v>2025</v>
      </c>
      <c r="O59" s="5" t="inlineStr">
        <is>
          <t>2025-02</t>
        </is>
      </c>
    </row>
    <row r="60">
      <c r="A60" s="2" t="inlineStr">
        <is>
          <t>Z102_01_022025_MASSENA.CSV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0086</t>
        </is>
      </c>
      <c r="H60" s="4" t="n">
        <v>45717</v>
      </c>
      <c r="I60" s="2" t="inlineStr">
        <is>
          <t>15:41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5" t="n">
        <v>0</v>
      </c>
      <c r="N60" s="6" t="n">
        <v>2025</v>
      </c>
      <c r="O60" s="5" t="inlineStr">
        <is>
          <t>2025-02</t>
        </is>
      </c>
    </row>
    <row r="61">
      <c r="A61" s="2" t="inlineStr">
        <is>
          <t>Z102_01_022025_MASSENA.CSV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0086</t>
        </is>
      </c>
      <c r="H61" s="4" t="n">
        <v>45717</v>
      </c>
      <c r="I61" s="2" t="inlineStr">
        <is>
          <t>15:41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5" t="n">
        <v>0</v>
      </c>
      <c r="N61" s="6" t="n">
        <v>2025</v>
      </c>
      <c r="O61" s="5" t="inlineStr">
        <is>
          <t>2025-02</t>
        </is>
      </c>
    </row>
    <row r="62">
      <c r="A62" s="2" t="inlineStr">
        <is>
          <t>Z102_01_022025_MASSENA.CSV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0086</t>
        </is>
      </c>
      <c r="H62" s="4" t="n">
        <v>45717</v>
      </c>
      <c r="I62" s="2" t="inlineStr">
        <is>
          <t>15:41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5" t="n">
        <v>0</v>
      </c>
      <c r="N62" s="6" t="n">
        <v>2025</v>
      </c>
      <c r="O62" s="5" t="inlineStr">
        <is>
          <t>2025-02</t>
        </is>
      </c>
    </row>
    <row r="63">
      <c r="A63" s="2" t="inlineStr">
        <is>
          <t>Z102_01_022025_MASSENA.CSV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0086</t>
        </is>
      </c>
      <c r="H63" s="4" t="n">
        <v>45717</v>
      </c>
      <c r="I63" s="2" t="inlineStr">
        <is>
          <t>15:41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5" t="n">
        <v>0</v>
      </c>
      <c r="N63" s="6" t="n">
        <v>2025</v>
      </c>
      <c r="O63" s="5" t="inlineStr">
        <is>
          <t>2025-02</t>
        </is>
      </c>
    </row>
    <row r="64">
      <c r="A64" s="2" t="inlineStr">
        <is>
          <t>Z102_01_022025_MASSENA.CSV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0086</t>
        </is>
      </c>
      <c r="H64" s="4" t="n">
        <v>45717</v>
      </c>
      <c r="I64" s="2" t="inlineStr">
        <is>
          <t>15:41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5" t="n">
        <v>0</v>
      </c>
      <c r="N64" s="6" t="n">
        <v>2025</v>
      </c>
      <c r="O64" s="5" t="inlineStr">
        <is>
          <t>2025-02</t>
        </is>
      </c>
    </row>
    <row r="65">
      <c r="A65" s="2" t="inlineStr">
        <is>
          <t>Z102_01_022025_MASSENA.CSV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0086</t>
        </is>
      </c>
      <c r="H65" s="4" t="n">
        <v>45717</v>
      </c>
      <c r="I65" s="2" t="inlineStr">
        <is>
          <t>15:41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5" t="n">
        <v>0</v>
      </c>
      <c r="N65" s="6" t="n">
        <v>2025</v>
      </c>
      <c r="O65" s="5" t="inlineStr">
        <is>
          <t>2025-02</t>
        </is>
      </c>
    </row>
    <row r="66">
      <c r="A66" s="2" t="inlineStr">
        <is>
          <t>Z102_01_022025_MASSENA.CSV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0086</t>
        </is>
      </c>
      <c r="H66" s="4" t="n">
        <v>45717</v>
      </c>
      <c r="I66" s="2" t="inlineStr">
        <is>
          <t>15:41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5" t="n">
        <v>0</v>
      </c>
      <c r="N66" s="6" t="n">
        <v>2025</v>
      </c>
      <c r="O66" s="5" t="inlineStr">
        <is>
          <t>2025-02</t>
        </is>
      </c>
    </row>
    <row r="67">
      <c r="A67" s="2" t="inlineStr">
        <is>
          <t>Z102_01_022025_MASSENA.CSV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0086</t>
        </is>
      </c>
      <c r="H67" s="4" t="n">
        <v>45717</v>
      </c>
      <c r="I67" s="2" t="inlineStr">
        <is>
          <t>15:41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5" t="n">
        <v>0</v>
      </c>
      <c r="N67" s="6" t="n">
        <v>2025</v>
      </c>
      <c r="O67" s="5" t="inlineStr">
        <is>
          <t>2025-02</t>
        </is>
      </c>
    </row>
    <row r="68">
      <c r="A68" s="2" t="inlineStr">
        <is>
          <t>Z102_01_022025_MASSENA.CSV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0086</t>
        </is>
      </c>
      <c r="H68" s="4" t="n">
        <v>45717</v>
      </c>
      <c r="I68" s="2" t="inlineStr">
        <is>
          <t>15:41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5" t="n">
        <v>0</v>
      </c>
      <c r="N68" s="6" t="n">
        <v>2025</v>
      </c>
      <c r="O68" s="5" t="inlineStr">
        <is>
          <t>2025-02</t>
        </is>
      </c>
    </row>
    <row r="69">
      <c r="A69" s="2" t="inlineStr">
        <is>
          <t>Z102_01_022025_MASSENA.CSV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0086</t>
        </is>
      </c>
      <c r="H69" s="4" t="n">
        <v>45717</v>
      </c>
      <c r="I69" s="2" t="inlineStr">
        <is>
          <t>15:41</t>
        </is>
      </c>
      <c r="J69" s="3" t="inlineStr">
        <is>
          <t>0018</t>
        </is>
      </c>
      <c r="K69" s="2" t="inlineStr">
        <is>
          <t>CORRECTION</t>
        </is>
      </c>
      <c r="L69" s="5" t="n">
        <v>1</v>
      </c>
      <c r="M69" s="5" t="n">
        <v>329</v>
      </c>
      <c r="N69" s="6" t="n">
        <v>2025</v>
      </c>
      <c r="O69" s="5" t="inlineStr">
        <is>
          <t>2025-02</t>
        </is>
      </c>
    </row>
    <row r="70">
      <c r="A70" s="2" t="inlineStr">
        <is>
          <t>Z102_01_022025_MASSENA.CSV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0086</t>
        </is>
      </c>
      <c r="H70" s="4" t="n">
        <v>45717</v>
      </c>
      <c r="I70" s="2" t="inlineStr">
        <is>
          <t>15:41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5" t="n">
        <v>0</v>
      </c>
      <c r="N70" s="6" t="n">
        <v>2025</v>
      </c>
      <c r="O70" s="5" t="inlineStr">
        <is>
          <t>2025-02</t>
        </is>
      </c>
    </row>
    <row r="71">
      <c r="A71" s="2" t="inlineStr">
        <is>
          <t>Z102_01_022025_MASSENA.CSV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0086</t>
        </is>
      </c>
      <c r="H71" s="4" t="n">
        <v>45717</v>
      </c>
      <c r="I71" s="2" t="inlineStr">
        <is>
          <t>15:41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5" t="n">
        <v>0</v>
      </c>
      <c r="N71" s="6" t="n">
        <v>2025</v>
      </c>
      <c r="O71" s="5" t="inlineStr">
        <is>
          <t>2025-02</t>
        </is>
      </c>
    </row>
    <row r="72">
      <c r="A72" s="2" t="inlineStr">
        <is>
          <t>Z102_01_022025_MASSENA.CSV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0086</t>
        </is>
      </c>
      <c r="H72" s="4" t="n">
        <v>45717</v>
      </c>
      <c r="I72" s="2" t="inlineStr">
        <is>
          <t>15:41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5" t="n">
        <v>0</v>
      </c>
      <c r="N72" s="6" t="n">
        <v>2025</v>
      </c>
      <c r="O72" s="5" t="inlineStr">
        <is>
          <t>2025-02</t>
        </is>
      </c>
    </row>
    <row r="73">
      <c r="A73" s="2" t="inlineStr">
        <is>
          <t>Z102_01_022025_MASSENA.CSV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0086</t>
        </is>
      </c>
      <c r="H73" s="4" t="n">
        <v>45717</v>
      </c>
      <c r="I73" s="2" t="inlineStr">
        <is>
          <t>15:41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5" t="n">
        <v>0</v>
      </c>
      <c r="N73" s="6" t="n">
        <v>2025</v>
      </c>
      <c r="O73" s="5" t="inlineStr">
        <is>
          <t>2025-02</t>
        </is>
      </c>
    </row>
    <row r="74">
      <c r="A74" s="2" t="inlineStr">
        <is>
          <t>Z102_01_022025_MASSENA.CSV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0086</t>
        </is>
      </c>
      <c r="H74" s="4" t="n">
        <v>45717</v>
      </c>
      <c r="I74" s="2" t="inlineStr">
        <is>
          <t>15:41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5" t="n">
        <v>0</v>
      </c>
      <c r="N74" s="6" t="n">
        <v>2025</v>
      </c>
      <c r="O74" s="5" t="inlineStr">
        <is>
          <t>2025-02</t>
        </is>
      </c>
    </row>
    <row r="75">
      <c r="A75" s="2" t="inlineStr">
        <is>
          <t>Z102_01_022025_MASSENA.CSV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0086</t>
        </is>
      </c>
      <c r="H75" s="4" t="n">
        <v>45717</v>
      </c>
      <c r="I75" s="2" t="inlineStr">
        <is>
          <t>15:41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5" t="n">
        <v>0</v>
      </c>
      <c r="N75" s="6" t="n">
        <v>2025</v>
      </c>
      <c r="O75" s="5" t="inlineStr">
        <is>
          <t>2025-02</t>
        </is>
      </c>
    </row>
    <row r="76">
      <c r="A76" s="2" t="inlineStr">
        <is>
          <t>Z102_01_022025_MASSENA.CSV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0086</t>
        </is>
      </c>
      <c r="H76" s="4" t="n">
        <v>45717</v>
      </c>
      <c r="I76" s="2" t="inlineStr">
        <is>
          <t>15:41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5" t="n">
        <v>0</v>
      </c>
      <c r="N76" s="6" t="n">
        <v>2025</v>
      </c>
      <c r="O76" s="5" t="inlineStr">
        <is>
          <t>2025-02</t>
        </is>
      </c>
    </row>
    <row r="77">
      <c r="A77" s="2" t="inlineStr">
        <is>
          <t>Z102_01_022025_MASSENA.CSV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0086</t>
        </is>
      </c>
      <c r="H77" s="4" t="n">
        <v>45717</v>
      </c>
      <c r="I77" s="2" t="inlineStr">
        <is>
          <t>15:41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5" t="n">
        <v>0</v>
      </c>
      <c r="N77" s="6" t="n">
        <v>2025</v>
      </c>
      <c r="O77" s="5" t="inlineStr">
        <is>
          <t>2025-02</t>
        </is>
      </c>
    </row>
    <row r="78">
      <c r="A78" s="2" t="inlineStr">
        <is>
          <t>Z102_01_022025_MASSENA.CSV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0086</t>
        </is>
      </c>
      <c r="H78" s="4" t="n">
        <v>45717</v>
      </c>
      <c r="I78" s="2" t="inlineStr">
        <is>
          <t>15:41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5" t="n">
        <v>0</v>
      </c>
      <c r="N78" s="6" t="n">
        <v>2025</v>
      </c>
      <c r="O78" s="5" t="inlineStr">
        <is>
          <t>2025-02</t>
        </is>
      </c>
    </row>
    <row r="79">
      <c r="A79" s="2" t="inlineStr">
        <is>
          <t>Z102_01_022025_MASSENA.CSV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0086</t>
        </is>
      </c>
      <c r="H79" s="4" t="n">
        <v>45717</v>
      </c>
      <c r="I79" s="2" t="inlineStr">
        <is>
          <t>15:41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5" t="n">
        <v>0</v>
      </c>
      <c r="N79" s="6" t="n">
        <v>2025</v>
      </c>
      <c r="O79" s="5" t="inlineStr">
        <is>
          <t>2025-02</t>
        </is>
      </c>
    </row>
    <row r="80">
      <c r="A80" s="2" t="inlineStr">
        <is>
          <t>Z102_01_022025_MASSENA.CSV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0086</t>
        </is>
      </c>
      <c r="H80" s="4" t="n">
        <v>45717</v>
      </c>
      <c r="I80" s="2" t="inlineStr">
        <is>
          <t>15:41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5" t="n">
        <v>0</v>
      </c>
      <c r="N80" s="6" t="n">
        <v>2025</v>
      </c>
      <c r="O80" s="5" t="inlineStr">
        <is>
          <t>2025-02</t>
        </is>
      </c>
    </row>
    <row r="81">
      <c r="A81" s="2" t="inlineStr">
        <is>
          <t>Z102_01_022025_MASSENA.CSV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0086</t>
        </is>
      </c>
      <c r="H81" s="4" t="n">
        <v>45717</v>
      </c>
      <c r="I81" s="2" t="inlineStr">
        <is>
          <t>15:41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5" t="n">
        <v>0</v>
      </c>
      <c r="N81" s="6" t="n">
        <v>2025</v>
      </c>
      <c r="O81" s="5" t="inlineStr">
        <is>
          <t>2025-02</t>
        </is>
      </c>
    </row>
    <row r="82">
      <c r="A82" s="2" t="inlineStr">
        <is>
          <t>Z102_01_022025_MASSENA.CSV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0086</t>
        </is>
      </c>
      <c r="H82" s="4" t="n">
        <v>45717</v>
      </c>
      <c r="I82" s="2" t="inlineStr">
        <is>
          <t>15:41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5" t="n">
        <v>0</v>
      </c>
      <c r="N82" s="6" t="n">
        <v>2025</v>
      </c>
      <c r="O82" s="5" t="inlineStr">
        <is>
          <t>2025-02</t>
        </is>
      </c>
    </row>
    <row r="83">
      <c r="A83" s="2" t="inlineStr">
        <is>
          <t>Z102_01_022025_MASSENA.CSV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0086</t>
        </is>
      </c>
      <c r="H83" s="4" t="n">
        <v>45717</v>
      </c>
      <c r="I83" s="2" t="inlineStr">
        <is>
          <t>15:41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5" t="n">
        <v>0</v>
      </c>
      <c r="N83" s="6" t="n">
        <v>2025</v>
      </c>
      <c r="O83" s="5" t="inlineStr">
        <is>
          <t>2025-02</t>
        </is>
      </c>
    </row>
    <row r="84">
      <c r="A84" s="2" t="inlineStr">
        <is>
          <t>Z102_01_022025_MASSENA.CSV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0086</t>
        </is>
      </c>
      <c r="H84" s="4" t="n">
        <v>45717</v>
      </c>
      <c r="I84" s="2" t="inlineStr">
        <is>
          <t>15:41</t>
        </is>
      </c>
      <c r="J84" s="3" t="inlineStr">
        <is>
          <t>0033</t>
        </is>
      </c>
      <c r="K84" s="2" t="inlineStr"/>
      <c r="L84" s="5" t="n">
        <v>0</v>
      </c>
      <c r="M84" s="5" t="n">
        <v>0</v>
      </c>
      <c r="N84" s="6" t="n">
        <v>2025</v>
      </c>
      <c r="O84" s="5" t="inlineStr">
        <is>
          <t>2025-02</t>
        </is>
      </c>
    </row>
    <row r="85">
      <c r="A85" s="2" t="inlineStr">
        <is>
          <t>Z102_01_022025_MASSENA.CSV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0086</t>
        </is>
      </c>
      <c r="H85" s="4" t="n">
        <v>45717</v>
      </c>
      <c r="I85" s="2" t="inlineStr">
        <is>
          <t>15:41</t>
        </is>
      </c>
      <c r="J85" s="3" t="inlineStr">
        <is>
          <t>0034</t>
        </is>
      </c>
      <c r="K85" s="2" t="inlineStr"/>
      <c r="L85" s="5" t="n">
        <v>0</v>
      </c>
      <c r="M85" s="5" t="n">
        <v>0</v>
      </c>
      <c r="N85" s="6" t="n">
        <v>2025</v>
      </c>
      <c r="O85" s="5" t="inlineStr">
        <is>
          <t>2025-02</t>
        </is>
      </c>
    </row>
    <row r="86">
      <c r="A86" s="2" t="inlineStr">
        <is>
          <t>Z102_01_022025_MASSENA.CSV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0086</t>
        </is>
      </c>
      <c r="H86" s="4" t="n">
        <v>45717</v>
      </c>
      <c r="I86" s="2" t="inlineStr">
        <is>
          <t>15:41</t>
        </is>
      </c>
      <c r="J86" s="3" t="inlineStr">
        <is>
          <t>0035</t>
        </is>
      </c>
      <c r="K86" s="2" t="inlineStr"/>
      <c r="L86" s="5" t="n">
        <v>0</v>
      </c>
      <c r="M86" s="5" t="n">
        <v>0</v>
      </c>
      <c r="N86" s="6" t="n">
        <v>2025</v>
      </c>
      <c r="O86" s="5" t="inlineStr">
        <is>
          <t>2025-02</t>
        </is>
      </c>
    </row>
    <row r="87">
      <c r="A87" s="2" t="inlineStr">
        <is>
          <t>Z102_01_022025_MASSENA.CSV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0086</t>
        </is>
      </c>
      <c r="H87" s="4" t="n">
        <v>45717</v>
      </c>
      <c r="I87" s="2" t="inlineStr">
        <is>
          <t>15:41</t>
        </is>
      </c>
      <c r="J87" s="3" t="inlineStr">
        <is>
          <t>0036</t>
        </is>
      </c>
      <c r="K87" s="2" t="inlineStr"/>
      <c r="L87" s="5" t="n">
        <v>0</v>
      </c>
      <c r="M87" s="5" t="n">
        <v>0</v>
      </c>
      <c r="N87" s="6" t="n">
        <v>2025</v>
      </c>
      <c r="O87" s="5" t="inlineStr">
        <is>
          <t>2025-02</t>
        </is>
      </c>
    </row>
    <row r="88">
      <c r="A88" s="2" t="inlineStr">
        <is>
          <t>Z102_01_022025_MASSENA.CSV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0086</t>
        </is>
      </c>
      <c r="H88" s="4" t="n">
        <v>45717</v>
      </c>
      <c r="I88" s="2" t="inlineStr">
        <is>
          <t>15:41</t>
        </is>
      </c>
      <c r="J88" s="3" t="inlineStr">
        <is>
          <t>0037</t>
        </is>
      </c>
      <c r="K88" s="2" t="inlineStr"/>
      <c r="L88" s="5" t="n">
        <v>0</v>
      </c>
      <c r="M88" s="5" t="n">
        <v>0</v>
      </c>
      <c r="N88" s="6" t="n">
        <v>2025</v>
      </c>
      <c r="O88" s="5" t="inlineStr">
        <is>
          <t>2025-02</t>
        </is>
      </c>
    </row>
    <row r="89">
      <c r="A89" s="2" t="inlineStr">
        <is>
          <t>Z102_01_022025_MASSENA.CSV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0086</t>
        </is>
      </c>
      <c r="H89" s="4" t="n">
        <v>45717</v>
      </c>
      <c r="I89" s="2" t="inlineStr">
        <is>
          <t>15:41</t>
        </is>
      </c>
      <c r="J89" s="3" t="inlineStr">
        <is>
          <t>0038</t>
        </is>
      </c>
      <c r="K89" s="2" t="inlineStr"/>
      <c r="L89" s="5" t="n">
        <v>0</v>
      </c>
      <c r="M89" s="5" t="n">
        <v>0</v>
      </c>
      <c r="N89" s="6" t="n">
        <v>2025</v>
      </c>
      <c r="O89" s="5" t="inlineStr">
        <is>
          <t>2025-02</t>
        </is>
      </c>
    </row>
    <row r="90">
      <c r="A90" s="2" t="inlineStr">
        <is>
          <t>Z102_01_022025_MASSENA.CSV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0086</t>
        </is>
      </c>
      <c r="H90" s="4" t="n">
        <v>45717</v>
      </c>
      <c r="I90" s="2" t="inlineStr">
        <is>
          <t>15:41</t>
        </is>
      </c>
      <c r="J90" s="3" t="inlineStr">
        <is>
          <t>0039</t>
        </is>
      </c>
      <c r="K90" s="2" t="inlineStr"/>
      <c r="L90" s="5" t="n">
        <v>0</v>
      </c>
      <c r="M90" s="5" t="n">
        <v>0</v>
      </c>
      <c r="N90" s="6" t="n">
        <v>2025</v>
      </c>
      <c r="O90" s="5" t="inlineStr">
        <is>
          <t>2025-02</t>
        </is>
      </c>
    </row>
    <row r="91">
      <c r="A91" s="2" t="inlineStr">
        <is>
          <t>Z102_01_022025_MASSENA.CSV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0086</t>
        </is>
      </c>
      <c r="H91" s="4" t="n">
        <v>45717</v>
      </c>
      <c r="I91" s="2" t="inlineStr">
        <is>
          <t>15:41</t>
        </is>
      </c>
      <c r="J91" s="3" t="inlineStr">
        <is>
          <t>0040</t>
        </is>
      </c>
      <c r="K91" s="2" t="inlineStr"/>
      <c r="L91" s="5" t="n">
        <v>0</v>
      </c>
      <c r="M91" s="5" t="n">
        <v>0</v>
      </c>
      <c r="N91" s="6" t="n">
        <v>2025</v>
      </c>
      <c r="O91" s="5" t="inlineStr">
        <is>
          <t>2025-02</t>
        </is>
      </c>
    </row>
    <row r="92">
      <c r="A92" s="2" t="inlineStr">
        <is>
          <t>Z102_01_022025_MASSENA.CSV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0086</t>
        </is>
      </c>
      <c r="H92" s="4" t="n">
        <v>45717</v>
      </c>
      <c r="I92" s="2" t="inlineStr">
        <is>
          <t>15:41</t>
        </is>
      </c>
      <c r="J92" s="3" t="inlineStr">
        <is>
          <t>0041</t>
        </is>
      </c>
      <c r="K92" s="2" t="inlineStr"/>
      <c r="L92" s="5" t="n">
        <v>0</v>
      </c>
      <c r="M92" s="5" t="n">
        <v>0</v>
      </c>
      <c r="N92" s="6" t="n">
        <v>2025</v>
      </c>
      <c r="O92" s="5" t="inlineStr">
        <is>
          <t>2025-02</t>
        </is>
      </c>
    </row>
    <row r="93">
      <c r="A93" s="2" t="inlineStr">
        <is>
          <t>Z102_01_022025_MASSENA.CSV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0086</t>
        </is>
      </c>
      <c r="H93" s="4" t="n">
        <v>45717</v>
      </c>
      <c r="I93" s="2" t="inlineStr">
        <is>
          <t>15:41</t>
        </is>
      </c>
      <c r="J93" s="3" t="inlineStr">
        <is>
          <t>0042</t>
        </is>
      </c>
      <c r="K93" s="2" t="inlineStr"/>
      <c r="L93" s="5" t="n">
        <v>0</v>
      </c>
      <c r="M93" s="5" t="n">
        <v>0</v>
      </c>
      <c r="N93" s="6" t="n">
        <v>2025</v>
      </c>
      <c r="O93" s="5" t="inlineStr">
        <is>
          <t>2025-02</t>
        </is>
      </c>
    </row>
    <row r="94">
      <c r="A94" s="2" t="inlineStr">
        <is>
          <t>Z102_01_022025_MASSENA.CSV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0086</t>
        </is>
      </c>
      <c r="H94" s="4" t="n">
        <v>45717</v>
      </c>
      <c r="I94" s="2" t="inlineStr">
        <is>
          <t>15:41</t>
        </is>
      </c>
      <c r="J94" s="3" t="inlineStr">
        <is>
          <t>0043</t>
        </is>
      </c>
      <c r="K94" s="2" t="inlineStr"/>
      <c r="L94" s="5" t="n">
        <v>0</v>
      </c>
      <c r="M94" s="5" t="n">
        <v>0</v>
      </c>
      <c r="N94" s="6" t="n">
        <v>2025</v>
      </c>
      <c r="O94" s="5" t="inlineStr">
        <is>
          <t>2025-02</t>
        </is>
      </c>
    </row>
    <row r="95">
      <c r="A95" s="2" t="inlineStr">
        <is>
          <t>Z102_01_022025_MASSENA.CSV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0086</t>
        </is>
      </c>
      <c r="H95" s="4" t="n">
        <v>45717</v>
      </c>
      <c r="I95" s="2" t="inlineStr">
        <is>
          <t>15:41</t>
        </is>
      </c>
      <c r="J95" s="3" t="inlineStr">
        <is>
          <t>0044</t>
        </is>
      </c>
      <c r="K95" s="2" t="inlineStr"/>
      <c r="L95" s="5" t="n">
        <v>0</v>
      </c>
      <c r="M95" s="5" t="n">
        <v>0</v>
      </c>
      <c r="N95" s="6" t="n">
        <v>2025</v>
      </c>
      <c r="O95" s="5" t="inlineStr">
        <is>
          <t>2025-02</t>
        </is>
      </c>
    </row>
    <row r="96">
      <c r="A96" s="2" t="inlineStr">
        <is>
          <t>Z102_01_022025_MASSENA.CSV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0086</t>
        </is>
      </c>
      <c r="H96" s="4" t="n">
        <v>45717</v>
      </c>
      <c r="I96" s="2" t="inlineStr">
        <is>
          <t>15:41</t>
        </is>
      </c>
      <c r="J96" s="3" t="inlineStr">
        <is>
          <t>0045</t>
        </is>
      </c>
      <c r="K96" s="2" t="inlineStr"/>
      <c r="L96" s="5" t="n">
        <v>0</v>
      </c>
      <c r="M96" s="5" t="n">
        <v>0</v>
      </c>
      <c r="N96" s="6" t="n">
        <v>2025</v>
      </c>
      <c r="O96" s="5" t="inlineStr">
        <is>
          <t>2025-02</t>
        </is>
      </c>
    </row>
    <row r="97">
      <c r="A97" s="2" t="inlineStr">
        <is>
          <t>Z102_01_022025_MASSENA.CSV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0086</t>
        </is>
      </c>
      <c r="H97" s="4" t="n">
        <v>45717</v>
      </c>
      <c r="I97" s="2" t="inlineStr">
        <is>
          <t>15:41</t>
        </is>
      </c>
      <c r="J97" s="3" t="inlineStr">
        <is>
          <t>0046</t>
        </is>
      </c>
      <c r="K97" s="2" t="inlineStr"/>
      <c r="L97" s="5" t="n">
        <v>0</v>
      </c>
      <c r="M97" s="5" t="n">
        <v>0</v>
      </c>
      <c r="N97" s="6" t="n">
        <v>2025</v>
      </c>
      <c r="O97" s="5" t="inlineStr">
        <is>
          <t>2025-02</t>
        </is>
      </c>
    </row>
    <row r="98">
      <c r="A98" s="2" t="inlineStr">
        <is>
          <t>Z102_01_022025_MASSENA.CSV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0086</t>
        </is>
      </c>
      <c r="H98" s="4" t="n">
        <v>45717</v>
      </c>
      <c r="I98" s="2" t="inlineStr">
        <is>
          <t>15:41</t>
        </is>
      </c>
      <c r="J98" s="3" t="inlineStr">
        <is>
          <t>0047</t>
        </is>
      </c>
      <c r="K98" s="2" t="inlineStr"/>
      <c r="L98" s="5" t="n">
        <v>0</v>
      </c>
      <c r="M98" s="5" t="n">
        <v>0</v>
      </c>
      <c r="N98" s="6" t="n">
        <v>2025</v>
      </c>
      <c r="O98" s="5" t="inlineStr">
        <is>
          <t>2025-02</t>
        </is>
      </c>
    </row>
    <row r="99">
      <c r="A99" s="2" t="inlineStr">
        <is>
          <t>Z102_01_022025_MASSENA.CSV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0086</t>
        </is>
      </c>
      <c r="H99" s="4" t="n">
        <v>45717</v>
      </c>
      <c r="I99" s="2" t="inlineStr">
        <is>
          <t>15:41</t>
        </is>
      </c>
      <c r="J99" s="3" t="inlineStr">
        <is>
          <t>0048</t>
        </is>
      </c>
      <c r="K99" s="2" t="inlineStr"/>
      <c r="L99" s="5" t="n">
        <v>0</v>
      </c>
      <c r="M99" s="5" t="n">
        <v>0</v>
      </c>
      <c r="N99" s="6" t="n">
        <v>2025</v>
      </c>
      <c r="O99" s="5" t="inlineStr">
        <is>
          <t>2025-02</t>
        </is>
      </c>
    </row>
    <row r="100">
      <c r="A100" s="2" t="inlineStr">
        <is>
          <t>Z102_01_022025_MASSENA.CSV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0086</t>
        </is>
      </c>
      <c r="H100" s="4" t="n">
        <v>45717</v>
      </c>
      <c r="I100" s="2" t="inlineStr">
        <is>
          <t>15:41</t>
        </is>
      </c>
      <c r="J100" s="3" t="inlineStr">
        <is>
          <t>0049</t>
        </is>
      </c>
      <c r="K100" s="2" t="inlineStr"/>
      <c r="L100" s="5" t="n">
        <v>0</v>
      </c>
      <c r="M100" s="5" t="n">
        <v>0</v>
      </c>
      <c r="N100" s="6" t="n">
        <v>2025</v>
      </c>
      <c r="O100" s="5" t="inlineStr">
        <is>
          <t>2025-02</t>
        </is>
      </c>
    </row>
    <row r="101">
      <c r="A101" s="2" t="inlineStr">
        <is>
          <t>Z102_01_022025_MASSENA.CSV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0086</t>
        </is>
      </c>
      <c r="H101" s="4" t="n">
        <v>45717</v>
      </c>
      <c r="I101" s="2" t="inlineStr">
        <is>
          <t>15:41</t>
        </is>
      </c>
      <c r="J101" s="3" t="inlineStr">
        <is>
          <t>0050</t>
        </is>
      </c>
      <c r="K101" s="2" t="inlineStr"/>
      <c r="L101" s="5" t="n">
        <v>0</v>
      </c>
      <c r="M101" s="5" t="n">
        <v>0</v>
      </c>
      <c r="N101" s="6" t="n">
        <v>2025</v>
      </c>
      <c r="O101" s="5" t="inlineStr">
        <is>
          <t>2025-02</t>
        </is>
      </c>
    </row>
    <row r="102">
      <c r="A102" s="2" t="inlineStr">
        <is>
          <t>Z102_01_042025_052025_062025_MASSENA.CSV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0088</t>
        </is>
      </c>
      <c r="H102" s="4" t="n">
        <v>45839</v>
      </c>
      <c r="I102" s="2" t="inlineStr">
        <is>
          <t>09:58</t>
        </is>
      </c>
      <c r="J102" s="3" t="inlineStr">
        <is>
          <t>0001</t>
        </is>
      </c>
      <c r="K102" s="2" t="inlineStr">
        <is>
          <t>ESPECES</t>
        </is>
      </c>
      <c r="L102" s="5" t="n">
        <v>18</v>
      </c>
      <c r="M102" s="5" t="n">
        <v>6815.7</v>
      </c>
      <c r="N102" s="6" t="n">
        <v>2025</v>
      </c>
      <c r="O102" s="5" t="inlineStr">
        <is>
          <t>2025-04|2025-05|2025-06</t>
        </is>
      </c>
    </row>
    <row r="103">
      <c r="A103" s="2" t="inlineStr">
        <is>
          <t>Z102_01_042025_052025_062025_MASSENA.CSV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0088</t>
        </is>
      </c>
      <c r="H103" s="4" t="n">
        <v>45839</v>
      </c>
      <c r="I103" s="2" t="inlineStr">
        <is>
          <t>09:58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5" t="n">
        <v>0</v>
      </c>
      <c r="N103" s="6" t="n">
        <v>2025</v>
      </c>
      <c r="O103" s="5" t="inlineStr">
        <is>
          <t>2025-04|2025-05|2025-06</t>
        </is>
      </c>
    </row>
    <row r="104">
      <c r="A104" s="2" t="inlineStr">
        <is>
          <t>Z102_01_042025_052025_062025_MASSENA.CSV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0088</t>
        </is>
      </c>
      <c r="H104" s="4" t="n">
        <v>45839</v>
      </c>
      <c r="I104" s="2" t="inlineStr">
        <is>
          <t>09:58</t>
        </is>
      </c>
      <c r="J104" s="3" t="inlineStr">
        <is>
          <t>0003</t>
        </is>
      </c>
      <c r="K104" s="2" t="inlineStr">
        <is>
          <t>CARTES</t>
        </is>
      </c>
      <c r="L104" s="5" t="n">
        <v>16</v>
      </c>
      <c r="M104" s="5" t="n">
        <v>5642.4</v>
      </c>
      <c r="N104" s="6" t="n">
        <v>2025</v>
      </c>
      <c r="O104" s="5" t="inlineStr">
        <is>
          <t>2025-04|2025-05|2025-06</t>
        </is>
      </c>
    </row>
    <row r="105">
      <c r="A105" s="2" t="inlineStr">
        <is>
          <t>Z102_01_042025_052025_062025_MASSENA.CSV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0088</t>
        </is>
      </c>
      <c r="H105" s="4" t="n">
        <v>45839</v>
      </c>
      <c r="I105" s="2" t="inlineStr">
        <is>
          <t>09:58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5" t="n">
        <v>0</v>
      </c>
      <c r="N105" s="6" t="n">
        <v>2025</v>
      </c>
      <c r="O105" s="5" t="inlineStr">
        <is>
          <t>2025-04|2025-05|2025-06</t>
        </is>
      </c>
    </row>
    <row r="106">
      <c r="A106" s="2" t="inlineStr">
        <is>
          <t>Z102_01_042025_052025_062025_MASSENA.CSV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0088</t>
        </is>
      </c>
      <c r="H106" s="4" t="n">
        <v>45839</v>
      </c>
      <c r="I106" s="2" t="inlineStr">
        <is>
          <t>09:58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5" t="n">
        <v>0</v>
      </c>
      <c r="N106" s="6" t="n">
        <v>2025</v>
      </c>
      <c r="O106" s="5" t="inlineStr">
        <is>
          <t>2025-04|2025-05|2025-06</t>
        </is>
      </c>
    </row>
    <row r="107">
      <c r="A107" s="2" t="inlineStr">
        <is>
          <t>Z102_01_042025_052025_062025_MASSENA.CSV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0088</t>
        </is>
      </c>
      <c r="H107" s="4" t="n">
        <v>45839</v>
      </c>
      <c r="I107" s="2" t="inlineStr">
        <is>
          <t>09:58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5" t="n">
        <v>0</v>
      </c>
      <c r="N107" s="6" t="n">
        <v>2025</v>
      </c>
      <c r="O107" s="5" t="inlineStr">
        <is>
          <t>2025-04|2025-05|2025-06</t>
        </is>
      </c>
    </row>
    <row r="108">
      <c r="A108" s="2" t="inlineStr">
        <is>
          <t>Z102_01_042025_052025_062025_MASSENA.CSV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0088</t>
        </is>
      </c>
      <c r="H108" s="4" t="n">
        <v>45839</v>
      </c>
      <c r="I108" s="2" t="inlineStr">
        <is>
          <t>09:58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5" t="n">
        <v>0</v>
      </c>
      <c r="N108" s="6" t="n">
        <v>2025</v>
      </c>
      <c r="O108" s="5" t="inlineStr">
        <is>
          <t>2025-04|2025-05|2025-06</t>
        </is>
      </c>
    </row>
    <row r="109">
      <c r="A109" s="2" t="inlineStr">
        <is>
          <t>Z102_01_042025_052025_062025_MASSENA.CSV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0088</t>
        </is>
      </c>
      <c r="H109" s="4" t="n">
        <v>45839</v>
      </c>
      <c r="I109" s="2" t="inlineStr">
        <is>
          <t>09:58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5" t="n">
        <v>0</v>
      </c>
      <c r="N109" s="6" t="n">
        <v>2025</v>
      </c>
      <c r="O109" s="5" t="inlineStr">
        <is>
          <t>2025-04|2025-05|2025-06</t>
        </is>
      </c>
    </row>
    <row r="110">
      <c r="A110" s="2" t="inlineStr">
        <is>
          <t>Z102_01_042025_052025_062025_MASSENA.CSV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0088</t>
        </is>
      </c>
      <c r="H110" s="4" t="n">
        <v>45839</v>
      </c>
      <c r="I110" s="2" t="inlineStr">
        <is>
          <t>09:58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5" t="n">
        <v>0</v>
      </c>
      <c r="N110" s="6" t="n">
        <v>2025</v>
      </c>
      <c r="O110" s="5" t="inlineStr">
        <is>
          <t>2025-04|2025-05|2025-06</t>
        </is>
      </c>
    </row>
    <row r="111">
      <c r="A111" s="2" t="inlineStr">
        <is>
          <t>Z102_01_042025_052025_062025_MASSENA.CSV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0088</t>
        </is>
      </c>
      <c r="H111" s="4" t="n">
        <v>45839</v>
      </c>
      <c r="I111" s="2" t="inlineStr">
        <is>
          <t>09:58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5" t="n">
        <v>0</v>
      </c>
      <c r="N111" s="6" t="n">
        <v>2025</v>
      </c>
      <c r="O111" s="5" t="inlineStr">
        <is>
          <t>2025-04|2025-05|2025-06</t>
        </is>
      </c>
    </row>
    <row r="112">
      <c r="A112" s="2" t="inlineStr">
        <is>
          <t>Z102_01_042025_052025_062025_MASSENA.CSV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0088</t>
        </is>
      </c>
      <c r="H112" s="4" t="n">
        <v>45839</v>
      </c>
      <c r="I112" s="2" t="inlineStr">
        <is>
          <t>09:58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5" t="n">
        <v>0</v>
      </c>
      <c r="N112" s="6" t="n">
        <v>2025</v>
      </c>
      <c r="O112" s="5" t="inlineStr">
        <is>
          <t>2025-04|2025-05|2025-06</t>
        </is>
      </c>
    </row>
    <row r="113">
      <c r="A113" s="2" t="inlineStr">
        <is>
          <t>Z102_01_042025_052025_062025_MASSENA.CSV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0088</t>
        </is>
      </c>
      <c r="H113" s="4" t="n">
        <v>45839</v>
      </c>
      <c r="I113" s="2" t="inlineStr">
        <is>
          <t>09:58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5" t="n">
        <v>0</v>
      </c>
      <c r="N113" s="6" t="n">
        <v>2025</v>
      </c>
      <c r="O113" s="5" t="inlineStr">
        <is>
          <t>2025-04|2025-05|2025-06</t>
        </is>
      </c>
    </row>
    <row r="114">
      <c r="A114" s="2" t="inlineStr">
        <is>
          <t>Z102_01_042025_052025_062025_MASSENA.CSV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0088</t>
        </is>
      </c>
      <c r="H114" s="4" t="n">
        <v>45839</v>
      </c>
      <c r="I114" s="2" t="inlineStr">
        <is>
          <t>09:58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5" t="n">
        <v>0</v>
      </c>
      <c r="N114" s="6" t="n">
        <v>2025</v>
      </c>
      <c r="O114" s="5" t="inlineStr">
        <is>
          <t>2025-04|2025-05|2025-06</t>
        </is>
      </c>
    </row>
    <row r="115">
      <c r="A115" s="2" t="inlineStr">
        <is>
          <t>Z102_01_042025_052025_062025_MASSENA.CSV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0088</t>
        </is>
      </c>
      <c r="H115" s="4" t="n">
        <v>45839</v>
      </c>
      <c r="I115" s="2" t="inlineStr">
        <is>
          <t>09:58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5" t="n">
        <v>0</v>
      </c>
      <c r="N115" s="6" t="n">
        <v>2025</v>
      </c>
      <c r="O115" s="5" t="inlineStr">
        <is>
          <t>2025-04|2025-05|2025-06</t>
        </is>
      </c>
    </row>
    <row r="116">
      <c r="A116" s="2" t="inlineStr">
        <is>
          <t>Z102_01_042025_052025_062025_MASSENA.CSV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0088</t>
        </is>
      </c>
      <c r="H116" s="4" t="n">
        <v>45839</v>
      </c>
      <c r="I116" s="2" t="inlineStr">
        <is>
          <t>09:58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5" t="n">
        <v>0</v>
      </c>
      <c r="N116" s="6" t="n">
        <v>2025</v>
      </c>
      <c r="O116" s="5" t="inlineStr">
        <is>
          <t>2025-04|2025-05|2025-06</t>
        </is>
      </c>
    </row>
    <row r="117">
      <c r="A117" s="2" t="inlineStr">
        <is>
          <t>Z102_01_042025_052025_062025_MASSENA.CSV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0088</t>
        </is>
      </c>
      <c r="H117" s="4" t="n">
        <v>45839</v>
      </c>
      <c r="I117" s="2" t="inlineStr">
        <is>
          <t>09:58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5" t="n">
        <v>0</v>
      </c>
      <c r="N117" s="6" t="n">
        <v>2025</v>
      </c>
      <c r="O117" s="5" t="inlineStr">
        <is>
          <t>2025-04|2025-05|2025-06</t>
        </is>
      </c>
    </row>
    <row r="118">
      <c r="A118" s="2" t="inlineStr">
        <is>
          <t>Z102_01_042025_052025_062025_MASSENA.CSV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0088</t>
        </is>
      </c>
      <c r="H118" s="4" t="n">
        <v>45839</v>
      </c>
      <c r="I118" s="2" t="inlineStr">
        <is>
          <t>09:58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5" t="n">
        <v>0</v>
      </c>
      <c r="N118" s="6" t="n">
        <v>2025</v>
      </c>
      <c r="O118" s="5" t="inlineStr">
        <is>
          <t>2025-04|2025-05|2025-06</t>
        </is>
      </c>
    </row>
    <row r="119">
      <c r="A119" s="2" t="inlineStr">
        <is>
          <t>Z102_01_042025_052025_062025_MASSENA.CSV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0088</t>
        </is>
      </c>
      <c r="H119" s="4" t="n">
        <v>45839</v>
      </c>
      <c r="I119" s="2" t="inlineStr">
        <is>
          <t>09:58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5" t="n">
        <v>0</v>
      </c>
      <c r="N119" s="6" t="n">
        <v>2025</v>
      </c>
      <c r="O119" s="5" t="inlineStr">
        <is>
          <t>2025-04|2025-05|2025-06</t>
        </is>
      </c>
    </row>
    <row r="120">
      <c r="A120" s="2" t="inlineStr">
        <is>
          <t>Z102_01_042025_052025_062025_MASSENA.CSV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0088</t>
        </is>
      </c>
      <c r="H120" s="4" t="n">
        <v>45839</v>
      </c>
      <c r="I120" s="2" t="inlineStr">
        <is>
          <t>09:58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5" t="n">
        <v>0</v>
      </c>
      <c r="N120" s="6" t="n">
        <v>2025</v>
      </c>
      <c r="O120" s="5" t="inlineStr">
        <is>
          <t>2025-04|2025-05|2025-06</t>
        </is>
      </c>
    </row>
    <row r="121">
      <c r="A121" s="2" t="inlineStr">
        <is>
          <t>Z102_01_042025_052025_062025_MASSENA.CSV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0088</t>
        </is>
      </c>
      <c r="H121" s="4" t="n">
        <v>45839</v>
      </c>
      <c r="I121" s="2" t="inlineStr">
        <is>
          <t>09:58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5" t="n">
        <v>0</v>
      </c>
      <c r="N121" s="6" t="n">
        <v>2025</v>
      </c>
      <c r="O121" s="5" t="inlineStr">
        <is>
          <t>2025-04|2025-05|2025-06</t>
        </is>
      </c>
    </row>
    <row r="122">
      <c r="A122" s="2" t="inlineStr">
        <is>
          <t>Z102_01_042025_052025_062025_MASSENA.CSV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0088</t>
        </is>
      </c>
      <c r="H122" s="4" t="n">
        <v>45839</v>
      </c>
      <c r="I122" s="2" t="inlineStr">
        <is>
          <t>09:58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5" t="n">
        <v>0</v>
      </c>
      <c r="N122" s="6" t="n">
        <v>2025</v>
      </c>
      <c r="O122" s="5" t="inlineStr">
        <is>
          <t>2025-04|2025-05|2025-06</t>
        </is>
      </c>
    </row>
    <row r="123">
      <c r="A123" s="2" t="inlineStr">
        <is>
          <t>Z102_01_042025_052025_062025_MASSENA.CSV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0088</t>
        </is>
      </c>
      <c r="H123" s="4" t="n">
        <v>45839</v>
      </c>
      <c r="I123" s="2" t="inlineStr">
        <is>
          <t>09:58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5" t="n">
        <v>0</v>
      </c>
      <c r="N123" s="6" t="n">
        <v>2025</v>
      </c>
      <c r="O123" s="5" t="inlineStr">
        <is>
          <t>2025-04|2025-05|2025-06</t>
        </is>
      </c>
    </row>
    <row r="124">
      <c r="A124" s="2" t="inlineStr">
        <is>
          <t>Z102_01_042025_052025_062025_MASSENA.CSV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0088</t>
        </is>
      </c>
      <c r="H124" s="4" t="n">
        <v>45839</v>
      </c>
      <c r="I124" s="2" t="inlineStr">
        <is>
          <t>09:58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5" t="n">
        <v>0</v>
      </c>
      <c r="N124" s="6" t="n">
        <v>2025</v>
      </c>
      <c r="O124" s="5" t="inlineStr">
        <is>
          <t>2025-04|2025-05|2025-06</t>
        </is>
      </c>
    </row>
    <row r="125">
      <c r="A125" s="2" t="inlineStr">
        <is>
          <t>Z102_01_042025_052025_062025_MASSENA.CSV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0088</t>
        </is>
      </c>
      <c r="H125" s="4" t="n">
        <v>45839</v>
      </c>
      <c r="I125" s="2" t="inlineStr">
        <is>
          <t>09:58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5" t="n">
        <v>0</v>
      </c>
      <c r="N125" s="6" t="n">
        <v>2025</v>
      </c>
      <c r="O125" s="5" t="inlineStr">
        <is>
          <t>2025-04|2025-05|2025-06</t>
        </is>
      </c>
    </row>
    <row r="126">
      <c r="A126" s="2" t="inlineStr">
        <is>
          <t>Z102_01_042025_052025_062025_MASSENA.CSV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0088</t>
        </is>
      </c>
      <c r="H126" s="4" t="n">
        <v>45839</v>
      </c>
      <c r="I126" s="2" t="inlineStr">
        <is>
          <t>09:58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5" t="n">
        <v>0</v>
      </c>
      <c r="N126" s="6" t="n">
        <v>2025</v>
      </c>
      <c r="O126" s="5" t="inlineStr">
        <is>
          <t>2025-04|2025-05|2025-06</t>
        </is>
      </c>
    </row>
    <row r="127">
      <c r="A127" s="2" t="inlineStr">
        <is>
          <t>Z102_01_042025_052025_062025_MASSENA.CSV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0088</t>
        </is>
      </c>
      <c r="H127" s="4" t="n">
        <v>45839</v>
      </c>
      <c r="I127" s="2" t="inlineStr">
        <is>
          <t>09:58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5" t="n">
        <v>0</v>
      </c>
      <c r="N127" s="6" t="n">
        <v>2025</v>
      </c>
      <c r="O127" s="5" t="inlineStr">
        <is>
          <t>2025-04|2025-05|2025-06</t>
        </is>
      </c>
    </row>
    <row r="128">
      <c r="A128" s="2" t="inlineStr">
        <is>
          <t>Z102_01_042025_052025_062025_MASSENA.CSV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0088</t>
        </is>
      </c>
      <c r="H128" s="4" t="n">
        <v>45839</v>
      </c>
      <c r="I128" s="2" t="inlineStr">
        <is>
          <t>09:58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5" t="n">
        <v>0</v>
      </c>
      <c r="N128" s="6" t="n">
        <v>2025</v>
      </c>
      <c r="O128" s="5" t="inlineStr">
        <is>
          <t>2025-04|2025-05|2025-06</t>
        </is>
      </c>
    </row>
    <row r="129">
      <c r="A129" s="2" t="inlineStr">
        <is>
          <t>Z102_01_042025_052025_062025_MASSENA.CSV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0088</t>
        </is>
      </c>
      <c r="H129" s="4" t="n">
        <v>45839</v>
      </c>
      <c r="I129" s="2" t="inlineStr">
        <is>
          <t>09:58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5" t="n">
        <v>0</v>
      </c>
      <c r="N129" s="6" t="n">
        <v>2025</v>
      </c>
      <c r="O129" s="5" t="inlineStr">
        <is>
          <t>2025-04|2025-05|2025-06</t>
        </is>
      </c>
    </row>
    <row r="130">
      <c r="A130" s="2" t="inlineStr">
        <is>
          <t>Z102_01_042025_052025_062025_MASSENA.CSV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0088</t>
        </is>
      </c>
      <c r="H130" s="4" t="n">
        <v>45839</v>
      </c>
      <c r="I130" s="2" t="inlineStr">
        <is>
          <t>09:58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5" t="n">
        <v>0</v>
      </c>
      <c r="N130" s="6" t="n">
        <v>2025</v>
      </c>
      <c r="O130" s="5" t="inlineStr">
        <is>
          <t>2025-04|2025-05|2025-06</t>
        </is>
      </c>
    </row>
    <row r="131">
      <c r="A131" s="2" t="inlineStr">
        <is>
          <t>Z102_01_042025_052025_062025_MASSENA.CSV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0088</t>
        </is>
      </c>
      <c r="H131" s="4" t="n">
        <v>45839</v>
      </c>
      <c r="I131" s="2" t="inlineStr">
        <is>
          <t>09:58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5" t="n">
        <v>0</v>
      </c>
      <c r="N131" s="6" t="n">
        <v>2025</v>
      </c>
      <c r="O131" s="5" t="inlineStr">
        <is>
          <t>2025-04|2025-05|2025-06</t>
        </is>
      </c>
    </row>
    <row r="132">
      <c r="A132" s="2" t="inlineStr">
        <is>
          <t>Z102_01_042025_052025_062025_MASSENA.CSV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0088</t>
        </is>
      </c>
      <c r="H132" s="4" t="n">
        <v>45839</v>
      </c>
      <c r="I132" s="2" t="inlineStr">
        <is>
          <t>09:58</t>
        </is>
      </c>
      <c r="J132" s="3" t="inlineStr">
        <is>
          <t>0031</t>
        </is>
      </c>
      <c r="K132" s="2" t="inlineStr">
        <is>
          <t>REF./TIROIR</t>
        </is>
      </c>
      <c r="L132" s="5" t="n">
        <v>1</v>
      </c>
      <c r="M132" s="5" t="n">
        <v>0</v>
      </c>
      <c r="N132" s="6" t="n">
        <v>2025</v>
      </c>
      <c r="O132" s="5" t="inlineStr">
        <is>
          <t>2025-04|2025-05|2025-06</t>
        </is>
      </c>
    </row>
    <row r="133">
      <c r="A133" s="2" t="inlineStr">
        <is>
          <t>Z102_01_042025_052025_062025_MASSENA.CSV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0088</t>
        </is>
      </c>
      <c r="H133" s="4" t="n">
        <v>45839</v>
      </c>
      <c r="I133" s="2" t="inlineStr">
        <is>
          <t>09:58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5" t="n">
        <v>0</v>
      </c>
      <c r="N133" s="6" t="n">
        <v>2025</v>
      </c>
      <c r="O133" s="5" t="inlineStr">
        <is>
          <t>2025-04|2025-05|2025-06</t>
        </is>
      </c>
    </row>
    <row r="134">
      <c r="A134" s="2" t="inlineStr">
        <is>
          <t>Z102_01_042025_052025_062025_MASSENA.CSV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0088</t>
        </is>
      </c>
      <c r="H134" s="4" t="n">
        <v>45839</v>
      </c>
      <c r="I134" s="2" t="inlineStr">
        <is>
          <t>09:58</t>
        </is>
      </c>
      <c r="J134" s="3" t="inlineStr">
        <is>
          <t>0033</t>
        </is>
      </c>
      <c r="K134" s="2" t="inlineStr"/>
      <c r="L134" s="5" t="n">
        <v>0</v>
      </c>
      <c r="M134" s="5" t="n">
        <v>0</v>
      </c>
      <c r="N134" s="6" t="n">
        <v>2025</v>
      </c>
      <c r="O134" s="5" t="inlineStr">
        <is>
          <t>2025-04|2025-05|2025-06</t>
        </is>
      </c>
    </row>
    <row r="135">
      <c r="A135" s="2" t="inlineStr">
        <is>
          <t>Z102_01_042025_052025_062025_MASSENA.CSV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0088</t>
        </is>
      </c>
      <c r="H135" s="4" t="n">
        <v>45839</v>
      </c>
      <c r="I135" s="2" t="inlineStr">
        <is>
          <t>09:58</t>
        </is>
      </c>
      <c r="J135" s="3" t="inlineStr">
        <is>
          <t>0034</t>
        </is>
      </c>
      <c r="K135" s="2" t="inlineStr"/>
      <c r="L135" s="5" t="n">
        <v>0</v>
      </c>
      <c r="M135" s="5" t="n">
        <v>0</v>
      </c>
      <c r="N135" s="6" t="n">
        <v>2025</v>
      </c>
      <c r="O135" s="5" t="inlineStr">
        <is>
          <t>2025-04|2025-05|2025-06</t>
        </is>
      </c>
    </row>
    <row r="136">
      <c r="A136" s="2" t="inlineStr">
        <is>
          <t>Z102_01_042025_052025_062025_MASSENA.CSV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0088</t>
        </is>
      </c>
      <c r="H136" s="4" t="n">
        <v>45839</v>
      </c>
      <c r="I136" s="2" t="inlineStr">
        <is>
          <t>09:58</t>
        </is>
      </c>
      <c r="J136" s="3" t="inlineStr">
        <is>
          <t>0035</t>
        </is>
      </c>
      <c r="K136" s="2" t="inlineStr"/>
      <c r="L136" s="5" t="n">
        <v>0</v>
      </c>
      <c r="M136" s="5" t="n">
        <v>0</v>
      </c>
      <c r="N136" s="6" t="n">
        <v>2025</v>
      </c>
      <c r="O136" s="5" t="inlineStr">
        <is>
          <t>2025-04|2025-05|2025-06</t>
        </is>
      </c>
    </row>
    <row r="137">
      <c r="A137" s="2" t="inlineStr">
        <is>
          <t>Z102_01_042025_052025_062025_MASSENA.CSV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0088</t>
        </is>
      </c>
      <c r="H137" s="4" t="n">
        <v>45839</v>
      </c>
      <c r="I137" s="2" t="inlineStr">
        <is>
          <t>09:58</t>
        </is>
      </c>
      <c r="J137" s="3" t="inlineStr">
        <is>
          <t>0036</t>
        </is>
      </c>
      <c r="K137" s="2" t="inlineStr"/>
      <c r="L137" s="5" t="n">
        <v>0</v>
      </c>
      <c r="M137" s="5" t="n">
        <v>0</v>
      </c>
      <c r="N137" s="6" t="n">
        <v>2025</v>
      </c>
      <c r="O137" s="5" t="inlineStr">
        <is>
          <t>2025-04|2025-05|2025-06</t>
        </is>
      </c>
    </row>
    <row r="138">
      <c r="A138" s="2" t="inlineStr">
        <is>
          <t>Z102_01_042025_052025_062025_MASSENA.CSV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0088</t>
        </is>
      </c>
      <c r="H138" s="4" t="n">
        <v>45839</v>
      </c>
      <c r="I138" s="2" t="inlineStr">
        <is>
          <t>09:58</t>
        </is>
      </c>
      <c r="J138" s="3" t="inlineStr">
        <is>
          <t>0037</t>
        </is>
      </c>
      <c r="K138" s="2" t="inlineStr"/>
      <c r="L138" s="5" t="n">
        <v>0</v>
      </c>
      <c r="M138" s="5" t="n">
        <v>0</v>
      </c>
      <c r="N138" s="6" t="n">
        <v>2025</v>
      </c>
      <c r="O138" s="5" t="inlineStr">
        <is>
          <t>2025-04|2025-05|2025-06</t>
        </is>
      </c>
    </row>
    <row r="139">
      <c r="A139" s="2" t="inlineStr">
        <is>
          <t>Z102_01_042025_052025_062025_MASSENA.CSV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0088</t>
        </is>
      </c>
      <c r="H139" s="4" t="n">
        <v>45839</v>
      </c>
      <c r="I139" s="2" t="inlineStr">
        <is>
          <t>09:58</t>
        </is>
      </c>
      <c r="J139" s="3" t="inlineStr">
        <is>
          <t>0038</t>
        </is>
      </c>
      <c r="K139" s="2" t="inlineStr"/>
      <c r="L139" s="5" t="n">
        <v>0</v>
      </c>
      <c r="M139" s="5" t="n">
        <v>0</v>
      </c>
      <c r="N139" s="6" t="n">
        <v>2025</v>
      </c>
      <c r="O139" s="5" t="inlineStr">
        <is>
          <t>2025-04|2025-05|2025-06</t>
        </is>
      </c>
    </row>
    <row r="140">
      <c r="A140" s="2" t="inlineStr">
        <is>
          <t>Z102_01_042025_052025_062025_MASSENA.CSV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0088</t>
        </is>
      </c>
      <c r="H140" s="4" t="n">
        <v>45839</v>
      </c>
      <c r="I140" s="2" t="inlineStr">
        <is>
          <t>09:58</t>
        </is>
      </c>
      <c r="J140" s="3" t="inlineStr">
        <is>
          <t>0039</t>
        </is>
      </c>
      <c r="K140" s="2" t="inlineStr"/>
      <c r="L140" s="5" t="n">
        <v>0</v>
      </c>
      <c r="M140" s="5" t="n">
        <v>0</v>
      </c>
      <c r="N140" s="6" t="n">
        <v>2025</v>
      </c>
      <c r="O140" s="5" t="inlineStr">
        <is>
          <t>2025-04|2025-05|2025-06</t>
        </is>
      </c>
    </row>
    <row r="141">
      <c r="A141" s="2" t="inlineStr">
        <is>
          <t>Z102_01_042025_052025_062025_MASSENA.CSV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0088</t>
        </is>
      </c>
      <c r="H141" s="4" t="n">
        <v>45839</v>
      </c>
      <c r="I141" s="2" t="inlineStr">
        <is>
          <t>09:58</t>
        </is>
      </c>
      <c r="J141" s="3" t="inlineStr">
        <is>
          <t>0040</t>
        </is>
      </c>
      <c r="K141" s="2" t="inlineStr"/>
      <c r="L141" s="5" t="n">
        <v>0</v>
      </c>
      <c r="M141" s="5" t="n">
        <v>0</v>
      </c>
      <c r="N141" s="6" t="n">
        <v>2025</v>
      </c>
      <c r="O141" s="5" t="inlineStr">
        <is>
          <t>2025-04|2025-05|2025-06</t>
        </is>
      </c>
    </row>
    <row r="142">
      <c r="A142" s="2" t="inlineStr">
        <is>
          <t>Z102_01_042025_052025_062025_MASSENA.CSV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0088</t>
        </is>
      </c>
      <c r="H142" s="4" t="n">
        <v>45839</v>
      </c>
      <c r="I142" s="2" t="inlineStr">
        <is>
          <t>09:58</t>
        </is>
      </c>
      <c r="J142" s="3" t="inlineStr">
        <is>
          <t>0041</t>
        </is>
      </c>
      <c r="K142" s="2" t="inlineStr"/>
      <c r="L142" s="5" t="n">
        <v>0</v>
      </c>
      <c r="M142" s="5" t="n">
        <v>0</v>
      </c>
      <c r="N142" s="6" t="n">
        <v>2025</v>
      </c>
      <c r="O142" s="5" t="inlineStr">
        <is>
          <t>2025-04|2025-05|2025-06</t>
        </is>
      </c>
    </row>
    <row r="143">
      <c r="A143" s="2" t="inlineStr">
        <is>
          <t>Z102_01_042025_052025_062025_MASSENA.CSV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0088</t>
        </is>
      </c>
      <c r="H143" s="4" t="n">
        <v>45839</v>
      </c>
      <c r="I143" s="2" t="inlineStr">
        <is>
          <t>09:58</t>
        </is>
      </c>
      <c r="J143" s="3" t="inlineStr">
        <is>
          <t>0042</t>
        </is>
      </c>
      <c r="K143" s="2" t="inlineStr"/>
      <c r="L143" s="5" t="n">
        <v>0</v>
      </c>
      <c r="M143" s="5" t="n">
        <v>0</v>
      </c>
      <c r="N143" s="6" t="n">
        <v>2025</v>
      </c>
      <c r="O143" s="5" t="inlineStr">
        <is>
          <t>2025-04|2025-05|2025-06</t>
        </is>
      </c>
    </row>
    <row r="144">
      <c r="A144" s="2" t="inlineStr">
        <is>
          <t>Z102_01_042025_052025_062025_MASSENA.CSV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0088</t>
        </is>
      </c>
      <c r="H144" s="4" t="n">
        <v>45839</v>
      </c>
      <c r="I144" s="2" t="inlineStr">
        <is>
          <t>09:58</t>
        </is>
      </c>
      <c r="J144" s="3" t="inlineStr">
        <is>
          <t>0043</t>
        </is>
      </c>
      <c r="K144" s="2" t="inlineStr"/>
      <c r="L144" s="5" t="n">
        <v>0</v>
      </c>
      <c r="M144" s="5" t="n">
        <v>0</v>
      </c>
      <c r="N144" s="6" t="n">
        <v>2025</v>
      </c>
      <c r="O144" s="5" t="inlineStr">
        <is>
          <t>2025-04|2025-05|2025-06</t>
        </is>
      </c>
    </row>
    <row r="145">
      <c r="A145" s="2" t="inlineStr">
        <is>
          <t>Z102_01_042025_052025_062025_MASSENA.CSV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0088</t>
        </is>
      </c>
      <c r="H145" s="4" t="n">
        <v>45839</v>
      </c>
      <c r="I145" s="2" t="inlineStr">
        <is>
          <t>09:58</t>
        </is>
      </c>
      <c r="J145" s="3" t="inlineStr">
        <is>
          <t>0044</t>
        </is>
      </c>
      <c r="K145" s="2" t="inlineStr"/>
      <c r="L145" s="5" t="n">
        <v>0</v>
      </c>
      <c r="M145" s="5" t="n">
        <v>0</v>
      </c>
      <c r="N145" s="6" t="n">
        <v>2025</v>
      </c>
      <c r="O145" s="5" t="inlineStr">
        <is>
          <t>2025-04|2025-05|2025-06</t>
        </is>
      </c>
    </row>
    <row r="146">
      <c r="A146" s="2" t="inlineStr">
        <is>
          <t>Z102_01_042025_052025_062025_MASSENA.CSV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0088</t>
        </is>
      </c>
      <c r="H146" s="4" t="n">
        <v>45839</v>
      </c>
      <c r="I146" s="2" t="inlineStr">
        <is>
          <t>09:58</t>
        </is>
      </c>
      <c r="J146" s="3" t="inlineStr">
        <is>
          <t>0045</t>
        </is>
      </c>
      <c r="K146" s="2" t="inlineStr"/>
      <c r="L146" s="5" t="n">
        <v>0</v>
      </c>
      <c r="M146" s="5" t="n">
        <v>0</v>
      </c>
      <c r="N146" s="6" t="n">
        <v>2025</v>
      </c>
      <c r="O146" s="5" t="inlineStr">
        <is>
          <t>2025-04|2025-05|2025-06</t>
        </is>
      </c>
    </row>
    <row r="147">
      <c r="A147" s="2" t="inlineStr">
        <is>
          <t>Z102_01_042025_052025_062025_MASSENA.CSV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0088</t>
        </is>
      </c>
      <c r="H147" s="4" t="n">
        <v>45839</v>
      </c>
      <c r="I147" s="2" t="inlineStr">
        <is>
          <t>09:58</t>
        </is>
      </c>
      <c r="J147" s="3" t="inlineStr">
        <is>
          <t>0046</t>
        </is>
      </c>
      <c r="K147" s="2" t="inlineStr"/>
      <c r="L147" s="5" t="n">
        <v>0</v>
      </c>
      <c r="M147" s="5" t="n">
        <v>0</v>
      </c>
      <c r="N147" s="6" t="n">
        <v>2025</v>
      </c>
      <c r="O147" s="5" t="inlineStr">
        <is>
          <t>2025-04|2025-05|2025-06</t>
        </is>
      </c>
    </row>
    <row r="148">
      <c r="A148" s="2" t="inlineStr">
        <is>
          <t>Z102_01_042025_052025_062025_MASSENA.CSV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0088</t>
        </is>
      </c>
      <c r="H148" s="4" t="n">
        <v>45839</v>
      </c>
      <c r="I148" s="2" t="inlineStr">
        <is>
          <t>09:58</t>
        </is>
      </c>
      <c r="J148" s="3" t="inlineStr">
        <is>
          <t>0047</t>
        </is>
      </c>
      <c r="K148" s="2" t="inlineStr"/>
      <c r="L148" s="5" t="n">
        <v>0</v>
      </c>
      <c r="M148" s="5" t="n">
        <v>0</v>
      </c>
      <c r="N148" s="6" t="n">
        <v>2025</v>
      </c>
      <c r="O148" s="5" t="inlineStr">
        <is>
          <t>2025-04|2025-05|2025-06</t>
        </is>
      </c>
    </row>
    <row r="149">
      <c r="A149" s="2" t="inlineStr">
        <is>
          <t>Z102_01_042025_052025_062025_MASSENA.CSV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0088</t>
        </is>
      </c>
      <c r="H149" s="4" t="n">
        <v>45839</v>
      </c>
      <c r="I149" s="2" t="inlineStr">
        <is>
          <t>09:58</t>
        </is>
      </c>
      <c r="J149" s="3" t="inlineStr">
        <is>
          <t>0048</t>
        </is>
      </c>
      <c r="K149" s="2" t="inlineStr"/>
      <c r="L149" s="5" t="n">
        <v>0</v>
      </c>
      <c r="M149" s="5" t="n">
        <v>0</v>
      </c>
      <c r="N149" s="6" t="n">
        <v>2025</v>
      </c>
      <c r="O149" s="5" t="inlineStr">
        <is>
          <t>2025-04|2025-05|2025-06</t>
        </is>
      </c>
    </row>
    <row r="150">
      <c r="A150" s="2" t="inlineStr">
        <is>
          <t>Z102_01_042025_052025_062025_MASSENA.CSV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0088</t>
        </is>
      </c>
      <c r="H150" s="4" t="n">
        <v>45839</v>
      </c>
      <c r="I150" s="2" t="inlineStr">
        <is>
          <t>09:58</t>
        </is>
      </c>
      <c r="J150" s="3" t="inlineStr">
        <is>
          <t>0049</t>
        </is>
      </c>
      <c r="K150" s="2" t="inlineStr"/>
      <c r="L150" s="5" t="n">
        <v>0</v>
      </c>
      <c r="M150" s="5" t="n">
        <v>0</v>
      </c>
      <c r="N150" s="6" t="n">
        <v>2025</v>
      </c>
      <c r="O150" s="5" t="inlineStr">
        <is>
          <t>2025-04|2025-05|2025-06</t>
        </is>
      </c>
    </row>
    <row r="151">
      <c r="A151" s="2" t="inlineStr">
        <is>
          <t>Z102_01_042025_052025_062025_MASSENA.CSV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0088</t>
        </is>
      </c>
      <c r="H151" s="4" t="n">
        <v>45839</v>
      </c>
      <c r="I151" s="2" t="inlineStr">
        <is>
          <t>09:58</t>
        </is>
      </c>
      <c r="J151" s="3" t="inlineStr">
        <is>
          <t>0050</t>
        </is>
      </c>
      <c r="K151" s="2" t="inlineStr"/>
      <c r="L151" s="5" t="n">
        <v>0</v>
      </c>
      <c r="M151" s="5" t="n">
        <v>0</v>
      </c>
      <c r="N151" s="6" t="n">
        <v>2025</v>
      </c>
      <c r="O151" s="5" t="inlineStr">
        <is>
          <t>2025-04|2025-05|2025-06</t>
        </is>
      </c>
    </row>
    <row r="152">
      <c r="A152" s="2" t="inlineStr">
        <is>
          <t>Z102_02_082025_MASSENA.CSV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0090</t>
        </is>
      </c>
      <c r="H152" s="4" t="n">
        <v>45902</v>
      </c>
      <c r="I152" s="2" t="inlineStr">
        <is>
          <t>17:20</t>
        </is>
      </c>
      <c r="J152" s="3" t="inlineStr">
        <is>
          <t>0001</t>
        </is>
      </c>
      <c r="K152" s="2" t="inlineStr">
        <is>
          <t>ESPECES</t>
        </is>
      </c>
      <c r="L152" s="5" t="n">
        <v>6</v>
      </c>
      <c r="M152" s="5" t="n">
        <v>1914</v>
      </c>
      <c r="N152" s="6" t="n">
        <v>2025</v>
      </c>
      <c r="O152" s="5" t="inlineStr">
        <is>
          <t>2025-08</t>
        </is>
      </c>
    </row>
    <row r="153">
      <c r="A153" s="2" t="inlineStr">
        <is>
          <t>Z102_02_082025_MASSENA.CSV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0090</t>
        </is>
      </c>
      <c r="H153" s="4" t="n">
        <v>45902</v>
      </c>
      <c r="I153" s="2" t="inlineStr">
        <is>
          <t>17:20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5" t="n">
        <v>0</v>
      </c>
      <c r="N153" s="6" t="n">
        <v>2025</v>
      </c>
      <c r="O153" s="5" t="inlineStr">
        <is>
          <t>2025-08</t>
        </is>
      </c>
    </row>
    <row r="154">
      <c r="A154" s="2" t="inlineStr">
        <is>
          <t>Z102_02_082025_MASSENA.CSV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0090</t>
        </is>
      </c>
      <c r="H154" s="4" t="n">
        <v>45902</v>
      </c>
      <c r="I154" s="2" t="inlineStr">
        <is>
          <t>17:20</t>
        </is>
      </c>
      <c r="J154" s="3" t="inlineStr">
        <is>
          <t>0003</t>
        </is>
      </c>
      <c r="K154" s="2" t="inlineStr">
        <is>
          <t>CARTES</t>
        </is>
      </c>
      <c r="L154" s="5" t="n">
        <v>3</v>
      </c>
      <c r="M154" s="5" t="n">
        <v>2072</v>
      </c>
      <c r="N154" s="6" t="n">
        <v>2025</v>
      </c>
      <c r="O154" s="5" t="inlineStr">
        <is>
          <t>2025-08</t>
        </is>
      </c>
    </row>
    <row r="155">
      <c r="A155" s="2" t="inlineStr">
        <is>
          <t>Z102_02_082025_MASSENA.CSV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0090</t>
        </is>
      </c>
      <c r="H155" s="4" t="n">
        <v>45902</v>
      </c>
      <c r="I155" s="2" t="inlineStr">
        <is>
          <t>17:20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5" t="n">
        <v>0</v>
      </c>
      <c r="N155" s="6" t="n">
        <v>2025</v>
      </c>
      <c r="O155" s="5" t="inlineStr">
        <is>
          <t>2025-08</t>
        </is>
      </c>
    </row>
    <row r="156">
      <c r="A156" s="2" t="inlineStr">
        <is>
          <t>Z102_02_082025_MASSENA.CSV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0090</t>
        </is>
      </c>
      <c r="H156" s="4" t="n">
        <v>45902</v>
      </c>
      <c r="I156" s="2" t="inlineStr">
        <is>
          <t>17:20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5" t="n">
        <v>0</v>
      </c>
      <c r="N156" s="6" t="n">
        <v>2025</v>
      </c>
      <c r="O156" s="5" t="inlineStr">
        <is>
          <t>2025-08</t>
        </is>
      </c>
    </row>
    <row r="157">
      <c r="A157" s="2" t="inlineStr">
        <is>
          <t>Z102_02_082025_MASSENA.CSV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0090</t>
        </is>
      </c>
      <c r="H157" s="4" t="n">
        <v>45902</v>
      </c>
      <c r="I157" s="2" t="inlineStr">
        <is>
          <t>17:20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5" t="n">
        <v>0</v>
      </c>
      <c r="N157" s="6" t="n">
        <v>2025</v>
      </c>
      <c r="O157" s="5" t="inlineStr">
        <is>
          <t>2025-08</t>
        </is>
      </c>
    </row>
    <row r="158">
      <c r="A158" s="2" t="inlineStr">
        <is>
          <t>Z102_02_082025_MASSENA.CSV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0090</t>
        </is>
      </c>
      <c r="H158" s="4" t="n">
        <v>45902</v>
      </c>
      <c r="I158" s="2" t="inlineStr">
        <is>
          <t>17:20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5" t="n">
        <v>0</v>
      </c>
      <c r="N158" s="6" t="n">
        <v>2025</v>
      </c>
      <c r="O158" s="5" t="inlineStr">
        <is>
          <t>2025-08</t>
        </is>
      </c>
    </row>
    <row r="159">
      <c r="A159" s="2" t="inlineStr">
        <is>
          <t>Z102_02_082025_MASSENA.CSV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0090</t>
        </is>
      </c>
      <c r="H159" s="4" t="n">
        <v>45902</v>
      </c>
      <c r="I159" s="2" t="inlineStr">
        <is>
          <t>17:20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5" t="n">
        <v>0</v>
      </c>
      <c r="N159" s="6" t="n">
        <v>2025</v>
      </c>
      <c r="O159" s="5" t="inlineStr">
        <is>
          <t>2025-08</t>
        </is>
      </c>
    </row>
    <row r="160">
      <c r="A160" s="2" t="inlineStr">
        <is>
          <t>Z102_02_082025_MASSENA.CSV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0090</t>
        </is>
      </c>
      <c r="H160" s="4" t="n">
        <v>45902</v>
      </c>
      <c r="I160" s="2" t="inlineStr">
        <is>
          <t>17:20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5" t="n">
        <v>0</v>
      </c>
      <c r="N160" s="6" t="n">
        <v>2025</v>
      </c>
      <c r="O160" s="5" t="inlineStr">
        <is>
          <t>2025-08</t>
        </is>
      </c>
    </row>
    <row r="161">
      <c r="A161" s="2" t="inlineStr">
        <is>
          <t>Z102_02_082025_MASSENA.CSV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0090</t>
        </is>
      </c>
      <c r="H161" s="4" t="n">
        <v>45902</v>
      </c>
      <c r="I161" s="2" t="inlineStr">
        <is>
          <t>17:20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5" t="n">
        <v>0</v>
      </c>
      <c r="N161" s="6" t="n">
        <v>2025</v>
      </c>
      <c r="O161" s="5" t="inlineStr">
        <is>
          <t>2025-08</t>
        </is>
      </c>
    </row>
    <row r="162">
      <c r="A162" s="2" t="inlineStr">
        <is>
          <t>Z102_02_082025_MASSENA.CSV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0090</t>
        </is>
      </c>
      <c r="H162" s="4" t="n">
        <v>45902</v>
      </c>
      <c r="I162" s="2" t="inlineStr">
        <is>
          <t>17:20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5" t="n">
        <v>0</v>
      </c>
      <c r="N162" s="6" t="n">
        <v>2025</v>
      </c>
      <c r="O162" s="5" t="inlineStr">
        <is>
          <t>2025-08</t>
        </is>
      </c>
    </row>
    <row r="163">
      <c r="A163" s="2" t="inlineStr">
        <is>
          <t>Z102_02_082025_MASSENA.CSV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0090</t>
        </is>
      </c>
      <c r="H163" s="4" t="n">
        <v>45902</v>
      </c>
      <c r="I163" s="2" t="inlineStr">
        <is>
          <t>17:20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5" t="n">
        <v>0</v>
      </c>
      <c r="N163" s="6" t="n">
        <v>2025</v>
      </c>
      <c r="O163" s="5" t="inlineStr">
        <is>
          <t>2025-08</t>
        </is>
      </c>
    </row>
    <row r="164">
      <c r="A164" s="2" t="inlineStr">
        <is>
          <t>Z102_02_082025_MASSENA.CSV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0090</t>
        </is>
      </c>
      <c r="H164" s="4" t="n">
        <v>45902</v>
      </c>
      <c r="I164" s="2" t="inlineStr">
        <is>
          <t>17:20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5" t="n">
        <v>0</v>
      </c>
      <c r="N164" s="6" t="n">
        <v>2025</v>
      </c>
      <c r="O164" s="5" t="inlineStr">
        <is>
          <t>2025-08</t>
        </is>
      </c>
    </row>
    <row r="165">
      <c r="A165" s="2" t="inlineStr">
        <is>
          <t>Z102_02_082025_MASSENA.CSV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0090</t>
        </is>
      </c>
      <c r="H165" s="4" t="n">
        <v>45902</v>
      </c>
      <c r="I165" s="2" t="inlineStr">
        <is>
          <t>17:20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5" t="n">
        <v>0</v>
      </c>
      <c r="N165" s="6" t="n">
        <v>2025</v>
      </c>
      <c r="O165" s="5" t="inlineStr">
        <is>
          <t>2025-08</t>
        </is>
      </c>
    </row>
    <row r="166">
      <c r="A166" s="2" t="inlineStr">
        <is>
          <t>Z102_02_082025_MASSENA.CSV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0090</t>
        </is>
      </c>
      <c r="H166" s="4" t="n">
        <v>45902</v>
      </c>
      <c r="I166" s="2" t="inlineStr">
        <is>
          <t>17:20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5" t="n">
        <v>0</v>
      </c>
      <c r="N166" s="6" t="n">
        <v>2025</v>
      </c>
      <c r="O166" s="5" t="inlineStr">
        <is>
          <t>2025-08</t>
        </is>
      </c>
    </row>
    <row r="167">
      <c r="A167" s="2" t="inlineStr">
        <is>
          <t>Z102_02_082025_MASSENA.CSV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0090</t>
        </is>
      </c>
      <c r="H167" s="4" t="n">
        <v>45902</v>
      </c>
      <c r="I167" s="2" t="inlineStr">
        <is>
          <t>17:20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5" t="n">
        <v>0</v>
      </c>
      <c r="N167" s="6" t="n">
        <v>2025</v>
      </c>
      <c r="O167" s="5" t="inlineStr">
        <is>
          <t>2025-08</t>
        </is>
      </c>
    </row>
    <row r="168">
      <c r="A168" s="2" t="inlineStr">
        <is>
          <t>Z102_02_082025_MASSENA.CSV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0090</t>
        </is>
      </c>
      <c r="H168" s="4" t="n">
        <v>45902</v>
      </c>
      <c r="I168" s="2" t="inlineStr">
        <is>
          <t>17:20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5" t="n">
        <v>0</v>
      </c>
      <c r="N168" s="6" t="n">
        <v>2025</v>
      </c>
      <c r="O168" s="5" t="inlineStr">
        <is>
          <t>2025-08</t>
        </is>
      </c>
    </row>
    <row r="169">
      <c r="A169" s="2" t="inlineStr">
        <is>
          <t>Z102_02_082025_MASSENA.CSV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0090</t>
        </is>
      </c>
      <c r="H169" s="4" t="n">
        <v>45902</v>
      </c>
      <c r="I169" s="2" t="inlineStr">
        <is>
          <t>17:20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5" t="n">
        <v>0</v>
      </c>
      <c r="N169" s="6" t="n">
        <v>2025</v>
      </c>
      <c r="O169" s="5" t="inlineStr">
        <is>
          <t>2025-08</t>
        </is>
      </c>
    </row>
    <row r="170">
      <c r="A170" s="2" t="inlineStr">
        <is>
          <t>Z102_02_082025_MASSENA.CSV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0090</t>
        </is>
      </c>
      <c r="H170" s="4" t="n">
        <v>45902</v>
      </c>
      <c r="I170" s="2" t="inlineStr">
        <is>
          <t>17:20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5" t="n">
        <v>0</v>
      </c>
      <c r="N170" s="6" t="n">
        <v>2025</v>
      </c>
      <c r="O170" s="5" t="inlineStr">
        <is>
          <t>2025-08</t>
        </is>
      </c>
    </row>
    <row r="171">
      <c r="A171" s="2" t="inlineStr">
        <is>
          <t>Z102_02_082025_MASSENA.CSV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0090</t>
        </is>
      </c>
      <c r="H171" s="4" t="n">
        <v>45902</v>
      </c>
      <c r="I171" s="2" t="inlineStr">
        <is>
          <t>17:20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5" t="n">
        <v>0</v>
      </c>
      <c r="N171" s="6" t="n">
        <v>2025</v>
      </c>
      <c r="O171" s="5" t="inlineStr">
        <is>
          <t>2025-08</t>
        </is>
      </c>
    </row>
    <row r="172">
      <c r="A172" s="2" t="inlineStr">
        <is>
          <t>Z102_02_082025_MASSENA.CSV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0090</t>
        </is>
      </c>
      <c r="H172" s="4" t="n">
        <v>45902</v>
      </c>
      <c r="I172" s="2" t="inlineStr">
        <is>
          <t>17:20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5" t="n">
        <v>0</v>
      </c>
      <c r="N172" s="6" t="n">
        <v>2025</v>
      </c>
      <c r="O172" s="5" t="inlineStr">
        <is>
          <t>2025-08</t>
        </is>
      </c>
    </row>
    <row r="173">
      <c r="A173" s="2" t="inlineStr">
        <is>
          <t>Z102_02_082025_MASSENA.CSV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0090</t>
        </is>
      </c>
      <c r="H173" s="4" t="n">
        <v>45902</v>
      </c>
      <c r="I173" s="2" t="inlineStr">
        <is>
          <t>17:20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5" t="n">
        <v>0</v>
      </c>
      <c r="N173" s="6" t="n">
        <v>2025</v>
      </c>
      <c r="O173" s="5" t="inlineStr">
        <is>
          <t>2025-08</t>
        </is>
      </c>
    </row>
    <row r="174">
      <c r="A174" s="2" t="inlineStr">
        <is>
          <t>Z102_02_082025_MASSENA.CSV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0090</t>
        </is>
      </c>
      <c r="H174" s="4" t="n">
        <v>45902</v>
      </c>
      <c r="I174" s="2" t="inlineStr">
        <is>
          <t>17:20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5" t="n">
        <v>0</v>
      </c>
      <c r="N174" s="6" t="n">
        <v>2025</v>
      </c>
      <c r="O174" s="5" t="inlineStr">
        <is>
          <t>2025-08</t>
        </is>
      </c>
    </row>
    <row r="175">
      <c r="A175" s="2" t="inlineStr">
        <is>
          <t>Z102_02_082025_MASSENA.CSV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0090</t>
        </is>
      </c>
      <c r="H175" s="4" t="n">
        <v>45902</v>
      </c>
      <c r="I175" s="2" t="inlineStr">
        <is>
          <t>17:20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5" t="n">
        <v>0</v>
      </c>
      <c r="N175" s="6" t="n">
        <v>2025</v>
      </c>
      <c r="O175" s="5" t="inlineStr">
        <is>
          <t>2025-08</t>
        </is>
      </c>
    </row>
    <row r="176">
      <c r="A176" s="2" t="inlineStr">
        <is>
          <t>Z102_02_082025_MASSENA.CSV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0090</t>
        </is>
      </c>
      <c r="H176" s="4" t="n">
        <v>45902</v>
      </c>
      <c r="I176" s="2" t="inlineStr">
        <is>
          <t>17:20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5" t="n">
        <v>0</v>
      </c>
      <c r="N176" s="6" t="n">
        <v>2025</v>
      </c>
      <c r="O176" s="5" t="inlineStr">
        <is>
          <t>2025-08</t>
        </is>
      </c>
    </row>
    <row r="177">
      <c r="A177" s="2" t="inlineStr">
        <is>
          <t>Z102_02_082025_MASSENA.CSV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0090</t>
        </is>
      </c>
      <c r="H177" s="4" t="n">
        <v>45902</v>
      </c>
      <c r="I177" s="2" t="inlineStr">
        <is>
          <t>17:20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5" t="n">
        <v>0</v>
      </c>
      <c r="N177" s="6" t="n">
        <v>2025</v>
      </c>
      <c r="O177" s="5" t="inlineStr">
        <is>
          <t>2025-08</t>
        </is>
      </c>
    </row>
    <row r="178">
      <c r="A178" s="2" t="inlineStr">
        <is>
          <t>Z102_02_082025_MASSENA.CSV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0090</t>
        </is>
      </c>
      <c r="H178" s="4" t="n">
        <v>45902</v>
      </c>
      <c r="I178" s="2" t="inlineStr">
        <is>
          <t>17:20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5" t="n">
        <v>0</v>
      </c>
      <c r="N178" s="6" t="n">
        <v>2025</v>
      </c>
      <c r="O178" s="5" t="inlineStr">
        <is>
          <t>2025-08</t>
        </is>
      </c>
    </row>
    <row r="179">
      <c r="A179" s="2" t="inlineStr">
        <is>
          <t>Z102_02_082025_MASSENA.CSV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0090</t>
        </is>
      </c>
      <c r="H179" s="4" t="n">
        <v>45902</v>
      </c>
      <c r="I179" s="2" t="inlineStr">
        <is>
          <t>17:20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5" t="n">
        <v>0</v>
      </c>
      <c r="N179" s="6" t="n">
        <v>2025</v>
      </c>
      <c r="O179" s="5" t="inlineStr">
        <is>
          <t>2025-08</t>
        </is>
      </c>
    </row>
    <row r="180">
      <c r="A180" s="2" t="inlineStr">
        <is>
          <t>Z102_02_082025_MASSENA.CSV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0090</t>
        </is>
      </c>
      <c r="H180" s="4" t="n">
        <v>45902</v>
      </c>
      <c r="I180" s="2" t="inlineStr">
        <is>
          <t>17:20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5" t="n">
        <v>0</v>
      </c>
      <c r="N180" s="6" t="n">
        <v>2025</v>
      </c>
      <c r="O180" s="5" t="inlineStr">
        <is>
          <t>2025-08</t>
        </is>
      </c>
    </row>
    <row r="181">
      <c r="A181" s="2" t="inlineStr">
        <is>
          <t>Z102_02_082025_MASSENA.CSV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0090</t>
        </is>
      </c>
      <c r="H181" s="4" t="n">
        <v>45902</v>
      </c>
      <c r="I181" s="2" t="inlineStr">
        <is>
          <t>17:20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5" t="n">
        <v>0</v>
      </c>
      <c r="N181" s="6" t="n">
        <v>2025</v>
      </c>
      <c r="O181" s="5" t="inlineStr">
        <is>
          <t>2025-08</t>
        </is>
      </c>
    </row>
    <row r="182">
      <c r="A182" s="2" t="inlineStr">
        <is>
          <t>Z102_02_082025_MASSENA.CSV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0090</t>
        </is>
      </c>
      <c r="H182" s="4" t="n">
        <v>45902</v>
      </c>
      <c r="I182" s="2" t="inlineStr">
        <is>
          <t>17:20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5" t="n">
        <v>0</v>
      </c>
      <c r="N182" s="6" t="n">
        <v>2025</v>
      </c>
      <c r="O182" s="5" t="inlineStr">
        <is>
          <t>2025-08</t>
        </is>
      </c>
    </row>
    <row r="183">
      <c r="A183" s="2" t="inlineStr">
        <is>
          <t>Z102_02_082025_MASSENA.CSV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0090</t>
        </is>
      </c>
      <c r="H183" s="4" t="n">
        <v>45902</v>
      </c>
      <c r="I183" s="2" t="inlineStr">
        <is>
          <t>17:20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5" t="n">
        <v>0</v>
      </c>
      <c r="N183" s="6" t="n">
        <v>2025</v>
      </c>
      <c r="O183" s="5" t="inlineStr">
        <is>
          <t>2025-08</t>
        </is>
      </c>
    </row>
    <row r="184">
      <c r="A184" s="2" t="inlineStr">
        <is>
          <t>Z102_02_082025_MASSENA.CSV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0090</t>
        </is>
      </c>
      <c r="H184" s="4" t="n">
        <v>45902</v>
      </c>
      <c r="I184" s="2" t="inlineStr">
        <is>
          <t>17:20</t>
        </is>
      </c>
      <c r="J184" s="3" t="inlineStr">
        <is>
          <t>0033</t>
        </is>
      </c>
      <c r="K184" s="2" t="inlineStr"/>
      <c r="L184" s="5" t="n">
        <v>0</v>
      </c>
      <c r="M184" s="5" t="n">
        <v>0</v>
      </c>
      <c r="N184" s="6" t="n">
        <v>2025</v>
      </c>
      <c r="O184" s="5" t="inlineStr">
        <is>
          <t>2025-08</t>
        </is>
      </c>
    </row>
    <row r="185">
      <c r="A185" s="2" t="inlineStr">
        <is>
          <t>Z102_02_082025_MASSENA.CSV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0090</t>
        </is>
      </c>
      <c r="H185" s="4" t="n">
        <v>45902</v>
      </c>
      <c r="I185" s="2" t="inlineStr">
        <is>
          <t>17:20</t>
        </is>
      </c>
      <c r="J185" s="3" t="inlineStr">
        <is>
          <t>0034</t>
        </is>
      </c>
      <c r="K185" s="2" t="inlineStr"/>
      <c r="L185" s="5" t="n">
        <v>0</v>
      </c>
      <c r="M185" s="5" t="n">
        <v>0</v>
      </c>
      <c r="N185" s="6" t="n">
        <v>2025</v>
      </c>
      <c r="O185" s="5" t="inlineStr">
        <is>
          <t>2025-08</t>
        </is>
      </c>
    </row>
    <row r="186">
      <c r="A186" s="2" t="inlineStr">
        <is>
          <t>Z102_02_082025_MASSENA.CSV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0090</t>
        </is>
      </c>
      <c r="H186" s="4" t="n">
        <v>45902</v>
      </c>
      <c r="I186" s="2" t="inlineStr">
        <is>
          <t>17:20</t>
        </is>
      </c>
      <c r="J186" s="3" t="inlineStr">
        <is>
          <t>0035</t>
        </is>
      </c>
      <c r="K186" s="2" t="inlineStr"/>
      <c r="L186" s="5" t="n">
        <v>0</v>
      </c>
      <c r="M186" s="5" t="n">
        <v>0</v>
      </c>
      <c r="N186" s="6" t="n">
        <v>2025</v>
      </c>
      <c r="O186" s="5" t="inlineStr">
        <is>
          <t>2025-08</t>
        </is>
      </c>
    </row>
    <row r="187">
      <c r="A187" s="2" t="inlineStr">
        <is>
          <t>Z102_02_082025_MASSENA.CSV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0090</t>
        </is>
      </c>
      <c r="H187" s="4" t="n">
        <v>45902</v>
      </c>
      <c r="I187" s="2" t="inlineStr">
        <is>
          <t>17:20</t>
        </is>
      </c>
      <c r="J187" s="3" t="inlineStr">
        <is>
          <t>0036</t>
        </is>
      </c>
      <c r="K187" s="2" t="inlineStr"/>
      <c r="L187" s="5" t="n">
        <v>0</v>
      </c>
      <c r="M187" s="5" t="n">
        <v>0</v>
      </c>
      <c r="N187" s="6" t="n">
        <v>2025</v>
      </c>
      <c r="O187" s="5" t="inlineStr">
        <is>
          <t>2025-08</t>
        </is>
      </c>
    </row>
    <row r="188">
      <c r="A188" s="2" t="inlineStr">
        <is>
          <t>Z102_02_082025_MASSENA.CSV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0090</t>
        </is>
      </c>
      <c r="H188" s="4" t="n">
        <v>45902</v>
      </c>
      <c r="I188" s="2" t="inlineStr">
        <is>
          <t>17:20</t>
        </is>
      </c>
      <c r="J188" s="3" t="inlineStr">
        <is>
          <t>0037</t>
        </is>
      </c>
      <c r="K188" s="2" t="inlineStr"/>
      <c r="L188" s="5" t="n">
        <v>0</v>
      </c>
      <c r="M188" s="5" t="n">
        <v>0</v>
      </c>
      <c r="N188" s="6" t="n">
        <v>2025</v>
      </c>
      <c r="O188" s="5" t="inlineStr">
        <is>
          <t>2025-08</t>
        </is>
      </c>
    </row>
    <row r="189">
      <c r="A189" s="2" t="inlineStr">
        <is>
          <t>Z102_02_082025_MASSENA.CSV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0090</t>
        </is>
      </c>
      <c r="H189" s="4" t="n">
        <v>45902</v>
      </c>
      <c r="I189" s="2" t="inlineStr">
        <is>
          <t>17:20</t>
        </is>
      </c>
      <c r="J189" s="3" t="inlineStr">
        <is>
          <t>0038</t>
        </is>
      </c>
      <c r="K189" s="2" t="inlineStr"/>
      <c r="L189" s="5" t="n">
        <v>0</v>
      </c>
      <c r="M189" s="5" t="n">
        <v>0</v>
      </c>
      <c r="N189" s="6" t="n">
        <v>2025</v>
      </c>
      <c r="O189" s="5" t="inlineStr">
        <is>
          <t>2025-08</t>
        </is>
      </c>
    </row>
    <row r="190">
      <c r="A190" s="2" t="inlineStr">
        <is>
          <t>Z102_02_082025_MASSENA.CSV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0090</t>
        </is>
      </c>
      <c r="H190" s="4" t="n">
        <v>45902</v>
      </c>
      <c r="I190" s="2" t="inlineStr">
        <is>
          <t>17:20</t>
        </is>
      </c>
      <c r="J190" s="3" t="inlineStr">
        <is>
          <t>0039</t>
        </is>
      </c>
      <c r="K190" s="2" t="inlineStr"/>
      <c r="L190" s="5" t="n">
        <v>0</v>
      </c>
      <c r="M190" s="5" t="n">
        <v>0</v>
      </c>
      <c r="N190" s="6" t="n">
        <v>2025</v>
      </c>
      <c r="O190" s="5" t="inlineStr">
        <is>
          <t>2025-08</t>
        </is>
      </c>
    </row>
    <row r="191">
      <c r="A191" s="2" t="inlineStr">
        <is>
          <t>Z102_02_082025_MASSENA.CSV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0090</t>
        </is>
      </c>
      <c r="H191" s="4" t="n">
        <v>45902</v>
      </c>
      <c r="I191" s="2" t="inlineStr">
        <is>
          <t>17:20</t>
        </is>
      </c>
      <c r="J191" s="3" t="inlineStr">
        <is>
          <t>0040</t>
        </is>
      </c>
      <c r="K191" s="2" t="inlineStr"/>
      <c r="L191" s="5" t="n">
        <v>0</v>
      </c>
      <c r="M191" s="5" t="n">
        <v>0</v>
      </c>
      <c r="N191" s="6" t="n">
        <v>2025</v>
      </c>
      <c r="O191" s="5" t="inlineStr">
        <is>
          <t>2025-08</t>
        </is>
      </c>
    </row>
    <row r="192">
      <c r="A192" s="2" t="inlineStr">
        <is>
          <t>Z102_02_082025_MASSENA.CSV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0090</t>
        </is>
      </c>
      <c r="H192" s="4" t="n">
        <v>45902</v>
      </c>
      <c r="I192" s="2" t="inlineStr">
        <is>
          <t>17:20</t>
        </is>
      </c>
      <c r="J192" s="3" t="inlineStr">
        <is>
          <t>0041</t>
        </is>
      </c>
      <c r="K192" s="2" t="inlineStr"/>
      <c r="L192" s="5" t="n">
        <v>0</v>
      </c>
      <c r="M192" s="5" t="n">
        <v>0</v>
      </c>
      <c r="N192" s="6" t="n">
        <v>2025</v>
      </c>
      <c r="O192" s="5" t="inlineStr">
        <is>
          <t>2025-08</t>
        </is>
      </c>
    </row>
    <row r="193">
      <c r="A193" s="2" t="inlineStr">
        <is>
          <t>Z102_02_082025_MASSENA.CSV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0090</t>
        </is>
      </c>
      <c r="H193" s="4" t="n">
        <v>45902</v>
      </c>
      <c r="I193" s="2" t="inlineStr">
        <is>
          <t>17:20</t>
        </is>
      </c>
      <c r="J193" s="3" t="inlineStr">
        <is>
          <t>0042</t>
        </is>
      </c>
      <c r="K193" s="2" t="inlineStr"/>
      <c r="L193" s="5" t="n">
        <v>0</v>
      </c>
      <c r="M193" s="5" t="n">
        <v>0</v>
      </c>
      <c r="N193" s="6" t="n">
        <v>2025</v>
      </c>
      <c r="O193" s="5" t="inlineStr">
        <is>
          <t>2025-08</t>
        </is>
      </c>
    </row>
    <row r="194">
      <c r="A194" s="2" t="inlineStr">
        <is>
          <t>Z102_02_082025_MASSENA.CSV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0090</t>
        </is>
      </c>
      <c r="H194" s="4" t="n">
        <v>45902</v>
      </c>
      <c r="I194" s="2" t="inlineStr">
        <is>
          <t>17:20</t>
        </is>
      </c>
      <c r="J194" s="3" t="inlineStr">
        <is>
          <t>0043</t>
        </is>
      </c>
      <c r="K194" s="2" t="inlineStr"/>
      <c r="L194" s="5" t="n">
        <v>0</v>
      </c>
      <c r="M194" s="5" t="n">
        <v>0</v>
      </c>
      <c r="N194" s="6" t="n">
        <v>2025</v>
      </c>
      <c r="O194" s="5" t="inlineStr">
        <is>
          <t>2025-08</t>
        </is>
      </c>
    </row>
    <row r="195">
      <c r="A195" s="2" t="inlineStr">
        <is>
          <t>Z102_02_082025_MASSENA.CSV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0090</t>
        </is>
      </c>
      <c r="H195" s="4" t="n">
        <v>45902</v>
      </c>
      <c r="I195" s="2" t="inlineStr">
        <is>
          <t>17:20</t>
        </is>
      </c>
      <c r="J195" s="3" t="inlineStr">
        <is>
          <t>0044</t>
        </is>
      </c>
      <c r="K195" s="2" t="inlineStr"/>
      <c r="L195" s="5" t="n">
        <v>0</v>
      </c>
      <c r="M195" s="5" t="n">
        <v>0</v>
      </c>
      <c r="N195" s="6" t="n">
        <v>2025</v>
      </c>
      <c r="O195" s="5" t="inlineStr">
        <is>
          <t>2025-08</t>
        </is>
      </c>
    </row>
    <row r="196">
      <c r="A196" s="2" t="inlineStr">
        <is>
          <t>Z102_02_082025_MASSENA.CSV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0090</t>
        </is>
      </c>
      <c r="H196" s="4" t="n">
        <v>45902</v>
      </c>
      <c r="I196" s="2" t="inlineStr">
        <is>
          <t>17:20</t>
        </is>
      </c>
      <c r="J196" s="3" t="inlineStr">
        <is>
          <t>0045</t>
        </is>
      </c>
      <c r="K196" s="2" t="inlineStr"/>
      <c r="L196" s="5" t="n">
        <v>0</v>
      </c>
      <c r="M196" s="5" t="n">
        <v>0</v>
      </c>
      <c r="N196" s="6" t="n">
        <v>2025</v>
      </c>
      <c r="O196" s="5" t="inlineStr">
        <is>
          <t>2025-08</t>
        </is>
      </c>
    </row>
    <row r="197">
      <c r="A197" s="2" t="inlineStr">
        <is>
          <t>Z102_02_082025_MASSENA.CSV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0090</t>
        </is>
      </c>
      <c r="H197" s="4" t="n">
        <v>45902</v>
      </c>
      <c r="I197" s="2" t="inlineStr">
        <is>
          <t>17:20</t>
        </is>
      </c>
      <c r="J197" s="3" t="inlineStr">
        <is>
          <t>0046</t>
        </is>
      </c>
      <c r="K197" s="2" t="inlineStr"/>
      <c r="L197" s="5" t="n">
        <v>0</v>
      </c>
      <c r="M197" s="5" t="n">
        <v>0</v>
      </c>
      <c r="N197" s="6" t="n">
        <v>2025</v>
      </c>
      <c r="O197" s="5" t="inlineStr">
        <is>
          <t>2025-08</t>
        </is>
      </c>
    </row>
    <row r="198">
      <c r="A198" s="2" t="inlineStr">
        <is>
          <t>Z102_02_082025_MASSENA.CSV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0090</t>
        </is>
      </c>
      <c r="H198" s="4" t="n">
        <v>45902</v>
      </c>
      <c r="I198" s="2" t="inlineStr">
        <is>
          <t>17:20</t>
        </is>
      </c>
      <c r="J198" s="3" t="inlineStr">
        <is>
          <t>0047</t>
        </is>
      </c>
      <c r="K198" s="2" t="inlineStr"/>
      <c r="L198" s="5" t="n">
        <v>0</v>
      </c>
      <c r="M198" s="5" t="n">
        <v>0</v>
      </c>
      <c r="N198" s="6" t="n">
        <v>2025</v>
      </c>
      <c r="O198" s="5" t="inlineStr">
        <is>
          <t>2025-08</t>
        </is>
      </c>
    </row>
    <row r="199">
      <c r="A199" s="2" t="inlineStr">
        <is>
          <t>Z102_02_082025_MASSENA.CSV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0090</t>
        </is>
      </c>
      <c r="H199" s="4" t="n">
        <v>45902</v>
      </c>
      <c r="I199" s="2" t="inlineStr">
        <is>
          <t>17:20</t>
        </is>
      </c>
      <c r="J199" s="3" t="inlineStr">
        <is>
          <t>0048</t>
        </is>
      </c>
      <c r="K199" s="2" t="inlineStr"/>
      <c r="L199" s="5" t="n">
        <v>0</v>
      </c>
      <c r="M199" s="5" t="n">
        <v>0</v>
      </c>
      <c r="N199" s="6" t="n">
        <v>2025</v>
      </c>
      <c r="O199" s="5" t="inlineStr">
        <is>
          <t>2025-08</t>
        </is>
      </c>
    </row>
    <row r="200">
      <c r="A200" s="2" t="inlineStr">
        <is>
          <t>Z102_02_082025_MASSENA.CSV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0090</t>
        </is>
      </c>
      <c r="H200" s="4" t="n">
        <v>45902</v>
      </c>
      <c r="I200" s="2" t="inlineStr">
        <is>
          <t>17:20</t>
        </is>
      </c>
      <c r="J200" s="3" t="inlineStr">
        <is>
          <t>0049</t>
        </is>
      </c>
      <c r="K200" s="2" t="inlineStr"/>
      <c r="L200" s="5" t="n">
        <v>0</v>
      </c>
      <c r="M200" s="5" t="n">
        <v>0</v>
      </c>
      <c r="N200" s="6" t="n">
        <v>2025</v>
      </c>
      <c r="O200" s="5" t="inlineStr">
        <is>
          <t>2025-08</t>
        </is>
      </c>
    </row>
    <row r="201">
      <c r="A201" s="2" t="inlineStr">
        <is>
          <t>Z102_02_082025_MASSENA.CSV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0090</t>
        </is>
      </c>
      <c r="H201" s="4" t="n">
        <v>45902</v>
      </c>
      <c r="I201" s="2" t="inlineStr">
        <is>
          <t>17:20</t>
        </is>
      </c>
      <c r="J201" s="3" t="inlineStr">
        <is>
          <t>0050</t>
        </is>
      </c>
      <c r="K201" s="2" t="inlineStr"/>
      <c r="L201" s="5" t="n">
        <v>0</v>
      </c>
      <c r="M201" s="5" t="n">
        <v>0</v>
      </c>
      <c r="N201" s="6" t="n">
        <v>2025</v>
      </c>
      <c r="O201" s="5" t="inlineStr">
        <is>
          <t>2025-08</t>
        </is>
      </c>
    </row>
    <row r="202">
      <c r="A202" s="2" t="inlineStr">
        <is>
          <t>Z102_03_012025_MASSENA.CSV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0085</t>
        </is>
      </c>
      <c r="H202" s="4" t="n">
        <v>45691</v>
      </c>
      <c r="I202" s="2" t="inlineStr">
        <is>
          <t>12:18</t>
        </is>
      </c>
      <c r="J202" s="3" t="inlineStr">
        <is>
          <t>0001</t>
        </is>
      </c>
      <c r="K202" s="2" t="inlineStr">
        <is>
          <t>ESPECES</t>
        </is>
      </c>
      <c r="L202" s="5" t="n">
        <v>18</v>
      </c>
      <c r="M202" s="5" t="n">
        <v>6334.7</v>
      </c>
      <c r="N202" s="6" t="n">
        <v>2025</v>
      </c>
      <c r="O202" s="5" t="inlineStr">
        <is>
          <t>2025-01</t>
        </is>
      </c>
    </row>
    <row r="203">
      <c r="A203" s="2" t="inlineStr">
        <is>
          <t>Z102_03_012025_MASSENA.CSV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0085</t>
        </is>
      </c>
      <c r="H203" s="4" t="n">
        <v>45691</v>
      </c>
      <c r="I203" s="2" t="inlineStr">
        <is>
          <t>12:18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5" t="n">
        <v>0</v>
      </c>
      <c r="N203" s="6" t="n">
        <v>2025</v>
      </c>
      <c r="O203" s="5" t="inlineStr">
        <is>
          <t>2025-01</t>
        </is>
      </c>
    </row>
    <row r="204">
      <c r="A204" s="2" t="inlineStr">
        <is>
          <t>Z102_03_012025_MASSENA.CSV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0085</t>
        </is>
      </c>
      <c r="H204" s="4" t="n">
        <v>45691</v>
      </c>
      <c r="I204" s="2" t="inlineStr">
        <is>
          <t>12:18</t>
        </is>
      </c>
      <c r="J204" s="3" t="inlineStr">
        <is>
          <t>0003</t>
        </is>
      </c>
      <c r="K204" s="2" t="inlineStr">
        <is>
          <t>CARTES</t>
        </is>
      </c>
      <c r="L204" s="5" t="n">
        <v>11</v>
      </c>
      <c r="M204" s="5" t="n">
        <v>3089.5</v>
      </c>
      <c r="N204" s="6" t="n">
        <v>2025</v>
      </c>
      <c r="O204" s="5" t="inlineStr">
        <is>
          <t>2025-01</t>
        </is>
      </c>
    </row>
    <row r="205">
      <c r="A205" s="2" t="inlineStr">
        <is>
          <t>Z102_03_012025_MASSENA.CSV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0085</t>
        </is>
      </c>
      <c r="H205" s="4" t="n">
        <v>45691</v>
      </c>
      <c r="I205" s="2" t="inlineStr">
        <is>
          <t>12:18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5" t="n">
        <v>0</v>
      </c>
      <c r="N205" s="6" t="n">
        <v>2025</v>
      </c>
      <c r="O205" s="5" t="inlineStr">
        <is>
          <t>2025-01</t>
        </is>
      </c>
    </row>
    <row r="206">
      <c r="A206" s="2" t="inlineStr">
        <is>
          <t>Z102_03_012025_MASSENA.CSV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0085</t>
        </is>
      </c>
      <c r="H206" s="4" t="n">
        <v>45691</v>
      </c>
      <c r="I206" s="2" t="inlineStr">
        <is>
          <t>12:18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5" t="n">
        <v>0</v>
      </c>
      <c r="N206" s="6" t="n">
        <v>2025</v>
      </c>
      <c r="O206" s="5" t="inlineStr">
        <is>
          <t>2025-01</t>
        </is>
      </c>
    </row>
    <row r="207">
      <c r="A207" s="2" t="inlineStr">
        <is>
          <t>Z102_03_012025_MASSENA.CSV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0085</t>
        </is>
      </c>
      <c r="H207" s="4" t="n">
        <v>45691</v>
      </c>
      <c r="I207" s="2" t="inlineStr">
        <is>
          <t>12:18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5" t="n">
        <v>0</v>
      </c>
      <c r="N207" s="6" t="n">
        <v>2025</v>
      </c>
      <c r="O207" s="5" t="inlineStr">
        <is>
          <t>2025-01</t>
        </is>
      </c>
    </row>
    <row r="208">
      <c r="A208" s="2" t="inlineStr">
        <is>
          <t>Z102_03_012025_MASSENA.CSV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0085</t>
        </is>
      </c>
      <c r="H208" s="4" t="n">
        <v>45691</v>
      </c>
      <c r="I208" s="2" t="inlineStr">
        <is>
          <t>12:18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5" t="n">
        <v>0</v>
      </c>
      <c r="N208" s="6" t="n">
        <v>2025</v>
      </c>
      <c r="O208" s="5" t="inlineStr">
        <is>
          <t>2025-01</t>
        </is>
      </c>
    </row>
    <row r="209">
      <c r="A209" s="2" t="inlineStr">
        <is>
          <t>Z102_03_012025_MASSENA.CSV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0085</t>
        </is>
      </c>
      <c r="H209" s="4" t="n">
        <v>45691</v>
      </c>
      <c r="I209" s="2" t="inlineStr">
        <is>
          <t>12:18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5" t="n">
        <v>0</v>
      </c>
      <c r="N209" s="6" t="n">
        <v>2025</v>
      </c>
      <c r="O209" s="5" t="inlineStr">
        <is>
          <t>2025-01</t>
        </is>
      </c>
    </row>
    <row r="210">
      <c r="A210" s="2" t="inlineStr">
        <is>
          <t>Z102_03_012025_MASSENA.CSV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0085</t>
        </is>
      </c>
      <c r="H210" s="4" t="n">
        <v>45691</v>
      </c>
      <c r="I210" s="2" t="inlineStr">
        <is>
          <t>12:18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5" t="n">
        <v>0</v>
      </c>
      <c r="N210" s="6" t="n">
        <v>2025</v>
      </c>
      <c r="O210" s="5" t="inlineStr">
        <is>
          <t>2025-01</t>
        </is>
      </c>
    </row>
    <row r="211">
      <c r="A211" s="2" t="inlineStr">
        <is>
          <t>Z102_03_012025_MASSENA.CSV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0085</t>
        </is>
      </c>
      <c r="H211" s="4" t="n">
        <v>45691</v>
      </c>
      <c r="I211" s="2" t="inlineStr">
        <is>
          <t>12:18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5" t="n">
        <v>0</v>
      </c>
      <c r="N211" s="6" t="n">
        <v>2025</v>
      </c>
      <c r="O211" s="5" t="inlineStr">
        <is>
          <t>2025-01</t>
        </is>
      </c>
    </row>
    <row r="212">
      <c r="A212" s="2" t="inlineStr">
        <is>
          <t>Z102_03_012025_MASSENA.CSV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0085</t>
        </is>
      </c>
      <c r="H212" s="4" t="n">
        <v>45691</v>
      </c>
      <c r="I212" s="2" t="inlineStr">
        <is>
          <t>12:18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5" t="n">
        <v>0</v>
      </c>
      <c r="N212" s="6" t="n">
        <v>2025</v>
      </c>
      <c r="O212" s="5" t="inlineStr">
        <is>
          <t>2025-01</t>
        </is>
      </c>
    </row>
    <row r="213">
      <c r="A213" s="2" t="inlineStr">
        <is>
          <t>Z102_03_012025_MASSENA.CSV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0085</t>
        </is>
      </c>
      <c r="H213" s="4" t="n">
        <v>45691</v>
      </c>
      <c r="I213" s="2" t="inlineStr">
        <is>
          <t>12:18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5" t="n">
        <v>0</v>
      </c>
      <c r="N213" s="6" t="n">
        <v>2025</v>
      </c>
      <c r="O213" s="5" t="inlineStr">
        <is>
          <t>2025-01</t>
        </is>
      </c>
    </row>
    <row r="214">
      <c r="A214" s="2" t="inlineStr">
        <is>
          <t>Z102_03_012025_MASSENA.CSV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0085</t>
        </is>
      </c>
      <c r="H214" s="4" t="n">
        <v>45691</v>
      </c>
      <c r="I214" s="2" t="inlineStr">
        <is>
          <t>12:18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5" t="n">
        <v>0</v>
      </c>
      <c r="N214" s="6" t="n">
        <v>2025</v>
      </c>
      <c r="O214" s="5" t="inlineStr">
        <is>
          <t>2025-01</t>
        </is>
      </c>
    </row>
    <row r="215">
      <c r="A215" s="2" t="inlineStr">
        <is>
          <t>Z102_03_012025_MASSENA.CSV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0085</t>
        </is>
      </c>
      <c r="H215" s="4" t="n">
        <v>45691</v>
      </c>
      <c r="I215" s="2" t="inlineStr">
        <is>
          <t>12:18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5" t="n">
        <v>0</v>
      </c>
      <c r="N215" s="6" t="n">
        <v>2025</v>
      </c>
      <c r="O215" s="5" t="inlineStr">
        <is>
          <t>2025-01</t>
        </is>
      </c>
    </row>
    <row r="216">
      <c r="A216" s="2" t="inlineStr">
        <is>
          <t>Z102_03_012025_MASSENA.CSV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0085</t>
        </is>
      </c>
      <c r="H216" s="4" t="n">
        <v>45691</v>
      </c>
      <c r="I216" s="2" t="inlineStr">
        <is>
          <t>12:18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5" t="n">
        <v>0</v>
      </c>
      <c r="N216" s="6" t="n">
        <v>2025</v>
      </c>
      <c r="O216" s="5" t="inlineStr">
        <is>
          <t>2025-01</t>
        </is>
      </c>
    </row>
    <row r="217">
      <c r="A217" s="2" t="inlineStr">
        <is>
          <t>Z102_03_012025_MASSENA.CSV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0085</t>
        </is>
      </c>
      <c r="H217" s="4" t="n">
        <v>45691</v>
      </c>
      <c r="I217" s="2" t="inlineStr">
        <is>
          <t>12:18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5" t="n">
        <v>0</v>
      </c>
      <c r="N217" s="6" t="n">
        <v>2025</v>
      </c>
      <c r="O217" s="5" t="inlineStr">
        <is>
          <t>2025-01</t>
        </is>
      </c>
    </row>
    <row r="218">
      <c r="A218" s="2" t="inlineStr">
        <is>
          <t>Z102_03_012025_MASSENA.CSV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0085</t>
        </is>
      </c>
      <c r="H218" s="4" t="n">
        <v>45691</v>
      </c>
      <c r="I218" s="2" t="inlineStr">
        <is>
          <t>12:18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5" t="n">
        <v>0</v>
      </c>
      <c r="N218" s="6" t="n">
        <v>2025</v>
      </c>
      <c r="O218" s="5" t="inlineStr">
        <is>
          <t>2025-01</t>
        </is>
      </c>
    </row>
    <row r="219">
      <c r="A219" s="2" t="inlineStr">
        <is>
          <t>Z102_03_012025_MASSENA.CSV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0085</t>
        </is>
      </c>
      <c r="H219" s="4" t="n">
        <v>45691</v>
      </c>
      <c r="I219" s="2" t="inlineStr">
        <is>
          <t>12:18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5" t="n">
        <v>0</v>
      </c>
      <c r="N219" s="6" t="n">
        <v>2025</v>
      </c>
      <c r="O219" s="5" t="inlineStr">
        <is>
          <t>2025-01</t>
        </is>
      </c>
    </row>
    <row r="220">
      <c r="A220" s="2" t="inlineStr">
        <is>
          <t>Z102_03_012025_MASSENA.CSV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0085</t>
        </is>
      </c>
      <c r="H220" s="4" t="n">
        <v>45691</v>
      </c>
      <c r="I220" s="2" t="inlineStr">
        <is>
          <t>12:18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5" t="n">
        <v>0</v>
      </c>
      <c r="N220" s="6" t="n">
        <v>2025</v>
      </c>
      <c r="O220" s="5" t="inlineStr">
        <is>
          <t>2025-01</t>
        </is>
      </c>
    </row>
    <row r="221">
      <c r="A221" s="2" t="inlineStr">
        <is>
          <t>Z102_03_012025_MASSENA.CSV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0085</t>
        </is>
      </c>
      <c r="H221" s="4" t="n">
        <v>45691</v>
      </c>
      <c r="I221" s="2" t="inlineStr">
        <is>
          <t>12:18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5" t="n">
        <v>0</v>
      </c>
      <c r="N221" s="6" t="n">
        <v>2025</v>
      </c>
      <c r="O221" s="5" t="inlineStr">
        <is>
          <t>2025-01</t>
        </is>
      </c>
    </row>
    <row r="222">
      <c r="A222" s="2" t="inlineStr">
        <is>
          <t>Z102_03_012025_MASSENA.CSV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0085</t>
        </is>
      </c>
      <c r="H222" s="4" t="n">
        <v>45691</v>
      </c>
      <c r="I222" s="2" t="inlineStr">
        <is>
          <t>12:18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5" t="n">
        <v>0</v>
      </c>
      <c r="N222" s="6" t="n">
        <v>2025</v>
      </c>
      <c r="O222" s="5" t="inlineStr">
        <is>
          <t>2025-01</t>
        </is>
      </c>
    </row>
    <row r="223">
      <c r="A223" s="2" t="inlineStr">
        <is>
          <t>Z102_03_012025_MASSENA.CSV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0085</t>
        </is>
      </c>
      <c r="H223" s="4" t="n">
        <v>45691</v>
      </c>
      <c r="I223" s="2" t="inlineStr">
        <is>
          <t>12:18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5" t="n">
        <v>0</v>
      </c>
      <c r="N223" s="6" t="n">
        <v>2025</v>
      </c>
      <c r="O223" s="5" t="inlineStr">
        <is>
          <t>2025-01</t>
        </is>
      </c>
    </row>
    <row r="224">
      <c r="A224" s="2" t="inlineStr">
        <is>
          <t>Z102_03_012025_MASSENA.CSV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0085</t>
        </is>
      </c>
      <c r="H224" s="4" t="n">
        <v>45691</v>
      </c>
      <c r="I224" s="2" t="inlineStr">
        <is>
          <t>12:18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5" t="n">
        <v>0</v>
      </c>
      <c r="N224" s="6" t="n">
        <v>2025</v>
      </c>
      <c r="O224" s="5" t="inlineStr">
        <is>
          <t>2025-01</t>
        </is>
      </c>
    </row>
    <row r="225">
      <c r="A225" s="2" t="inlineStr">
        <is>
          <t>Z102_03_012025_MASSENA.CSV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0085</t>
        </is>
      </c>
      <c r="H225" s="4" t="n">
        <v>45691</v>
      </c>
      <c r="I225" s="2" t="inlineStr">
        <is>
          <t>12:18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5" t="n">
        <v>0</v>
      </c>
      <c r="N225" s="6" t="n">
        <v>2025</v>
      </c>
      <c r="O225" s="5" t="inlineStr">
        <is>
          <t>2025-01</t>
        </is>
      </c>
    </row>
    <row r="226">
      <c r="A226" s="2" t="inlineStr">
        <is>
          <t>Z102_03_012025_MASSENA.CSV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0085</t>
        </is>
      </c>
      <c r="H226" s="4" t="n">
        <v>45691</v>
      </c>
      <c r="I226" s="2" t="inlineStr">
        <is>
          <t>12:18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5" t="n">
        <v>0</v>
      </c>
      <c r="N226" s="6" t="n">
        <v>2025</v>
      </c>
      <c r="O226" s="5" t="inlineStr">
        <is>
          <t>2025-01</t>
        </is>
      </c>
    </row>
    <row r="227">
      <c r="A227" s="2" t="inlineStr">
        <is>
          <t>Z102_03_012025_MASSENA.CSV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0085</t>
        </is>
      </c>
      <c r="H227" s="4" t="n">
        <v>45691</v>
      </c>
      <c r="I227" s="2" t="inlineStr">
        <is>
          <t>12:18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5" t="n">
        <v>0</v>
      </c>
      <c r="N227" s="6" t="n">
        <v>2025</v>
      </c>
      <c r="O227" s="5" t="inlineStr">
        <is>
          <t>2025-01</t>
        </is>
      </c>
    </row>
    <row r="228">
      <c r="A228" s="2" t="inlineStr">
        <is>
          <t>Z102_03_012025_MASSENA.CSV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0085</t>
        </is>
      </c>
      <c r="H228" s="4" t="n">
        <v>45691</v>
      </c>
      <c r="I228" s="2" t="inlineStr">
        <is>
          <t>12:18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5" t="n">
        <v>0</v>
      </c>
      <c r="N228" s="6" t="n">
        <v>2025</v>
      </c>
      <c r="O228" s="5" t="inlineStr">
        <is>
          <t>2025-01</t>
        </is>
      </c>
    </row>
    <row r="229">
      <c r="A229" s="2" t="inlineStr">
        <is>
          <t>Z102_03_012025_MASSENA.CSV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0085</t>
        </is>
      </c>
      <c r="H229" s="4" t="n">
        <v>45691</v>
      </c>
      <c r="I229" s="2" t="inlineStr">
        <is>
          <t>12:18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5" t="n">
        <v>0</v>
      </c>
      <c r="N229" s="6" t="n">
        <v>2025</v>
      </c>
      <c r="O229" s="5" t="inlineStr">
        <is>
          <t>2025-01</t>
        </is>
      </c>
    </row>
    <row r="230">
      <c r="A230" s="2" t="inlineStr">
        <is>
          <t>Z102_03_012025_MASSENA.CSV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0085</t>
        </is>
      </c>
      <c r="H230" s="4" t="n">
        <v>45691</v>
      </c>
      <c r="I230" s="2" t="inlineStr">
        <is>
          <t>12:18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5" t="n">
        <v>0</v>
      </c>
      <c r="N230" s="6" t="n">
        <v>2025</v>
      </c>
      <c r="O230" s="5" t="inlineStr">
        <is>
          <t>2025-01</t>
        </is>
      </c>
    </row>
    <row r="231">
      <c r="A231" s="2" t="inlineStr">
        <is>
          <t>Z102_03_012025_MASSENA.CSV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0085</t>
        </is>
      </c>
      <c r="H231" s="4" t="n">
        <v>45691</v>
      </c>
      <c r="I231" s="2" t="inlineStr">
        <is>
          <t>12:18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5" t="n">
        <v>0</v>
      </c>
      <c r="N231" s="6" t="n">
        <v>2025</v>
      </c>
      <c r="O231" s="5" t="inlineStr">
        <is>
          <t>2025-01</t>
        </is>
      </c>
    </row>
    <row r="232">
      <c r="A232" s="2" t="inlineStr">
        <is>
          <t>Z102_03_012025_MASSENA.CSV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0085</t>
        </is>
      </c>
      <c r="H232" s="4" t="n">
        <v>45691</v>
      </c>
      <c r="I232" s="2" t="inlineStr">
        <is>
          <t>12:18</t>
        </is>
      </c>
      <c r="J232" s="3" t="inlineStr">
        <is>
          <t>0031</t>
        </is>
      </c>
      <c r="K232" s="2" t="inlineStr">
        <is>
          <t>REF./TIROIR</t>
        </is>
      </c>
      <c r="L232" s="5" t="n">
        <v>0</v>
      </c>
      <c r="M232" s="5" t="n">
        <v>0</v>
      </c>
      <c r="N232" s="6" t="n">
        <v>2025</v>
      </c>
      <c r="O232" s="5" t="inlineStr">
        <is>
          <t>2025-01</t>
        </is>
      </c>
    </row>
    <row r="233">
      <c r="A233" s="2" t="inlineStr">
        <is>
          <t>Z102_03_012025_MASSENA.CSV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0085</t>
        </is>
      </c>
      <c r="H233" s="4" t="n">
        <v>45691</v>
      </c>
      <c r="I233" s="2" t="inlineStr">
        <is>
          <t>12:18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5" t="n">
        <v>0</v>
      </c>
      <c r="N233" s="6" t="n">
        <v>2025</v>
      </c>
      <c r="O233" s="5" t="inlineStr">
        <is>
          <t>2025-01</t>
        </is>
      </c>
    </row>
    <row r="234">
      <c r="A234" s="2" t="inlineStr">
        <is>
          <t>Z102_03_012025_MASSENA.CSV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0085</t>
        </is>
      </c>
      <c r="H234" s="4" t="n">
        <v>45691</v>
      </c>
      <c r="I234" s="2" t="inlineStr">
        <is>
          <t>12:18</t>
        </is>
      </c>
      <c r="J234" s="3" t="inlineStr">
        <is>
          <t>0033</t>
        </is>
      </c>
      <c r="K234" s="2" t="inlineStr"/>
      <c r="L234" s="5" t="n">
        <v>0</v>
      </c>
      <c r="M234" s="5" t="n">
        <v>0</v>
      </c>
      <c r="N234" s="6" t="n">
        <v>2025</v>
      </c>
      <c r="O234" s="5" t="inlineStr">
        <is>
          <t>2025-01</t>
        </is>
      </c>
    </row>
    <row r="235">
      <c r="A235" s="2" t="inlineStr">
        <is>
          <t>Z102_03_012025_MASSENA.CSV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0085</t>
        </is>
      </c>
      <c r="H235" s="4" t="n">
        <v>45691</v>
      </c>
      <c r="I235" s="2" t="inlineStr">
        <is>
          <t>12:18</t>
        </is>
      </c>
      <c r="J235" s="3" t="inlineStr">
        <is>
          <t>0034</t>
        </is>
      </c>
      <c r="K235" s="2" t="inlineStr"/>
      <c r="L235" s="5" t="n">
        <v>0</v>
      </c>
      <c r="M235" s="5" t="n">
        <v>0</v>
      </c>
      <c r="N235" s="6" t="n">
        <v>2025</v>
      </c>
      <c r="O235" s="5" t="inlineStr">
        <is>
          <t>2025-01</t>
        </is>
      </c>
    </row>
    <row r="236">
      <c r="A236" s="2" t="inlineStr">
        <is>
          <t>Z102_03_012025_MASSENA.CSV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0085</t>
        </is>
      </c>
      <c r="H236" s="4" t="n">
        <v>45691</v>
      </c>
      <c r="I236" s="2" t="inlineStr">
        <is>
          <t>12:18</t>
        </is>
      </c>
      <c r="J236" s="3" t="inlineStr">
        <is>
          <t>0035</t>
        </is>
      </c>
      <c r="K236" s="2" t="inlineStr"/>
      <c r="L236" s="5" t="n">
        <v>0</v>
      </c>
      <c r="M236" s="5" t="n">
        <v>0</v>
      </c>
      <c r="N236" s="6" t="n">
        <v>2025</v>
      </c>
      <c r="O236" s="5" t="inlineStr">
        <is>
          <t>2025-01</t>
        </is>
      </c>
    </row>
    <row r="237">
      <c r="A237" s="2" t="inlineStr">
        <is>
          <t>Z102_03_012025_MASSENA.CSV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0085</t>
        </is>
      </c>
      <c r="H237" s="4" t="n">
        <v>45691</v>
      </c>
      <c r="I237" s="2" t="inlineStr">
        <is>
          <t>12:18</t>
        </is>
      </c>
      <c r="J237" s="3" t="inlineStr">
        <is>
          <t>0036</t>
        </is>
      </c>
      <c r="K237" s="2" t="inlineStr"/>
      <c r="L237" s="5" t="n">
        <v>0</v>
      </c>
      <c r="M237" s="5" t="n">
        <v>0</v>
      </c>
      <c r="N237" s="6" t="n">
        <v>2025</v>
      </c>
      <c r="O237" s="5" t="inlineStr">
        <is>
          <t>2025-01</t>
        </is>
      </c>
    </row>
    <row r="238">
      <c r="A238" s="2" t="inlineStr">
        <is>
          <t>Z102_03_012025_MASSENA.CSV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0085</t>
        </is>
      </c>
      <c r="H238" s="4" t="n">
        <v>45691</v>
      </c>
      <c r="I238" s="2" t="inlineStr">
        <is>
          <t>12:18</t>
        </is>
      </c>
      <c r="J238" s="3" t="inlineStr">
        <is>
          <t>0037</t>
        </is>
      </c>
      <c r="K238" s="2" t="inlineStr"/>
      <c r="L238" s="5" t="n">
        <v>0</v>
      </c>
      <c r="M238" s="5" t="n">
        <v>0</v>
      </c>
      <c r="N238" s="6" t="n">
        <v>2025</v>
      </c>
      <c r="O238" s="5" t="inlineStr">
        <is>
          <t>2025-01</t>
        </is>
      </c>
    </row>
    <row r="239">
      <c r="A239" s="2" t="inlineStr">
        <is>
          <t>Z102_03_012025_MASSENA.CSV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0085</t>
        </is>
      </c>
      <c r="H239" s="4" t="n">
        <v>45691</v>
      </c>
      <c r="I239" s="2" t="inlineStr">
        <is>
          <t>12:18</t>
        </is>
      </c>
      <c r="J239" s="3" t="inlineStr">
        <is>
          <t>0038</t>
        </is>
      </c>
      <c r="K239" s="2" t="inlineStr"/>
      <c r="L239" s="5" t="n">
        <v>0</v>
      </c>
      <c r="M239" s="5" t="n">
        <v>0</v>
      </c>
      <c r="N239" s="6" t="n">
        <v>2025</v>
      </c>
      <c r="O239" s="5" t="inlineStr">
        <is>
          <t>2025-01</t>
        </is>
      </c>
    </row>
    <row r="240">
      <c r="A240" s="2" t="inlineStr">
        <is>
          <t>Z102_03_012025_MASSENA.CSV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0085</t>
        </is>
      </c>
      <c r="H240" s="4" t="n">
        <v>45691</v>
      </c>
      <c r="I240" s="2" t="inlineStr">
        <is>
          <t>12:18</t>
        </is>
      </c>
      <c r="J240" s="3" t="inlineStr">
        <is>
          <t>0039</t>
        </is>
      </c>
      <c r="K240" s="2" t="inlineStr"/>
      <c r="L240" s="5" t="n">
        <v>0</v>
      </c>
      <c r="M240" s="5" t="n">
        <v>0</v>
      </c>
      <c r="N240" s="6" t="n">
        <v>2025</v>
      </c>
      <c r="O240" s="5" t="inlineStr">
        <is>
          <t>2025-01</t>
        </is>
      </c>
    </row>
    <row r="241">
      <c r="A241" s="2" t="inlineStr">
        <is>
          <t>Z102_03_012025_MASSENA.CSV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0085</t>
        </is>
      </c>
      <c r="H241" s="4" t="n">
        <v>45691</v>
      </c>
      <c r="I241" s="2" t="inlineStr">
        <is>
          <t>12:18</t>
        </is>
      </c>
      <c r="J241" s="3" t="inlineStr">
        <is>
          <t>0040</t>
        </is>
      </c>
      <c r="K241" s="2" t="inlineStr"/>
      <c r="L241" s="5" t="n">
        <v>0</v>
      </c>
      <c r="M241" s="5" t="n">
        <v>0</v>
      </c>
      <c r="N241" s="6" t="n">
        <v>2025</v>
      </c>
      <c r="O241" s="5" t="inlineStr">
        <is>
          <t>2025-01</t>
        </is>
      </c>
    </row>
    <row r="242">
      <c r="A242" s="2" t="inlineStr">
        <is>
          <t>Z102_03_012025_MASSENA.CSV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0085</t>
        </is>
      </c>
      <c r="H242" s="4" t="n">
        <v>45691</v>
      </c>
      <c r="I242" s="2" t="inlineStr">
        <is>
          <t>12:18</t>
        </is>
      </c>
      <c r="J242" s="3" t="inlineStr">
        <is>
          <t>0041</t>
        </is>
      </c>
      <c r="K242" s="2" t="inlineStr"/>
      <c r="L242" s="5" t="n">
        <v>0</v>
      </c>
      <c r="M242" s="5" t="n">
        <v>0</v>
      </c>
      <c r="N242" s="6" t="n">
        <v>2025</v>
      </c>
      <c r="O242" s="5" t="inlineStr">
        <is>
          <t>2025-01</t>
        </is>
      </c>
    </row>
    <row r="243">
      <c r="A243" s="2" t="inlineStr">
        <is>
          <t>Z102_03_012025_MASSENA.CSV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0085</t>
        </is>
      </c>
      <c r="H243" s="4" t="n">
        <v>45691</v>
      </c>
      <c r="I243" s="2" t="inlineStr">
        <is>
          <t>12:18</t>
        </is>
      </c>
      <c r="J243" s="3" t="inlineStr">
        <is>
          <t>0042</t>
        </is>
      </c>
      <c r="K243" s="2" t="inlineStr"/>
      <c r="L243" s="5" t="n">
        <v>0</v>
      </c>
      <c r="M243" s="5" t="n">
        <v>0</v>
      </c>
      <c r="N243" s="6" t="n">
        <v>2025</v>
      </c>
      <c r="O243" s="5" t="inlineStr">
        <is>
          <t>2025-01</t>
        </is>
      </c>
    </row>
    <row r="244">
      <c r="A244" s="2" t="inlineStr">
        <is>
          <t>Z102_03_012025_MASSENA.CSV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0085</t>
        </is>
      </c>
      <c r="H244" s="4" t="n">
        <v>45691</v>
      </c>
      <c r="I244" s="2" t="inlineStr">
        <is>
          <t>12:18</t>
        </is>
      </c>
      <c r="J244" s="3" t="inlineStr">
        <is>
          <t>0043</t>
        </is>
      </c>
      <c r="K244" s="2" t="inlineStr"/>
      <c r="L244" s="5" t="n">
        <v>0</v>
      </c>
      <c r="M244" s="5" t="n">
        <v>0</v>
      </c>
      <c r="N244" s="6" t="n">
        <v>2025</v>
      </c>
      <c r="O244" s="5" t="inlineStr">
        <is>
          <t>2025-01</t>
        </is>
      </c>
    </row>
    <row r="245">
      <c r="A245" s="2" t="inlineStr">
        <is>
          <t>Z102_03_012025_MASSENA.CSV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0085</t>
        </is>
      </c>
      <c r="H245" s="4" t="n">
        <v>45691</v>
      </c>
      <c r="I245" s="2" t="inlineStr">
        <is>
          <t>12:18</t>
        </is>
      </c>
      <c r="J245" s="3" t="inlineStr">
        <is>
          <t>0044</t>
        </is>
      </c>
      <c r="K245" s="2" t="inlineStr"/>
      <c r="L245" s="5" t="n">
        <v>0</v>
      </c>
      <c r="M245" s="5" t="n">
        <v>0</v>
      </c>
      <c r="N245" s="6" t="n">
        <v>2025</v>
      </c>
      <c r="O245" s="5" t="inlineStr">
        <is>
          <t>2025-01</t>
        </is>
      </c>
    </row>
    <row r="246">
      <c r="A246" s="2" t="inlineStr">
        <is>
          <t>Z102_03_012025_MASSENA.CSV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0085</t>
        </is>
      </c>
      <c r="H246" s="4" t="n">
        <v>45691</v>
      </c>
      <c r="I246" s="2" t="inlineStr">
        <is>
          <t>12:18</t>
        </is>
      </c>
      <c r="J246" s="3" t="inlineStr">
        <is>
          <t>0045</t>
        </is>
      </c>
      <c r="K246" s="2" t="inlineStr"/>
      <c r="L246" s="5" t="n">
        <v>0</v>
      </c>
      <c r="M246" s="5" t="n">
        <v>0</v>
      </c>
      <c r="N246" s="6" t="n">
        <v>2025</v>
      </c>
      <c r="O246" s="5" t="inlineStr">
        <is>
          <t>2025-01</t>
        </is>
      </c>
    </row>
    <row r="247">
      <c r="A247" s="2" t="inlineStr">
        <is>
          <t>Z102_03_012025_MASSENA.CSV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0085</t>
        </is>
      </c>
      <c r="H247" s="4" t="n">
        <v>45691</v>
      </c>
      <c r="I247" s="2" t="inlineStr">
        <is>
          <t>12:18</t>
        </is>
      </c>
      <c r="J247" s="3" t="inlineStr">
        <is>
          <t>0046</t>
        </is>
      </c>
      <c r="K247" s="2" t="inlineStr"/>
      <c r="L247" s="5" t="n">
        <v>0</v>
      </c>
      <c r="M247" s="5" t="n">
        <v>0</v>
      </c>
      <c r="N247" s="6" t="n">
        <v>2025</v>
      </c>
      <c r="O247" s="5" t="inlineStr">
        <is>
          <t>2025-01</t>
        </is>
      </c>
    </row>
    <row r="248">
      <c r="A248" s="2" t="inlineStr">
        <is>
          <t>Z102_03_012025_MASSENA.CSV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0085</t>
        </is>
      </c>
      <c r="H248" s="4" t="n">
        <v>45691</v>
      </c>
      <c r="I248" s="2" t="inlineStr">
        <is>
          <t>12:18</t>
        </is>
      </c>
      <c r="J248" s="3" t="inlineStr">
        <is>
          <t>0047</t>
        </is>
      </c>
      <c r="K248" s="2" t="inlineStr"/>
      <c r="L248" s="5" t="n">
        <v>0</v>
      </c>
      <c r="M248" s="5" t="n">
        <v>0</v>
      </c>
      <c r="N248" s="6" t="n">
        <v>2025</v>
      </c>
      <c r="O248" s="5" t="inlineStr">
        <is>
          <t>2025-01</t>
        </is>
      </c>
    </row>
    <row r="249">
      <c r="A249" s="2" t="inlineStr">
        <is>
          <t>Z102_03_012025_MASSENA.CSV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0085</t>
        </is>
      </c>
      <c r="H249" s="4" t="n">
        <v>45691</v>
      </c>
      <c r="I249" s="2" t="inlineStr">
        <is>
          <t>12:18</t>
        </is>
      </c>
      <c r="J249" s="3" t="inlineStr">
        <is>
          <t>0048</t>
        </is>
      </c>
      <c r="K249" s="2" t="inlineStr"/>
      <c r="L249" s="5" t="n">
        <v>0</v>
      </c>
      <c r="M249" s="5" t="n">
        <v>0</v>
      </c>
      <c r="N249" s="6" t="n">
        <v>2025</v>
      </c>
      <c r="O249" s="5" t="inlineStr">
        <is>
          <t>2025-01</t>
        </is>
      </c>
    </row>
    <row r="250">
      <c r="A250" s="2" t="inlineStr">
        <is>
          <t>Z102_03_012025_MASSENA.CSV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0085</t>
        </is>
      </c>
      <c r="H250" s="4" t="n">
        <v>45691</v>
      </c>
      <c r="I250" s="2" t="inlineStr">
        <is>
          <t>12:18</t>
        </is>
      </c>
      <c r="J250" s="3" t="inlineStr">
        <is>
          <t>0049</t>
        </is>
      </c>
      <c r="K250" s="2" t="inlineStr"/>
      <c r="L250" s="5" t="n">
        <v>0</v>
      </c>
      <c r="M250" s="5" t="n">
        <v>0</v>
      </c>
      <c r="N250" s="6" t="n">
        <v>2025</v>
      </c>
      <c r="O250" s="5" t="inlineStr">
        <is>
          <t>2025-01</t>
        </is>
      </c>
    </row>
    <row r="251">
      <c r="A251" s="2" t="inlineStr">
        <is>
          <t>Z102_03_012025_MASSENA.CSV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0085</t>
        </is>
      </c>
      <c r="H251" s="4" t="n">
        <v>45691</v>
      </c>
      <c r="I251" s="2" t="inlineStr">
        <is>
          <t>12:18</t>
        </is>
      </c>
      <c r="J251" s="3" t="inlineStr">
        <is>
          <t>0050</t>
        </is>
      </c>
      <c r="K251" s="2" t="inlineStr"/>
      <c r="L251" s="5" t="n">
        <v>0</v>
      </c>
      <c r="M251" s="5" t="n">
        <v>0</v>
      </c>
      <c r="N251" s="6" t="n">
        <v>2025</v>
      </c>
      <c r="O251" s="5" t="inlineStr">
        <is>
          <t>2025-01</t>
        </is>
      </c>
    </row>
    <row r="252">
      <c r="A252" s="2" t="inlineStr">
        <is>
          <t>Z102_29_032025_MASSENA.CSV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0087</t>
        </is>
      </c>
      <c r="H252" s="4" t="n">
        <v>45745</v>
      </c>
      <c r="I252" s="2" t="inlineStr">
        <is>
          <t>23:24</t>
        </is>
      </c>
      <c r="J252" s="3" t="inlineStr">
        <is>
          <t>0001</t>
        </is>
      </c>
      <c r="K252" s="2" t="inlineStr">
        <is>
          <t>ESPECES</t>
        </is>
      </c>
      <c r="L252" s="5" t="n">
        <v>21</v>
      </c>
      <c r="M252" s="5" t="n">
        <v>11051.7</v>
      </c>
      <c r="N252" s="6" t="n">
        <v>2025</v>
      </c>
      <c r="O252" s="5" t="inlineStr">
        <is>
          <t>2025-03</t>
        </is>
      </c>
    </row>
    <row r="253">
      <c r="A253" s="2" t="inlineStr">
        <is>
          <t>Z102_29_032025_MASSENA.CSV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0087</t>
        </is>
      </c>
      <c r="H253" s="4" t="n">
        <v>45745</v>
      </c>
      <c r="I253" s="2" t="inlineStr">
        <is>
          <t>23:24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5" t="n">
        <v>0</v>
      </c>
      <c r="N253" s="6" t="n">
        <v>2025</v>
      </c>
      <c r="O253" s="5" t="inlineStr">
        <is>
          <t>2025-03</t>
        </is>
      </c>
    </row>
    <row r="254">
      <c r="A254" s="2" t="inlineStr">
        <is>
          <t>Z102_29_032025_MASSENA.CSV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0087</t>
        </is>
      </c>
      <c r="H254" s="4" t="n">
        <v>45745</v>
      </c>
      <c r="I254" s="2" t="inlineStr">
        <is>
          <t>23:24</t>
        </is>
      </c>
      <c r="J254" s="3" t="inlineStr">
        <is>
          <t>0003</t>
        </is>
      </c>
      <c r="K254" s="2" t="inlineStr">
        <is>
          <t>CARTES</t>
        </is>
      </c>
      <c r="L254" s="5" t="n">
        <v>9</v>
      </c>
      <c r="M254" s="5" t="n">
        <v>9581</v>
      </c>
      <c r="N254" s="6" t="n">
        <v>2025</v>
      </c>
      <c r="O254" s="5" t="inlineStr">
        <is>
          <t>2025-03</t>
        </is>
      </c>
    </row>
    <row r="255">
      <c r="A255" s="2" t="inlineStr">
        <is>
          <t>Z102_29_032025_MASSENA.CSV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0087</t>
        </is>
      </c>
      <c r="H255" s="4" t="n">
        <v>45745</v>
      </c>
      <c r="I255" s="2" t="inlineStr">
        <is>
          <t>23:24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5" t="n">
        <v>0</v>
      </c>
      <c r="N255" s="6" t="n">
        <v>2025</v>
      </c>
      <c r="O255" s="5" t="inlineStr">
        <is>
          <t>2025-03</t>
        </is>
      </c>
    </row>
    <row r="256">
      <c r="A256" s="2" t="inlineStr">
        <is>
          <t>Z102_29_032025_MASSENA.CSV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0087</t>
        </is>
      </c>
      <c r="H256" s="4" t="n">
        <v>45745</v>
      </c>
      <c r="I256" s="2" t="inlineStr">
        <is>
          <t>23:24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5" t="n">
        <v>0</v>
      </c>
      <c r="N256" s="6" t="n">
        <v>2025</v>
      </c>
      <c r="O256" s="5" t="inlineStr">
        <is>
          <t>2025-03</t>
        </is>
      </c>
    </row>
    <row r="257">
      <c r="A257" s="2" t="inlineStr">
        <is>
          <t>Z102_29_032025_MASSENA.CSV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0087</t>
        </is>
      </c>
      <c r="H257" s="4" t="n">
        <v>45745</v>
      </c>
      <c r="I257" s="2" t="inlineStr">
        <is>
          <t>23:24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5" t="n">
        <v>0</v>
      </c>
      <c r="N257" s="6" t="n">
        <v>2025</v>
      </c>
      <c r="O257" s="5" t="inlineStr">
        <is>
          <t>2025-03</t>
        </is>
      </c>
    </row>
    <row r="258">
      <c r="A258" s="2" t="inlineStr">
        <is>
          <t>Z102_29_032025_MASSENA.CSV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0087</t>
        </is>
      </c>
      <c r="H258" s="4" t="n">
        <v>45745</v>
      </c>
      <c r="I258" s="2" t="inlineStr">
        <is>
          <t>23:24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5" t="n">
        <v>0</v>
      </c>
      <c r="N258" s="6" t="n">
        <v>2025</v>
      </c>
      <c r="O258" s="5" t="inlineStr">
        <is>
          <t>2025-03</t>
        </is>
      </c>
    </row>
    <row r="259">
      <c r="A259" s="2" t="inlineStr">
        <is>
          <t>Z102_29_032025_MASSENA.CSV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0087</t>
        </is>
      </c>
      <c r="H259" s="4" t="n">
        <v>45745</v>
      </c>
      <c r="I259" s="2" t="inlineStr">
        <is>
          <t>23:24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5" t="n">
        <v>0</v>
      </c>
      <c r="N259" s="6" t="n">
        <v>2025</v>
      </c>
      <c r="O259" s="5" t="inlineStr">
        <is>
          <t>2025-03</t>
        </is>
      </c>
    </row>
    <row r="260">
      <c r="A260" s="2" t="inlineStr">
        <is>
          <t>Z102_29_032025_MASSENA.CSV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0087</t>
        </is>
      </c>
      <c r="H260" s="4" t="n">
        <v>45745</v>
      </c>
      <c r="I260" s="2" t="inlineStr">
        <is>
          <t>23:24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5" t="n">
        <v>0</v>
      </c>
      <c r="N260" s="6" t="n">
        <v>2025</v>
      </c>
      <c r="O260" s="5" t="inlineStr">
        <is>
          <t>2025-03</t>
        </is>
      </c>
    </row>
    <row r="261">
      <c r="A261" s="2" t="inlineStr">
        <is>
          <t>Z102_29_032025_MASSENA.CSV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0087</t>
        </is>
      </c>
      <c r="H261" s="4" t="n">
        <v>45745</v>
      </c>
      <c r="I261" s="2" t="inlineStr">
        <is>
          <t>23:24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5" t="n">
        <v>0</v>
      </c>
      <c r="N261" s="6" t="n">
        <v>2025</v>
      </c>
      <c r="O261" s="5" t="inlineStr">
        <is>
          <t>2025-03</t>
        </is>
      </c>
    </row>
    <row r="262">
      <c r="A262" s="2" t="inlineStr">
        <is>
          <t>Z102_29_032025_MASSENA.CSV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0087</t>
        </is>
      </c>
      <c r="H262" s="4" t="n">
        <v>45745</v>
      </c>
      <c r="I262" s="2" t="inlineStr">
        <is>
          <t>23:24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5" t="n">
        <v>0</v>
      </c>
      <c r="N262" s="6" t="n">
        <v>2025</v>
      </c>
      <c r="O262" s="5" t="inlineStr">
        <is>
          <t>2025-03</t>
        </is>
      </c>
    </row>
    <row r="263">
      <c r="A263" s="2" t="inlineStr">
        <is>
          <t>Z102_29_032025_MASSENA.CSV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0087</t>
        </is>
      </c>
      <c r="H263" s="4" t="n">
        <v>45745</v>
      </c>
      <c r="I263" s="2" t="inlineStr">
        <is>
          <t>23:24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5" t="n">
        <v>0</v>
      </c>
      <c r="N263" s="6" t="n">
        <v>2025</v>
      </c>
      <c r="O263" s="5" t="inlineStr">
        <is>
          <t>2025-03</t>
        </is>
      </c>
    </row>
    <row r="264">
      <c r="A264" s="2" t="inlineStr">
        <is>
          <t>Z102_29_032025_MASSENA.CSV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0087</t>
        </is>
      </c>
      <c r="H264" s="4" t="n">
        <v>45745</v>
      </c>
      <c r="I264" s="2" t="inlineStr">
        <is>
          <t>23:24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5" t="n">
        <v>0</v>
      </c>
      <c r="N264" s="6" t="n">
        <v>2025</v>
      </c>
      <c r="O264" s="5" t="inlineStr">
        <is>
          <t>2025-03</t>
        </is>
      </c>
    </row>
    <row r="265">
      <c r="A265" s="2" t="inlineStr">
        <is>
          <t>Z102_29_032025_MASSENA.CSV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0087</t>
        </is>
      </c>
      <c r="H265" s="4" t="n">
        <v>45745</v>
      </c>
      <c r="I265" s="2" t="inlineStr">
        <is>
          <t>23:24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5" t="n">
        <v>0</v>
      </c>
      <c r="N265" s="6" t="n">
        <v>2025</v>
      </c>
      <c r="O265" s="5" t="inlineStr">
        <is>
          <t>2025-03</t>
        </is>
      </c>
    </row>
    <row r="266">
      <c r="A266" s="2" t="inlineStr">
        <is>
          <t>Z102_29_032025_MASSENA.CSV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0087</t>
        </is>
      </c>
      <c r="H266" s="4" t="n">
        <v>45745</v>
      </c>
      <c r="I266" s="2" t="inlineStr">
        <is>
          <t>23:24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5" t="n">
        <v>0</v>
      </c>
      <c r="N266" s="6" t="n">
        <v>2025</v>
      </c>
      <c r="O266" s="5" t="inlineStr">
        <is>
          <t>2025-03</t>
        </is>
      </c>
    </row>
    <row r="267">
      <c r="A267" s="2" t="inlineStr">
        <is>
          <t>Z102_29_032025_MASSENA.CSV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0087</t>
        </is>
      </c>
      <c r="H267" s="4" t="n">
        <v>45745</v>
      </c>
      <c r="I267" s="2" t="inlineStr">
        <is>
          <t>23:24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5" t="n">
        <v>0</v>
      </c>
      <c r="N267" s="6" t="n">
        <v>2025</v>
      </c>
      <c r="O267" s="5" t="inlineStr">
        <is>
          <t>2025-03</t>
        </is>
      </c>
    </row>
    <row r="268">
      <c r="A268" s="2" t="inlineStr">
        <is>
          <t>Z102_29_032025_MASSENA.CSV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0087</t>
        </is>
      </c>
      <c r="H268" s="4" t="n">
        <v>45745</v>
      </c>
      <c r="I268" s="2" t="inlineStr">
        <is>
          <t>23:24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5" t="n">
        <v>0</v>
      </c>
      <c r="N268" s="6" t="n">
        <v>2025</v>
      </c>
      <c r="O268" s="5" t="inlineStr">
        <is>
          <t>2025-03</t>
        </is>
      </c>
    </row>
    <row r="269">
      <c r="A269" s="2" t="inlineStr">
        <is>
          <t>Z102_29_032025_MASSENA.CSV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0087</t>
        </is>
      </c>
      <c r="H269" s="4" t="n">
        <v>45745</v>
      </c>
      <c r="I269" s="2" t="inlineStr">
        <is>
          <t>23:24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5" t="n">
        <v>0</v>
      </c>
      <c r="N269" s="6" t="n">
        <v>2025</v>
      </c>
      <c r="O269" s="5" t="inlineStr">
        <is>
          <t>2025-03</t>
        </is>
      </c>
    </row>
    <row r="270">
      <c r="A270" s="2" t="inlineStr">
        <is>
          <t>Z102_29_032025_MASSENA.CSV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0087</t>
        </is>
      </c>
      <c r="H270" s="4" t="n">
        <v>45745</v>
      </c>
      <c r="I270" s="2" t="inlineStr">
        <is>
          <t>23:24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5" t="n">
        <v>0</v>
      </c>
      <c r="N270" s="6" t="n">
        <v>2025</v>
      </c>
      <c r="O270" s="5" t="inlineStr">
        <is>
          <t>2025-03</t>
        </is>
      </c>
    </row>
    <row r="271">
      <c r="A271" s="2" t="inlineStr">
        <is>
          <t>Z102_29_032025_MASSENA.CSV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0087</t>
        </is>
      </c>
      <c r="H271" s="4" t="n">
        <v>45745</v>
      </c>
      <c r="I271" s="2" t="inlineStr">
        <is>
          <t>23:24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5" t="n">
        <v>0</v>
      </c>
      <c r="N271" s="6" t="n">
        <v>2025</v>
      </c>
      <c r="O271" s="5" t="inlineStr">
        <is>
          <t>2025-03</t>
        </is>
      </c>
    </row>
    <row r="272">
      <c r="A272" s="2" t="inlineStr">
        <is>
          <t>Z102_29_032025_MASSENA.CSV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0087</t>
        </is>
      </c>
      <c r="H272" s="4" t="n">
        <v>45745</v>
      </c>
      <c r="I272" s="2" t="inlineStr">
        <is>
          <t>23:24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5" t="n">
        <v>0</v>
      </c>
      <c r="N272" s="6" t="n">
        <v>2025</v>
      </c>
      <c r="O272" s="5" t="inlineStr">
        <is>
          <t>2025-03</t>
        </is>
      </c>
    </row>
    <row r="273">
      <c r="A273" s="2" t="inlineStr">
        <is>
          <t>Z102_29_032025_MASSENA.CSV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0087</t>
        </is>
      </c>
      <c r="H273" s="4" t="n">
        <v>45745</v>
      </c>
      <c r="I273" s="2" t="inlineStr">
        <is>
          <t>23:24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5" t="n">
        <v>0</v>
      </c>
      <c r="N273" s="6" t="n">
        <v>2025</v>
      </c>
      <c r="O273" s="5" t="inlineStr">
        <is>
          <t>2025-03</t>
        </is>
      </c>
    </row>
    <row r="274">
      <c r="A274" s="2" t="inlineStr">
        <is>
          <t>Z102_29_032025_MASSENA.CSV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0087</t>
        </is>
      </c>
      <c r="H274" s="4" t="n">
        <v>45745</v>
      </c>
      <c r="I274" s="2" t="inlineStr">
        <is>
          <t>23:24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5" t="n">
        <v>0</v>
      </c>
      <c r="N274" s="6" t="n">
        <v>2025</v>
      </c>
      <c r="O274" s="5" t="inlineStr">
        <is>
          <t>2025-03</t>
        </is>
      </c>
    </row>
    <row r="275">
      <c r="A275" s="2" t="inlineStr">
        <is>
          <t>Z102_29_032025_MASSENA.CSV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0087</t>
        </is>
      </c>
      <c r="H275" s="4" t="n">
        <v>45745</v>
      </c>
      <c r="I275" s="2" t="inlineStr">
        <is>
          <t>23:24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5" t="n">
        <v>0</v>
      </c>
      <c r="N275" s="6" t="n">
        <v>2025</v>
      </c>
      <c r="O275" s="5" t="inlineStr">
        <is>
          <t>2025-03</t>
        </is>
      </c>
    </row>
    <row r="276">
      <c r="A276" s="2" t="inlineStr">
        <is>
          <t>Z102_29_032025_MASSENA.CSV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0087</t>
        </is>
      </c>
      <c r="H276" s="4" t="n">
        <v>45745</v>
      </c>
      <c r="I276" s="2" t="inlineStr">
        <is>
          <t>23:24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5" t="n">
        <v>0</v>
      </c>
      <c r="N276" s="6" t="n">
        <v>2025</v>
      </c>
      <c r="O276" s="5" t="inlineStr">
        <is>
          <t>2025-03</t>
        </is>
      </c>
    </row>
    <row r="277">
      <c r="A277" s="2" t="inlineStr">
        <is>
          <t>Z102_29_032025_MASSENA.CSV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0087</t>
        </is>
      </c>
      <c r="H277" s="4" t="n">
        <v>45745</v>
      </c>
      <c r="I277" s="2" t="inlineStr">
        <is>
          <t>23:24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5" t="n">
        <v>0</v>
      </c>
      <c r="N277" s="6" t="n">
        <v>2025</v>
      </c>
      <c r="O277" s="5" t="inlineStr">
        <is>
          <t>2025-03</t>
        </is>
      </c>
    </row>
    <row r="278">
      <c r="A278" s="2" t="inlineStr">
        <is>
          <t>Z102_29_032025_MASSENA.CSV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0087</t>
        </is>
      </c>
      <c r="H278" s="4" t="n">
        <v>45745</v>
      </c>
      <c r="I278" s="2" t="inlineStr">
        <is>
          <t>23:24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5" t="n">
        <v>0</v>
      </c>
      <c r="N278" s="6" t="n">
        <v>2025</v>
      </c>
      <c r="O278" s="5" t="inlineStr">
        <is>
          <t>2025-03</t>
        </is>
      </c>
    </row>
    <row r="279">
      <c r="A279" s="2" t="inlineStr">
        <is>
          <t>Z102_29_032025_MASSENA.CSV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0087</t>
        </is>
      </c>
      <c r="H279" s="4" t="n">
        <v>45745</v>
      </c>
      <c r="I279" s="2" t="inlineStr">
        <is>
          <t>23:24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5" t="n">
        <v>0</v>
      </c>
      <c r="N279" s="6" t="n">
        <v>2025</v>
      </c>
      <c r="O279" s="5" t="inlineStr">
        <is>
          <t>2025-03</t>
        </is>
      </c>
    </row>
    <row r="280">
      <c r="A280" s="2" t="inlineStr">
        <is>
          <t>Z102_29_032025_MASSENA.CSV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0087</t>
        </is>
      </c>
      <c r="H280" s="4" t="n">
        <v>45745</v>
      </c>
      <c r="I280" s="2" t="inlineStr">
        <is>
          <t>23:24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5" t="n">
        <v>0</v>
      </c>
      <c r="N280" s="6" t="n">
        <v>2025</v>
      </c>
      <c r="O280" s="5" t="inlineStr">
        <is>
          <t>2025-03</t>
        </is>
      </c>
    </row>
    <row r="281">
      <c r="A281" s="2" t="inlineStr">
        <is>
          <t>Z102_29_032025_MASSENA.CSV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0087</t>
        </is>
      </c>
      <c r="H281" s="4" t="n">
        <v>45745</v>
      </c>
      <c r="I281" s="2" t="inlineStr">
        <is>
          <t>23:24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5" t="n">
        <v>0</v>
      </c>
      <c r="N281" s="6" t="n">
        <v>2025</v>
      </c>
      <c r="O281" s="5" t="inlineStr">
        <is>
          <t>2025-03</t>
        </is>
      </c>
    </row>
    <row r="282">
      <c r="A282" s="2" t="inlineStr">
        <is>
          <t>Z102_29_032025_MASSENA.CSV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0087</t>
        </is>
      </c>
      <c r="H282" s="4" t="n">
        <v>45745</v>
      </c>
      <c r="I282" s="2" t="inlineStr">
        <is>
          <t>23:24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5" t="n">
        <v>0</v>
      </c>
      <c r="N282" s="6" t="n">
        <v>2025</v>
      </c>
      <c r="O282" s="5" t="inlineStr">
        <is>
          <t>2025-03</t>
        </is>
      </c>
    </row>
    <row r="283">
      <c r="A283" s="2" t="inlineStr">
        <is>
          <t>Z102_29_032025_MASSENA.CSV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0087</t>
        </is>
      </c>
      <c r="H283" s="4" t="n">
        <v>45745</v>
      </c>
      <c r="I283" s="2" t="inlineStr">
        <is>
          <t>23:24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5" t="n">
        <v>0</v>
      </c>
      <c r="N283" s="6" t="n">
        <v>2025</v>
      </c>
      <c r="O283" s="5" t="inlineStr">
        <is>
          <t>2025-03</t>
        </is>
      </c>
    </row>
    <row r="284">
      <c r="A284" s="2" t="inlineStr">
        <is>
          <t>Z102_29_032025_MASSENA.CSV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0087</t>
        </is>
      </c>
      <c r="H284" s="4" t="n">
        <v>45745</v>
      </c>
      <c r="I284" s="2" t="inlineStr">
        <is>
          <t>23:24</t>
        </is>
      </c>
      <c r="J284" s="3" t="inlineStr">
        <is>
          <t>0033</t>
        </is>
      </c>
      <c r="K284" s="2" t="inlineStr"/>
      <c r="L284" s="5" t="n">
        <v>0</v>
      </c>
      <c r="M284" s="5" t="n">
        <v>0</v>
      </c>
      <c r="N284" s="6" t="n">
        <v>2025</v>
      </c>
      <c r="O284" s="5" t="inlineStr">
        <is>
          <t>2025-03</t>
        </is>
      </c>
    </row>
    <row r="285">
      <c r="A285" s="2" t="inlineStr">
        <is>
          <t>Z102_29_032025_MASSENA.CSV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0087</t>
        </is>
      </c>
      <c r="H285" s="4" t="n">
        <v>45745</v>
      </c>
      <c r="I285" s="2" t="inlineStr">
        <is>
          <t>23:24</t>
        </is>
      </c>
      <c r="J285" s="3" t="inlineStr">
        <is>
          <t>0034</t>
        </is>
      </c>
      <c r="K285" s="2" t="inlineStr"/>
      <c r="L285" s="5" t="n">
        <v>0</v>
      </c>
      <c r="M285" s="5" t="n">
        <v>0</v>
      </c>
      <c r="N285" s="6" t="n">
        <v>2025</v>
      </c>
      <c r="O285" s="5" t="inlineStr">
        <is>
          <t>2025-03</t>
        </is>
      </c>
    </row>
    <row r="286">
      <c r="A286" s="2" t="inlineStr">
        <is>
          <t>Z102_29_032025_MASSENA.CSV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0087</t>
        </is>
      </c>
      <c r="H286" s="4" t="n">
        <v>45745</v>
      </c>
      <c r="I286" s="2" t="inlineStr">
        <is>
          <t>23:24</t>
        </is>
      </c>
      <c r="J286" s="3" t="inlineStr">
        <is>
          <t>0035</t>
        </is>
      </c>
      <c r="K286" s="2" t="inlineStr"/>
      <c r="L286" s="5" t="n">
        <v>0</v>
      </c>
      <c r="M286" s="5" t="n">
        <v>0</v>
      </c>
      <c r="N286" s="6" t="n">
        <v>2025</v>
      </c>
      <c r="O286" s="5" t="inlineStr">
        <is>
          <t>2025-03</t>
        </is>
      </c>
    </row>
    <row r="287">
      <c r="A287" s="2" t="inlineStr">
        <is>
          <t>Z102_29_032025_MASSENA.CSV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0087</t>
        </is>
      </c>
      <c r="H287" s="4" t="n">
        <v>45745</v>
      </c>
      <c r="I287" s="2" t="inlineStr">
        <is>
          <t>23:24</t>
        </is>
      </c>
      <c r="J287" s="3" t="inlineStr">
        <is>
          <t>0036</t>
        </is>
      </c>
      <c r="K287" s="2" t="inlineStr"/>
      <c r="L287" s="5" t="n">
        <v>0</v>
      </c>
      <c r="M287" s="5" t="n">
        <v>0</v>
      </c>
      <c r="N287" s="6" t="n">
        <v>2025</v>
      </c>
      <c r="O287" s="5" t="inlineStr">
        <is>
          <t>2025-03</t>
        </is>
      </c>
    </row>
    <row r="288">
      <c r="A288" s="2" t="inlineStr">
        <is>
          <t>Z102_29_032025_MASSENA.CSV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0087</t>
        </is>
      </c>
      <c r="H288" s="4" t="n">
        <v>45745</v>
      </c>
      <c r="I288" s="2" t="inlineStr">
        <is>
          <t>23:24</t>
        </is>
      </c>
      <c r="J288" s="3" t="inlineStr">
        <is>
          <t>0037</t>
        </is>
      </c>
      <c r="K288" s="2" t="inlineStr"/>
      <c r="L288" s="5" t="n">
        <v>0</v>
      </c>
      <c r="M288" s="5" t="n">
        <v>0</v>
      </c>
      <c r="N288" s="6" t="n">
        <v>2025</v>
      </c>
      <c r="O288" s="5" t="inlineStr">
        <is>
          <t>2025-03</t>
        </is>
      </c>
    </row>
    <row r="289">
      <c r="A289" s="2" t="inlineStr">
        <is>
          <t>Z102_29_032025_MASSENA.CSV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0087</t>
        </is>
      </c>
      <c r="H289" s="4" t="n">
        <v>45745</v>
      </c>
      <c r="I289" s="2" t="inlineStr">
        <is>
          <t>23:24</t>
        </is>
      </c>
      <c r="J289" s="3" t="inlineStr">
        <is>
          <t>0038</t>
        </is>
      </c>
      <c r="K289" s="2" t="inlineStr"/>
      <c r="L289" s="5" t="n">
        <v>0</v>
      </c>
      <c r="M289" s="5" t="n">
        <v>0</v>
      </c>
      <c r="N289" s="6" t="n">
        <v>2025</v>
      </c>
      <c r="O289" s="5" t="inlineStr">
        <is>
          <t>2025-03</t>
        </is>
      </c>
    </row>
    <row r="290">
      <c r="A290" s="2" t="inlineStr">
        <is>
          <t>Z102_29_032025_MASSENA.CSV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0087</t>
        </is>
      </c>
      <c r="H290" s="4" t="n">
        <v>45745</v>
      </c>
      <c r="I290" s="2" t="inlineStr">
        <is>
          <t>23:24</t>
        </is>
      </c>
      <c r="J290" s="3" t="inlineStr">
        <is>
          <t>0039</t>
        </is>
      </c>
      <c r="K290" s="2" t="inlineStr"/>
      <c r="L290" s="5" t="n">
        <v>0</v>
      </c>
      <c r="M290" s="5" t="n">
        <v>0</v>
      </c>
      <c r="N290" s="6" t="n">
        <v>2025</v>
      </c>
      <c r="O290" s="5" t="inlineStr">
        <is>
          <t>2025-03</t>
        </is>
      </c>
    </row>
    <row r="291">
      <c r="A291" s="2" t="inlineStr">
        <is>
          <t>Z102_29_032025_MASSENA.CSV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0087</t>
        </is>
      </c>
      <c r="H291" s="4" t="n">
        <v>45745</v>
      </c>
      <c r="I291" s="2" t="inlineStr">
        <is>
          <t>23:24</t>
        </is>
      </c>
      <c r="J291" s="3" t="inlineStr">
        <is>
          <t>0040</t>
        </is>
      </c>
      <c r="K291" s="2" t="inlineStr"/>
      <c r="L291" s="5" t="n">
        <v>0</v>
      </c>
      <c r="M291" s="5" t="n">
        <v>0</v>
      </c>
      <c r="N291" s="6" t="n">
        <v>2025</v>
      </c>
      <c r="O291" s="5" t="inlineStr">
        <is>
          <t>2025-03</t>
        </is>
      </c>
    </row>
    <row r="292">
      <c r="A292" s="2" t="inlineStr">
        <is>
          <t>Z102_29_032025_MASSENA.CSV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0087</t>
        </is>
      </c>
      <c r="H292" s="4" t="n">
        <v>45745</v>
      </c>
      <c r="I292" s="2" t="inlineStr">
        <is>
          <t>23:24</t>
        </is>
      </c>
      <c r="J292" s="3" t="inlineStr">
        <is>
          <t>0041</t>
        </is>
      </c>
      <c r="K292" s="2" t="inlineStr"/>
      <c r="L292" s="5" t="n">
        <v>0</v>
      </c>
      <c r="M292" s="5" t="n">
        <v>0</v>
      </c>
      <c r="N292" s="6" t="n">
        <v>2025</v>
      </c>
      <c r="O292" s="5" t="inlineStr">
        <is>
          <t>2025-03</t>
        </is>
      </c>
    </row>
    <row r="293">
      <c r="A293" s="2" t="inlineStr">
        <is>
          <t>Z102_29_032025_MASSENA.CSV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0087</t>
        </is>
      </c>
      <c r="H293" s="4" t="n">
        <v>45745</v>
      </c>
      <c r="I293" s="2" t="inlineStr">
        <is>
          <t>23:24</t>
        </is>
      </c>
      <c r="J293" s="3" t="inlineStr">
        <is>
          <t>0042</t>
        </is>
      </c>
      <c r="K293" s="2" t="inlineStr"/>
      <c r="L293" s="5" t="n">
        <v>0</v>
      </c>
      <c r="M293" s="5" t="n">
        <v>0</v>
      </c>
      <c r="N293" s="6" t="n">
        <v>2025</v>
      </c>
      <c r="O293" s="5" t="inlineStr">
        <is>
          <t>2025-03</t>
        </is>
      </c>
    </row>
    <row r="294">
      <c r="A294" s="2" t="inlineStr">
        <is>
          <t>Z102_29_032025_MASSENA.CSV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0087</t>
        </is>
      </c>
      <c r="H294" s="4" t="n">
        <v>45745</v>
      </c>
      <c r="I294" s="2" t="inlineStr">
        <is>
          <t>23:24</t>
        </is>
      </c>
      <c r="J294" s="3" t="inlineStr">
        <is>
          <t>0043</t>
        </is>
      </c>
      <c r="K294" s="2" t="inlineStr"/>
      <c r="L294" s="5" t="n">
        <v>0</v>
      </c>
      <c r="M294" s="5" t="n">
        <v>0</v>
      </c>
      <c r="N294" s="6" t="n">
        <v>2025</v>
      </c>
      <c r="O294" s="5" t="inlineStr">
        <is>
          <t>2025-03</t>
        </is>
      </c>
    </row>
    <row r="295">
      <c r="A295" s="2" t="inlineStr">
        <is>
          <t>Z102_29_032025_MASSENA.CSV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0087</t>
        </is>
      </c>
      <c r="H295" s="4" t="n">
        <v>45745</v>
      </c>
      <c r="I295" s="2" t="inlineStr">
        <is>
          <t>23:24</t>
        </is>
      </c>
      <c r="J295" s="3" t="inlineStr">
        <is>
          <t>0044</t>
        </is>
      </c>
      <c r="K295" s="2" t="inlineStr"/>
      <c r="L295" s="5" t="n">
        <v>0</v>
      </c>
      <c r="M295" s="5" t="n">
        <v>0</v>
      </c>
      <c r="N295" s="6" t="n">
        <v>2025</v>
      </c>
      <c r="O295" s="5" t="inlineStr">
        <is>
          <t>2025-03</t>
        </is>
      </c>
    </row>
    <row r="296">
      <c r="A296" s="2" t="inlineStr">
        <is>
          <t>Z102_29_032025_MASSENA.CSV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0087</t>
        </is>
      </c>
      <c r="H296" s="4" t="n">
        <v>45745</v>
      </c>
      <c r="I296" s="2" t="inlineStr">
        <is>
          <t>23:24</t>
        </is>
      </c>
      <c r="J296" s="3" t="inlineStr">
        <is>
          <t>0045</t>
        </is>
      </c>
      <c r="K296" s="2" t="inlineStr"/>
      <c r="L296" s="5" t="n">
        <v>0</v>
      </c>
      <c r="M296" s="5" t="n">
        <v>0</v>
      </c>
      <c r="N296" s="6" t="n">
        <v>2025</v>
      </c>
      <c r="O296" s="5" t="inlineStr">
        <is>
          <t>2025-03</t>
        </is>
      </c>
    </row>
    <row r="297">
      <c r="A297" s="2" t="inlineStr">
        <is>
          <t>Z102_29_032025_MASSENA.CSV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0087</t>
        </is>
      </c>
      <c r="H297" s="4" t="n">
        <v>45745</v>
      </c>
      <c r="I297" s="2" t="inlineStr">
        <is>
          <t>23:24</t>
        </is>
      </c>
      <c r="J297" s="3" t="inlineStr">
        <is>
          <t>0046</t>
        </is>
      </c>
      <c r="K297" s="2" t="inlineStr"/>
      <c r="L297" s="5" t="n">
        <v>0</v>
      </c>
      <c r="M297" s="5" t="n">
        <v>0</v>
      </c>
      <c r="N297" s="6" t="n">
        <v>2025</v>
      </c>
      <c r="O297" s="5" t="inlineStr">
        <is>
          <t>2025-03</t>
        </is>
      </c>
    </row>
    <row r="298">
      <c r="A298" s="2" t="inlineStr">
        <is>
          <t>Z102_29_032025_MASSENA.CSV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0087</t>
        </is>
      </c>
      <c r="H298" s="4" t="n">
        <v>45745</v>
      </c>
      <c r="I298" s="2" t="inlineStr">
        <is>
          <t>23:24</t>
        </is>
      </c>
      <c r="J298" s="3" t="inlineStr">
        <is>
          <t>0047</t>
        </is>
      </c>
      <c r="K298" s="2" t="inlineStr"/>
      <c r="L298" s="5" t="n">
        <v>0</v>
      </c>
      <c r="M298" s="5" t="n">
        <v>0</v>
      </c>
      <c r="N298" s="6" t="n">
        <v>2025</v>
      </c>
      <c r="O298" s="5" t="inlineStr">
        <is>
          <t>2025-03</t>
        </is>
      </c>
    </row>
    <row r="299">
      <c r="A299" s="2" t="inlineStr">
        <is>
          <t>Z102_29_032025_MASSENA.CSV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0087</t>
        </is>
      </c>
      <c r="H299" s="4" t="n">
        <v>45745</v>
      </c>
      <c r="I299" s="2" t="inlineStr">
        <is>
          <t>23:24</t>
        </is>
      </c>
      <c r="J299" s="3" t="inlineStr">
        <is>
          <t>0048</t>
        </is>
      </c>
      <c r="K299" s="2" t="inlineStr"/>
      <c r="L299" s="5" t="n">
        <v>0</v>
      </c>
      <c r="M299" s="5" t="n">
        <v>0</v>
      </c>
      <c r="N299" s="6" t="n">
        <v>2025</v>
      </c>
      <c r="O299" s="5" t="inlineStr">
        <is>
          <t>2025-03</t>
        </is>
      </c>
    </row>
    <row r="300">
      <c r="A300" s="2" t="inlineStr">
        <is>
          <t>Z102_29_032025_MASSENA.CSV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0087</t>
        </is>
      </c>
      <c r="H300" s="4" t="n">
        <v>45745</v>
      </c>
      <c r="I300" s="2" t="inlineStr">
        <is>
          <t>23:24</t>
        </is>
      </c>
      <c r="J300" s="3" t="inlineStr">
        <is>
          <t>0049</t>
        </is>
      </c>
      <c r="K300" s="2" t="inlineStr"/>
      <c r="L300" s="5" t="n">
        <v>0</v>
      </c>
      <c r="M300" s="5" t="n">
        <v>0</v>
      </c>
      <c r="N300" s="6" t="n">
        <v>2025</v>
      </c>
      <c r="O300" s="5" t="inlineStr">
        <is>
          <t>2025-03</t>
        </is>
      </c>
    </row>
    <row r="301">
      <c r="A301" s="2" t="inlineStr">
        <is>
          <t>Z102_29_032025_MASSENA.CSV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0087</t>
        </is>
      </c>
      <c r="H301" s="4" t="n">
        <v>45745</v>
      </c>
      <c r="I301" s="2" t="inlineStr">
        <is>
          <t>23:24</t>
        </is>
      </c>
      <c r="J301" s="3" t="inlineStr">
        <is>
          <t>0050</t>
        </is>
      </c>
      <c r="K301" s="2" t="inlineStr"/>
      <c r="L301" s="5" t="n">
        <v>0</v>
      </c>
      <c r="M301" s="5" t="n">
        <v>0</v>
      </c>
      <c r="N301" s="6" t="n">
        <v>2025</v>
      </c>
      <c r="O301" s="5" t="inlineStr">
        <is>
          <t>2025-03</t>
        </is>
      </c>
    </row>
    <row r="302">
      <c r="A302" s="2" t="inlineStr">
        <is>
          <t>Z102_31_072025_MASSENA.CSV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0089</t>
        </is>
      </c>
      <c r="H302" s="4" t="n">
        <v>45869</v>
      </c>
      <c r="I302" s="2" t="inlineStr">
        <is>
          <t>18:38</t>
        </is>
      </c>
      <c r="J302" s="3" t="inlineStr">
        <is>
          <t>0001</t>
        </is>
      </c>
      <c r="K302" s="2" t="inlineStr">
        <is>
          <t>ESPECES</t>
        </is>
      </c>
      <c r="L302" s="5" t="n">
        <v>23</v>
      </c>
      <c r="M302" s="5" t="n">
        <v>17603.9</v>
      </c>
      <c r="N302" s="6" t="n">
        <v>2025</v>
      </c>
      <c r="O302" s="5" t="inlineStr">
        <is>
          <t>2025-07</t>
        </is>
      </c>
    </row>
    <row r="303">
      <c r="A303" s="2" t="inlineStr">
        <is>
          <t>Z102_31_072025_MASSENA.CSV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0089</t>
        </is>
      </c>
      <c r="H303" s="4" t="n">
        <v>45869</v>
      </c>
      <c r="I303" s="2" t="inlineStr">
        <is>
          <t>18:38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5" t="n">
        <v>0</v>
      </c>
      <c r="N303" s="6" t="n">
        <v>2025</v>
      </c>
      <c r="O303" s="5" t="inlineStr">
        <is>
          <t>2025-07</t>
        </is>
      </c>
    </row>
    <row r="304">
      <c r="A304" s="2" t="inlineStr">
        <is>
          <t>Z102_31_072025_MASSENA.CSV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0089</t>
        </is>
      </c>
      <c r="H304" s="4" t="n">
        <v>45869</v>
      </c>
      <c r="I304" s="2" t="inlineStr">
        <is>
          <t>18:38</t>
        </is>
      </c>
      <c r="J304" s="3" t="inlineStr">
        <is>
          <t>0003</t>
        </is>
      </c>
      <c r="K304" s="2" t="inlineStr">
        <is>
          <t>CARTES</t>
        </is>
      </c>
      <c r="L304" s="5" t="n">
        <v>4</v>
      </c>
      <c r="M304" s="5" t="n">
        <v>2581</v>
      </c>
      <c r="N304" s="6" t="n">
        <v>2025</v>
      </c>
      <c r="O304" s="5" t="inlineStr">
        <is>
          <t>2025-07</t>
        </is>
      </c>
    </row>
    <row r="305">
      <c r="A305" s="2" t="inlineStr">
        <is>
          <t>Z102_31_072025_MASSENA.CSV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0089</t>
        </is>
      </c>
      <c r="H305" s="4" t="n">
        <v>45869</v>
      </c>
      <c r="I305" s="2" t="inlineStr">
        <is>
          <t>18:38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5" t="n">
        <v>0</v>
      </c>
      <c r="N305" s="6" t="n">
        <v>2025</v>
      </c>
      <c r="O305" s="5" t="inlineStr">
        <is>
          <t>2025-07</t>
        </is>
      </c>
    </row>
    <row r="306">
      <c r="A306" s="2" t="inlineStr">
        <is>
          <t>Z102_31_072025_MASSENA.CSV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0089</t>
        </is>
      </c>
      <c r="H306" s="4" t="n">
        <v>45869</v>
      </c>
      <c r="I306" s="2" t="inlineStr">
        <is>
          <t>18:38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5" t="n">
        <v>0</v>
      </c>
      <c r="N306" s="6" t="n">
        <v>2025</v>
      </c>
      <c r="O306" s="5" t="inlineStr">
        <is>
          <t>2025-07</t>
        </is>
      </c>
    </row>
    <row r="307">
      <c r="A307" s="2" t="inlineStr">
        <is>
          <t>Z102_31_072025_MASSENA.CSV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0089</t>
        </is>
      </c>
      <c r="H307" s="4" t="n">
        <v>45869</v>
      </c>
      <c r="I307" s="2" t="inlineStr">
        <is>
          <t>18:38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5" t="n">
        <v>0</v>
      </c>
      <c r="N307" s="6" t="n">
        <v>2025</v>
      </c>
      <c r="O307" s="5" t="inlineStr">
        <is>
          <t>2025-07</t>
        </is>
      </c>
    </row>
    <row r="308">
      <c r="A308" s="2" t="inlineStr">
        <is>
          <t>Z102_31_072025_MASSENA.CSV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0089</t>
        </is>
      </c>
      <c r="H308" s="4" t="n">
        <v>45869</v>
      </c>
      <c r="I308" s="2" t="inlineStr">
        <is>
          <t>18:38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5" t="n">
        <v>0</v>
      </c>
      <c r="N308" s="6" t="n">
        <v>2025</v>
      </c>
      <c r="O308" s="5" t="inlineStr">
        <is>
          <t>2025-07</t>
        </is>
      </c>
    </row>
    <row r="309">
      <c r="A309" s="2" t="inlineStr">
        <is>
          <t>Z102_31_072025_MASSENA.CSV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0089</t>
        </is>
      </c>
      <c r="H309" s="4" t="n">
        <v>45869</v>
      </c>
      <c r="I309" s="2" t="inlineStr">
        <is>
          <t>18:38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5" t="n">
        <v>0</v>
      </c>
      <c r="N309" s="6" t="n">
        <v>2025</v>
      </c>
      <c r="O309" s="5" t="inlineStr">
        <is>
          <t>2025-07</t>
        </is>
      </c>
    </row>
    <row r="310">
      <c r="A310" s="2" t="inlineStr">
        <is>
          <t>Z102_31_072025_MASSENA.CSV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0089</t>
        </is>
      </c>
      <c r="H310" s="4" t="n">
        <v>45869</v>
      </c>
      <c r="I310" s="2" t="inlineStr">
        <is>
          <t>18:38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5" t="n">
        <v>0</v>
      </c>
      <c r="N310" s="6" t="n">
        <v>2025</v>
      </c>
      <c r="O310" s="5" t="inlineStr">
        <is>
          <t>2025-07</t>
        </is>
      </c>
    </row>
    <row r="311">
      <c r="A311" s="2" t="inlineStr">
        <is>
          <t>Z102_31_072025_MASSENA.CSV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0089</t>
        </is>
      </c>
      <c r="H311" s="4" t="n">
        <v>45869</v>
      </c>
      <c r="I311" s="2" t="inlineStr">
        <is>
          <t>18:38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5" t="n">
        <v>0</v>
      </c>
      <c r="N311" s="6" t="n">
        <v>2025</v>
      </c>
      <c r="O311" s="5" t="inlineStr">
        <is>
          <t>2025-07</t>
        </is>
      </c>
    </row>
    <row r="312">
      <c r="A312" s="2" t="inlineStr">
        <is>
          <t>Z102_31_072025_MASSENA.CSV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0089</t>
        </is>
      </c>
      <c r="H312" s="4" t="n">
        <v>45869</v>
      </c>
      <c r="I312" s="2" t="inlineStr">
        <is>
          <t>18:38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5" t="n">
        <v>0</v>
      </c>
      <c r="N312" s="6" t="n">
        <v>2025</v>
      </c>
      <c r="O312" s="5" t="inlineStr">
        <is>
          <t>2025-07</t>
        </is>
      </c>
    </row>
    <row r="313">
      <c r="A313" s="2" t="inlineStr">
        <is>
          <t>Z102_31_072025_MASSENA.CSV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0089</t>
        </is>
      </c>
      <c r="H313" s="4" t="n">
        <v>45869</v>
      </c>
      <c r="I313" s="2" t="inlineStr">
        <is>
          <t>18:38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5" t="n">
        <v>0</v>
      </c>
      <c r="N313" s="6" t="n">
        <v>2025</v>
      </c>
      <c r="O313" s="5" t="inlineStr">
        <is>
          <t>2025-07</t>
        </is>
      </c>
    </row>
    <row r="314">
      <c r="A314" s="2" t="inlineStr">
        <is>
          <t>Z102_31_072025_MASSENA.CSV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0089</t>
        </is>
      </c>
      <c r="H314" s="4" t="n">
        <v>45869</v>
      </c>
      <c r="I314" s="2" t="inlineStr">
        <is>
          <t>18:38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5" t="n">
        <v>0</v>
      </c>
      <c r="N314" s="6" t="n">
        <v>2025</v>
      </c>
      <c r="O314" s="5" t="inlineStr">
        <is>
          <t>2025-07</t>
        </is>
      </c>
    </row>
    <row r="315">
      <c r="A315" s="2" t="inlineStr">
        <is>
          <t>Z102_31_072025_MASSENA.CSV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0089</t>
        </is>
      </c>
      <c r="H315" s="4" t="n">
        <v>45869</v>
      </c>
      <c r="I315" s="2" t="inlineStr">
        <is>
          <t>18:38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5" t="n">
        <v>0</v>
      </c>
      <c r="N315" s="6" t="n">
        <v>2025</v>
      </c>
      <c r="O315" s="5" t="inlineStr">
        <is>
          <t>2025-07</t>
        </is>
      </c>
    </row>
    <row r="316">
      <c r="A316" s="2" t="inlineStr">
        <is>
          <t>Z102_31_072025_MASSENA.CSV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0089</t>
        </is>
      </c>
      <c r="H316" s="4" t="n">
        <v>45869</v>
      </c>
      <c r="I316" s="2" t="inlineStr">
        <is>
          <t>18:38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5" t="n">
        <v>0</v>
      </c>
      <c r="N316" s="6" t="n">
        <v>2025</v>
      </c>
      <c r="O316" s="5" t="inlineStr">
        <is>
          <t>2025-07</t>
        </is>
      </c>
    </row>
    <row r="317">
      <c r="A317" s="2" t="inlineStr">
        <is>
          <t>Z102_31_072025_MASSENA.CSV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0089</t>
        </is>
      </c>
      <c r="H317" s="4" t="n">
        <v>45869</v>
      </c>
      <c r="I317" s="2" t="inlineStr">
        <is>
          <t>18:38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5" t="n">
        <v>0</v>
      </c>
      <c r="N317" s="6" t="n">
        <v>2025</v>
      </c>
      <c r="O317" s="5" t="inlineStr">
        <is>
          <t>2025-07</t>
        </is>
      </c>
    </row>
    <row r="318">
      <c r="A318" s="2" t="inlineStr">
        <is>
          <t>Z102_31_072025_MASSENA.CSV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0089</t>
        </is>
      </c>
      <c r="H318" s="4" t="n">
        <v>45869</v>
      </c>
      <c r="I318" s="2" t="inlineStr">
        <is>
          <t>18:38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5" t="n">
        <v>0</v>
      </c>
      <c r="N318" s="6" t="n">
        <v>2025</v>
      </c>
      <c r="O318" s="5" t="inlineStr">
        <is>
          <t>2025-07</t>
        </is>
      </c>
    </row>
    <row r="319">
      <c r="A319" s="2" t="inlineStr">
        <is>
          <t>Z102_31_072025_MASSENA.CSV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0089</t>
        </is>
      </c>
      <c r="H319" s="4" t="n">
        <v>45869</v>
      </c>
      <c r="I319" s="2" t="inlineStr">
        <is>
          <t>18:38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5" t="n">
        <v>0</v>
      </c>
      <c r="N319" s="6" t="n">
        <v>2025</v>
      </c>
      <c r="O319" s="5" t="inlineStr">
        <is>
          <t>2025-07</t>
        </is>
      </c>
    </row>
    <row r="320">
      <c r="A320" s="2" t="inlineStr">
        <is>
          <t>Z102_31_072025_MASSENA.CSV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0089</t>
        </is>
      </c>
      <c r="H320" s="4" t="n">
        <v>45869</v>
      </c>
      <c r="I320" s="2" t="inlineStr">
        <is>
          <t>18:38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5" t="n">
        <v>0</v>
      </c>
      <c r="N320" s="6" t="n">
        <v>2025</v>
      </c>
      <c r="O320" s="5" t="inlineStr">
        <is>
          <t>2025-07</t>
        </is>
      </c>
    </row>
    <row r="321">
      <c r="A321" s="2" t="inlineStr">
        <is>
          <t>Z102_31_072025_MASSENA.CSV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0089</t>
        </is>
      </c>
      <c r="H321" s="4" t="n">
        <v>45869</v>
      </c>
      <c r="I321" s="2" t="inlineStr">
        <is>
          <t>18:38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5" t="n">
        <v>0</v>
      </c>
      <c r="N321" s="6" t="n">
        <v>2025</v>
      </c>
      <c r="O321" s="5" t="inlineStr">
        <is>
          <t>2025-07</t>
        </is>
      </c>
    </row>
    <row r="322">
      <c r="A322" s="2" t="inlineStr">
        <is>
          <t>Z102_31_072025_MASSENA.CSV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0089</t>
        </is>
      </c>
      <c r="H322" s="4" t="n">
        <v>45869</v>
      </c>
      <c r="I322" s="2" t="inlineStr">
        <is>
          <t>18:38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5" t="n">
        <v>0</v>
      </c>
      <c r="N322" s="6" t="n">
        <v>2025</v>
      </c>
      <c r="O322" s="5" t="inlineStr">
        <is>
          <t>2025-07</t>
        </is>
      </c>
    </row>
    <row r="323">
      <c r="A323" s="2" t="inlineStr">
        <is>
          <t>Z102_31_072025_MASSENA.CSV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0089</t>
        </is>
      </c>
      <c r="H323" s="4" t="n">
        <v>45869</v>
      </c>
      <c r="I323" s="2" t="inlineStr">
        <is>
          <t>18:38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5" t="n">
        <v>0</v>
      </c>
      <c r="N323" s="6" t="n">
        <v>2025</v>
      </c>
      <c r="O323" s="5" t="inlineStr">
        <is>
          <t>2025-07</t>
        </is>
      </c>
    </row>
    <row r="324">
      <c r="A324" s="2" t="inlineStr">
        <is>
          <t>Z102_31_072025_MASSENA.CSV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0089</t>
        </is>
      </c>
      <c r="H324" s="4" t="n">
        <v>45869</v>
      </c>
      <c r="I324" s="2" t="inlineStr">
        <is>
          <t>18:38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5" t="n">
        <v>0</v>
      </c>
      <c r="N324" s="6" t="n">
        <v>2025</v>
      </c>
      <c r="O324" s="5" t="inlineStr">
        <is>
          <t>2025-07</t>
        </is>
      </c>
    </row>
    <row r="325">
      <c r="A325" s="2" t="inlineStr">
        <is>
          <t>Z102_31_072025_MASSENA.CSV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0089</t>
        </is>
      </c>
      <c r="H325" s="4" t="n">
        <v>45869</v>
      </c>
      <c r="I325" s="2" t="inlineStr">
        <is>
          <t>18:38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5" t="n">
        <v>0</v>
      </c>
      <c r="N325" s="6" t="n">
        <v>2025</v>
      </c>
      <c r="O325" s="5" t="inlineStr">
        <is>
          <t>2025-07</t>
        </is>
      </c>
    </row>
    <row r="326">
      <c r="A326" s="2" t="inlineStr">
        <is>
          <t>Z102_31_072025_MASSENA.CSV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0089</t>
        </is>
      </c>
      <c r="H326" s="4" t="n">
        <v>45869</v>
      </c>
      <c r="I326" s="2" t="inlineStr">
        <is>
          <t>18:38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5" t="n">
        <v>0</v>
      </c>
      <c r="N326" s="6" t="n">
        <v>2025</v>
      </c>
      <c r="O326" s="5" t="inlineStr">
        <is>
          <t>2025-07</t>
        </is>
      </c>
    </row>
    <row r="327">
      <c r="A327" s="2" t="inlineStr">
        <is>
          <t>Z102_31_072025_MASSENA.CSV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0089</t>
        </is>
      </c>
      <c r="H327" s="4" t="n">
        <v>45869</v>
      </c>
      <c r="I327" s="2" t="inlineStr">
        <is>
          <t>18:38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5" t="n">
        <v>0</v>
      </c>
      <c r="N327" s="6" t="n">
        <v>2025</v>
      </c>
      <c r="O327" s="5" t="inlineStr">
        <is>
          <t>2025-07</t>
        </is>
      </c>
    </row>
    <row r="328">
      <c r="A328" s="2" t="inlineStr">
        <is>
          <t>Z102_31_072025_MASSENA.CSV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0089</t>
        </is>
      </c>
      <c r="H328" s="4" t="n">
        <v>45869</v>
      </c>
      <c r="I328" s="2" t="inlineStr">
        <is>
          <t>18:38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5" t="n">
        <v>0</v>
      </c>
      <c r="N328" s="6" t="n">
        <v>2025</v>
      </c>
      <c r="O328" s="5" t="inlineStr">
        <is>
          <t>2025-07</t>
        </is>
      </c>
    </row>
    <row r="329">
      <c r="A329" s="2" t="inlineStr">
        <is>
          <t>Z102_31_072025_MASSENA.CSV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0089</t>
        </is>
      </c>
      <c r="H329" s="4" t="n">
        <v>45869</v>
      </c>
      <c r="I329" s="2" t="inlineStr">
        <is>
          <t>18:38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5" t="n">
        <v>0</v>
      </c>
      <c r="N329" s="6" t="n">
        <v>2025</v>
      </c>
      <c r="O329" s="5" t="inlineStr">
        <is>
          <t>2025-07</t>
        </is>
      </c>
    </row>
    <row r="330">
      <c r="A330" s="2" t="inlineStr">
        <is>
          <t>Z102_31_072025_MASSENA.CSV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0089</t>
        </is>
      </c>
      <c r="H330" s="4" t="n">
        <v>45869</v>
      </c>
      <c r="I330" s="2" t="inlineStr">
        <is>
          <t>18:38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5" t="n">
        <v>0</v>
      </c>
      <c r="N330" s="6" t="n">
        <v>2025</v>
      </c>
      <c r="O330" s="5" t="inlineStr">
        <is>
          <t>2025-07</t>
        </is>
      </c>
    </row>
    <row r="331">
      <c r="A331" s="2" t="inlineStr">
        <is>
          <t>Z102_31_072025_MASSENA.CSV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0089</t>
        </is>
      </c>
      <c r="H331" s="4" t="n">
        <v>45869</v>
      </c>
      <c r="I331" s="2" t="inlineStr">
        <is>
          <t>18:38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5" t="n">
        <v>0</v>
      </c>
      <c r="N331" s="6" t="n">
        <v>2025</v>
      </c>
      <c r="O331" s="5" t="inlineStr">
        <is>
          <t>2025-07</t>
        </is>
      </c>
    </row>
    <row r="332">
      <c r="A332" s="2" t="inlineStr">
        <is>
          <t>Z102_31_072025_MASSENA.CSV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0089</t>
        </is>
      </c>
      <c r="H332" s="4" t="n">
        <v>45869</v>
      </c>
      <c r="I332" s="2" t="inlineStr">
        <is>
          <t>18:38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5" t="n">
        <v>0</v>
      </c>
      <c r="N332" s="6" t="n">
        <v>2025</v>
      </c>
      <c r="O332" s="5" t="inlineStr">
        <is>
          <t>2025-07</t>
        </is>
      </c>
    </row>
    <row r="333">
      <c r="A333" s="2" t="inlineStr">
        <is>
          <t>Z102_31_072025_MASSENA.CSV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0089</t>
        </is>
      </c>
      <c r="H333" s="4" t="n">
        <v>45869</v>
      </c>
      <c r="I333" s="2" t="inlineStr">
        <is>
          <t>18:38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5" t="n">
        <v>0</v>
      </c>
      <c r="N333" s="6" t="n">
        <v>2025</v>
      </c>
      <c r="O333" s="5" t="inlineStr">
        <is>
          <t>2025-07</t>
        </is>
      </c>
    </row>
    <row r="334">
      <c r="A334" s="2" t="inlineStr">
        <is>
          <t>Z102_31_072025_MASSENA.CSV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0089</t>
        </is>
      </c>
      <c r="H334" s="4" t="n">
        <v>45869</v>
      </c>
      <c r="I334" s="2" t="inlineStr">
        <is>
          <t>18:38</t>
        </is>
      </c>
      <c r="J334" s="3" t="inlineStr">
        <is>
          <t>0033</t>
        </is>
      </c>
      <c r="K334" s="2" t="inlineStr"/>
      <c r="L334" s="5" t="n">
        <v>0</v>
      </c>
      <c r="M334" s="5" t="n">
        <v>0</v>
      </c>
      <c r="N334" s="6" t="n">
        <v>2025</v>
      </c>
      <c r="O334" s="5" t="inlineStr">
        <is>
          <t>2025-07</t>
        </is>
      </c>
    </row>
    <row r="335">
      <c r="A335" s="2" t="inlineStr">
        <is>
          <t>Z102_31_072025_MASSENA.CSV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0089</t>
        </is>
      </c>
      <c r="H335" s="4" t="n">
        <v>45869</v>
      </c>
      <c r="I335" s="2" t="inlineStr">
        <is>
          <t>18:38</t>
        </is>
      </c>
      <c r="J335" s="3" t="inlineStr">
        <is>
          <t>0034</t>
        </is>
      </c>
      <c r="K335" s="2" t="inlineStr"/>
      <c r="L335" s="5" t="n">
        <v>0</v>
      </c>
      <c r="M335" s="5" t="n">
        <v>0</v>
      </c>
      <c r="N335" s="6" t="n">
        <v>2025</v>
      </c>
      <c r="O335" s="5" t="inlineStr">
        <is>
          <t>2025-07</t>
        </is>
      </c>
    </row>
    <row r="336">
      <c r="A336" s="2" t="inlineStr">
        <is>
          <t>Z102_31_072025_MASSENA.CSV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0089</t>
        </is>
      </c>
      <c r="H336" s="4" t="n">
        <v>45869</v>
      </c>
      <c r="I336" s="2" t="inlineStr">
        <is>
          <t>18:38</t>
        </is>
      </c>
      <c r="J336" s="3" t="inlineStr">
        <is>
          <t>0035</t>
        </is>
      </c>
      <c r="K336" s="2" t="inlineStr"/>
      <c r="L336" s="5" t="n">
        <v>0</v>
      </c>
      <c r="M336" s="5" t="n">
        <v>0</v>
      </c>
      <c r="N336" s="6" t="n">
        <v>2025</v>
      </c>
      <c r="O336" s="5" t="inlineStr">
        <is>
          <t>2025-07</t>
        </is>
      </c>
    </row>
    <row r="337">
      <c r="A337" s="2" t="inlineStr">
        <is>
          <t>Z102_31_072025_MASSENA.CSV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0089</t>
        </is>
      </c>
      <c r="H337" s="4" t="n">
        <v>45869</v>
      </c>
      <c r="I337" s="2" t="inlineStr">
        <is>
          <t>18:38</t>
        </is>
      </c>
      <c r="J337" s="3" t="inlineStr">
        <is>
          <t>0036</t>
        </is>
      </c>
      <c r="K337" s="2" t="inlineStr"/>
      <c r="L337" s="5" t="n">
        <v>0</v>
      </c>
      <c r="M337" s="5" t="n">
        <v>0</v>
      </c>
      <c r="N337" s="6" t="n">
        <v>2025</v>
      </c>
      <c r="O337" s="5" t="inlineStr">
        <is>
          <t>2025-07</t>
        </is>
      </c>
    </row>
    <row r="338">
      <c r="A338" s="2" t="inlineStr">
        <is>
          <t>Z102_31_072025_MASSENA.CSV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0089</t>
        </is>
      </c>
      <c r="H338" s="4" t="n">
        <v>45869</v>
      </c>
      <c r="I338" s="2" t="inlineStr">
        <is>
          <t>18:38</t>
        </is>
      </c>
      <c r="J338" s="3" t="inlineStr">
        <is>
          <t>0037</t>
        </is>
      </c>
      <c r="K338" s="2" t="inlineStr"/>
      <c r="L338" s="5" t="n">
        <v>0</v>
      </c>
      <c r="M338" s="5" t="n">
        <v>0</v>
      </c>
      <c r="N338" s="6" t="n">
        <v>2025</v>
      </c>
      <c r="O338" s="5" t="inlineStr">
        <is>
          <t>2025-07</t>
        </is>
      </c>
    </row>
    <row r="339">
      <c r="A339" s="2" t="inlineStr">
        <is>
          <t>Z102_31_072025_MASSENA.CSV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0089</t>
        </is>
      </c>
      <c r="H339" s="4" t="n">
        <v>45869</v>
      </c>
      <c r="I339" s="2" t="inlineStr">
        <is>
          <t>18:38</t>
        </is>
      </c>
      <c r="J339" s="3" t="inlineStr">
        <is>
          <t>0038</t>
        </is>
      </c>
      <c r="K339" s="2" t="inlineStr"/>
      <c r="L339" s="5" t="n">
        <v>0</v>
      </c>
      <c r="M339" s="5" t="n">
        <v>0</v>
      </c>
      <c r="N339" s="6" t="n">
        <v>2025</v>
      </c>
      <c r="O339" s="5" t="inlineStr">
        <is>
          <t>2025-07</t>
        </is>
      </c>
    </row>
    <row r="340">
      <c r="A340" s="2" t="inlineStr">
        <is>
          <t>Z102_31_072025_MASSENA.CSV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0089</t>
        </is>
      </c>
      <c r="H340" s="4" t="n">
        <v>45869</v>
      </c>
      <c r="I340" s="2" t="inlineStr">
        <is>
          <t>18:38</t>
        </is>
      </c>
      <c r="J340" s="3" t="inlineStr">
        <is>
          <t>0039</t>
        </is>
      </c>
      <c r="K340" s="2" t="inlineStr"/>
      <c r="L340" s="5" t="n">
        <v>0</v>
      </c>
      <c r="M340" s="5" t="n">
        <v>0</v>
      </c>
      <c r="N340" s="6" t="n">
        <v>2025</v>
      </c>
      <c r="O340" s="5" t="inlineStr">
        <is>
          <t>2025-07</t>
        </is>
      </c>
    </row>
    <row r="341">
      <c r="A341" s="2" t="inlineStr">
        <is>
          <t>Z102_31_072025_MASSENA.CSV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0089</t>
        </is>
      </c>
      <c r="H341" s="4" t="n">
        <v>45869</v>
      </c>
      <c r="I341" s="2" t="inlineStr">
        <is>
          <t>18:38</t>
        </is>
      </c>
      <c r="J341" s="3" t="inlineStr">
        <is>
          <t>0040</t>
        </is>
      </c>
      <c r="K341" s="2" t="inlineStr"/>
      <c r="L341" s="5" t="n">
        <v>0</v>
      </c>
      <c r="M341" s="5" t="n">
        <v>0</v>
      </c>
      <c r="N341" s="6" t="n">
        <v>2025</v>
      </c>
      <c r="O341" s="5" t="inlineStr">
        <is>
          <t>2025-07</t>
        </is>
      </c>
    </row>
    <row r="342">
      <c r="A342" s="2" t="inlineStr">
        <is>
          <t>Z102_31_072025_MASSENA.CSV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0089</t>
        </is>
      </c>
      <c r="H342" s="4" t="n">
        <v>45869</v>
      </c>
      <c r="I342" s="2" t="inlineStr">
        <is>
          <t>18:38</t>
        </is>
      </c>
      <c r="J342" s="3" t="inlineStr">
        <is>
          <t>0041</t>
        </is>
      </c>
      <c r="K342" s="2" t="inlineStr"/>
      <c r="L342" s="5" t="n">
        <v>0</v>
      </c>
      <c r="M342" s="5" t="n">
        <v>0</v>
      </c>
      <c r="N342" s="6" t="n">
        <v>2025</v>
      </c>
      <c r="O342" s="5" t="inlineStr">
        <is>
          <t>2025-07</t>
        </is>
      </c>
    </row>
    <row r="343">
      <c r="A343" s="2" t="inlineStr">
        <is>
          <t>Z102_31_072025_MASSENA.CSV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0089</t>
        </is>
      </c>
      <c r="H343" s="4" t="n">
        <v>45869</v>
      </c>
      <c r="I343" s="2" t="inlineStr">
        <is>
          <t>18:38</t>
        </is>
      </c>
      <c r="J343" s="3" t="inlineStr">
        <is>
          <t>0042</t>
        </is>
      </c>
      <c r="K343" s="2" t="inlineStr"/>
      <c r="L343" s="5" t="n">
        <v>0</v>
      </c>
      <c r="M343" s="5" t="n">
        <v>0</v>
      </c>
      <c r="N343" s="6" t="n">
        <v>2025</v>
      </c>
      <c r="O343" s="5" t="inlineStr">
        <is>
          <t>2025-07</t>
        </is>
      </c>
    </row>
    <row r="344">
      <c r="A344" s="2" t="inlineStr">
        <is>
          <t>Z102_31_072025_MASSENA.CSV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0089</t>
        </is>
      </c>
      <c r="H344" s="4" t="n">
        <v>45869</v>
      </c>
      <c r="I344" s="2" t="inlineStr">
        <is>
          <t>18:38</t>
        </is>
      </c>
      <c r="J344" s="3" t="inlineStr">
        <is>
          <t>0043</t>
        </is>
      </c>
      <c r="K344" s="2" t="inlineStr"/>
      <c r="L344" s="5" t="n">
        <v>0</v>
      </c>
      <c r="M344" s="5" t="n">
        <v>0</v>
      </c>
      <c r="N344" s="6" t="n">
        <v>2025</v>
      </c>
      <c r="O344" s="5" t="inlineStr">
        <is>
          <t>2025-07</t>
        </is>
      </c>
    </row>
    <row r="345">
      <c r="A345" s="2" t="inlineStr">
        <is>
          <t>Z102_31_072025_MASSENA.CSV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0089</t>
        </is>
      </c>
      <c r="H345" s="4" t="n">
        <v>45869</v>
      </c>
      <c r="I345" s="2" t="inlineStr">
        <is>
          <t>18:38</t>
        </is>
      </c>
      <c r="J345" s="3" t="inlineStr">
        <is>
          <t>0044</t>
        </is>
      </c>
      <c r="K345" s="2" t="inlineStr"/>
      <c r="L345" s="5" t="n">
        <v>0</v>
      </c>
      <c r="M345" s="5" t="n">
        <v>0</v>
      </c>
      <c r="N345" s="6" t="n">
        <v>2025</v>
      </c>
      <c r="O345" s="5" t="inlineStr">
        <is>
          <t>2025-07</t>
        </is>
      </c>
    </row>
    <row r="346">
      <c r="A346" s="2" t="inlineStr">
        <is>
          <t>Z102_31_072025_MASSENA.CSV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0089</t>
        </is>
      </c>
      <c r="H346" s="4" t="n">
        <v>45869</v>
      </c>
      <c r="I346" s="2" t="inlineStr">
        <is>
          <t>18:38</t>
        </is>
      </c>
      <c r="J346" s="3" t="inlineStr">
        <is>
          <t>0045</t>
        </is>
      </c>
      <c r="K346" s="2" t="inlineStr"/>
      <c r="L346" s="5" t="n">
        <v>0</v>
      </c>
      <c r="M346" s="5" t="n">
        <v>0</v>
      </c>
      <c r="N346" s="6" t="n">
        <v>2025</v>
      </c>
      <c r="O346" s="5" t="inlineStr">
        <is>
          <t>2025-07</t>
        </is>
      </c>
    </row>
    <row r="347">
      <c r="A347" s="2" t="inlineStr">
        <is>
          <t>Z102_31_072025_MASSENA.CSV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0089</t>
        </is>
      </c>
      <c r="H347" s="4" t="n">
        <v>45869</v>
      </c>
      <c r="I347" s="2" t="inlineStr">
        <is>
          <t>18:38</t>
        </is>
      </c>
      <c r="J347" s="3" t="inlineStr">
        <is>
          <t>0046</t>
        </is>
      </c>
      <c r="K347" s="2" t="inlineStr"/>
      <c r="L347" s="5" t="n">
        <v>0</v>
      </c>
      <c r="M347" s="5" t="n">
        <v>0</v>
      </c>
      <c r="N347" s="6" t="n">
        <v>2025</v>
      </c>
      <c r="O347" s="5" t="inlineStr">
        <is>
          <t>2025-07</t>
        </is>
      </c>
    </row>
    <row r="348">
      <c r="A348" s="2" t="inlineStr">
        <is>
          <t>Z102_31_072025_MASSENA.CSV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0089</t>
        </is>
      </c>
      <c r="H348" s="4" t="n">
        <v>45869</v>
      </c>
      <c r="I348" s="2" t="inlineStr">
        <is>
          <t>18:38</t>
        </is>
      </c>
      <c r="J348" s="3" t="inlineStr">
        <is>
          <t>0047</t>
        </is>
      </c>
      <c r="K348" s="2" t="inlineStr"/>
      <c r="L348" s="5" t="n">
        <v>0</v>
      </c>
      <c r="M348" s="5" t="n">
        <v>0</v>
      </c>
      <c r="N348" s="6" t="n">
        <v>2025</v>
      </c>
      <c r="O348" s="5" t="inlineStr">
        <is>
          <t>2025-07</t>
        </is>
      </c>
    </row>
    <row r="349">
      <c r="A349" s="2" t="inlineStr">
        <is>
          <t>Z102_31_072025_MASSENA.CSV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0089</t>
        </is>
      </c>
      <c r="H349" s="4" t="n">
        <v>45869</v>
      </c>
      <c r="I349" s="2" t="inlineStr">
        <is>
          <t>18:38</t>
        </is>
      </c>
      <c r="J349" s="3" t="inlineStr">
        <is>
          <t>0048</t>
        </is>
      </c>
      <c r="K349" s="2" t="inlineStr"/>
      <c r="L349" s="5" t="n">
        <v>0</v>
      </c>
      <c r="M349" s="5" t="n">
        <v>0</v>
      </c>
      <c r="N349" s="6" t="n">
        <v>2025</v>
      </c>
      <c r="O349" s="5" t="inlineStr">
        <is>
          <t>2025-07</t>
        </is>
      </c>
    </row>
    <row r="350">
      <c r="A350" s="2" t="inlineStr">
        <is>
          <t>Z102_31_072025_MASSENA.CSV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0089</t>
        </is>
      </c>
      <c r="H350" s="4" t="n">
        <v>45869</v>
      </c>
      <c r="I350" s="2" t="inlineStr">
        <is>
          <t>18:38</t>
        </is>
      </c>
      <c r="J350" s="3" t="inlineStr">
        <is>
          <t>0049</t>
        </is>
      </c>
      <c r="K350" s="2" t="inlineStr"/>
      <c r="L350" s="5" t="n">
        <v>0</v>
      </c>
      <c r="M350" s="5" t="n">
        <v>0</v>
      </c>
      <c r="N350" s="6" t="n">
        <v>2025</v>
      </c>
      <c r="O350" s="5" t="inlineStr">
        <is>
          <t>2025-07</t>
        </is>
      </c>
    </row>
    <row r="351">
      <c r="A351" s="2" t="inlineStr">
        <is>
          <t>Z102_31_072025_MASSENA.CSV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0089</t>
        </is>
      </c>
      <c r="H351" s="4" t="n">
        <v>45869</v>
      </c>
      <c r="I351" s="2" t="inlineStr">
        <is>
          <t>18:38</t>
        </is>
      </c>
      <c r="J351" s="3" t="inlineStr">
        <is>
          <t>0050</t>
        </is>
      </c>
      <c r="K351" s="2" t="inlineStr"/>
      <c r="L351" s="5" t="n">
        <v>0</v>
      </c>
      <c r="M351" s="5" t="n">
        <v>0</v>
      </c>
      <c r="N351" s="6" t="n">
        <v>2025</v>
      </c>
      <c r="O351" s="5" t="inlineStr">
        <is>
          <t>2025-07</t>
        </is>
      </c>
    </row>
    <row r="352">
      <c r="A352" s="2" t="inlineStr">
        <is>
          <t>Z202_01A_022025_MASSENA.CSV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FILE202</t>
        </is>
      </c>
      <c r="F352" s="2" t="inlineStr">
        <is>
          <t>ZZ2</t>
        </is>
      </c>
      <c r="G352" s="3" t="inlineStr">
        <is>
          <t>0082</t>
        </is>
      </c>
      <c r="H352" s="4" t="n">
        <v>45717</v>
      </c>
      <c r="I352" s="2" t="inlineStr">
        <is>
          <t>15:42</t>
        </is>
      </c>
      <c r="J352" s="3" t="inlineStr">
        <is>
          <t>0001</t>
        </is>
      </c>
      <c r="K352" s="2" t="inlineStr">
        <is>
          <t>ESPECES</t>
        </is>
      </c>
      <c r="L352" s="5" t="n">
        <v>16</v>
      </c>
      <c r="M352" s="5" t="n">
        <v>10332.8</v>
      </c>
      <c r="N352" s="6" t="n">
        <v>2025</v>
      </c>
      <c r="O352" s="5" t="inlineStr">
        <is>
          <t>2025-02</t>
        </is>
      </c>
    </row>
    <row r="353">
      <c r="A353" s="2" t="inlineStr">
        <is>
          <t>Z202_01A_022025_MASSENA.CSV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FILE202</t>
        </is>
      </c>
      <c r="F353" s="2" t="inlineStr">
        <is>
          <t>ZZ2</t>
        </is>
      </c>
      <c r="G353" s="3" t="inlineStr">
        <is>
          <t>0082</t>
        </is>
      </c>
      <c r="H353" s="4" t="n">
        <v>45717</v>
      </c>
      <c r="I353" s="2" t="inlineStr">
        <is>
          <t>15:42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5" t="n">
        <v>0</v>
      </c>
      <c r="N353" s="6" t="n">
        <v>2025</v>
      </c>
      <c r="O353" s="5" t="inlineStr">
        <is>
          <t>2025-02</t>
        </is>
      </c>
    </row>
    <row r="354">
      <c r="A354" s="2" t="inlineStr">
        <is>
          <t>Z202_01A_022025_MASSENA.CSV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FILE202</t>
        </is>
      </c>
      <c r="F354" s="2" t="inlineStr">
        <is>
          <t>ZZ2</t>
        </is>
      </c>
      <c r="G354" s="3" t="inlineStr">
        <is>
          <t>0082</t>
        </is>
      </c>
      <c r="H354" s="4" t="n">
        <v>45717</v>
      </c>
      <c r="I354" s="2" t="inlineStr">
        <is>
          <t>15:42</t>
        </is>
      </c>
      <c r="J354" s="3" t="inlineStr">
        <is>
          <t>0003</t>
        </is>
      </c>
      <c r="K354" s="2" t="inlineStr">
        <is>
          <t>CARTES</t>
        </is>
      </c>
      <c r="L354" s="5" t="n">
        <v>7</v>
      </c>
      <c r="M354" s="5" t="n">
        <v>7497</v>
      </c>
      <c r="N354" s="6" t="n">
        <v>2025</v>
      </c>
      <c r="O354" s="5" t="inlineStr">
        <is>
          <t>2025-02</t>
        </is>
      </c>
    </row>
    <row r="355">
      <c r="A355" s="2" t="inlineStr">
        <is>
          <t>Z202_01A_022025_MASSENA.CSV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FILE202</t>
        </is>
      </c>
      <c r="F355" s="2" t="inlineStr">
        <is>
          <t>ZZ2</t>
        </is>
      </c>
      <c r="G355" s="3" t="inlineStr">
        <is>
          <t>0082</t>
        </is>
      </c>
      <c r="H355" s="4" t="n">
        <v>45717</v>
      </c>
      <c r="I355" s="2" t="inlineStr">
        <is>
          <t>15:42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5" t="n">
        <v>0</v>
      </c>
      <c r="N355" s="6" t="n">
        <v>2025</v>
      </c>
      <c r="O355" s="5" t="inlineStr">
        <is>
          <t>2025-02</t>
        </is>
      </c>
    </row>
    <row r="356">
      <c r="A356" s="2" t="inlineStr">
        <is>
          <t>Z202_01A_022025_MASSENA.CSV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FILE202</t>
        </is>
      </c>
      <c r="F356" s="2" t="inlineStr">
        <is>
          <t>ZZ2</t>
        </is>
      </c>
      <c r="G356" s="3" t="inlineStr">
        <is>
          <t>0082</t>
        </is>
      </c>
      <c r="H356" s="4" t="n">
        <v>45717</v>
      </c>
      <c r="I356" s="2" t="inlineStr">
        <is>
          <t>15:42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5" t="n">
        <v>0</v>
      </c>
      <c r="N356" s="6" t="n">
        <v>2025</v>
      </c>
      <c r="O356" s="5" t="inlineStr">
        <is>
          <t>2025-02</t>
        </is>
      </c>
    </row>
    <row r="357">
      <c r="A357" s="2" t="inlineStr">
        <is>
          <t>Z202_01A_022025_MASSENA.CSV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FILE202</t>
        </is>
      </c>
      <c r="F357" s="2" t="inlineStr">
        <is>
          <t>ZZ2</t>
        </is>
      </c>
      <c r="G357" s="3" t="inlineStr">
        <is>
          <t>0082</t>
        </is>
      </c>
      <c r="H357" s="4" t="n">
        <v>45717</v>
      </c>
      <c r="I357" s="2" t="inlineStr">
        <is>
          <t>15:42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5" t="n">
        <v>0</v>
      </c>
      <c r="N357" s="6" t="n">
        <v>2025</v>
      </c>
      <c r="O357" s="5" t="inlineStr">
        <is>
          <t>2025-02</t>
        </is>
      </c>
    </row>
    <row r="358">
      <c r="A358" s="2" t="inlineStr">
        <is>
          <t>Z202_01A_022025_MASSENA.CSV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FILE202</t>
        </is>
      </c>
      <c r="F358" s="2" t="inlineStr">
        <is>
          <t>ZZ2</t>
        </is>
      </c>
      <c r="G358" s="3" t="inlineStr">
        <is>
          <t>0082</t>
        </is>
      </c>
      <c r="H358" s="4" t="n">
        <v>45717</v>
      </c>
      <c r="I358" s="2" t="inlineStr">
        <is>
          <t>15:42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5" t="n">
        <v>0</v>
      </c>
      <c r="N358" s="6" t="n">
        <v>2025</v>
      </c>
      <c r="O358" s="5" t="inlineStr">
        <is>
          <t>2025-02</t>
        </is>
      </c>
    </row>
    <row r="359">
      <c r="A359" s="2" t="inlineStr">
        <is>
          <t>Z202_01A_022025_MASSENA.CSV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FILE202</t>
        </is>
      </c>
      <c r="F359" s="2" t="inlineStr">
        <is>
          <t>ZZ2</t>
        </is>
      </c>
      <c r="G359" s="3" t="inlineStr">
        <is>
          <t>0082</t>
        </is>
      </c>
      <c r="H359" s="4" t="n">
        <v>45717</v>
      </c>
      <c r="I359" s="2" t="inlineStr">
        <is>
          <t>15:42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5" t="n">
        <v>0</v>
      </c>
      <c r="N359" s="6" t="n">
        <v>2025</v>
      </c>
      <c r="O359" s="5" t="inlineStr">
        <is>
          <t>2025-02</t>
        </is>
      </c>
    </row>
    <row r="360">
      <c r="A360" s="2" t="inlineStr">
        <is>
          <t>Z202_01A_022025_MASSENA.CSV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FILE202</t>
        </is>
      </c>
      <c r="F360" s="2" t="inlineStr">
        <is>
          <t>ZZ2</t>
        </is>
      </c>
      <c r="G360" s="3" t="inlineStr">
        <is>
          <t>0082</t>
        </is>
      </c>
      <c r="H360" s="4" t="n">
        <v>45717</v>
      </c>
      <c r="I360" s="2" t="inlineStr">
        <is>
          <t>15:42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5" t="n">
        <v>0</v>
      </c>
      <c r="N360" s="6" t="n">
        <v>2025</v>
      </c>
      <c r="O360" s="5" t="inlineStr">
        <is>
          <t>2025-02</t>
        </is>
      </c>
    </row>
    <row r="361">
      <c r="A361" s="2" t="inlineStr">
        <is>
          <t>Z202_01A_022025_MASSENA.CSV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FILE202</t>
        </is>
      </c>
      <c r="F361" s="2" t="inlineStr">
        <is>
          <t>ZZ2</t>
        </is>
      </c>
      <c r="G361" s="3" t="inlineStr">
        <is>
          <t>0082</t>
        </is>
      </c>
      <c r="H361" s="4" t="n">
        <v>45717</v>
      </c>
      <c r="I361" s="2" t="inlineStr">
        <is>
          <t>15:42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5" t="n">
        <v>0</v>
      </c>
      <c r="N361" s="6" t="n">
        <v>2025</v>
      </c>
      <c r="O361" s="5" t="inlineStr">
        <is>
          <t>2025-02</t>
        </is>
      </c>
    </row>
    <row r="362">
      <c r="A362" s="2" t="inlineStr">
        <is>
          <t>Z202_01A_022025_MASSENA.CSV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FILE202</t>
        </is>
      </c>
      <c r="F362" s="2" t="inlineStr">
        <is>
          <t>ZZ2</t>
        </is>
      </c>
      <c r="G362" s="3" t="inlineStr">
        <is>
          <t>0082</t>
        </is>
      </c>
      <c r="H362" s="4" t="n">
        <v>45717</v>
      </c>
      <c r="I362" s="2" t="inlineStr">
        <is>
          <t>15:42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5" t="n">
        <v>0</v>
      </c>
      <c r="N362" s="6" t="n">
        <v>2025</v>
      </c>
      <c r="O362" s="5" t="inlineStr">
        <is>
          <t>2025-02</t>
        </is>
      </c>
    </row>
    <row r="363">
      <c r="A363" s="2" t="inlineStr">
        <is>
          <t>Z202_01A_022025_MASSENA.CSV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FILE202</t>
        </is>
      </c>
      <c r="F363" s="2" t="inlineStr">
        <is>
          <t>ZZ2</t>
        </is>
      </c>
      <c r="G363" s="3" t="inlineStr">
        <is>
          <t>0082</t>
        </is>
      </c>
      <c r="H363" s="4" t="n">
        <v>45717</v>
      </c>
      <c r="I363" s="2" t="inlineStr">
        <is>
          <t>15:42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5" t="n">
        <v>0</v>
      </c>
      <c r="N363" s="6" t="n">
        <v>2025</v>
      </c>
      <c r="O363" s="5" t="inlineStr">
        <is>
          <t>2025-02</t>
        </is>
      </c>
    </row>
    <row r="364">
      <c r="A364" s="2" t="inlineStr">
        <is>
          <t>Z202_01A_022025_MASSENA.CSV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FILE202</t>
        </is>
      </c>
      <c r="F364" s="2" t="inlineStr">
        <is>
          <t>ZZ2</t>
        </is>
      </c>
      <c r="G364" s="3" t="inlineStr">
        <is>
          <t>0082</t>
        </is>
      </c>
      <c r="H364" s="4" t="n">
        <v>45717</v>
      </c>
      <c r="I364" s="2" t="inlineStr">
        <is>
          <t>15:42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5" t="n">
        <v>0</v>
      </c>
      <c r="N364" s="6" t="n">
        <v>2025</v>
      </c>
      <c r="O364" s="5" t="inlineStr">
        <is>
          <t>2025-02</t>
        </is>
      </c>
    </row>
    <row r="365">
      <c r="A365" s="2" t="inlineStr">
        <is>
          <t>Z202_01A_022025_MASSENA.CSV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FILE202</t>
        </is>
      </c>
      <c r="F365" s="2" t="inlineStr">
        <is>
          <t>ZZ2</t>
        </is>
      </c>
      <c r="G365" s="3" t="inlineStr">
        <is>
          <t>0082</t>
        </is>
      </c>
      <c r="H365" s="4" t="n">
        <v>45717</v>
      </c>
      <c r="I365" s="2" t="inlineStr">
        <is>
          <t>15:42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5" t="n">
        <v>0</v>
      </c>
      <c r="N365" s="6" t="n">
        <v>2025</v>
      </c>
      <c r="O365" s="5" t="inlineStr">
        <is>
          <t>2025-02</t>
        </is>
      </c>
    </row>
    <row r="366">
      <c r="A366" s="2" t="inlineStr">
        <is>
          <t>Z202_01A_022025_MASSENA.CSV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FILE202</t>
        </is>
      </c>
      <c r="F366" s="2" t="inlineStr">
        <is>
          <t>ZZ2</t>
        </is>
      </c>
      <c r="G366" s="3" t="inlineStr">
        <is>
          <t>0082</t>
        </is>
      </c>
      <c r="H366" s="4" t="n">
        <v>45717</v>
      </c>
      <c r="I366" s="2" t="inlineStr">
        <is>
          <t>15:42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5" t="n">
        <v>0</v>
      </c>
      <c r="N366" s="6" t="n">
        <v>2025</v>
      </c>
      <c r="O366" s="5" t="inlineStr">
        <is>
          <t>2025-02</t>
        </is>
      </c>
    </row>
    <row r="367">
      <c r="A367" s="2" t="inlineStr">
        <is>
          <t>Z202_01A_022025_MASSENA.CSV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FILE202</t>
        </is>
      </c>
      <c r="F367" s="2" t="inlineStr">
        <is>
          <t>ZZ2</t>
        </is>
      </c>
      <c r="G367" s="3" t="inlineStr">
        <is>
          <t>0082</t>
        </is>
      </c>
      <c r="H367" s="4" t="n">
        <v>45717</v>
      </c>
      <c r="I367" s="2" t="inlineStr">
        <is>
          <t>15:42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5" t="n">
        <v>0</v>
      </c>
      <c r="N367" s="6" t="n">
        <v>2025</v>
      </c>
      <c r="O367" s="5" t="inlineStr">
        <is>
          <t>2025-02</t>
        </is>
      </c>
    </row>
    <row r="368">
      <c r="A368" s="2" t="inlineStr">
        <is>
          <t>Z202_01A_022025_MASSENA.CSV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FILE202</t>
        </is>
      </c>
      <c r="F368" s="2" t="inlineStr">
        <is>
          <t>ZZ2</t>
        </is>
      </c>
      <c r="G368" s="3" t="inlineStr">
        <is>
          <t>0082</t>
        </is>
      </c>
      <c r="H368" s="4" t="n">
        <v>45717</v>
      </c>
      <c r="I368" s="2" t="inlineStr">
        <is>
          <t>15:42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5" t="n">
        <v>0</v>
      </c>
      <c r="N368" s="6" t="n">
        <v>2025</v>
      </c>
      <c r="O368" s="5" t="inlineStr">
        <is>
          <t>2025-02</t>
        </is>
      </c>
    </row>
    <row r="369">
      <c r="A369" s="2" t="inlineStr">
        <is>
          <t>Z202_01A_022025_MASSENA.CSV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FILE202</t>
        </is>
      </c>
      <c r="F369" s="2" t="inlineStr">
        <is>
          <t>ZZ2</t>
        </is>
      </c>
      <c r="G369" s="3" t="inlineStr">
        <is>
          <t>0082</t>
        </is>
      </c>
      <c r="H369" s="4" t="n">
        <v>45717</v>
      </c>
      <c r="I369" s="2" t="inlineStr">
        <is>
          <t>15:42</t>
        </is>
      </c>
      <c r="J369" s="3" t="inlineStr">
        <is>
          <t>0018</t>
        </is>
      </c>
      <c r="K369" s="2" t="inlineStr">
        <is>
          <t>CORRECTION</t>
        </is>
      </c>
      <c r="L369" s="5" t="n">
        <v>1</v>
      </c>
      <c r="M369" s="5" t="n">
        <v>329</v>
      </c>
      <c r="N369" s="6" t="n">
        <v>2025</v>
      </c>
      <c r="O369" s="5" t="inlineStr">
        <is>
          <t>2025-02</t>
        </is>
      </c>
    </row>
    <row r="370">
      <c r="A370" s="2" t="inlineStr">
        <is>
          <t>Z202_01A_022025_MASSENA.CSV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FILE202</t>
        </is>
      </c>
      <c r="F370" s="2" t="inlineStr">
        <is>
          <t>ZZ2</t>
        </is>
      </c>
      <c r="G370" s="3" t="inlineStr">
        <is>
          <t>0082</t>
        </is>
      </c>
      <c r="H370" s="4" t="n">
        <v>45717</v>
      </c>
      <c r="I370" s="2" t="inlineStr">
        <is>
          <t>15:42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5" t="n">
        <v>0</v>
      </c>
      <c r="N370" s="6" t="n">
        <v>2025</v>
      </c>
      <c r="O370" s="5" t="inlineStr">
        <is>
          <t>2025-02</t>
        </is>
      </c>
    </row>
    <row r="371">
      <c r="A371" s="2" t="inlineStr">
        <is>
          <t>Z202_01A_022025_MASSENA.CSV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FILE202</t>
        </is>
      </c>
      <c r="F371" s="2" t="inlineStr">
        <is>
          <t>ZZ2</t>
        </is>
      </c>
      <c r="G371" s="3" t="inlineStr">
        <is>
          <t>0082</t>
        </is>
      </c>
      <c r="H371" s="4" t="n">
        <v>45717</v>
      </c>
      <c r="I371" s="2" t="inlineStr">
        <is>
          <t>15:42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5" t="n">
        <v>0</v>
      </c>
      <c r="N371" s="6" t="n">
        <v>2025</v>
      </c>
      <c r="O371" s="5" t="inlineStr">
        <is>
          <t>2025-02</t>
        </is>
      </c>
    </row>
    <row r="372">
      <c r="A372" s="2" t="inlineStr">
        <is>
          <t>Z202_01A_022025_MASSENA.CSV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FILE202</t>
        </is>
      </c>
      <c r="F372" s="2" t="inlineStr">
        <is>
          <t>ZZ2</t>
        </is>
      </c>
      <c r="G372" s="3" t="inlineStr">
        <is>
          <t>0082</t>
        </is>
      </c>
      <c r="H372" s="4" t="n">
        <v>45717</v>
      </c>
      <c r="I372" s="2" t="inlineStr">
        <is>
          <t>15:42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5" t="n">
        <v>0</v>
      </c>
      <c r="N372" s="6" t="n">
        <v>2025</v>
      </c>
      <c r="O372" s="5" t="inlineStr">
        <is>
          <t>2025-02</t>
        </is>
      </c>
    </row>
    <row r="373">
      <c r="A373" s="2" t="inlineStr">
        <is>
          <t>Z202_01A_022025_MASSENA.CSV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FILE202</t>
        </is>
      </c>
      <c r="F373" s="2" t="inlineStr">
        <is>
          <t>ZZ2</t>
        </is>
      </c>
      <c r="G373" s="3" t="inlineStr">
        <is>
          <t>0082</t>
        </is>
      </c>
      <c r="H373" s="4" t="n">
        <v>45717</v>
      </c>
      <c r="I373" s="2" t="inlineStr">
        <is>
          <t>15:42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5" t="n">
        <v>0</v>
      </c>
      <c r="N373" s="6" t="n">
        <v>2025</v>
      </c>
      <c r="O373" s="5" t="inlineStr">
        <is>
          <t>2025-02</t>
        </is>
      </c>
    </row>
    <row r="374">
      <c r="A374" s="2" t="inlineStr">
        <is>
          <t>Z202_01A_022025_MASSENA.CSV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FILE202</t>
        </is>
      </c>
      <c r="F374" s="2" t="inlineStr">
        <is>
          <t>ZZ2</t>
        </is>
      </c>
      <c r="G374" s="3" t="inlineStr">
        <is>
          <t>0082</t>
        </is>
      </c>
      <c r="H374" s="4" t="n">
        <v>45717</v>
      </c>
      <c r="I374" s="2" t="inlineStr">
        <is>
          <t>15:42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5" t="n">
        <v>0</v>
      </c>
      <c r="N374" s="6" t="n">
        <v>2025</v>
      </c>
      <c r="O374" s="5" t="inlineStr">
        <is>
          <t>2025-02</t>
        </is>
      </c>
    </row>
    <row r="375">
      <c r="A375" s="2" t="inlineStr">
        <is>
          <t>Z202_01A_022025_MASSENA.CSV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FILE202</t>
        </is>
      </c>
      <c r="F375" s="2" t="inlineStr">
        <is>
          <t>ZZ2</t>
        </is>
      </c>
      <c r="G375" s="3" t="inlineStr">
        <is>
          <t>0082</t>
        </is>
      </c>
      <c r="H375" s="4" t="n">
        <v>45717</v>
      </c>
      <c r="I375" s="2" t="inlineStr">
        <is>
          <t>15:42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5" t="n">
        <v>0</v>
      </c>
      <c r="N375" s="6" t="n">
        <v>2025</v>
      </c>
      <c r="O375" s="5" t="inlineStr">
        <is>
          <t>2025-02</t>
        </is>
      </c>
    </row>
    <row r="376">
      <c r="A376" s="2" t="inlineStr">
        <is>
          <t>Z202_01A_022025_MASSENA.CSV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FILE202</t>
        </is>
      </c>
      <c r="F376" s="2" t="inlineStr">
        <is>
          <t>ZZ2</t>
        </is>
      </c>
      <c r="G376" s="3" t="inlineStr">
        <is>
          <t>0082</t>
        </is>
      </c>
      <c r="H376" s="4" t="n">
        <v>45717</v>
      </c>
      <c r="I376" s="2" t="inlineStr">
        <is>
          <t>15:42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5" t="n">
        <v>0</v>
      </c>
      <c r="N376" s="6" t="n">
        <v>2025</v>
      </c>
      <c r="O376" s="5" t="inlineStr">
        <is>
          <t>2025-02</t>
        </is>
      </c>
    </row>
    <row r="377">
      <c r="A377" s="2" t="inlineStr">
        <is>
          <t>Z202_01A_022025_MASSENA.CSV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FILE202</t>
        </is>
      </c>
      <c r="F377" s="2" t="inlineStr">
        <is>
          <t>ZZ2</t>
        </is>
      </c>
      <c r="G377" s="3" t="inlineStr">
        <is>
          <t>0082</t>
        </is>
      </c>
      <c r="H377" s="4" t="n">
        <v>45717</v>
      </c>
      <c r="I377" s="2" t="inlineStr">
        <is>
          <t>15:42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5" t="n">
        <v>0</v>
      </c>
      <c r="N377" s="6" t="n">
        <v>2025</v>
      </c>
      <c r="O377" s="5" t="inlineStr">
        <is>
          <t>2025-02</t>
        </is>
      </c>
    </row>
    <row r="378">
      <c r="A378" s="2" t="inlineStr">
        <is>
          <t>Z202_01A_022025_MASSENA.CSV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FILE202</t>
        </is>
      </c>
      <c r="F378" s="2" t="inlineStr">
        <is>
          <t>ZZ2</t>
        </is>
      </c>
      <c r="G378" s="3" t="inlineStr">
        <is>
          <t>0082</t>
        </is>
      </c>
      <c r="H378" s="4" t="n">
        <v>45717</v>
      </c>
      <c r="I378" s="2" t="inlineStr">
        <is>
          <t>15:42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5" t="n">
        <v>0</v>
      </c>
      <c r="N378" s="6" t="n">
        <v>2025</v>
      </c>
      <c r="O378" s="5" t="inlineStr">
        <is>
          <t>2025-02</t>
        </is>
      </c>
    </row>
    <row r="379">
      <c r="A379" s="2" t="inlineStr">
        <is>
          <t>Z202_01A_022025_MASSENA.CSV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FILE202</t>
        </is>
      </c>
      <c r="F379" s="2" t="inlineStr">
        <is>
          <t>ZZ2</t>
        </is>
      </c>
      <c r="G379" s="3" t="inlineStr">
        <is>
          <t>0082</t>
        </is>
      </c>
      <c r="H379" s="4" t="n">
        <v>45717</v>
      </c>
      <c r="I379" s="2" t="inlineStr">
        <is>
          <t>15:42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5" t="n">
        <v>0</v>
      </c>
      <c r="N379" s="6" t="n">
        <v>2025</v>
      </c>
      <c r="O379" s="5" t="inlineStr">
        <is>
          <t>2025-02</t>
        </is>
      </c>
    </row>
    <row r="380">
      <c r="A380" s="2" t="inlineStr">
        <is>
          <t>Z202_01A_022025_MASSENA.CSV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FILE202</t>
        </is>
      </c>
      <c r="F380" s="2" t="inlineStr">
        <is>
          <t>ZZ2</t>
        </is>
      </c>
      <c r="G380" s="3" t="inlineStr">
        <is>
          <t>0082</t>
        </is>
      </c>
      <c r="H380" s="4" t="n">
        <v>45717</v>
      </c>
      <c r="I380" s="2" t="inlineStr">
        <is>
          <t>15:42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5" t="n">
        <v>0</v>
      </c>
      <c r="N380" s="6" t="n">
        <v>2025</v>
      </c>
      <c r="O380" s="5" t="inlineStr">
        <is>
          <t>2025-02</t>
        </is>
      </c>
    </row>
    <row r="381">
      <c r="A381" s="2" t="inlineStr">
        <is>
          <t>Z202_01A_022025_MASSENA.CSV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FILE202</t>
        </is>
      </c>
      <c r="F381" s="2" t="inlineStr">
        <is>
          <t>ZZ2</t>
        </is>
      </c>
      <c r="G381" s="3" t="inlineStr">
        <is>
          <t>0082</t>
        </is>
      </c>
      <c r="H381" s="4" t="n">
        <v>45717</v>
      </c>
      <c r="I381" s="2" t="inlineStr">
        <is>
          <t>15:42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5" t="n">
        <v>0</v>
      </c>
      <c r="N381" s="6" t="n">
        <v>2025</v>
      </c>
      <c r="O381" s="5" t="inlineStr">
        <is>
          <t>2025-02</t>
        </is>
      </c>
    </row>
    <row r="382">
      <c r="A382" s="2" t="inlineStr">
        <is>
          <t>Z202_01A_022025_MASSENA.CSV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FILE202</t>
        </is>
      </c>
      <c r="F382" s="2" t="inlineStr">
        <is>
          <t>ZZ2</t>
        </is>
      </c>
      <c r="G382" s="3" t="inlineStr">
        <is>
          <t>0082</t>
        </is>
      </c>
      <c r="H382" s="4" t="n">
        <v>45717</v>
      </c>
      <c r="I382" s="2" t="inlineStr">
        <is>
          <t>15:42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5" t="n">
        <v>0</v>
      </c>
      <c r="N382" s="6" t="n">
        <v>2025</v>
      </c>
      <c r="O382" s="5" t="inlineStr">
        <is>
          <t>2025-02</t>
        </is>
      </c>
    </row>
    <row r="383">
      <c r="A383" s="2" t="inlineStr">
        <is>
          <t>Z202_01A_022025_MASSENA.CSV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FILE202</t>
        </is>
      </c>
      <c r="F383" s="2" t="inlineStr">
        <is>
          <t>ZZ2</t>
        </is>
      </c>
      <c r="G383" s="3" t="inlineStr">
        <is>
          <t>0082</t>
        </is>
      </c>
      <c r="H383" s="4" t="n">
        <v>45717</v>
      </c>
      <c r="I383" s="2" t="inlineStr">
        <is>
          <t>15:42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5" t="n">
        <v>0</v>
      </c>
      <c r="N383" s="6" t="n">
        <v>2025</v>
      </c>
      <c r="O383" s="5" t="inlineStr">
        <is>
          <t>2025-02</t>
        </is>
      </c>
    </row>
    <row r="384">
      <c r="A384" s="2" t="inlineStr">
        <is>
          <t>Z202_01A_022025_MASSENA.CSV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FILE202</t>
        </is>
      </c>
      <c r="F384" s="2" t="inlineStr">
        <is>
          <t>ZZ2</t>
        </is>
      </c>
      <c r="G384" s="3" t="inlineStr">
        <is>
          <t>0082</t>
        </is>
      </c>
      <c r="H384" s="4" t="n">
        <v>45717</v>
      </c>
      <c r="I384" s="2" t="inlineStr">
        <is>
          <t>15:42</t>
        </is>
      </c>
      <c r="J384" s="3" t="inlineStr">
        <is>
          <t>0033</t>
        </is>
      </c>
      <c r="K384" s="2" t="inlineStr"/>
      <c r="L384" s="5" t="n">
        <v>0</v>
      </c>
      <c r="M384" s="5" t="n">
        <v>0</v>
      </c>
      <c r="N384" s="6" t="n">
        <v>2025</v>
      </c>
      <c r="O384" s="5" t="inlineStr">
        <is>
          <t>2025-02</t>
        </is>
      </c>
    </row>
    <row r="385">
      <c r="A385" s="2" t="inlineStr">
        <is>
          <t>Z202_01A_022025_MASSENA.CSV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FILE202</t>
        </is>
      </c>
      <c r="F385" s="2" t="inlineStr">
        <is>
          <t>ZZ2</t>
        </is>
      </c>
      <c r="G385" s="3" t="inlineStr">
        <is>
          <t>0082</t>
        </is>
      </c>
      <c r="H385" s="4" t="n">
        <v>45717</v>
      </c>
      <c r="I385" s="2" t="inlineStr">
        <is>
          <t>15:42</t>
        </is>
      </c>
      <c r="J385" s="3" t="inlineStr">
        <is>
          <t>0034</t>
        </is>
      </c>
      <c r="K385" s="2" t="inlineStr"/>
      <c r="L385" s="5" t="n">
        <v>0</v>
      </c>
      <c r="M385" s="5" t="n">
        <v>0</v>
      </c>
      <c r="N385" s="6" t="n">
        <v>2025</v>
      </c>
      <c r="O385" s="5" t="inlineStr">
        <is>
          <t>2025-02</t>
        </is>
      </c>
    </row>
    <row r="386">
      <c r="A386" s="2" t="inlineStr">
        <is>
          <t>Z202_01A_022025_MASSENA.CSV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FILE202</t>
        </is>
      </c>
      <c r="F386" s="2" t="inlineStr">
        <is>
          <t>ZZ2</t>
        </is>
      </c>
      <c r="G386" s="3" t="inlineStr">
        <is>
          <t>0082</t>
        </is>
      </c>
      <c r="H386" s="4" t="n">
        <v>45717</v>
      </c>
      <c r="I386" s="2" t="inlineStr">
        <is>
          <t>15:42</t>
        </is>
      </c>
      <c r="J386" s="3" t="inlineStr">
        <is>
          <t>0035</t>
        </is>
      </c>
      <c r="K386" s="2" t="inlineStr"/>
      <c r="L386" s="5" t="n">
        <v>0</v>
      </c>
      <c r="M386" s="5" t="n">
        <v>0</v>
      </c>
      <c r="N386" s="6" t="n">
        <v>2025</v>
      </c>
      <c r="O386" s="5" t="inlineStr">
        <is>
          <t>2025-02</t>
        </is>
      </c>
    </row>
    <row r="387">
      <c r="A387" s="2" t="inlineStr">
        <is>
          <t>Z202_01A_022025_MASSENA.CSV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FILE202</t>
        </is>
      </c>
      <c r="F387" s="2" t="inlineStr">
        <is>
          <t>ZZ2</t>
        </is>
      </c>
      <c r="G387" s="3" t="inlineStr">
        <is>
          <t>0082</t>
        </is>
      </c>
      <c r="H387" s="4" t="n">
        <v>45717</v>
      </c>
      <c r="I387" s="2" t="inlineStr">
        <is>
          <t>15:42</t>
        </is>
      </c>
      <c r="J387" s="3" t="inlineStr">
        <is>
          <t>0036</t>
        </is>
      </c>
      <c r="K387" s="2" t="inlineStr"/>
      <c r="L387" s="5" t="n">
        <v>0</v>
      </c>
      <c r="M387" s="5" t="n">
        <v>0</v>
      </c>
      <c r="N387" s="6" t="n">
        <v>2025</v>
      </c>
      <c r="O387" s="5" t="inlineStr">
        <is>
          <t>2025-02</t>
        </is>
      </c>
    </row>
    <row r="388">
      <c r="A388" s="2" t="inlineStr">
        <is>
          <t>Z202_01A_022025_MASSENA.CSV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FILE202</t>
        </is>
      </c>
      <c r="F388" s="2" t="inlineStr">
        <is>
          <t>ZZ2</t>
        </is>
      </c>
      <c r="G388" s="3" t="inlineStr">
        <is>
          <t>0082</t>
        </is>
      </c>
      <c r="H388" s="4" t="n">
        <v>45717</v>
      </c>
      <c r="I388" s="2" t="inlineStr">
        <is>
          <t>15:42</t>
        </is>
      </c>
      <c r="J388" s="3" t="inlineStr">
        <is>
          <t>0037</t>
        </is>
      </c>
      <c r="K388" s="2" t="inlineStr"/>
      <c r="L388" s="5" t="n">
        <v>0</v>
      </c>
      <c r="M388" s="5" t="n">
        <v>0</v>
      </c>
      <c r="N388" s="6" t="n">
        <v>2025</v>
      </c>
      <c r="O388" s="5" t="inlineStr">
        <is>
          <t>2025-02</t>
        </is>
      </c>
    </row>
    <row r="389">
      <c r="A389" s="2" t="inlineStr">
        <is>
          <t>Z202_01A_022025_MASSENA.CSV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FILE202</t>
        </is>
      </c>
      <c r="F389" s="2" t="inlineStr">
        <is>
          <t>ZZ2</t>
        </is>
      </c>
      <c r="G389" s="3" t="inlineStr">
        <is>
          <t>0082</t>
        </is>
      </c>
      <c r="H389" s="4" t="n">
        <v>45717</v>
      </c>
      <c r="I389" s="2" t="inlineStr">
        <is>
          <t>15:42</t>
        </is>
      </c>
      <c r="J389" s="3" t="inlineStr">
        <is>
          <t>0038</t>
        </is>
      </c>
      <c r="K389" s="2" t="inlineStr"/>
      <c r="L389" s="5" t="n">
        <v>0</v>
      </c>
      <c r="M389" s="5" t="n">
        <v>0</v>
      </c>
      <c r="N389" s="6" t="n">
        <v>2025</v>
      </c>
      <c r="O389" s="5" t="inlineStr">
        <is>
          <t>2025-02</t>
        </is>
      </c>
    </row>
    <row r="390">
      <c r="A390" s="2" t="inlineStr">
        <is>
          <t>Z202_01A_022025_MASSENA.CSV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FILE202</t>
        </is>
      </c>
      <c r="F390" s="2" t="inlineStr">
        <is>
          <t>ZZ2</t>
        </is>
      </c>
      <c r="G390" s="3" t="inlineStr">
        <is>
          <t>0082</t>
        </is>
      </c>
      <c r="H390" s="4" t="n">
        <v>45717</v>
      </c>
      <c r="I390" s="2" t="inlineStr">
        <is>
          <t>15:42</t>
        </is>
      </c>
      <c r="J390" s="3" t="inlineStr">
        <is>
          <t>0039</t>
        </is>
      </c>
      <c r="K390" s="2" t="inlineStr"/>
      <c r="L390" s="5" t="n">
        <v>0</v>
      </c>
      <c r="M390" s="5" t="n">
        <v>0</v>
      </c>
      <c r="N390" s="6" t="n">
        <v>2025</v>
      </c>
      <c r="O390" s="5" t="inlineStr">
        <is>
          <t>2025-02</t>
        </is>
      </c>
    </row>
    <row r="391">
      <c r="A391" s="2" t="inlineStr">
        <is>
          <t>Z202_01A_022025_MASSENA.CSV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FILE202</t>
        </is>
      </c>
      <c r="F391" s="2" t="inlineStr">
        <is>
          <t>ZZ2</t>
        </is>
      </c>
      <c r="G391" s="3" t="inlineStr">
        <is>
          <t>0082</t>
        </is>
      </c>
      <c r="H391" s="4" t="n">
        <v>45717</v>
      </c>
      <c r="I391" s="2" t="inlineStr">
        <is>
          <t>15:42</t>
        </is>
      </c>
      <c r="J391" s="3" t="inlineStr">
        <is>
          <t>0040</t>
        </is>
      </c>
      <c r="K391" s="2" t="inlineStr"/>
      <c r="L391" s="5" t="n">
        <v>0</v>
      </c>
      <c r="M391" s="5" t="n">
        <v>0</v>
      </c>
      <c r="N391" s="6" t="n">
        <v>2025</v>
      </c>
      <c r="O391" s="5" t="inlineStr">
        <is>
          <t>2025-02</t>
        </is>
      </c>
    </row>
    <row r="392">
      <c r="A392" s="2" t="inlineStr">
        <is>
          <t>Z202_01A_022025_MASSENA.CSV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FILE202</t>
        </is>
      </c>
      <c r="F392" s="2" t="inlineStr">
        <is>
          <t>ZZ2</t>
        </is>
      </c>
      <c r="G392" s="3" t="inlineStr">
        <is>
          <t>0082</t>
        </is>
      </c>
      <c r="H392" s="4" t="n">
        <v>45717</v>
      </c>
      <c r="I392" s="2" t="inlineStr">
        <is>
          <t>15:42</t>
        </is>
      </c>
      <c r="J392" s="3" t="inlineStr">
        <is>
          <t>0041</t>
        </is>
      </c>
      <c r="K392" s="2" t="inlineStr"/>
      <c r="L392" s="5" t="n">
        <v>0</v>
      </c>
      <c r="M392" s="5" t="n">
        <v>0</v>
      </c>
      <c r="N392" s="6" t="n">
        <v>2025</v>
      </c>
      <c r="O392" s="5" t="inlineStr">
        <is>
          <t>2025-02</t>
        </is>
      </c>
    </row>
    <row r="393">
      <c r="A393" s="2" t="inlineStr">
        <is>
          <t>Z202_01A_022025_MASSENA.CSV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FILE202</t>
        </is>
      </c>
      <c r="F393" s="2" t="inlineStr">
        <is>
          <t>ZZ2</t>
        </is>
      </c>
      <c r="G393" s="3" t="inlineStr">
        <is>
          <t>0082</t>
        </is>
      </c>
      <c r="H393" s="4" t="n">
        <v>45717</v>
      </c>
      <c r="I393" s="2" t="inlineStr">
        <is>
          <t>15:42</t>
        </is>
      </c>
      <c r="J393" s="3" t="inlineStr">
        <is>
          <t>0042</t>
        </is>
      </c>
      <c r="K393" s="2" t="inlineStr"/>
      <c r="L393" s="5" t="n">
        <v>0</v>
      </c>
      <c r="M393" s="5" t="n">
        <v>0</v>
      </c>
      <c r="N393" s="6" t="n">
        <v>2025</v>
      </c>
      <c r="O393" s="5" t="inlineStr">
        <is>
          <t>2025-02</t>
        </is>
      </c>
    </row>
    <row r="394">
      <c r="A394" s="2" t="inlineStr">
        <is>
          <t>Z202_01A_022025_MASSENA.CSV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FILE202</t>
        </is>
      </c>
      <c r="F394" s="2" t="inlineStr">
        <is>
          <t>ZZ2</t>
        </is>
      </c>
      <c r="G394" s="3" t="inlineStr">
        <is>
          <t>0082</t>
        </is>
      </c>
      <c r="H394" s="4" t="n">
        <v>45717</v>
      </c>
      <c r="I394" s="2" t="inlineStr">
        <is>
          <t>15:42</t>
        </is>
      </c>
      <c r="J394" s="3" t="inlineStr">
        <is>
          <t>0043</t>
        </is>
      </c>
      <c r="K394" s="2" t="inlineStr"/>
      <c r="L394" s="5" t="n">
        <v>0</v>
      </c>
      <c r="M394" s="5" t="n">
        <v>0</v>
      </c>
      <c r="N394" s="6" t="n">
        <v>2025</v>
      </c>
      <c r="O394" s="5" t="inlineStr">
        <is>
          <t>2025-02</t>
        </is>
      </c>
    </row>
    <row r="395">
      <c r="A395" s="2" t="inlineStr">
        <is>
          <t>Z202_01A_022025_MASSENA.CSV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FILE202</t>
        </is>
      </c>
      <c r="F395" s="2" t="inlineStr">
        <is>
          <t>ZZ2</t>
        </is>
      </c>
      <c r="G395" s="3" t="inlineStr">
        <is>
          <t>0082</t>
        </is>
      </c>
      <c r="H395" s="4" t="n">
        <v>45717</v>
      </c>
      <c r="I395" s="2" t="inlineStr">
        <is>
          <t>15:42</t>
        </is>
      </c>
      <c r="J395" s="3" t="inlineStr">
        <is>
          <t>0044</t>
        </is>
      </c>
      <c r="K395" s="2" t="inlineStr"/>
      <c r="L395" s="5" t="n">
        <v>0</v>
      </c>
      <c r="M395" s="5" t="n">
        <v>0</v>
      </c>
      <c r="N395" s="6" t="n">
        <v>2025</v>
      </c>
      <c r="O395" s="5" t="inlineStr">
        <is>
          <t>2025-02</t>
        </is>
      </c>
    </row>
    <row r="396">
      <c r="A396" s="2" t="inlineStr">
        <is>
          <t>Z202_01A_022025_MASSENA.CSV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FILE202</t>
        </is>
      </c>
      <c r="F396" s="2" t="inlineStr">
        <is>
          <t>ZZ2</t>
        </is>
      </c>
      <c r="G396" s="3" t="inlineStr">
        <is>
          <t>0082</t>
        </is>
      </c>
      <c r="H396" s="4" t="n">
        <v>45717</v>
      </c>
      <c r="I396" s="2" t="inlineStr">
        <is>
          <t>15:42</t>
        </is>
      </c>
      <c r="J396" s="3" t="inlineStr">
        <is>
          <t>0045</t>
        </is>
      </c>
      <c r="K396" s="2" t="inlineStr"/>
      <c r="L396" s="5" t="n">
        <v>0</v>
      </c>
      <c r="M396" s="5" t="n">
        <v>0</v>
      </c>
      <c r="N396" s="6" t="n">
        <v>2025</v>
      </c>
      <c r="O396" s="5" t="inlineStr">
        <is>
          <t>2025-02</t>
        </is>
      </c>
    </row>
    <row r="397">
      <c r="A397" s="2" t="inlineStr">
        <is>
          <t>Z202_01A_022025_MASSENA.CSV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FILE202</t>
        </is>
      </c>
      <c r="F397" s="2" t="inlineStr">
        <is>
          <t>ZZ2</t>
        </is>
      </c>
      <c r="G397" s="3" t="inlineStr">
        <is>
          <t>0082</t>
        </is>
      </c>
      <c r="H397" s="4" t="n">
        <v>45717</v>
      </c>
      <c r="I397" s="2" t="inlineStr">
        <is>
          <t>15:42</t>
        </is>
      </c>
      <c r="J397" s="3" t="inlineStr">
        <is>
          <t>0046</t>
        </is>
      </c>
      <c r="K397" s="2" t="inlineStr"/>
      <c r="L397" s="5" t="n">
        <v>0</v>
      </c>
      <c r="M397" s="5" t="n">
        <v>0</v>
      </c>
      <c r="N397" s="6" t="n">
        <v>2025</v>
      </c>
      <c r="O397" s="5" t="inlineStr">
        <is>
          <t>2025-02</t>
        </is>
      </c>
    </row>
    <row r="398">
      <c r="A398" s="2" t="inlineStr">
        <is>
          <t>Z202_01A_022025_MASSENA.CSV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FILE202</t>
        </is>
      </c>
      <c r="F398" s="2" t="inlineStr">
        <is>
          <t>ZZ2</t>
        </is>
      </c>
      <c r="G398" s="3" t="inlineStr">
        <is>
          <t>0082</t>
        </is>
      </c>
      <c r="H398" s="4" t="n">
        <v>45717</v>
      </c>
      <c r="I398" s="2" t="inlineStr">
        <is>
          <t>15:42</t>
        </is>
      </c>
      <c r="J398" s="3" t="inlineStr">
        <is>
          <t>0047</t>
        </is>
      </c>
      <c r="K398" s="2" t="inlineStr"/>
      <c r="L398" s="5" t="n">
        <v>0</v>
      </c>
      <c r="M398" s="5" t="n">
        <v>0</v>
      </c>
      <c r="N398" s="6" t="n">
        <v>2025</v>
      </c>
      <c r="O398" s="5" t="inlineStr">
        <is>
          <t>2025-02</t>
        </is>
      </c>
    </row>
    <row r="399">
      <c r="A399" s="2" t="inlineStr">
        <is>
          <t>Z202_01A_022025_MASSENA.CSV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FILE202</t>
        </is>
      </c>
      <c r="F399" s="2" t="inlineStr">
        <is>
          <t>ZZ2</t>
        </is>
      </c>
      <c r="G399" s="3" t="inlineStr">
        <is>
          <t>0082</t>
        </is>
      </c>
      <c r="H399" s="4" t="n">
        <v>45717</v>
      </c>
      <c r="I399" s="2" t="inlineStr">
        <is>
          <t>15:42</t>
        </is>
      </c>
      <c r="J399" s="3" t="inlineStr">
        <is>
          <t>0048</t>
        </is>
      </c>
      <c r="K399" s="2" t="inlineStr"/>
      <c r="L399" s="5" t="n">
        <v>0</v>
      </c>
      <c r="M399" s="5" t="n">
        <v>0</v>
      </c>
      <c r="N399" s="6" t="n">
        <v>2025</v>
      </c>
      <c r="O399" s="5" t="inlineStr">
        <is>
          <t>2025-02</t>
        </is>
      </c>
    </row>
    <row r="400">
      <c r="A400" s="2" t="inlineStr">
        <is>
          <t>Z202_01A_022025_MASSENA.CSV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FILE202</t>
        </is>
      </c>
      <c r="F400" s="2" t="inlineStr">
        <is>
          <t>ZZ2</t>
        </is>
      </c>
      <c r="G400" s="3" t="inlineStr">
        <is>
          <t>0082</t>
        </is>
      </c>
      <c r="H400" s="4" t="n">
        <v>45717</v>
      </c>
      <c r="I400" s="2" t="inlineStr">
        <is>
          <t>15:42</t>
        </is>
      </c>
      <c r="J400" s="3" t="inlineStr">
        <is>
          <t>0049</t>
        </is>
      </c>
      <c r="K400" s="2" t="inlineStr"/>
      <c r="L400" s="5" t="n">
        <v>0</v>
      </c>
      <c r="M400" s="5" t="n">
        <v>0</v>
      </c>
      <c r="N400" s="6" t="n">
        <v>2025</v>
      </c>
      <c r="O400" s="5" t="inlineStr">
        <is>
          <t>2025-02</t>
        </is>
      </c>
    </row>
    <row r="401">
      <c r="A401" s="2" t="inlineStr">
        <is>
          <t>Z202_01A_022025_MASSENA.CSV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FILE202</t>
        </is>
      </c>
      <c r="F401" s="2" t="inlineStr">
        <is>
          <t>ZZ2</t>
        </is>
      </c>
      <c r="G401" s="3" t="inlineStr">
        <is>
          <t>0082</t>
        </is>
      </c>
      <c r="H401" s="4" t="n">
        <v>45717</v>
      </c>
      <c r="I401" s="2" t="inlineStr">
        <is>
          <t>15:42</t>
        </is>
      </c>
      <c r="J401" s="3" t="inlineStr">
        <is>
          <t>0050</t>
        </is>
      </c>
      <c r="K401" s="2" t="inlineStr"/>
      <c r="L401" s="5" t="n">
        <v>0</v>
      </c>
      <c r="M401" s="5" t="n">
        <v>0</v>
      </c>
      <c r="N401" s="6" t="n">
        <v>2025</v>
      </c>
      <c r="O401" s="5" t="inlineStr">
        <is>
          <t>2025-02</t>
        </is>
      </c>
    </row>
    <row r="402">
      <c r="A402" s="2" t="inlineStr">
        <is>
          <t>Z202_01A_042025_052025_062025_MASSENA.CSV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FILE202</t>
        </is>
      </c>
      <c r="F402" s="2" t="inlineStr">
        <is>
          <t>ZZ2</t>
        </is>
      </c>
      <c r="G402" s="3" t="inlineStr">
        <is>
          <t>0084</t>
        </is>
      </c>
      <c r="H402" s="4" t="n">
        <v>45839</v>
      </c>
      <c r="I402" s="2" t="inlineStr">
        <is>
          <t>09:59</t>
        </is>
      </c>
      <c r="J402" s="3" t="inlineStr">
        <is>
          <t>0001</t>
        </is>
      </c>
      <c r="K402" s="2" t="inlineStr">
        <is>
          <t>ESPECES</t>
        </is>
      </c>
      <c r="L402" s="5" t="n">
        <v>18</v>
      </c>
      <c r="M402" s="5" t="n">
        <v>6815.7</v>
      </c>
      <c r="N402" s="6" t="n">
        <v>2025</v>
      </c>
      <c r="O402" s="5" t="inlineStr">
        <is>
          <t>2025-04|2025-05|2025-06</t>
        </is>
      </c>
    </row>
    <row r="403">
      <c r="A403" s="2" t="inlineStr">
        <is>
          <t>Z202_01A_042025_052025_062025_MASSENA.CSV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FILE202</t>
        </is>
      </c>
      <c r="F403" s="2" t="inlineStr">
        <is>
          <t>ZZ2</t>
        </is>
      </c>
      <c r="G403" s="3" t="inlineStr">
        <is>
          <t>0084</t>
        </is>
      </c>
      <c r="H403" s="4" t="n">
        <v>45839</v>
      </c>
      <c r="I403" s="2" t="inlineStr">
        <is>
          <t>09:59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5" t="n">
        <v>0</v>
      </c>
      <c r="N403" s="6" t="n">
        <v>2025</v>
      </c>
      <c r="O403" s="5" t="inlineStr">
        <is>
          <t>2025-04|2025-05|2025-06</t>
        </is>
      </c>
    </row>
    <row r="404">
      <c r="A404" s="2" t="inlineStr">
        <is>
          <t>Z202_01A_042025_052025_062025_MASSENA.CSV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FILE202</t>
        </is>
      </c>
      <c r="F404" s="2" t="inlineStr">
        <is>
          <t>ZZ2</t>
        </is>
      </c>
      <c r="G404" s="3" t="inlineStr">
        <is>
          <t>0084</t>
        </is>
      </c>
      <c r="H404" s="4" t="n">
        <v>45839</v>
      </c>
      <c r="I404" s="2" t="inlineStr">
        <is>
          <t>09:59</t>
        </is>
      </c>
      <c r="J404" s="3" t="inlineStr">
        <is>
          <t>0003</t>
        </is>
      </c>
      <c r="K404" s="2" t="inlineStr">
        <is>
          <t>CARTES</t>
        </is>
      </c>
      <c r="L404" s="5" t="n">
        <v>16</v>
      </c>
      <c r="M404" s="5" t="n">
        <v>5642.4</v>
      </c>
      <c r="N404" s="6" t="n">
        <v>2025</v>
      </c>
      <c r="O404" s="5" t="inlineStr">
        <is>
          <t>2025-04|2025-05|2025-06</t>
        </is>
      </c>
    </row>
    <row r="405">
      <c r="A405" s="2" t="inlineStr">
        <is>
          <t>Z202_01A_042025_052025_062025_MASSENA.CSV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FILE202</t>
        </is>
      </c>
      <c r="F405" s="2" t="inlineStr">
        <is>
          <t>ZZ2</t>
        </is>
      </c>
      <c r="G405" s="3" t="inlineStr">
        <is>
          <t>0084</t>
        </is>
      </c>
      <c r="H405" s="4" t="n">
        <v>45839</v>
      </c>
      <c r="I405" s="2" t="inlineStr">
        <is>
          <t>09:59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5" t="n">
        <v>0</v>
      </c>
      <c r="N405" s="6" t="n">
        <v>2025</v>
      </c>
      <c r="O405" s="5" t="inlineStr">
        <is>
          <t>2025-04|2025-05|2025-06</t>
        </is>
      </c>
    </row>
    <row r="406">
      <c r="A406" s="2" t="inlineStr">
        <is>
          <t>Z202_01A_042025_052025_062025_MASSENA.CSV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FILE202</t>
        </is>
      </c>
      <c r="F406" s="2" t="inlineStr">
        <is>
          <t>ZZ2</t>
        </is>
      </c>
      <c r="G406" s="3" t="inlineStr">
        <is>
          <t>0084</t>
        </is>
      </c>
      <c r="H406" s="4" t="n">
        <v>45839</v>
      </c>
      <c r="I406" s="2" t="inlineStr">
        <is>
          <t>09:59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5" t="n">
        <v>0</v>
      </c>
      <c r="N406" s="6" t="n">
        <v>2025</v>
      </c>
      <c r="O406" s="5" t="inlineStr">
        <is>
          <t>2025-04|2025-05|2025-06</t>
        </is>
      </c>
    </row>
    <row r="407">
      <c r="A407" s="2" t="inlineStr">
        <is>
          <t>Z202_01A_042025_052025_062025_MASSENA.CSV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FILE202</t>
        </is>
      </c>
      <c r="F407" s="2" t="inlineStr">
        <is>
          <t>ZZ2</t>
        </is>
      </c>
      <c r="G407" s="3" t="inlineStr">
        <is>
          <t>0084</t>
        </is>
      </c>
      <c r="H407" s="4" t="n">
        <v>45839</v>
      </c>
      <c r="I407" s="2" t="inlineStr">
        <is>
          <t>09:59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5" t="n">
        <v>0</v>
      </c>
      <c r="N407" s="6" t="n">
        <v>2025</v>
      </c>
      <c r="O407" s="5" t="inlineStr">
        <is>
          <t>2025-04|2025-05|2025-06</t>
        </is>
      </c>
    </row>
    <row r="408">
      <c r="A408" s="2" t="inlineStr">
        <is>
          <t>Z202_01A_042025_052025_062025_MASSENA.CSV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FILE202</t>
        </is>
      </c>
      <c r="F408" s="2" t="inlineStr">
        <is>
          <t>ZZ2</t>
        </is>
      </c>
      <c r="G408" s="3" t="inlineStr">
        <is>
          <t>0084</t>
        </is>
      </c>
      <c r="H408" s="4" t="n">
        <v>45839</v>
      </c>
      <c r="I408" s="2" t="inlineStr">
        <is>
          <t>09:59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5" t="n">
        <v>0</v>
      </c>
      <c r="N408" s="6" t="n">
        <v>2025</v>
      </c>
      <c r="O408" s="5" t="inlineStr">
        <is>
          <t>2025-04|2025-05|2025-06</t>
        </is>
      </c>
    </row>
    <row r="409">
      <c r="A409" s="2" t="inlineStr">
        <is>
          <t>Z202_01A_042025_052025_062025_MASSENA.CSV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FILE202</t>
        </is>
      </c>
      <c r="F409" s="2" t="inlineStr">
        <is>
          <t>ZZ2</t>
        </is>
      </c>
      <c r="G409" s="3" t="inlineStr">
        <is>
          <t>0084</t>
        </is>
      </c>
      <c r="H409" s="4" t="n">
        <v>45839</v>
      </c>
      <c r="I409" s="2" t="inlineStr">
        <is>
          <t>09:59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5" t="n">
        <v>0</v>
      </c>
      <c r="N409" s="6" t="n">
        <v>2025</v>
      </c>
      <c r="O409" s="5" t="inlineStr">
        <is>
          <t>2025-04|2025-05|2025-06</t>
        </is>
      </c>
    </row>
    <row r="410">
      <c r="A410" s="2" t="inlineStr">
        <is>
          <t>Z202_01A_042025_052025_062025_MASSENA.CSV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FILE202</t>
        </is>
      </c>
      <c r="F410" s="2" t="inlineStr">
        <is>
          <t>ZZ2</t>
        </is>
      </c>
      <c r="G410" s="3" t="inlineStr">
        <is>
          <t>0084</t>
        </is>
      </c>
      <c r="H410" s="4" t="n">
        <v>45839</v>
      </c>
      <c r="I410" s="2" t="inlineStr">
        <is>
          <t>09:59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5" t="n">
        <v>0</v>
      </c>
      <c r="N410" s="6" t="n">
        <v>2025</v>
      </c>
      <c r="O410" s="5" t="inlineStr">
        <is>
          <t>2025-04|2025-05|2025-06</t>
        </is>
      </c>
    </row>
    <row r="411">
      <c r="A411" s="2" t="inlineStr">
        <is>
          <t>Z202_01A_042025_052025_062025_MASSENA.CSV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FILE202</t>
        </is>
      </c>
      <c r="F411" s="2" t="inlineStr">
        <is>
          <t>ZZ2</t>
        </is>
      </c>
      <c r="G411" s="3" t="inlineStr">
        <is>
          <t>0084</t>
        </is>
      </c>
      <c r="H411" s="4" t="n">
        <v>45839</v>
      </c>
      <c r="I411" s="2" t="inlineStr">
        <is>
          <t>09:59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5" t="n">
        <v>0</v>
      </c>
      <c r="N411" s="6" t="n">
        <v>2025</v>
      </c>
      <c r="O411" s="5" t="inlineStr">
        <is>
          <t>2025-04|2025-05|2025-06</t>
        </is>
      </c>
    </row>
    <row r="412">
      <c r="A412" s="2" t="inlineStr">
        <is>
          <t>Z202_01A_042025_052025_062025_MASSENA.CSV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FILE202</t>
        </is>
      </c>
      <c r="F412" s="2" t="inlineStr">
        <is>
          <t>ZZ2</t>
        </is>
      </c>
      <c r="G412" s="3" t="inlineStr">
        <is>
          <t>0084</t>
        </is>
      </c>
      <c r="H412" s="4" t="n">
        <v>45839</v>
      </c>
      <c r="I412" s="2" t="inlineStr">
        <is>
          <t>09:59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5" t="n">
        <v>0</v>
      </c>
      <c r="N412" s="6" t="n">
        <v>2025</v>
      </c>
      <c r="O412" s="5" t="inlineStr">
        <is>
          <t>2025-04|2025-05|2025-06</t>
        </is>
      </c>
    </row>
    <row r="413">
      <c r="A413" s="2" t="inlineStr">
        <is>
          <t>Z202_01A_042025_052025_062025_MASSENA.CSV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FILE202</t>
        </is>
      </c>
      <c r="F413" s="2" t="inlineStr">
        <is>
          <t>ZZ2</t>
        </is>
      </c>
      <c r="G413" s="3" t="inlineStr">
        <is>
          <t>0084</t>
        </is>
      </c>
      <c r="H413" s="4" t="n">
        <v>45839</v>
      </c>
      <c r="I413" s="2" t="inlineStr">
        <is>
          <t>09:59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5" t="n">
        <v>0</v>
      </c>
      <c r="N413" s="6" t="n">
        <v>2025</v>
      </c>
      <c r="O413" s="5" t="inlineStr">
        <is>
          <t>2025-04|2025-05|2025-06</t>
        </is>
      </c>
    </row>
    <row r="414">
      <c r="A414" s="2" t="inlineStr">
        <is>
          <t>Z202_01A_042025_052025_062025_MASSENA.CSV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FILE202</t>
        </is>
      </c>
      <c r="F414" s="2" t="inlineStr">
        <is>
          <t>ZZ2</t>
        </is>
      </c>
      <c r="G414" s="3" t="inlineStr">
        <is>
          <t>0084</t>
        </is>
      </c>
      <c r="H414" s="4" t="n">
        <v>45839</v>
      </c>
      <c r="I414" s="2" t="inlineStr">
        <is>
          <t>09:59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5" t="n">
        <v>0</v>
      </c>
      <c r="N414" s="6" t="n">
        <v>2025</v>
      </c>
      <c r="O414" s="5" t="inlineStr">
        <is>
          <t>2025-04|2025-05|2025-06</t>
        </is>
      </c>
    </row>
    <row r="415">
      <c r="A415" s="2" t="inlineStr">
        <is>
          <t>Z202_01A_042025_052025_062025_MASSENA.CSV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FILE202</t>
        </is>
      </c>
      <c r="F415" s="2" t="inlineStr">
        <is>
          <t>ZZ2</t>
        </is>
      </c>
      <c r="G415" s="3" t="inlineStr">
        <is>
          <t>0084</t>
        </is>
      </c>
      <c r="H415" s="4" t="n">
        <v>45839</v>
      </c>
      <c r="I415" s="2" t="inlineStr">
        <is>
          <t>09:59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5" t="n">
        <v>0</v>
      </c>
      <c r="N415" s="6" t="n">
        <v>2025</v>
      </c>
      <c r="O415" s="5" t="inlineStr">
        <is>
          <t>2025-04|2025-05|2025-06</t>
        </is>
      </c>
    </row>
    <row r="416">
      <c r="A416" s="2" t="inlineStr">
        <is>
          <t>Z202_01A_042025_052025_062025_MASSENA.CSV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FILE202</t>
        </is>
      </c>
      <c r="F416" s="2" t="inlineStr">
        <is>
          <t>ZZ2</t>
        </is>
      </c>
      <c r="G416" s="3" t="inlineStr">
        <is>
          <t>0084</t>
        </is>
      </c>
      <c r="H416" s="4" t="n">
        <v>45839</v>
      </c>
      <c r="I416" s="2" t="inlineStr">
        <is>
          <t>09:59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5" t="n">
        <v>0</v>
      </c>
      <c r="N416" s="6" t="n">
        <v>2025</v>
      </c>
      <c r="O416" s="5" t="inlineStr">
        <is>
          <t>2025-04|2025-05|2025-06</t>
        </is>
      </c>
    </row>
    <row r="417">
      <c r="A417" s="2" t="inlineStr">
        <is>
          <t>Z202_01A_042025_052025_062025_MASSENA.CSV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FILE202</t>
        </is>
      </c>
      <c r="F417" s="2" t="inlineStr">
        <is>
          <t>ZZ2</t>
        </is>
      </c>
      <c r="G417" s="3" t="inlineStr">
        <is>
          <t>0084</t>
        </is>
      </c>
      <c r="H417" s="4" t="n">
        <v>45839</v>
      </c>
      <c r="I417" s="2" t="inlineStr">
        <is>
          <t>09:59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5" t="n">
        <v>0</v>
      </c>
      <c r="N417" s="6" t="n">
        <v>2025</v>
      </c>
      <c r="O417" s="5" t="inlineStr">
        <is>
          <t>2025-04|2025-05|2025-06</t>
        </is>
      </c>
    </row>
    <row r="418">
      <c r="A418" s="2" t="inlineStr">
        <is>
          <t>Z202_01A_042025_052025_062025_MASSENA.CSV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FILE202</t>
        </is>
      </c>
      <c r="F418" s="2" t="inlineStr">
        <is>
          <t>ZZ2</t>
        </is>
      </c>
      <c r="G418" s="3" t="inlineStr">
        <is>
          <t>0084</t>
        </is>
      </c>
      <c r="H418" s="4" t="n">
        <v>45839</v>
      </c>
      <c r="I418" s="2" t="inlineStr">
        <is>
          <t>09:59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5" t="n">
        <v>0</v>
      </c>
      <c r="N418" s="6" t="n">
        <v>2025</v>
      </c>
      <c r="O418" s="5" t="inlineStr">
        <is>
          <t>2025-04|2025-05|2025-06</t>
        </is>
      </c>
    </row>
    <row r="419">
      <c r="A419" s="2" t="inlineStr">
        <is>
          <t>Z202_01A_042025_052025_062025_MASSENA.CSV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FILE202</t>
        </is>
      </c>
      <c r="F419" s="2" t="inlineStr">
        <is>
          <t>ZZ2</t>
        </is>
      </c>
      <c r="G419" s="3" t="inlineStr">
        <is>
          <t>0084</t>
        </is>
      </c>
      <c r="H419" s="4" t="n">
        <v>45839</v>
      </c>
      <c r="I419" s="2" t="inlineStr">
        <is>
          <t>09:59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5" t="n">
        <v>0</v>
      </c>
      <c r="N419" s="6" t="n">
        <v>2025</v>
      </c>
      <c r="O419" s="5" t="inlineStr">
        <is>
          <t>2025-04|2025-05|2025-06</t>
        </is>
      </c>
    </row>
    <row r="420">
      <c r="A420" s="2" t="inlineStr">
        <is>
          <t>Z202_01A_042025_052025_062025_MASSENA.CSV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FILE202</t>
        </is>
      </c>
      <c r="F420" s="2" t="inlineStr">
        <is>
          <t>ZZ2</t>
        </is>
      </c>
      <c r="G420" s="3" t="inlineStr">
        <is>
          <t>0084</t>
        </is>
      </c>
      <c r="H420" s="4" t="n">
        <v>45839</v>
      </c>
      <c r="I420" s="2" t="inlineStr">
        <is>
          <t>09:59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5" t="n">
        <v>0</v>
      </c>
      <c r="N420" s="6" t="n">
        <v>2025</v>
      </c>
      <c r="O420" s="5" t="inlineStr">
        <is>
          <t>2025-04|2025-05|2025-06</t>
        </is>
      </c>
    </row>
    <row r="421">
      <c r="A421" s="2" t="inlineStr">
        <is>
          <t>Z202_01A_042025_052025_062025_MASSENA.CSV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FILE202</t>
        </is>
      </c>
      <c r="F421" s="2" t="inlineStr">
        <is>
          <t>ZZ2</t>
        </is>
      </c>
      <c r="G421" s="3" t="inlineStr">
        <is>
          <t>0084</t>
        </is>
      </c>
      <c r="H421" s="4" t="n">
        <v>45839</v>
      </c>
      <c r="I421" s="2" t="inlineStr">
        <is>
          <t>09:59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5" t="n">
        <v>0</v>
      </c>
      <c r="N421" s="6" t="n">
        <v>2025</v>
      </c>
      <c r="O421" s="5" t="inlineStr">
        <is>
          <t>2025-04|2025-05|2025-06</t>
        </is>
      </c>
    </row>
    <row r="422">
      <c r="A422" s="2" t="inlineStr">
        <is>
          <t>Z202_01A_042025_052025_062025_MASSENA.CSV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FILE202</t>
        </is>
      </c>
      <c r="F422" s="2" t="inlineStr">
        <is>
          <t>ZZ2</t>
        </is>
      </c>
      <c r="G422" s="3" t="inlineStr">
        <is>
          <t>0084</t>
        </is>
      </c>
      <c r="H422" s="4" t="n">
        <v>45839</v>
      </c>
      <c r="I422" s="2" t="inlineStr">
        <is>
          <t>09:59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5" t="n">
        <v>0</v>
      </c>
      <c r="N422" s="6" t="n">
        <v>2025</v>
      </c>
      <c r="O422" s="5" t="inlineStr">
        <is>
          <t>2025-04|2025-05|2025-06</t>
        </is>
      </c>
    </row>
    <row r="423">
      <c r="A423" s="2" t="inlineStr">
        <is>
          <t>Z202_01A_042025_052025_062025_MASSENA.CSV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FILE202</t>
        </is>
      </c>
      <c r="F423" s="2" t="inlineStr">
        <is>
          <t>ZZ2</t>
        </is>
      </c>
      <c r="G423" s="3" t="inlineStr">
        <is>
          <t>0084</t>
        </is>
      </c>
      <c r="H423" s="4" t="n">
        <v>45839</v>
      </c>
      <c r="I423" s="2" t="inlineStr">
        <is>
          <t>09:59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5" t="n">
        <v>0</v>
      </c>
      <c r="N423" s="6" t="n">
        <v>2025</v>
      </c>
      <c r="O423" s="5" t="inlineStr">
        <is>
          <t>2025-04|2025-05|2025-06</t>
        </is>
      </c>
    </row>
    <row r="424">
      <c r="A424" s="2" t="inlineStr">
        <is>
          <t>Z202_01A_042025_052025_062025_MASSENA.CSV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FILE202</t>
        </is>
      </c>
      <c r="F424" s="2" t="inlineStr">
        <is>
          <t>ZZ2</t>
        </is>
      </c>
      <c r="G424" s="3" t="inlineStr">
        <is>
          <t>0084</t>
        </is>
      </c>
      <c r="H424" s="4" t="n">
        <v>45839</v>
      </c>
      <c r="I424" s="2" t="inlineStr">
        <is>
          <t>09:59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5" t="n">
        <v>0</v>
      </c>
      <c r="N424" s="6" t="n">
        <v>2025</v>
      </c>
      <c r="O424" s="5" t="inlineStr">
        <is>
          <t>2025-04|2025-05|2025-06</t>
        </is>
      </c>
    </row>
    <row r="425">
      <c r="A425" s="2" t="inlineStr">
        <is>
          <t>Z202_01A_042025_052025_062025_MASSENA.CSV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FILE202</t>
        </is>
      </c>
      <c r="F425" s="2" t="inlineStr">
        <is>
          <t>ZZ2</t>
        </is>
      </c>
      <c r="G425" s="3" t="inlineStr">
        <is>
          <t>0084</t>
        </is>
      </c>
      <c r="H425" s="4" t="n">
        <v>45839</v>
      </c>
      <c r="I425" s="2" t="inlineStr">
        <is>
          <t>09:59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5" t="n">
        <v>0</v>
      </c>
      <c r="N425" s="6" t="n">
        <v>2025</v>
      </c>
      <c r="O425" s="5" t="inlineStr">
        <is>
          <t>2025-04|2025-05|2025-06</t>
        </is>
      </c>
    </row>
    <row r="426">
      <c r="A426" s="2" t="inlineStr">
        <is>
          <t>Z202_01A_042025_052025_062025_MASSENA.CSV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FILE202</t>
        </is>
      </c>
      <c r="F426" s="2" t="inlineStr">
        <is>
          <t>ZZ2</t>
        </is>
      </c>
      <c r="G426" s="3" t="inlineStr">
        <is>
          <t>0084</t>
        </is>
      </c>
      <c r="H426" s="4" t="n">
        <v>45839</v>
      </c>
      <c r="I426" s="2" t="inlineStr">
        <is>
          <t>09:59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5" t="n">
        <v>0</v>
      </c>
      <c r="N426" s="6" t="n">
        <v>2025</v>
      </c>
      <c r="O426" s="5" t="inlineStr">
        <is>
          <t>2025-04|2025-05|2025-06</t>
        </is>
      </c>
    </row>
    <row r="427">
      <c r="A427" s="2" t="inlineStr">
        <is>
          <t>Z202_01A_042025_052025_062025_MASSENA.CSV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FILE202</t>
        </is>
      </c>
      <c r="F427" s="2" t="inlineStr">
        <is>
          <t>ZZ2</t>
        </is>
      </c>
      <c r="G427" s="3" t="inlineStr">
        <is>
          <t>0084</t>
        </is>
      </c>
      <c r="H427" s="4" t="n">
        <v>45839</v>
      </c>
      <c r="I427" s="2" t="inlineStr">
        <is>
          <t>09:59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5" t="n">
        <v>0</v>
      </c>
      <c r="N427" s="6" t="n">
        <v>2025</v>
      </c>
      <c r="O427" s="5" t="inlineStr">
        <is>
          <t>2025-04|2025-05|2025-06</t>
        </is>
      </c>
    </row>
    <row r="428">
      <c r="A428" s="2" t="inlineStr">
        <is>
          <t>Z202_01A_042025_052025_062025_MASSENA.CSV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FILE202</t>
        </is>
      </c>
      <c r="F428" s="2" t="inlineStr">
        <is>
          <t>ZZ2</t>
        </is>
      </c>
      <c r="G428" s="3" t="inlineStr">
        <is>
          <t>0084</t>
        </is>
      </c>
      <c r="H428" s="4" t="n">
        <v>45839</v>
      </c>
      <c r="I428" s="2" t="inlineStr">
        <is>
          <t>09:59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5" t="n">
        <v>0</v>
      </c>
      <c r="N428" s="6" t="n">
        <v>2025</v>
      </c>
      <c r="O428" s="5" t="inlineStr">
        <is>
          <t>2025-04|2025-05|2025-06</t>
        </is>
      </c>
    </row>
    <row r="429">
      <c r="A429" s="2" t="inlineStr">
        <is>
          <t>Z202_01A_042025_052025_062025_MASSENA.CSV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FILE202</t>
        </is>
      </c>
      <c r="F429" s="2" t="inlineStr">
        <is>
          <t>ZZ2</t>
        </is>
      </c>
      <c r="G429" s="3" t="inlineStr">
        <is>
          <t>0084</t>
        </is>
      </c>
      <c r="H429" s="4" t="n">
        <v>45839</v>
      </c>
      <c r="I429" s="2" t="inlineStr">
        <is>
          <t>09:59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5" t="n">
        <v>0</v>
      </c>
      <c r="N429" s="6" t="n">
        <v>2025</v>
      </c>
      <c r="O429" s="5" t="inlineStr">
        <is>
          <t>2025-04|2025-05|2025-06</t>
        </is>
      </c>
    </row>
    <row r="430">
      <c r="A430" s="2" t="inlineStr">
        <is>
          <t>Z202_01A_042025_052025_062025_MASSENA.CSV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FILE202</t>
        </is>
      </c>
      <c r="F430" s="2" t="inlineStr">
        <is>
          <t>ZZ2</t>
        </is>
      </c>
      <c r="G430" s="3" t="inlineStr">
        <is>
          <t>0084</t>
        </is>
      </c>
      <c r="H430" s="4" t="n">
        <v>45839</v>
      </c>
      <c r="I430" s="2" t="inlineStr">
        <is>
          <t>09:59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5" t="n">
        <v>0</v>
      </c>
      <c r="N430" s="6" t="n">
        <v>2025</v>
      </c>
      <c r="O430" s="5" t="inlineStr">
        <is>
          <t>2025-04|2025-05|2025-06</t>
        </is>
      </c>
    </row>
    <row r="431">
      <c r="A431" s="2" t="inlineStr">
        <is>
          <t>Z202_01A_042025_052025_062025_MASSENA.CSV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FILE202</t>
        </is>
      </c>
      <c r="F431" s="2" t="inlineStr">
        <is>
          <t>ZZ2</t>
        </is>
      </c>
      <c r="G431" s="3" t="inlineStr">
        <is>
          <t>0084</t>
        </is>
      </c>
      <c r="H431" s="4" t="n">
        <v>45839</v>
      </c>
      <c r="I431" s="2" t="inlineStr">
        <is>
          <t>09:59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5" t="n">
        <v>0</v>
      </c>
      <c r="N431" s="6" t="n">
        <v>2025</v>
      </c>
      <c r="O431" s="5" t="inlineStr">
        <is>
          <t>2025-04|2025-05|2025-06</t>
        </is>
      </c>
    </row>
    <row r="432">
      <c r="A432" s="2" t="inlineStr">
        <is>
          <t>Z202_01A_042025_052025_062025_MASSENA.CSV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FILE202</t>
        </is>
      </c>
      <c r="F432" s="2" t="inlineStr">
        <is>
          <t>ZZ2</t>
        </is>
      </c>
      <c r="G432" s="3" t="inlineStr">
        <is>
          <t>0084</t>
        </is>
      </c>
      <c r="H432" s="4" t="n">
        <v>45839</v>
      </c>
      <c r="I432" s="2" t="inlineStr">
        <is>
          <t>09:59</t>
        </is>
      </c>
      <c r="J432" s="3" t="inlineStr">
        <is>
          <t>0031</t>
        </is>
      </c>
      <c r="K432" s="2" t="inlineStr">
        <is>
          <t>REF./TIROIR</t>
        </is>
      </c>
      <c r="L432" s="5" t="n">
        <v>1</v>
      </c>
      <c r="M432" s="5" t="n">
        <v>0</v>
      </c>
      <c r="N432" s="6" t="n">
        <v>2025</v>
      </c>
      <c r="O432" s="5" t="inlineStr">
        <is>
          <t>2025-04|2025-05|2025-06</t>
        </is>
      </c>
    </row>
    <row r="433">
      <c r="A433" s="2" t="inlineStr">
        <is>
          <t>Z202_01A_042025_052025_062025_MASSENA.CSV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FILE202</t>
        </is>
      </c>
      <c r="F433" s="2" t="inlineStr">
        <is>
          <t>ZZ2</t>
        </is>
      </c>
      <c r="G433" s="3" t="inlineStr">
        <is>
          <t>0084</t>
        </is>
      </c>
      <c r="H433" s="4" t="n">
        <v>45839</v>
      </c>
      <c r="I433" s="2" t="inlineStr">
        <is>
          <t>09:59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5" t="n">
        <v>0</v>
      </c>
      <c r="N433" s="6" t="n">
        <v>2025</v>
      </c>
      <c r="O433" s="5" t="inlineStr">
        <is>
          <t>2025-04|2025-05|2025-06</t>
        </is>
      </c>
    </row>
    <row r="434">
      <c r="A434" s="2" t="inlineStr">
        <is>
          <t>Z202_01A_042025_052025_062025_MASSENA.CSV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FILE202</t>
        </is>
      </c>
      <c r="F434" s="2" t="inlineStr">
        <is>
          <t>ZZ2</t>
        </is>
      </c>
      <c r="G434" s="3" t="inlineStr">
        <is>
          <t>0084</t>
        </is>
      </c>
      <c r="H434" s="4" t="n">
        <v>45839</v>
      </c>
      <c r="I434" s="2" t="inlineStr">
        <is>
          <t>09:59</t>
        </is>
      </c>
      <c r="J434" s="3" t="inlineStr">
        <is>
          <t>0033</t>
        </is>
      </c>
      <c r="K434" s="2" t="inlineStr"/>
      <c r="L434" s="5" t="n">
        <v>0</v>
      </c>
      <c r="M434" s="5" t="n">
        <v>0</v>
      </c>
      <c r="N434" s="6" t="n">
        <v>2025</v>
      </c>
      <c r="O434" s="5" t="inlineStr">
        <is>
          <t>2025-04|2025-05|2025-06</t>
        </is>
      </c>
    </row>
    <row r="435">
      <c r="A435" s="2" t="inlineStr">
        <is>
          <t>Z202_01A_042025_052025_062025_MASSENA.CSV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FILE202</t>
        </is>
      </c>
      <c r="F435" s="2" t="inlineStr">
        <is>
          <t>ZZ2</t>
        </is>
      </c>
      <c r="G435" s="3" t="inlineStr">
        <is>
          <t>0084</t>
        </is>
      </c>
      <c r="H435" s="4" t="n">
        <v>45839</v>
      </c>
      <c r="I435" s="2" t="inlineStr">
        <is>
          <t>09:59</t>
        </is>
      </c>
      <c r="J435" s="3" t="inlineStr">
        <is>
          <t>0034</t>
        </is>
      </c>
      <c r="K435" s="2" t="inlineStr"/>
      <c r="L435" s="5" t="n">
        <v>0</v>
      </c>
      <c r="M435" s="5" t="n">
        <v>0</v>
      </c>
      <c r="N435" s="6" t="n">
        <v>2025</v>
      </c>
      <c r="O435" s="5" t="inlineStr">
        <is>
          <t>2025-04|2025-05|2025-06</t>
        </is>
      </c>
    </row>
    <row r="436">
      <c r="A436" s="2" t="inlineStr">
        <is>
          <t>Z202_01A_042025_052025_062025_MASSENA.CSV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FILE202</t>
        </is>
      </c>
      <c r="F436" s="2" t="inlineStr">
        <is>
          <t>ZZ2</t>
        </is>
      </c>
      <c r="G436" s="3" t="inlineStr">
        <is>
          <t>0084</t>
        </is>
      </c>
      <c r="H436" s="4" t="n">
        <v>45839</v>
      </c>
      <c r="I436" s="2" t="inlineStr">
        <is>
          <t>09:59</t>
        </is>
      </c>
      <c r="J436" s="3" t="inlineStr">
        <is>
          <t>0035</t>
        </is>
      </c>
      <c r="K436" s="2" t="inlineStr"/>
      <c r="L436" s="5" t="n">
        <v>0</v>
      </c>
      <c r="M436" s="5" t="n">
        <v>0</v>
      </c>
      <c r="N436" s="6" t="n">
        <v>2025</v>
      </c>
      <c r="O436" s="5" t="inlineStr">
        <is>
          <t>2025-04|2025-05|2025-06</t>
        </is>
      </c>
    </row>
    <row r="437">
      <c r="A437" s="2" t="inlineStr">
        <is>
          <t>Z202_01A_042025_052025_062025_MASSENA.CSV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FILE202</t>
        </is>
      </c>
      <c r="F437" s="2" t="inlineStr">
        <is>
          <t>ZZ2</t>
        </is>
      </c>
      <c r="G437" s="3" t="inlineStr">
        <is>
          <t>0084</t>
        </is>
      </c>
      <c r="H437" s="4" t="n">
        <v>45839</v>
      </c>
      <c r="I437" s="2" t="inlineStr">
        <is>
          <t>09:59</t>
        </is>
      </c>
      <c r="J437" s="3" t="inlineStr">
        <is>
          <t>0036</t>
        </is>
      </c>
      <c r="K437" s="2" t="inlineStr"/>
      <c r="L437" s="5" t="n">
        <v>0</v>
      </c>
      <c r="M437" s="5" t="n">
        <v>0</v>
      </c>
      <c r="N437" s="6" t="n">
        <v>2025</v>
      </c>
      <c r="O437" s="5" t="inlineStr">
        <is>
          <t>2025-04|2025-05|2025-06</t>
        </is>
      </c>
    </row>
    <row r="438">
      <c r="A438" s="2" t="inlineStr">
        <is>
          <t>Z202_01A_042025_052025_062025_MASSENA.CSV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FILE202</t>
        </is>
      </c>
      <c r="F438" s="2" t="inlineStr">
        <is>
          <t>ZZ2</t>
        </is>
      </c>
      <c r="G438" s="3" t="inlineStr">
        <is>
          <t>0084</t>
        </is>
      </c>
      <c r="H438" s="4" t="n">
        <v>45839</v>
      </c>
      <c r="I438" s="2" t="inlineStr">
        <is>
          <t>09:59</t>
        </is>
      </c>
      <c r="J438" s="3" t="inlineStr">
        <is>
          <t>0037</t>
        </is>
      </c>
      <c r="K438" s="2" t="inlineStr"/>
      <c r="L438" s="5" t="n">
        <v>0</v>
      </c>
      <c r="M438" s="5" t="n">
        <v>0</v>
      </c>
      <c r="N438" s="6" t="n">
        <v>2025</v>
      </c>
      <c r="O438" s="5" t="inlineStr">
        <is>
          <t>2025-04|2025-05|2025-06</t>
        </is>
      </c>
    </row>
    <row r="439">
      <c r="A439" s="2" t="inlineStr">
        <is>
          <t>Z202_01A_042025_052025_062025_MASSENA.CSV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FILE202</t>
        </is>
      </c>
      <c r="F439" s="2" t="inlineStr">
        <is>
          <t>ZZ2</t>
        </is>
      </c>
      <c r="G439" s="3" t="inlineStr">
        <is>
          <t>0084</t>
        </is>
      </c>
      <c r="H439" s="4" t="n">
        <v>45839</v>
      </c>
      <c r="I439" s="2" t="inlineStr">
        <is>
          <t>09:59</t>
        </is>
      </c>
      <c r="J439" s="3" t="inlineStr">
        <is>
          <t>0038</t>
        </is>
      </c>
      <c r="K439" s="2" t="inlineStr"/>
      <c r="L439" s="5" t="n">
        <v>0</v>
      </c>
      <c r="M439" s="5" t="n">
        <v>0</v>
      </c>
      <c r="N439" s="6" t="n">
        <v>2025</v>
      </c>
      <c r="O439" s="5" t="inlineStr">
        <is>
          <t>2025-04|2025-05|2025-06</t>
        </is>
      </c>
    </row>
    <row r="440">
      <c r="A440" s="2" t="inlineStr">
        <is>
          <t>Z202_01A_042025_052025_062025_MASSENA.CSV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FILE202</t>
        </is>
      </c>
      <c r="F440" s="2" t="inlineStr">
        <is>
          <t>ZZ2</t>
        </is>
      </c>
      <c r="G440" s="3" t="inlineStr">
        <is>
          <t>0084</t>
        </is>
      </c>
      <c r="H440" s="4" t="n">
        <v>45839</v>
      </c>
      <c r="I440" s="2" t="inlineStr">
        <is>
          <t>09:59</t>
        </is>
      </c>
      <c r="J440" s="3" t="inlineStr">
        <is>
          <t>0039</t>
        </is>
      </c>
      <c r="K440" s="2" t="inlineStr"/>
      <c r="L440" s="5" t="n">
        <v>0</v>
      </c>
      <c r="M440" s="5" t="n">
        <v>0</v>
      </c>
      <c r="N440" s="6" t="n">
        <v>2025</v>
      </c>
      <c r="O440" s="5" t="inlineStr">
        <is>
          <t>2025-04|2025-05|2025-06</t>
        </is>
      </c>
    </row>
    <row r="441">
      <c r="A441" s="2" t="inlineStr">
        <is>
          <t>Z202_01A_042025_052025_062025_MASSENA.CSV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FILE202</t>
        </is>
      </c>
      <c r="F441" s="2" t="inlineStr">
        <is>
          <t>ZZ2</t>
        </is>
      </c>
      <c r="G441" s="3" t="inlineStr">
        <is>
          <t>0084</t>
        </is>
      </c>
      <c r="H441" s="4" t="n">
        <v>45839</v>
      </c>
      <c r="I441" s="2" t="inlineStr">
        <is>
          <t>09:59</t>
        </is>
      </c>
      <c r="J441" s="3" t="inlineStr">
        <is>
          <t>0040</t>
        </is>
      </c>
      <c r="K441" s="2" t="inlineStr"/>
      <c r="L441" s="5" t="n">
        <v>0</v>
      </c>
      <c r="M441" s="5" t="n">
        <v>0</v>
      </c>
      <c r="N441" s="6" t="n">
        <v>2025</v>
      </c>
      <c r="O441" s="5" t="inlineStr">
        <is>
          <t>2025-04|2025-05|2025-06</t>
        </is>
      </c>
    </row>
    <row r="442">
      <c r="A442" s="2" t="inlineStr">
        <is>
          <t>Z202_01A_042025_052025_062025_MASSENA.CSV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FILE202</t>
        </is>
      </c>
      <c r="F442" s="2" t="inlineStr">
        <is>
          <t>ZZ2</t>
        </is>
      </c>
      <c r="G442" s="3" t="inlineStr">
        <is>
          <t>0084</t>
        </is>
      </c>
      <c r="H442" s="4" t="n">
        <v>45839</v>
      </c>
      <c r="I442" s="2" t="inlineStr">
        <is>
          <t>09:59</t>
        </is>
      </c>
      <c r="J442" s="3" t="inlineStr">
        <is>
          <t>0041</t>
        </is>
      </c>
      <c r="K442" s="2" t="inlineStr"/>
      <c r="L442" s="5" t="n">
        <v>0</v>
      </c>
      <c r="M442" s="5" t="n">
        <v>0</v>
      </c>
      <c r="N442" s="6" t="n">
        <v>2025</v>
      </c>
      <c r="O442" s="5" t="inlineStr">
        <is>
          <t>2025-04|2025-05|2025-06</t>
        </is>
      </c>
    </row>
    <row r="443">
      <c r="A443" s="2" t="inlineStr">
        <is>
          <t>Z202_01A_042025_052025_062025_MASSENA.CSV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FILE202</t>
        </is>
      </c>
      <c r="F443" s="2" t="inlineStr">
        <is>
          <t>ZZ2</t>
        </is>
      </c>
      <c r="G443" s="3" t="inlineStr">
        <is>
          <t>0084</t>
        </is>
      </c>
      <c r="H443" s="4" t="n">
        <v>45839</v>
      </c>
      <c r="I443" s="2" t="inlineStr">
        <is>
          <t>09:59</t>
        </is>
      </c>
      <c r="J443" s="3" t="inlineStr">
        <is>
          <t>0042</t>
        </is>
      </c>
      <c r="K443" s="2" t="inlineStr"/>
      <c r="L443" s="5" t="n">
        <v>0</v>
      </c>
      <c r="M443" s="5" t="n">
        <v>0</v>
      </c>
      <c r="N443" s="6" t="n">
        <v>2025</v>
      </c>
      <c r="O443" s="5" t="inlineStr">
        <is>
          <t>2025-04|2025-05|2025-06</t>
        </is>
      </c>
    </row>
    <row r="444">
      <c r="A444" s="2" t="inlineStr">
        <is>
          <t>Z202_01A_042025_052025_062025_MASSENA.CSV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FILE202</t>
        </is>
      </c>
      <c r="F444" s="2" t="inlineStr">
        <is>
          <t>ZZ2</t>
        </is>
      </c>
      <c r="G444" s="3" t="inlineStr">
        <is>
          <t>0084</t>
        </is>
      </c>
      <c r="H444" s="4" t="n">
        <v>45839</v>
      </c>
      <c r="I444" s="2" t="inlineStr">
        <is>
          <t>09:59</t>
        </is>
      </c>
      <c r="J444" s="3" t="inlineStr">
        <is>
          <t>0043</t>
        </is>
      </c>
      <c r="K444" s="2" t="inlineStr"/>
      <c r="L444" s="5" t="n">
        <v>0</v>
      </c>
      <c r="M444" s="5" t="n">
        <v>0</v>
      </c>
      <c r="N444" s="6" t="n">
        <v>2025</v>
      </c>
      <c r="O444" s="5" t="inlineStr">
        <is>
          <t>2025-04|2025-05|2025-06</t>
        </is>
      </c>
    </row>
    <row r="445">
      <c r="A445" s="2" t="inlineStr">
        <is>
          <t>Z202_01A_042025_052025_062025_MASSENA.CSV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FILE202</t>
        </is>
      </c>
      <c r="F445" s="2" t="inlineStr">
        <is>
          <t>ZZ2</t>
        </is>
      </c>
      <c r="G445" s="3" t="inlineStr">
        <is>
          <t>0084</t>
        </is>
      </c>
      <c r="H445" s="4" t="n">
        <v>45839</v>
      </c>
      <c r="I445" s="2" t="inlineStr">
        <is>
          <t>09:59</t>
        </is>
      </c>
      <c r="J445" s="3" t="inlineStr">
        <is>
          <t>0044</t>
        </is>
      </c>
      <c r="K445" s="2" t="inlineStr"/>
      <c r="L445" s="5" t="n">
        <v>0</v>
      </c>
      <c r="M445" s="5" t="n">
        <v>0</v>
      </c>
      <c r="N445" s="6" t="n">
        <v>2025</v>
      </c>
      <c r="O445" s="5" t="inlineStr">
        <is>
          <t>2025-04|2025-05|2025-06</t>
        </is>
      </c>
    </row>
    <row r="446">
      <c r="A446" s="2" t="inlineStr">
        <is>
          <t>Z202_01A_042025_052025_062025_MASSENA.CSV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FILE202</t>
        </is>
      </c>
      <c r="F446" s="2" t="inlineStr">
        <is>
          <t>ZZ2</t>
        </is>
      </c>
      <c r="G446" s="3" t="inlineStr">
        <is>
          <t>0084</t>
        </is>
      </c>
      <c r="H446" s="4" t="n">
        <v>45839</v>
      </c>
      <c r="I446" s="2" t="inlineStr">
        <is>
          <t>09:59</t>
        </is>
      </c>
      <c r="J446" s="3" t="inlineStr">
        <is>
          <t>0045</t>
        </is>
      </c>
      <c r="K446" s="2" t="inlineStr"/>
      <c r="L446" s="5" t="n">
        <v>0</v>
      </c>
      <c r="M446" s="5" t="n">
        <v>0</v>
      </c>
      <c r="N446" s="6" t="n">
        <v>2025</v>
      </c>
      <c r="O446" s="5" t="inlineStr">
        <is>
          <t>2025-04|2025-05|2025-06</t>
        </is>
      </c>
    </row>
    <row r="447">
      <c r="A447" s="2" t="inlineStr">
        <is>
          <t>Z202_01A_042025_052025_062025_MASSENA.CSV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FILE202</t>
        </is>
      </c>
      <c r="F447" s="2" t="inlineStr">
        <is>
          <t>ZZ2</t>
        </is>
      </c>
      <c r="G447" s="3" t="inlineStr">
        <is>
          <t>0084</t>
        </is>
      </c>
      <c r="H447" s="4" t="n">
        <v>45839</v>
      </c>
      <c r="I447" s="2" t="inlineStr">
        <is>
          <t>09:59</t>
        </is>
      </c>
      <c r="J447" s="3" t="inlineStr">
        <is>
          <t>0046</t>
        </is>
      </c>
      <c r="K447" s="2" t="inlineStr"/>
      <c r="L447" s="5" t="n">
        <v>0</v>
      </c>
      <c r="M447" s="5" t="n">
        <v>0</v>
      </c>
      <c r="N447" s="6" t="n">
        <v>2025</v>
      </c>
      <c r="O447" s="5" t="inlineStr">
        <is>
          <t>2025-04|2025-05|2025-06</t>
        </is>
      </c>
    </row>
    <row r="448">
      <c r="A448" s="2" t="inlineStr">
        <is>
          <t>Z202_01A_042025_052025_062025_MASSENA.CSV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FILE202</t>
        </is>
      </c>
      <c r="F448" s="2" t="inlineStr">
        <is>
          <t>ZZ2</t>
        </is>
      </c>
      <c r="G448" s="3" t="inlineStr">
        <is>
          <t>0084</t>
        </is>
      </c>
      <c r="H448" s="4" t="n">
        <v>45839</v>
      </c>
      <c r="I448" s="2" t="inlineStr">
        <is>
          <t>09:59</t>
        </is>
      </c>
      <c r="J448" s="3" t="inlineStr">
        <is>
          <t>0047</t>
        </is>
      </c>
      <c r="K448" s="2" t="inlineStr"/>
      <c r="L448" s="5" t="n">
        <v>0</v>
      </c>
      <c r="M448" s="5" t="n">
        <v>0</v>
      </c>
      <c r="N448" s="6" t="n">
        <v>2025</v>
      </c>
      <c r="O448" s="5" t="inlineStr">
        <is>
          <t>2025-04|2025-05|2025-06</t>
        </is>
      </c>
    </row>
    <row r="449">
      <c r="A449" s="2" t="inlineStr">
        <is>
          <t>Z202_01A_042025_052025_062025_MASSENA.CSV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FILE202</t>
        </is>
      </c>
      <c r="F449" s="2" t="inlineStr">
        <is>
          <t>ZZ2</t>
        </is>
      </c>
      <c r="G449" s="3" t="inlineStr">
        <is>
          <t>0084</t>
        </is>
      </c>
      <c r="H449" s="4" t="n">
        <v>45839</v>
      </c>
      <c r="I449" s="2" t="inlineStr">
        <is>
          <t>09:59</t>
        </is>
      </c>
      <c r="J449" s="3" t="inlineStr">
        <is>
          <t>0048</t>
        </is>
      </c>
      <c r="K449" s="2" t="inlineStr"/>
      <c r="L449" s="5" t="n">
        <v>0</v>
      </c>
      <c r="M449" s="5" t="n">
        <v>0</v>
      </c>
      <c r="N449" s="6" t="n">
        <v>2025</v>
      </c>
      <c r="O449" s="5" t="inlineStr">
        <is>
          <t>2025-04|2025-05|2025-06</t>
        </is>
      </c>
    </row>
    <row r="450">
      <c r="A450" s="2" t="inlineStr">
        <is>
          <t>Z202_01A_042025_052025_062025_MASSENA.CSV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FILE202</t>
        </is>
      </c>
      <c r="F450" s="2" t="inlineStr">
        <is>
          <t>ZZ2</t>
        </is>
      </c>
      <c r="G450" s="3" t="inlineStr">
        <is>
          <t>0084</t>
        </is>
      </c>
      <c r="H450" s="4" t="n">
        <v>45839</v>
      </c>
      <c r="I450" s="2" t="inlineStr">
        <is>
          <t>09:59</t>
        </is>
      </c>
      <c r="J450" s="3" t="inlineStr">
        <is>
          <t>0049</t>
        </is>
      </c>
      <c r="K450" s="2" t="inlineStr"/>
      <c r="L450" s="5" t="n">
        <v>0</v>
      </c>
      <c r="M450" s="5" t="n">
        <v>0</v>
      </c>
      <c r="N450" s="6" t="n">
        <v>2025</v>
      </c>
      <c r="O450" s="5" t="inlineStr">
        <is>
          <t>2025-04|2025-05|2025-06</t>
        </is>
      </c>
    </row>
    <row r="451">
      <c r="A451" s="2" t="inlineStr">
        <is>
          <t>Z202_01A_042025_052025_062025_MASSENA.CSV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FILE202</t>
        </is>
      </c>
      <c r="F451" s="2" t="inlineStr">
        <is>
          <t>ZZ2</t>
        </is>
      </c>
      <c r="G451" s="3" t="inlineStr">
        <is>
          <t>0084</t>
        </is>
      </c>
      <c r="H451" s="4" t="n">
        <v>45839</v>
      </c>
      <c r="I451" s="2" t="inlineStr">
        <is>
          <t>09:59</t>
        </is>
      </c>
      <c r="J451" s="3" t="inlineStr">
        <is>
          <t>0050</t>
        </is>
      </c>
      <c r="K451" s="2" t="inlineStr"/>
      <c r="L451" s="5" t="n">
        <v>0</v>
      </c>
      <c r="M451" s="5" t="n">
        <v>0</v>
      </c>
      <c r="N451" s="6" t="n">
        <v>2025</v>
      </c>
      <c r="O451" s="5" t="inlineStr">
        <is>
          <t>2025-04|2025-05|2025-06</t>
        </is>
      </c>
    </row>
    <row r="452">
      <c r="A452" s="2" t="inlineStr">
        <is>
          <t>Z202_02A_082025_MASSENA.CSV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FILE202</t>
        </is>
      </c>
      <c r="F452" s="2" t="inlineStr">
        <is>
          <t>ZZ2</t>
        </is>
      </c>
      <c r="G452" s="3" t="inlineStr">
        <is>
          <t>0086</t>
        </is>
      </c>
      <c r="H452" s="4" t="n">
        <v>45902</v>
      </c>
      <c r="I452" s="2" t="inlineStr">
        <is>
          <t>17:21</t>
        </is>
      </c>
      <c r="J452" s="3" t="inlineStr">
        <is>
          <t>0001</t>
        </is>
      </c>
      <c r="K452" s="2" t="inlineStr">
        <is>
          <t>ESPECES</t>
        </is>
      </c>
      <c r="L452" s="5" t="n">
        <v>6</v>
      </c>
      <c r="M452" s="5" t="n">
        <v>1914</v>
      </c>
      <c r="N452" s="6" t="n">
        <v>2025</v>
      </c>
      <c r="O452" s="5" t="inlineStr">
        <is>
          <t>2025-08</t>
        </is>
      </c>
    </row>
    <row r="453">
      <c r="A453" s="2" t="inlineStr">
        <is>
          <t>Z202_02A_082025_MASSENA.CSV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FILE202</t>
        </is>
      </c>
      <c r="F453" s="2" t="inlineStr">
        <is>
          <t>ZZ2</t>
        </is>
      </c>
      <c r="G453" s="3" t="inlineStr">
        <is>
          <t>0086</t>
        </is>
      </c>
      <c r="H453" s="4" t="n">
        <v>45902</v>
      </c>
      <c r="I453" s="2" t="inlineStr">
        <is>
          <t>17:21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5" t="n">
        <v>0</v>
      </c>
      <c r="N453" s="6" t="n">
        <v>2025</v>
      </c>
      <c r="O453" s="5" t="inlineStr">
        <is>
          <t>2025-08</t>
        </is>
      </c>
    </row>
    <row r="454">
      <c r="A454" s="2" t="inlineStr">
        <is>
          <t>Z202_02A_082025_MASSENA.CSV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FILE202</t>
        </is>
      </c>
      <c r="F454" s="2" t="inlineStr">
        <is>
          <t>ZZ2</t>
        </is>
      </c>
      <c r="G454" s="3" t="inlineStr">
        <is>
          <t>0086</t>
        </is>
      </c>
      <c r="H454" s="4" t="n">
        <v>45902</v>
      </c>
      <c r="I454" s="2" t="inlineStr">
        <is>
          <t>17:21</t>
        </is>
      </c>
      <c r="J454" s="3" t="inlineStr">
        <is>
          <t>0003</t>
        </is>
      </c>
      <c r="K454" s="2" t="inlineStr">
        <is>
          <t>CARTES</t>
        </is>
      </c>
      <c r="L454" s="5" t="n">
        <v>3</v>
      </c>
      <c r="M454" s="5" t="n">
        <v>2072</v>
      </c>
      <c r="N454" s="6" t="n">
        <v>2025</v>
      </c>
      <c r="O454" s="5" t="inlineStr">
        <is>
          <t>2025-08</t>
        </is>
      </c>
    </row>
    <row r="455">
      <c r="A455" s="2" t="inlineStr">
        <is>
          <t>Z202_02A_082025_MASSENA.CSV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FILE202</t>
        </is>
      </c>
      <c r="F455" s="2" t="inlineStr">
        <is>
          <t>ZZ2</t>
        </is>
      </c>
      <c r="G455" s="3" t="inlineStr">
        <is>
          <t>0086</t>
        </is>
      </c>
      <c r="H455" s="4" t="n">
        <v>45902</v>
      </c>
      <c r="I455" s="2" t="inlineStr">
        <is>
          <t>17:21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5" t="n">
        <v>0</v>
      </c>
      <c r="N455" s="6" t="n">
        <v>2025</v>
      </c>
      <c r="O455" s="5" t="inlineStr">
        <is>
          <t>2025-08</t>
        </is>
      </c>
    </row>
    <row r="456">
      <c r="A456" s="2" t="inlineStr">
        <is>
          <t>Z202_02A_082025_MASSENA.CSV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FILE202</t>
        </is>
      </c>
      <c r="F456" s="2" t="inlineStr">
        <is>
          <t>ZZ2</t>
        </is>
      </c>
      <c r="G456" s="3" t="inlineStr">
        <is>
          <t>0086</t>
        </is>
      </c>
      <c r="H456" s="4" t="n">
        <v>45902</v>
      </c>
      <c r="I456" s="2" t="inlineStr">
        <is>
          <t>17:21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5" t="n">
        <v>0</v>
      </c>
      <c r="N456" s="6" t="n">
        <v>2025</v>
      </c>
      <c r="O456" s="5" t="inlineStr">
        <is>
          <t>2025-08</t>
        </is>
      </c>
    </row>
    <row r="457">
      <c r="A457" s="2" t="inlineStr">
        <is>
          <t>Z202_02A_082025_MASSENA.CSV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FILE202</t>
        </is>
      </c>
      <c r="F457" s="2" t="inlineStr">
        <is>
          <t>ZZ2</t>
        </is>
      </c>
      <c r="G457" s="3" t="inlineStr">
        <is>
          <t>0086</t>
        </is>
      </c>
      <c r="H457" s="4" t="n">
        <v>45902</v>
      </c>
      <c r="I457" s="2" t="inlineStr">
        <is>
          <t>17:21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5" t="n">
        <v>0</v>
      </c>
      <c r="N457" s="6" t="n">
        <v>2025</v>
      </c>
      <c r="O457" s="5" t="inlineStr">
        <is>
          <t>2025-08</t>
        </is>
      </c>
    </row>
    <row r="458">
      <c r="A458" s="2" t="inlineStr">
        <is>
          <t>Z202_02A_082025_MASSENA.CSV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FILE202</t>
        </is>
      </c>
      <c r="F458" s="2" t="inlineStr">
        <is>
          <t>ZZ2</t>
        </is>
      </c>
      <c r="G458" s="3" t="inlineStr">
        <is>
          <t>0086</t>
        </is>
      </c>
      <c r="H458" s="4" t="n">
        <v>45902</v>
      </c>
      <c r="I458" s="2" t="inlineStr">
        <is>
          <t>17:21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5" t="n">
        <v>0</v>
      </c>
      <c r="N458" s="6" t="n">
        <v>2025</v>
      </c>
      <c r="O458" s="5" t="inlineStr">
        <is>
          <t>2025-08</t>
        </is>
      </c>
    </row>
    <row r="459">
      <c r="A459" s="2" t="inlineStr">
        <is>
          <t>Z202_02A_082025_MASSENA.CSV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FILE202</t>
        </is>
      </c>
      <c r="F459" s="2" t="inlineStr">
        <is>
          <t>ZZ2</t>
        </is>
      </c>
      <c r="G459" s="3" t="inlineStr">
        <is>
          <t>0086</t>
        </is>
      </c>
      <c r="H459" s="4" t="n">
        <v>45902</v>
      </c>
      <c r="I459" s="2" t="inlineStr">
        <is>
          <t>17:21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5" t="n">
        <v>0</v>
      </c>
      <c r="N459" s="6" t="n">
        <v>2025</v>
      </c>
      <c r="O459" s="5" t="inlineStr">
        <is>
          <t>2025-08</t>
        </is>
      </c>
    </row>
    <row r="460">
      <c r="A460" s="2" t="inlineStr">
        <is>
          <t>Z202_02A_082025_MASSENA.CSV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FILE202</t>
        </is>
      </c>
      <c r="F460" s="2" t="inlineStr">
        <is>
          <t>ZZ2</t>
        </is>
      </c>
      <c r="G460" s="3" t="inlineStr">
        <is>
          <t>0086</t>
        </is>
      </c>
      <c r="H460" s="4" t="n">
        <v>45902</v>
      </c>
      <c r="I460" s="2" t="inlineStr">
        <is>
          <t>17:21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5" t="n">
        <v>0</v>
      </c>
      <c r="N460" s="6" t="n">
        <v>2025</v>
      </c>
      <c r="O460" s="5" t="inlineStr">
        <is>
          <t>2025-08</t>
        </is>
      </c>
    </row>
    <row r="461">
      <c r="A461" s="2" t="inlineStr">
        <is>
          <t>Z202_02A_082025_MASSENA.CSV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FILE202</t>
        </is>
      </c>
      <c r="F461" s="2" t="inlineStr">
        <is>
          <t>ZZ2</t>
        </is>
      </c>
      <c r="G461" s="3" t="inlineStr">
        <is>
          <t>0086</t>
        </is>
      </c>
      <c r="H461" s="4" t="n">
        <v>45902</v>
      </c>
      <c r="I461" s="2" t="inlineStr">
        <is>
          <t>17:21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5" t="n">
        <v>0</v>
      </c>
      <c r="N461" s="6" t="n">
        <v>2025</v>
      </c>
      <c r="O461" s="5" t="inlineStr">
        <is>
          <t>2025-08</t>
        </is>
      </c>
    </row>
    <row r="462">
      <c r="A462" s="2" t="inlineStr">
        <is>
          <t>Z202_02A_082025_MASSENA.CSV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FILE202</t>
        </is>
      </c>
      <c r="F462" s="2" t="inlineStr">
        <is>
          <t>ZZ2</t>
        </is>
      </c>
      <c r="G462" s="3" t="inlineStr">
        <is>
          <t>0086</t>
        </is>
      </c>
      <c r="H462" s="4" t="n">
        <v>45902</v>
      </c>
      <c r="I462" s="2" t="inlineStr">
        <is>
          <t>17:21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5" t="n">
        <v>0</v>
      </c>
      <c r="N462" s="6" t="n">
        <v>2025</v>
      </c>
      <c r="O462" s="5" t="inlineStr">
        <is>
          <t>2025-08</t>
        </is>
      </c>
    </row>
    <row r="463">
      <c r="A463" s="2" t="inlineStr">
        <is>
          <t>Z202_02A_082025_MASSENA.CSV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FILE202</t>
        </is>
      </c>
      <c r="F463" s="2" t="inlineStr">
        <is>
          <t>ZZ2</t>
        </is>
      </c>
      <c r="G463" s="3" t="inlineStr">
        <is>
          <t>0086</t>
        </is>
      </c>
      <c r="H463" s="4" t="n">
        <v>45902</v>
      </c>
      <c r="I463" s="2" t="inlineStr">
        <is>
          <t>17:21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5" t="n">
        <v>0</v>
      </c>
      <c r="N463" s="6" t="n">
        <v>2025</v>
      </c>
      <c r="O463" s="5" t="inlineStr">
        <is>
          <t>2025-08</t>
        </is>
      </c>
    </row>
    <row r="464">
      <c r="A464" s="2" t="inlineStr">
        <is>
          <t>Z202_02A_082025_MASSENA.CSV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FILE202</t>
        </is>
      </c>
      <c r="F464" s="2" t="inlineStr">
        <is>
          <t>ZZ2</t>
        </is>
      </c>
      <c r="G464" s="3" t="inlineStr">
        <is>
          <t>0086</t>
        </is>
      </c>
      <c r="H464" s="4" t="n">
        <v>45902</v>
      </c>
      <c r="I464" s="2" t="inlineStr">
        <is>
          <t>17:21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5" t="n">
        <v>0</v>
      </c>
      <c r="N464" s="6" t="n">
        <v>2025</v>
      </c>
      <c r="O464" s="5" t="inlineStr">
        <is>
          <t>2025-08</t>
        </is>
      </c>
    </row>
    <row r="465">
      <c r="A465" s="2" t="inlineStr">
        <is>
          <t>Z202_02A_082025_MASSENA.CSV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FILE202</t>
        </is>
      </c>
      <c r="F465" s="2" t="inlineStr">
        <is>
          <t>ZZ2</t>
        </is>
      </c>
      <c r="G465" s="3" t="inlineStr">
        <is>
          <t>0086</t>
        </is>
      </c>
      <c r="H465" s="4" t="n">
        <v>45902</v>
      </c>
      <c r="I465" s="2" t="inlineStr">
        <is>
          <t>17:21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5" t="n">
        <v>0</v>
      </c>
      <c r="N465" s="6" t="n">
        <v>2025</v>
      </c>
      <c r="O465" s="5" t="inlineStr">
        <is>
          <t>2025-08</t>
        </is>
      </c>
    </row>
    <row r="466">
      <c r="A466" s="2" t="inlineStr">
        <is>
          <t>Z202_02A_082025_MASSENA.CSV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FILE202</t>
        </is>
      </c>
      <c r="F466" s="2" t="inlineStr">
        <is>
          <t>ZZ2</t>
        </is>
      </c>
      <c r="G466" s="3" t="inlineStr">
        <is>
          <t>0086</t>
        </is>
      </c>
      <c r="H466" s="4" t="n">
        <v>45902</v>
      </c>
      <c r="I466" s="2" t="inlineStr">
        <is>
          <t>17:21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5" t="n">
        <v>0</v>
      </c>
      <c r="N466" s="6" t="n">
        <v>2025</v>
      </c>
      <c r="O466" s="5" t="inlineStr">
        <is>
          <t>2025-08</t>
        </is>
      </c>
    </row>
    <row r="467">
      <c r="A467" s="2" t="inlineStr">
        <is>
          <t>Z202_02A_082025_MASSENA.CSV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FILE202</t>
        </is>
      </c>
      <c r="F467" s="2" t="inlineStr">
        <is>
          <t>ZZ2</t>
        </is>
      </c>
      <c r="G467" s="3" t="inlineStr">
        <is>
          <t>0086</t>
        </is>
      </c>
      <c r="H467" s="4" t="n">
        <v>45902</v>
      </c>
      <c r="I467" s="2" t="inlineStr">
        <is>
          <t>17:21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5" t="n">
        <v>0</v>
      </c>
      <c r="N467" s="6" t="n">
        <v>2025</v>
      </c>
      <c r="O467" s="5" t="inlineStr">
        <is>
          <t>2025-08</t>
        </is>
      </c>
    </row>
    <row r="468">
      <c r="A468" s="2" t="inlineStr">
        <is>
          <t>Z202_02A_082025_MASSENA.CSV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FILE202</t>
        </is>
      </c>
      <c r="F468" s="2" t="inlineStr">
        <is>
          <t>ZZ2</t>
        </is>
      </c>
      <c r="G468" s="3" t="inlineStr">
        <is>
          <t>0086</t>
        </is>
      </c>
      <c r="H468" s="4" t="n">
        <v>45902</v>
      </c>
      <c r="I468" s="2" t="inlineStr">
        <is>
          <t>17:21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5" t="n">
        <v>0</v>
      </c>
      <c r="N468" s="6" t="n">
        <v>2025</v>
      </c>
      <c r="O468" s="5" t="inlineStr">
        <is>
          <t>2025-08</t>
        </is>
      </c>
    </row>
    <row r="469">
      <c r="A469" s="2" t="inlineStr">
        <is>
          <t>Z202_02A_082025_MASSENA.CSV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FILE202</t>
        </is>
      </c>
      <c r="F469" s="2" t="inlineStr">
        <is>
          <t>ZZ2</t>
        </is>
      </c>
      <c r="G469" s="3" t="inlineStr">
        <is>
          <t>0086</t>
        </is>
      </c>
      <c r="H469" s="4" t="n">
        <v>45902</v>
      </c>
      <c r="I469" s="2" t="inlineStr">
        <is>
          <t>17:21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5" t="n">
        <v>0</v>
      </c>
      <c r="N469" s="6" t="n">
        <v>2025</v>
      </c>
      <c r="O469" s="5" t="inlineStr">
        <is>
          <t>2025-08</t>
        </is>
      </c>
    </row>
    <row r="470">
      <c r="A470" s="2" t="inlineStr">
        <is>
          <t>Z202_02A_082025_MASSENA.CSV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FILE202</t>
        </is>
      </c>
      <c r="F470" s="2" t="inlineStr">
        <is>
          <t>ZZ2</t>
        </is>
      </c>
      <c r="G470" s="3" t="inlineStr">
        <is>
          <t>0086</t>
        </is>
      </c>
      <c r="H470" s="4" t="n">
        <v>45902</v>
      </c>
      <c r="I470" s="2" t="inlineStr">
        <is>
          <t>17:21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5" t="n">
        <v>0</v>
      </c>
      <c r="N470" s="6" t="n">
        <v>2025</v>
      </c>
      <c r="O470" s="5" t="inlineStr">
        <is>
          <t>2025-08</t>
        </is>
      </c>
    </row>
    <row r="471">
      <c r="A471" s="2" t="inlineStr">
        <is>
          <t>Z202_02A_082025_MASSENA.CSV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FILE202</t>
        </is>
      </c>
      <c r="F471" s="2" t="inlineStr">
        <is>
          <t>ZZ2</t>
        </is>
      </c>
      <c r="G471" s="3" t="inlineStr">
        <is>
          <t>0086</t>
        </is>
      </c>
      <c r="H471" s="4" t="n">
        <v>45902</v>
      </c>
      <c r="I471" s="2" t="inlineStr">
        <is>
          <t>17:21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5" t="n">
        <v>0</v>
      </c>
      <c r="N471" s="6" t="n">
        <v>2025</v>
      </c>
      <c r="O471" s="5" t="inlineStr">
        <is>
          <t>2025-08</t>
        </is>
      </c>
    </row>
    <row r="472">
      <c r="A472" s="2" t="inlineStr">
        <is>
          <t>Z202_02A_082025_MASSENA.CSV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FILE202</t>
        </is>
      </c>
      <c r="F472" s="2" t="inlineStr">
        <is>
          <t>ZZ2</t>
        </is>
      </c>
      <c r="G472" s="3" t="inlineStr">
        <is>
          <t>0086</t>
        </is>
      </c>
      <c r="H472" s="4" t="n">
        <v>45902</v>
      </c>
      <c r="I472" s="2" t="inlineStr">
        <is>
          <t>17:21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5" t="n">
        <v>0</v>
      </c>
      <c r="N472" s="6" t="n">
        <v>2025</v>
      </c>
      <c r="O472" s="5" t="inlineStr">
        <is>
          <t>2025-08</t>
        </is>
      </c>
    </row>
    <row r="473">
      <c r="A473" s="2" t="inlineStr">
        <is>
          <t>Z202_02A_082025_MASSENA.CSV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FILE202</t>
        </is>
      </c>
      <c r="F473" s="2" t="inlineStr">
        <is>
          <t>ZZ2</t>
        </is>
      </c>
      <c r="G473" s="3" t="inlineStr">
        <is>
          <t>0086</t>
        </is>
      </c>
      <c r="H473" s="4" t="n">
        <v>45902</v>
      </c>
      <c r="I473" s="2" t="inlineStr">
        <is>
          <t>17:21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5" t="n">
        <v>0</v>
      </c>
      <c r="N473" s="6" t="n">
        <v>2025</v>
      </c>
      <c r="O473" s="5" t="inlineStr">
        <is>
          <t>2025-08</t>
        </is>
      </c>
    </row>
    <row r="474">
      <c r="A474" s="2" t="inlineStr">
        <is>
          <t>Z202_02A_082025_MASSENA.CSV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FILE202</t>
        </is>
      </c>
      <c r="F474" s="2" t="inlineStr">
        <is>
          <t>ZZ2</t>
        </is>
      </c>
      <c r="G474" s="3" t="inlineStr">
        <is>
          <t>0086</t>
        </is>
      </c>
      <c r="H474" s="4" t="n">
        <v>45902</v>
      </c>
      <c r="I474" s="2" t="inlineStr">
        <is>
          <t>17:21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5" t="n">
        <v>0</v>
      </c>
      <c r="N474" s="6" t="n">
        <v>2025</v>
      </c>
      <c r="O474" s="5" t="inlineStr">
        <is>
          <t>2025-08</t>
        </is>
      </c>
    </row>
    <row r="475">
      <c r="A475" s="2" t="inlineStr">
        <is>
          <t>Z202_02A_082025_MASSENA.CSV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FILE202</t>
        </is>
      </c>
      <c r="F475" s="2" t="inlineStr">
        <is>
          <t>ZZ2</t>
        </is>
      </c>
      <c r="G475" s="3" t="inlineStr">
        <is>
          <t>0086</t>
        </is>
      </c>
      <c r="H475" s="4" t="n">
        <v>45902</v>
      </c>
      <c r="I475" s="2" t="inlineStr">
        <is>
          <t>17:21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5" t="n">
        <v>0</v>
      </c>
      <c r="N475" s="6" t="n">
        <v>2025</v>
      </c>
      <c r="O475" s="5" t="inlineStr">
        <is>
          <t>2025-08</t>
        </is>
      </c>
    </row>
    <row r="476">
      <c r="A476" s="2" t="inlineStr">
        <is>
          <t>Z202_02A_082025_MASSENA.CSV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FILE202</t>
        </is>
      </c>
      <c r="F476" s="2" t="inlineStr">
        <is>
          <t>ZZ2</t>
        </is>
      </c>
      <c r="G476" s="3" t="inlineStr">
        <is>
          <t>0086</t>
        </is>
      </c>
      <c r="H476" s="4" t="n">
        <v>45902</v>
      </c>
      <c r="I476" s="2" t="inlineStr">
        <is>
          <t>17:21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5" t="n">
        <v>0</v>
      </c>
      <c r="N476" s="6" t="n">
        <v>2025</v>
      </c>
      <c r="O476" s="5" t="inlineStr">
        <is>
          <t>2025-08</t>
        </is>
      </c>
    </row>
    <row r="477">
      <c r="A477" s="2" t="inlineStr">
        <is>
          <t>Z202_02A_082025_MASSENA.CSV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FILE202</t>
        </is>
      </c>
      <c r="F477" s="2" t="inlineStr">
        <is>
          <t>ZZ2</t>
        </is>
      </c>
      <c r="G477" s="3" t="inlineStr">
        <is>
          <t>0086</t>
        </is>
      </c>
      <c r="H477" s="4" t="n">
        <v>45902</v>
      </c>
      <c r="I477" s="2" t="inlineStr">
        <is>
          <t>17:21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5" t="n">
        <v>0</v>
      </c>
      <c r="N477" s="6" t="n">
        <v>2025</v>
      </c>
      <c r="O477" s="5" t="inlineStr">
        <is>
          <t>2025-08</t>
        </is>
      </c>
    </row>
    <row r="478">
      <c r="A478" s="2" t="inlineStr">
        <is>
          <t>Z202_02A_082025_MASSENA.CSV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FILE202</t>
        </is>
      </c>
      <c r="F478" s="2" t="inlineStr">
        <is>
          <t>ZZ2</t>
        </is>
      </c>
      <c r="G478" s="3" t="inlineStr">
        <is>
          <t>0086</t>
        </is>
      </c>
      <c r="H478" s="4" t="n">
        <v>45902</v>
      </c>
      <c r="I478" s="2" t="inlineStr">
        <is>
          <t>17:21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5" t="n">
        <v>0</v>
      </c>
      <c r="N478" s="6" t="n">
        <v>2025</v>
      </c>
      <c r="O478" s="5" t="inlineStr">
        <is>
          <t>2025-08</t>
        </is>
      </c>
    </row>
    <row r="479">
      <c r="A479" s="2" t="inlineStr">
        <is>
          <t>Z202_02A_082025_MASSENA.CSV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FILE202</t>
        </is>
      </c>
      <c r="F479" s="2" t="inlineStr">
        <is>
          <t>ZZ2</t>
        </is>
      </c>
      <c r="G479" s="3" t="inlineStr">
        <is>
          <t>0086</t>
        </is>
      </c>
      <c r="H479" s="4" t="n">
        <v>45902</v>
      </c>
      <c r="I479" s="2" t="inlineStr">
        <is>
          <t>17:21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5" t="n">
        <v>0</v>
      </c>
      <c r="N479" s="6" t="n">
        <v>2025</v>
      </c>
      <c r="O479" s="5" t="inlineStr">
        <is>
          <t>2025-08</t>
        </is>
      </c>
    </row>
    <row r="480">
      <c r="A480" s="2" t="inlineStr">
        <is>
          <t>Z202_02A_082025_MASSENA.CSV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FILE202</t>
        </is>
      </c>
      <c r="F480" s="2" t="inlineStr">
        <is>
          <t>ZZ2</t>
        </is>
      </c>
      <c r="G480" s="3" t="inlineStr">
        <is>
          <t>0086</t>
        </is>
      </c>
      <c r="H480" s="4" t="n">
        <v>45902</v>
      </c>
      <c r="I480" s="2" t="inlineStr">
        <is>
          <t>17:21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5" t="n">
        <v>0</v>
      </c>
      <c r="N480" s="6" t="n">
        <v>2025</v>
      </c>
      <c r="O480" s="5" t="inlineStr">
        <is>
          <t>2025-08</t>
        </is>
      </c>
    </row>
    <row r="481">
      <c r="A481" s="2" t="inlineStr">
        <is>
          <t>Z202_02A_082025_MASSENA.CSV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FILE202</t>
        </is>
      </c>
      <c r="F481" s="2" t="inlineStr">
        <is>
          <t>ZZ2</t>
        </is>
      </c>
      <c r="G481" s="3" t="inlineStr">
        <is>
          <t>0086</t>
        </is>
      </c>
      <c r="H481" s="4" t="n">
        <v>45902</v>
      </c>
      <c r="I481" s="2" t="inlineStr">
        <is>
          <t>17:21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5" t="n">
        <v>0</v>
      </c>
      <c r="N481" s="6" t="n">
        <v>2025</v>
      </c>
      <c r="O481" s="5" t="inlineStr">
        <is>
          <t>2025-08</t>
        </is>
      </c>
    </row>
    <row r="482">
      <c r="A482" s="2" t="inlineStr">
        <is>
          <t>Z202_02A_082025_MASSENA.CSV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FILE202</t>
        </is>
      </c>
      <c r="F482" s="2" t="inlineStr">
        <is>
          <t>ZZ2</t>
        </is>
      </c>
      <c r="G482" s="3" t="inlineStr">
        <is>
          <t>0086</t>
        </is>
      </c>
      <c r="H482" s="4" t="n">
        <v>45902</v>
      </c>
      <c r="I482" s="2" t="inlineStr">
        <is>
          <t>17:21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5" t="n">
        <v>0</v>
      </c>
      <c r="N482" s="6" t="n">
        <v>2025</v>
      </c>
      <c r="O482" s="5" t="inlineStr">
        <is>
          <t>2025-08</t>
        </is>
      </c>
    </row>
    <row r="483">
      <c r="A483" s="2" t="inlineStr">
        <is>
          <t>Z202_02A_082025_MASSENA.CSV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FILE202</t>
        </is>
      </c>
      <c r="F483" s="2" t="inlineStr">
        <is>
          <t>ZZ2</t>
        </is>
      </c>
      <c r="G483" s="3" t="inlineStr">
        <is>
          <t>0086</t>
        </is>
      </c>
      <c r="H483" s="4" t="n">
        <v>45902</v>
      </c>
      <c r="I483" s="2" t="inlineStr">
        <is>
          <t>17:21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5" t="n">
        <v>0</v>
      </c>
      <c r="N483" s="6" t="n">
        <v>2025</v>
      </c>
      <c r="O483" s="5" t="inlineStr">
        <is>
          <t>2025-08</t>
        </is>
      </c>
    </row>
    <row r="484">
      <c r="A484" s="2" t="inlineStr">
        <is>
          <t>Z202_02A_082025_MASSENA.CSV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FILE202</t>
        </is>
      </c>
      <c r="F484" s="2" t="inlineStr">
        <is>
          <t>ZZ2</t>
        </is>
      </c>
      <c r="G484" s="3" t="inlineStr">
        <is>
          <t>0086</t>
        </is>
      </c>
      <c r="H484" s="4" t="n">
        <v>45902</v>
      </c>
      <c r="I484" s="2" t="inlineStr">
        <is>
          <t>17:21</t>
        </is>
      </c>
      <c r="J484" s="3" t="inlineStr">
        <is>
          <t>0033</t>
        </is>
      </c>
      <c r="K484" s="2" t="inlineStr"/>
      <c r="L484" s="5" t="n">
        <v>0</v>
      </c>
      <c r="M484" s="5" t="n">
        <v>0</v>
      </c>
      <c r="N484" s="6" t="n">
        <v>2025</v>
      </c>
      <c r="O484" s="5" t="inlineStr">
        <is>
          <t>2025-08</t>
        </is>
      </c>
    </row>
    <row r="485">
      <c r="A485" s="2" t="inlineStr">
        <is>
          <t>Z202_02A_082025_MASSENA.CSV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FILE202</t>
        </is>
      </c>
      <c r="F485" s="2" t="inlineStr">
        <is>
          <t>ZZ2</t>
        </is>
      </c>
      <c r="G485" s="3" t="inlineStr">
        <is>
          <t>0086</t>
        </is>
      </c>
      <c r="H485" s="4" t="n">
        <v>45902</v>
      </c>
      <c r="I485" s="2" t="inlineStr">
        <is>
          <t>17:21</t>
        </is>
      </c>
      <c r="J485" s="3" t="inlineStr">
        <is>
          <t>0034</t>
        </is>
      </c>
      <c r="K485" s="2" t="inlineStr"/>
      <c r="L485" s="5" t="n">
        <v>0</v>
      </c>
      <c r="M485" s="5" t="n">
        <v>0</v>
      </c>
      <c r="N485" s="6" t="n">
        <v>2025</v>
      </c>
      <c r="O485" s="5" t="inlineStr">
        <is>
          <t>2025-08</t>
        </is>
      </c>
    </row>
    <row r="486">
      <c r="A486" s="2" t="inlineStr">
        <is>
          <t>Z202_02A_082025_MASSENA.CSV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FILE202</t>
        </is>
      </c>
      <c r="F486" s="2" t="inlineStr">
        <is>
          <t>ZZ2</t>
        </is>
      </c>
      <c r="G486" s="3" t="inlineStr">
        <is>
          <t>0086</t>
        </is>
      </c>
      <c r="H486" s="4" t="n">
        <v>45902</v>
      </c>
      <c r="I486" s="2" t="inlineStr">
        <is>
          <t>17:21</t>
        </is>
      </c>
      <c r="J486" s="3" t="inlineStr">
        <is>
          <t>0035</t>
        </is>
      </c>
      <c r="K486" s="2" t="inlineStr"/>
      <c r="L486" s="5" t="n">
        <v>0</v>
      </c>
      <c r="M486" s="5" t="n">
        <v>0</v>
      </c>
      <c r="N486" s="6" t="n">
        <v>2025</v>
      </c>
      <c r="O486" s="5" t="inlineStr">
        <is>
          <t>2025-08</t>
        </is>
      </c>
    </row>
    <row r="487">
      <c r="A487" s="2" t="inlineStr">
        <is>
          <t>Z202_02A_082025_MASSENA.CSV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FILE202</t>
        </is>
      </c>
      <c r="F487" s="2" t="inlineStr">
        <is>
          <t>ZZ2</t>
        </is>
      </c>
      <c r="G487" s="3" t="inlineStr">
        <is>
          <t>0086</t>
        </is>
      </c>
      <c r="H487" s="4" t="n">
        <v>45902</v>
      </c>
      <c r="I487" s="2" t="inlineStr">
        <is>
          <t>17:21</t>
        </is>
      </c>
      <c r="J487" s="3" t="inlineStr">
        <is>
          <t>0036</t>
        </is>
      </c>
      <c r="K487" s="2" t="inlineStr"/>
      <c r="L487" s="5" t="n">
        <v>0</v>
      </c>
      <c r="M487" s="5" t="n">
        <v>0</v>
      </c>
      <c r="N487" s="6" t="n">
        <v>2025</v>
      </c>
      <c r="O487" s="5" t="inlineStr">
        <is>
          <t>2025-08</t>
        </is>
      </c>
    </row>
    <row r="488">
      <c r="A488" s="2" t="inlineStr">
        <is>
          <t>Z202_02A_082025_MASSENA.CSV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FILE202</t>
        </is>
      </c>
      <c r="F488" s="2" t="inlineStr">
        <is>
          <t>ZZ2</t>
        </is>
      </c>
      <c r="G488" s="3" t="inlineStr">
        <is>
          <t>0086</t>
        </is>
      </c>
      <c r="H488" s="4" t="n">
        <v>45902</v>
      </c>
      <c r="I488" s="2" t="inlineStr">
        <is>
          <t>17:21</t>
        </is>
      </c>
      <c r="J488" s="3" t="inlineStr">
        <is>
          <t>0037</t>
        </is>
      </c>
      <c r="K488" s="2" t="inlineStr"/>
      <c r="L488" s="5" t="n">
        <v>0</v>
      </c>
      <c r="M488" s="5" t="n">
        <v>0</v>
      </c>
      <c r="N488" s="6" t="n">
        <v>2025</v>
      </c>
      <c r="O488" s="5" t="inlineStr">
        <is>
          <t>2025-08</t>
        </is>
      </c>
    </row>
    <row r="489">
      <c r="A489" s="2" t="inlineStr">
        <is>
          <t>Z202_02A_082025_MASSENA.CSV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FILE202</t>
        </is>
      </c>
      <c r="F489" s="2" t="inlineStr">
        <is>
          <t>ZZ2</t>
        </is>
      </c>
      <c r="G489" s="3" t="inlineStr">
        <is>
          <t>0086</t>
        </is>
      </c>
      <c r="H489" s="4" t="n">
        <v>45902</v>
      </c>
      <c r="I489" s="2" t="inlineStr">
        <is>
          <t>17:21</t>
        </is>
      </c>
      <c r="J489" s="3" t="inlineStr">
        <is>
          <t>0038</t>
        </is>
      </c>
      <c r="K489" s="2" t="inlineStr"/>
      <c r="L489" s="5" t="n">
        <v>0</v>
      </c>
      <c r="M489" s="5" t="n">
        <v>0</v>
      </c>
      <c r="N489" s="6" t="n">
        <v>2025</v>
      </c>
      <c r="O489" s="5" t="inlineStr">
        <is>
          <t>2025-08</t>
        </is>
      </c>
    </row>
    <row r="490">
      <c r="A490" s="2" t="inlineStr">
        <is>
          <t>Z202_02A_082025_MASSENA.CSV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FILE202</t>
        </is>
      </c>
      <c r="F490" s="2" t="inlineStr">
        <is>
          <t>ZZ2</t>
        </is>
      </c>
      <c r="G490" s="3" t="inlineStr">
        <is>
          <t>0086</t>
        </is>
      </c>
      <c r="H490" s="4" t="n">
        <v>45902</v>
      </c>
      <c r="I490" s="2" t="inlineStr">
        <is>
          <t>17:21</t>
        </is>
      </c>
      <c r="J490" s="3" t="inlineStr">
        <is>
          <t>0039</t>
        </is>
      </c>
      <c r="K490" s="2" t="inlineStr"/>
      <c r="L490" s="5" t="n">
        <v>0</v>
      </c>
      <c r="M490" s="5" t="n">
        <v>0</v>
      </c>
      <c r="N490" s="6" t="n">
        <v>2025</v>
      </c>
      <c r="O490" s="5" t="inlineStr">
        <is>
          <t>2025-08</t>
        </is>
      </c>
    </row>
    <row r="491">
      <c r="A491" s="2" t="inlineStr">
        <is>
          <t>Z202_02A_082025_MASSENA.CSV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FILE202</t>
        </is>
      </c>
      <c r="F491" s="2" t="inlineStr">
        <is>
          <t>ZZ2</t>
        </is>
      </c>
      <c r="G491" s="3" t="inlineStr">
        <is>
          <t>0086</t>
        </is>
      </c>
      <c r="H491" s="4" t="n">
        <v>45902</v>
      </c>
      <c r="I491" s="2" t="inlineStr">
        <is>
          <t>17:21</t>
        </is>
      </c>
      <c r="J491" s="3" t="inlineStr">
        <is>
          <t>0040</t>
        </is>
      </c>
      <c r="K491" s="2" t="inlineStr"/>
      <c r="L491" s="5" t="n">
        <v>0</v>
      </c>
      <c r="M491" s="5" t="n">
        <v>0</v>
      </c>
      <c r="N491" s="6" t="n">
        <v>2025</v>
      </c>
      <c r="O491" s="5" t="inlineStr">
        <is>
          <t>2025-08</t>
        </is>
      </c>
    </row>
    <row r="492">
      <c r="A492" s="2" t="inlineStr">
        <is>
          <t>Z202_02A_082025_MASSENA.CSV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FILE202</t>
        </is>
      </c>
      <c r="F492" s="2" t="inlineStr">
        <is>
          <t>ZZ2</t>
        </is>
      </c>
      <c r="G492" s="3" t="inlineStr">
        <is>
          <t>0086</t>
        </is>
      </c>
      <c r="H492" s="4" t="n">
        <v>45902</v>
      </c>
      <c r="I492" s="2" t="inlineStr">
        <is>
          <t>17:21</t>
        </is>
      </c>
      <c r="J492" s="3" t="inlineStr">
        <is>
          <t>0041</t>
        </is>
      </c>
      <c r="K492" s="2" t="inlineStr"/>
      <c r="L492" s="5" t="n">
        <v>0</v>
      </c>
      <c r="M492" s="5" t="n">
        <v>0</v>
      </c>
      <c r="N492" s="6" t="n">
        <v>2025</v>
      </c>
      <c r="O492" s="5" t="inlineStr">
        <is>
          <t>2025-08</t>
        </is>
      </c>
    </row>
    <row r="493">
      <c r="A493" s="2" t="inlineStr">
        <is>
          <t>Z202_02A_082025_MASSENA.CSV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FILE202</t>
        </is>
      </c>
      <c r="F493" s="2" t="inlineStr">
        <is>
          <t>ZZ2</t>
        </is>
      </c>
      <c r="G493" s="3" t="inlineStr">
        <is>
          <t>0086</t>
        </is>
      </c>
      <c r="H493" s="4" t="n">
        <v>45902</v>
      </c>
      <c r="I493" s="2" t="inlineStr">
        <is>
          <t>17:21</t>
        </is>
      </c>
      <c r="J493" s="3" t="inlineStr">
        <is>
          <t>0042</t>
        </is>
      </c>
      <c r="K493" s="2" t="inlineStr"/>
      <c r="L493" s="5" t="n">
        <v>0</v>
      </c>
      <c r="M493" s="5" t="n">
        <v>0</v>
      </c>
      <c r="N493" s="6" t="n">
        <v>2025</v>
      </c>
      <c r="O493" s="5" t="inlineStr">
        <is>
          <t>2025-08</t>
        </is>
      </c>
    </row>
    <row r="494">
      <c r="A494" s="2" t="inlineStr">
        <is>
          <t>Z202_02A_082025_MASSENA.CSV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FILE202</t>
        </is>
      </c>
      <c r="F494" s="2" t="inlineStr">
        <is>
          <t>ZZ2</t>
        </is>
      </c>
      <c r="G494" s="3" t="inlineStr">
        <is>
          <t>0086</t>
        </is>
      </c>
      <c r="H494" s="4" t="n">
        <v>45902</v>
      </c>
      <c r="I494" s="2" t="inlineStr">
        <is>
          <t>17:21</t>
        </is>
      </c>
      <c r="J494" s="3" t="inlineStr">
        <is>
          <t>0043</t>
        </is>
      </c>
      <c r="K494" s="2" t="inlineStr"/>
      <c r="L494" s="5" t="n">
        <v>0</v>
      </c>
      <c r="M494" s="5" t="n">
        <v>0</v>
      </c>
      <c r="N494" s="6" t="n">
        <v>2025</v>
      </c>
      <c r="O494" s="5" t="inlineStr">
        <is>
          <t>2025-08</t>
        </is>
      </c>
    </row>
    <row r="495">
      <c r="A495" s="2" t="inlineStr">
        <is>
          <t>Z202_02A_082025_MASSENA.CSV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FILE202</t>
        </is>
      </c>
      <c r="F495" s="2" t="inlineStr">
        <is>
          <t>ZZ2</t>
        </is>
      </c>
      <c r="G495" s="3" t="inlineStr">
        <is>
          <t>0086</t>
        </is>
      </c>
      <c r="H495" s="4" t="n">
        <v>45902</v>
      </c>
      <c r="I495" s="2" t="inlineStr">
        <is>
          <t>17:21</t>
        </is>
      </c>
      <c r="J495" s="3" t="inlineStr">
        <is>
          <t>0044</t>
        </is>
      </c>
      <c r="K495" s="2" t="inlineStr"/>
      <c r="L495" s="5" t="n">
        <v>0</v>
      </c>
      <c r="M495" s="5" t="n">
        <v>0</v>
      </c>
      <c r="N495" s="6" t="n">
        <v>2025</v>
      </c>
      <c r="O495" s="5" t="inlineStr">
        <is>
          <t>2025-08</t>
        </is>
      </c>
    </row>
    <row r="496">
      <c r="A496" s="2" t="inlineStr">
        <is>
          <t>Z202_02A_082025_MASSENA.CSV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FILE202</t>
        </is>
      </c>
      <c r="F496" s="2" t="inlineStr">
        <is>
          <t>ZZ2</t>
        </is>
      </c>
      <c r="G496" s="3" t="inlineStr">
        <is>
          <t>0086</t>
        </is>
      </c>
      <c r="H496" s="4" t="n">
        <v>45902</v>
      </c>
      <c r="I496" s="2" t="inlineStr">
        <is>
          <t>17:21</t>
        </is>
      </c>
      <c r="J496" s="3" t="inlineStr">
        <is>
          <t>0045</t>
        </is>
      </c>
      <c r="K496" s="2" t="inlineStr"/>
      <c r="L496" s="5" t="n">
        <v>0</v>
      </c>
      <c r="M496" s="5" t="n">
        <v>0</v>
      </c>
      <c r="N496" s="6" t="n">
        <v>2025</v>
      </c>
      <c r="O496" s="5" t="inlineStr">
        <is>
          <t>2025-08</t>
        </is>
      </c>
    </row>
    <row r="497">
      <c r="A497" s="2" t="inlineStr">
        <is>
          <t>Z202_02A_082025_MASSENA.CSV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FILE202</t>
        </is>
      </c>
      <c r="F497" s="2" t="inlineStr">
        <is>
          <t>ZZ2</t>
        </is>
      </c>
      <c r="G497" s="3" t="inlineStr">
        <is>
          <t>0086</t>
        </is>
      </c>
      <c r="H497" s="4" t="n">
        <v>45902</v>
      </c>
      <c r="I497" s="2" t="inlineStr">
        <is>
          <t>17:21</t>
        </is>
      </c>
      <c r="J497" s="3" t="inlineStr">
        <is>
          <t>0046</t>
        </is>
      </c>
      <c r="K497" s="2" t="inlineStr"/>
      <c r="L497" s="5" t="n">
        <v>0</v>
      </c>
      <c r="M497" s="5" t="n">
        <v>0</v>
      </c>
      <c r="N497" s="6" t="n">
        <v>2025</v>
      </c>
      <c r="O497" s="5" t="inlineStr">
        <is>
          <t>2025-08</t>
        </is>
      </c>
    </row>
    <row r="498">
      <c r="A498" s="2" t="inlineStr">
        <is>
          <t>Z202_02A_082025_MASSENA.CSV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FILE202</t>
        </is>
      </c>
      <c r="F498" s="2" t="inlineStr">
        <is>
          <t>ZZ2</t>
        </is>
      </c>
      <c r="G498" s="3" t="inlineStr">
        <is>
          <t>0086</t>
        </is>
      </c>
      <c r="H498" s="4" t="n">
        <v>45902</v>
      </c>
      <c r="I498" s="2" t="inlineStr">
        <is>
          <t>17:21</t>
        </is>
      </c>
      <c r="J498" s="3" t="inlineStr">
        <is>
          <t>0047</t>
        </is>
      </c>
      <c r="K498" s="2" t="inlineStr"/>
      <c r="L498" s="5" t="n">
        <v>0</v>
      </c>
      <c r="M498" s="5" t="n">
        <v>0</v>
      </c>
      <c r="N498" s="6" t="n">
        <v>2025</v>
      </c>
      <c r="O498" s="5" t="inlineStr">
        <is>
          <t>2025-08</t>
        </is>
      </c>
    </row>
    <row r="499">
      <c r="A499" s="2" t="inlineStr">
        <is>
          <t>Z202_02A_082025_MASSENA.CSV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FILE202</t>
        </is>
      </c>
      <c r="F499" s="2" t="inlineStr">
        <is>
          <t>ZZ2</t>
        </is>
      </c>
      <c r="G499" s="3" t="inlineStr">
        <is>
          <t>0086</t>
        </is>
      </c>
      <c r="H499" s="4" t="n">
        <v>45902</v>
      </c>
      <c r="I499" s="2" t="inlineStr">
        <is>
          <t>17:21</t>
        </is>
      </c>
      <c r="J499" s="3" t="inlineStr">
        <is>
          <t>0048</t>
        </is>
      </c>
      <c r="K499" s="2" t="inlineStr"/>
      <c r="L499" s="5" t="n">
        <v>0</v>
      </c>
      <c r="M499" s="5" t="n">
        <v>0</v>
      </c>
      <c r="N499" s="6" t="n">
        <v>2025</v>
      </c>
      <c r="O499" s="5" t="inlineStr">
        <is>
          <t>2025-08</t>
        </is>
      </c>
    </row>
    <row r="500">
      <c r="A500" s="2" t="inlineStr">
        <is>
          <t>Z202_02A_082025_MASSENA.CSV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FILE202</t>
        </is>
      </c>
      <c r="F500" s="2" t="inlineStr">
        <is>
          <t>ZZ2</t>
        </is>
      </c>
      <c r="G500" s="3" t="inlineStr">
        <is>
          <t>0086</t>
        </is>
      </c>
      <c r="H500" s="4" t="n">
        <v>45902</v>
      </c>
      <c r="I500" s="2" t="inlineStr">
        <is>
          <t>17:21</t>
        </is>
      </c>
      <c r="J500" s="3" t="inlineStr">
        <is>
          <t>0049</t>
        </is>
      </c>
      <c r="K500" s="2" t="inlineStr"/>
      <c r="L500" s="5" t="n">
        <v>0</v>
      </c>
      <c r="M500" s="5" t="n">
        <v>0</v>
      </c>
      <c r="N500" s="6" t="n">
        <v>2025</v>
      </c>
      <c r="O500" s="5" t="inlineStr">
        <is>
          <t>2025-08</t>
        </is>
      </c>
    </row>
    <row r="501">
      <c r="A501" s="2" t="inlineStr">
        <is>
          <t>Z202_02A_082025_MASSENA.CSV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FILE202</t>
        </is>
      </c>
      <c r="F501" s="2" t="inlineStr">
        <is>
          <t>ZZ2</t>
        </is>
      </c>
      <c r="G501" s="3" t="inlineStr">
        <is>
          <t>0086</t>
        </is>
      </c>
      <c r="H501" s="4" t="n">
        <v>45902</v>
      </c>
      <c r="I501" s="2" t="inlineStr">
        <is>
          <t>17:21</t>
        </is>
      </c>
      <c r="J501" s="3" t="inlineStr">
        <is>
          <t>0050</t>
        </is>
      </c>
      <c r="K501" s="2" t="inlineStr"/>
      <c r="L501" s="5" t="n">
        <v>0</v>
      </c>
      <c r="M501" s="5" t="n">
        <v>0</v>
      </c>
      <c r="N501" s="6" t="n">
        <v>2025</v>
      </c>
      <c r="O501" s="5" t="inlineStr">
        <is>
          <t>2025-08</t>
        </is>
      </c>
    </row>
    <row r="502">
      <c r="A502" s="2" t="inlineStr">
        <is>
          <t>Z202_03A_012025_MASSENA.CSV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FILE202</t>
        </is>
      </c>
      <c r="F502" s="2" t="inlineStr">
        <is>
          <t>ZZ2</t>
        </is>
      </c>
      <c r="G502" s="3" t="inlineStr">
        <is>
          <t>0081</t>
        </is>
      </c>
      <c r="H502" s="4" t="n">
        <v>45691</v>
      </c>
      <c r="I502" s="2" t="inlineStr">
        <is>
          <t>12:19</t>
        </is>
      </c>
      <c r="J502" s="3" t="inlineStr">
        <is>
          <t>0001</t>
        </is>
      </c>
      <c r="K502" s="2" t="inlineStr">
        <is>
          <t>ESPECES</t>
        </is>
      </c>
      <c r="L502" s="5" t="n">
        <v>18</v>
      </c>
      <c r="M502" s="5" t="n">
        <v>6334.7</v>
      </c>
      <c r="N502" s="6" t="n">
        <v>2025</v>
      </c>
      <c r="O502" s="5" t="inlineStr">
        <is>
          <t>2025-01</t>
        </is>
      </c>
    </row>
    <row r="503">
      <c r="A503" s="2" t="inlineStr">
        <is>
          <t>Z202_03A_012025_MASSENA.CSV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FILE202</t>
        </is>
      </c>
      <c r="F503" s="2" t="inlineStr">
        <is>
          <t>ZZ2</t>
        </is>
      </c>
      <c r="G503" s="3" t="inlineStr">
        <is>
          <t>0081</t>
        </is>
      </c>
      <c r="H503" s="4" t="n">
        <v>45691</v>
      </c>
      <c r="I503" s="2" t="inlineStr">
        <is>
          <t>12:19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5" t="n">
        <v>0</v>
      </c>
      <c r="N503" s="6" t="n">
        <v>2025</v>
      </c>
      <c r="O503" s="5" t="inlineStr">
        <is>
          <t>2025-01</t>
        </is>
      </c>
    </row>
    <row r="504">
      <c r="A504" s="2" t="inlineStr">
        <is>
          <t>Z202_03A_012025_MASSENA.CSV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FILE202</t>
        </is>
      </c>
      <c r="F504" s="2" t="inlineStr">
        <is>
          <t>ZZ2</t>
        </is>
      </c>
      <c r="G504" s="3" t="inlineStr">
        <is>
          <t>0081</t>
        </is>
      </c>
      <c r="H504" s="4" t="n">
        <v>45691</v>
      </c>
      <c r="I504" s="2" t="inlineStr">
        <is>
          <t>12:19</t>
        </is>
      </c>
      <c r="J504" s="3" t="inlineStr">
        <is>
          <t>0003</t>
        </is>
      </c>
      <c r="K504" s="2" t="inlineStr">
        <is>
          <t>CARTES</t>
        </is>
      </c>
      <c r="L504" s="5" t="n">
        <v>11</v>
      </c>
      <c r="M504" s="5" t="n">
        <v>3089.5</v>
      </c>
      <c r="N504" s="6" t="n">
        <v>2025</v>
      </c>
      <c r="O504" s="5" t="inlineStr">
        <is>
          <t>2025-01</t>
        </is>
      </c>
    </row>
    <row r="505">
      <c r="A505" s="2" t="inlineStr">
        <is>
          <t>Z202_03A_012025_MASSENA.CSV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FILE202</t>
        </is>
      </c>
      <c r="F505" s="2" t="inlineStr">
        <is>
          <t>ZZ2</t>
        </is>
      </c>
      <c r="G505" s="3" t="inlineStr">
        <is>
          <t>0081</t>
        </is>
      </c>
      <c r="H505" s="4" t="n">
        <v>45691</v>
      </c>
      <c r="I505" s="2" t="inlineStr">
        <is>
          <t>12:19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5" t="n">
        <v>0</v>
      </c>
      <c r="N505" s="6" t="n">
        <v>2025</v>
      </c>
      <c r="O505" s="5" t="inlineStr">
        <is>
          <t>2025-01</t>
        </is>
      </c>
    </row>
    <row r="506">
      <c r="A506" s="2" t="inlineStr">
        <is>
          <t>Z202_03A_012025_MASSENA.CSV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FILE202</t>
        </is>
      </c>
      <c r="F506" s="2" t="inlineStr">
        <is>
          <t>ZZ2</t>
        </is>
      </c>
      <c r="G506" s="3" t="inlineStr">
        <is>
          <t>0081</t>
        </is>
      </c>
      <c r="H506" s="4" t="n">
        <v>45691</v>
      </c>
      <c r="I506" s="2" t="inlineStr">
        <is>
          <t>12:19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5" t="n">
        <v>0</v>
      </c>
      <c r="N506" s="6" t="n">
        <v>2025</v>
      </c>
      <c r="O506" s="5" t="inlineStr">
        <is>
          <t>2025-01</t>
        </is>
      </c>
    </row>
    <row r="507">
      <c r="A507" s="2" t="inlineStr">
        <is>
          <t>Z202_03A_012025_MASSENA.CSV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FILE202</t>
        </is>
      </c>
      <c r="F507" s="2" t="inlineStr">
        <is>
          <t>ZZ2</t>
        </is>
      </c>
      <c r="G507" s="3" t="inlineStr">
        <is>
          <t>0081</t>
        </is>
      </c>
      <c r="H507" s="4" t="n">
        <v>45691</v>
      </c>
      <c r="I507" s="2" t="inlineStr">
        <is>
          <t>12:19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5" t="n">
        <v>0</v>
      </c>
      <c r="N507" s="6" t="n">
        <v>2025</v>
      </c>
      <c r="O507" s="5" t="inlineStr">
        <is>
          <t>2025-01</t>
        </is>
      </c>
    </row>
    <row r="508">
      <c r="A508" s="2" t="inlineStr">
        <is>
          <t>Z202_03A_012025_MASSENA.CSV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FILE202</t>
        </is>
      </c>
      <c r="F508" s="2" t="inlineStr">
        <is>
          <t>ZZ2</t>
        </is>
      </c>
      <c r="G508" s="3" t="inlineStr">
        <is>
          <t>0081</t>
        </is>
      </c>
      <c r="H508" s="4" t="n">
        <v>45691</v>
      </c>
      <c r="I508" s="2" t="inlineStr">
        <is>
          <t>12:19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5" t="n">
        <v>0</v>
      </c>
      <c r="N508" s="6" t="n">
        <v>2025</v>
      </c>
      <c r="O508" s="5" t="inlineStr">
        <is>
          <t>2025-01</t>
        </is>
      </c>
    </row>
    <row r="509">
      <c r="A509" s="2" t="inlineStr">
        <is>
          <t>Z202_03A_012025_MASSENA.CSV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FILE202</t>
        </is>
      </c>
      <c r="F509" s="2" t="inlineStr">
        <is>
          <t>ZZ2</t>
        </is>
      </c>
      <c r="G509" s="3" t="inlineStr">
        <is>
          <t>0081</t>
        </is>
      </c>
      <c r="H509" s="4" t="n">
        <v>45691</v>
      </c>
      <c r="I509" s="2" t="inlineStr">
        <is>
          <t>12:19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5" t="n">
        <v>0</v>
      </c>
      <c r="N509" s="6" t="n">
        <v>2025</v>
      </c>
      <c r="O509" s="5" t="inlineStr">
        <is>
          <t>2025-01</t>
        </is>
      </c>
    </row>
    <row r="510">
      <c r="A510" s="2" t="inlineStr">
        <is>
          <t>Z202_03A_012025_MASSENA.CSV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FILE202</t>
        </is>
      </c>
      <c r="F510" s="2" t="inlineStr">
        <is>
          <t>ZZ2</t>
        </is>
      </c>
      <c r="G510" s="3" t="inlineStr">
        <is>
          <t>0081</t>
        </is>
      </c>
      <c r="H510" s="4" t="n">
        <v>45691</v>
      </c>
      <c r="I510" s="2" t="inlineStr">
        <is>
          <t>12:19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5" t="n">
        <v>0</v>
      </c>
      <c r="N510" s="6" t="n">
        <v>2025</v>
      </c>
      <c r="O510" s="5" t="inlineStr">
        <is>
          <t>2025-01</t>
        </is>
      </c>
    </row>
    <row r="511">
      <c r="A511" s="2" t="inlineStr">
        <is>
          <t>Z202_03A_012025_MASSENA.CSV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FILE202</t>
        </is>
      </c>
      <c r="F511" s="2" t="inlineStr">
        <is>
          <t>ZZ2</t>
        </is>
      </c>
      <c r="G511" s="3" t="inlineStr">
        <is>
          <t>0081</t>
        </is>
      </c>
      <c r="H511" s="4" t="n">
        <v>45691</v>
      </c>
      <c r="I511" s="2" t="inlineStr">
        <is>
          <t>12:19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5" t="n">
        <v>0</v>
      </c>
      <c r="N511" s="6" t="n">
        <v>2025</v>
      </c>
      <c r="O511" s="5" t="inlineStr">
        <is>
          <t>2025-01</t>
        </is>
      </c>
    </row>
    <row r="512">
      <c r="A512" s="2" t="inlineStr">
        <is>
          <t>Z202_03A_012025_MASSENA.CSV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FILE202</t>
        </is>
      </c>
      <c r="F512" s="2" t="inlineStr">
        <is>
          <t>ZZ2</t>
        </is>
      </c>
      <c r="G512" s="3" t="inlineStr">
        <is>
          <t>0081</t>
        </is>
      </c>
      <c r="H512" s="4" t="n">
        <v>45691</v>
      </c>
      <c r="I512" s="2" t="inlineStr">
        <is>
          <t>12:19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5" t="n">
        <v>0</v>
      </c>
      <c r="N512" s="6" t="n">
        <v>2025</v>
      </c>
      <c r="O512" s="5" t="inlineStr">
        <is>
          <t>2025-01</t>
        </is>
      </c>
    </row>
    <row r="513">
      <c r="A513" s="2" t="inlineStr">
        <is>
          <t>Z202_03A_012025_MASSENA.CSV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FILE202</t>
        </is>
      </c>
      <c r="F513" s="2" t="inlineStr">
        <is>
          <t>ZZ2</t>
        </is>
      </c>
      <c r="G513" s="3" t="inlineStr">
        <is>
          <t>0081</t>
        </is>
      </c>
      <c r="H513" s="4" t="n">
        <v>45691</v>
      </c>
      <c r="I513" s="2" t="inlineStr">
        <is>
          <t>12:19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5" t="n">
        <v>0</v>
      </c>
      <c r="N513" s="6" t="n">
        <v>2025</v>
      </c>
      <c r="O513" s="5" t="inlineStr">
        <is>
          <t>2025-01</t>
        </is>
      </c>
    </row>
    <row r="514">
      <c r="A514" s="2" t="inlineStr">
        <is>
          <t>Z202_03A_012025_MASSENA.CSV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FILE202</t>
        </is>
      </c>
      <c r="F514" s="2" t="inlineStr">
        <is>
          <t>ZZ2</t>
        </is>
      </c>
      <c r="G514" s="3" t="inlineStr">
        <is>
          <t>0081</t>
        </is>
      </c>
      <c r="H514" s="4" t="n">
        <v>45691</v>
      </c>
      <c r="I514" s="2" t="inlineStr">
        <is>
          <t>12:19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5" t="n">
        <v>0</v>
      </c>
      <c r="N514" s="6" t="n">
        <v>2025</v>
      </c>
      <c r="O514" s="5" t="inlineStr">
        <is>
          <t>2025-01</t>
        </is>
      </c>
    </row>
    <row r="515">
      <c r="A515" s="2" t="inlineStr">
        <is>
          <t>Z202_03A_012025_MASSENA.CSV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FILE202</t>
        </is>
      </c>
      <c r="F515" s="2" t="inlineStr">
        <is>
          <t>ZZ2</t>
        </is>
      </c>
      <c r="G515" s="3" t="inlineStr">
        <is>
          <t>0081</t>
        </is>
      </c>
      <c r="H515" s="4" t="n">
        <v>45691</v>
      </c>
      <c r="I515" s="2" t="inlineStr">
        <is>
          <t>12:19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5" t="n">
        <v>0</v>
      </c>
      <c r="N515" s="6" t="n">
        <v>2025</v>
      </c>
      <c r="O515" s="5" t="inlineStr">
        <is>
          <t>2025-01</t>
        </is>
      </c>
    </row>
    <row r="516">
      <c r="A516" s="2" t="inlineStr">
        <is>
          <t>Z202_03A_012025_MASSENA.CSV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FILE202</t>
        </is>
      </c>
      <c r="F516" s="2" t="inlineStr">
        <is>
          <t>ZZ2</t>
        </is>
      </c>
      <c r="G516" s="3" t="inlineStr">
        <is>
          <t>0081</t>
        </is>
      </c>
      <c r="H516" s="4" t="n">
        <v>45691</v>
      </c>
      <c r="I516" s="2" t="inlineStr">
        <is>
          <t>12:19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5" t="n">
        <v>0</v>
      </c>
      <c r="N516" s="6" t="n">
        <v>2025</v>
      </c>
      <c r="O516" s="5" t="inlineStr">
        <is>
          <t>2025-01</t>
        </is>
      </c>
    </row>
    <row r="517">
      <c r="A517" s="2" t="inlineStr">
        <is>
          <t>Z202_03A_012025_MASSENA.CSV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FILE202</t>
        </is>
      </c>
      <c r="F517" s="2" t="inlineStr">
        <is>
          <t>ZZ2</t>
        </is>
      </c>
      <c r="G517" s="3" t="inlineStr">
        <is>
          <t>0081</t>
        </is>
      </c>
      <c r="H517" s="4" t="n">
        <v>45691</v>
      </c>
      <c r="I517" s="2" t="inlineStr">
        <is>
          <t>12:19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5" t="n">
        <v>0</v>
      </c>
      <c r="N517" s="6" t="n">
        <v>2025</v>
      </c>
      <c r="O517" s="5" t="inlineStr">
        <is>
          <t>2025-01</t>
        </is>
      </c>
    </row>
    <row r="518">
      <c r="A518" s="2" t="inlineStr">
        <is>
          <t>Z202_03A_012025_MASSENA.CSV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FILE202</t>
        </is>
      </c>
      <c r="F518" s="2" t="inlineStr">
        <is>
          <t>ZZ2</t>
        </is>
      </c>
      <c r="G518" s="3" t="inlineStr">
        <is>
          <t>0081</t>
        </is>
      </c>
      <c r="H518" s="4" t="n">
        <v>45691</v>
      </c>
      <c r="I518" s="2" t="inlineStr">
        <is>
          <t>12:19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5" t="n">
        <v>0</v>
      </c>
      <c r="N518" s="6" t="n">
        <v>2025</v>
      </c>
      <c r="O518" s="5" t="inlineStr">
        <is>
          <t>2025-01</t>
        </is>
      </c>
    </row>
    <row r="519">
      <c r="A519" s="2" t="inlineStr">
        <is>
          <t>Z202_03A_012025_MASSENA.CSV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FILE202</t>
        </is>
      </c>
      <c r="F519" s="2" t="inlineStr">
        <is>
          <t>ZZ2</t>
        </is>
      </c>
      <c r="G519" s="3" t="inlineStr">
        <is>
          <t>0081</t>
        </is>
      </c>
      <c r="H519" s="4" t="n">
        <v>45691</v>
      </c>
      <c r="I519" s="2" t="inlineStr">
        <is>
          <t>12:19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5" t="n">
        <v>0</v>
      </c>
      <c r="N519" s="6" t="n">
        <v>2025</v>
      </c>
      <c r="O519" s="5" t="inlineStr">
        <is>
          <t>2025-01</t>
        </is>
      </c>
    </row>
    <row r="520">
      <c r="A520" s="2" t="inlineStr">
        <is>
          <t>Z202_03A_012025_MASSENA.CSV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FILE202</t>
        </is>
      </c>
      <c r="F520" s="2" t="inlineStr">
        <is>
          <t>ZZ2</t>
        </is>
      </c>
      <c r="G520" s="3" t="inlineStr">
        <is>
          <t>0081</t>
        </is>
      </c>
      <c r="H520" s="4" t="n">
        <v>45691</v>
      </c>
      <c r="I520" s="2" t="inlineStr">
        <is>
          <t>12:19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5" t="n">
        <v>0</v>
      </c>
      <c r="N520" s="6" t="n">
        <v>2025</v>
      </c>
      <c r="O520" s="5" t="inlineStr">
        <is>
          <t>2025-01</t>
        </is>
      </c>
    </row>
    <row r="521">
      <c r="A521" s="2" t="inlineStr">
        <is>
          <t>Z202_03A_012025_MASSENA.CSV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FILE202</t>
        </is>
      </c>
      <c r="F521" s="2" t="inlineStr">
        <is>
          <t>ZZ2</t>
        </is>
      </c>
      <c r="G521" s="3" t="inlineStr">
        <is>
          <t>0081</t>
        </is>
      </c>
      <c r="H521" s="4" t="n">
        <v>45691</v>
      </c>
      <c r="I521" s="2" t="inlineStr">
        <is>
          <t>12:19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5" t="n">
        <v>0</v>
      </c>
      <c r="N521" s="6" t="n">
        <v>2025</v>
      </c>
      <c r="O521" s="5" t="inlineStr">
        <is>
          <t>2025-01</t>
        </is>
      </c>
    </row>
    <row r="522">
      <c r="A522" s="2" t="inlineStr">
        <is>
          <t>Z202_03A_012025_MASSENA.CSV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FILE202</t>
        </is>
      </c>
      <c r="F522" s="2" t="inlineStr">
        <is>
          <t>ZZ2</t>
        </is>
      </c>
      <c r="G522" s="3" t="inlineStr">
        <is>
          <t>0081</t>
        </is>
      </c>
      <c r="H522" s="4" t="n">
        <v>45691</v>
      </c>
      <c r="I522" s="2" t="inlineStr">
        <is>
          <t>12:19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5" t="n">
        <v>0</v>
      </c>
      <c r="N522" s="6" t="n">
        <v>2025</v>
      </c>
      <c r="O522" s="5" t="inlineStr">
        <is>
          <t>2025-01</t>
        </is>
      </c>
    </row>
    <row r="523">
      <c r="A523" s="2" t="inlineStr">
        <is>
          <t>Z202_03A_012025_MASSENA.CSV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FILE202</t>
        </is>
      </c>
      <c r="F523" s="2" t="inlineStr">
        <is>
          <t>ZZ2</t>
        </is>
      </c>
      <c r="G523" s="3" t="inlineStr">
        <is>
          <t>0081</t>
        </is>
      </c>
      <c r="H523" s="4" t="n">
        <v>45691</v>
      </c>
      <c r="I523" s="2" t="inlineStr">
        <is>
          <t>12:19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5" t="n">
        <v>0</v>
      </c>
      <c r="N523" s="6" t="n">
        <v>2025</v>
      </c>
      <c r="O523" s="5" t="inlineStr">
        <is>
          <t>2025-01</t>
        </is>
      </c>
    </row>
    <row r="524">
      <c r="A524" s="2" t="inlineStr">
        <is>
          <t>Z202_03A_012025_MASSENA.CSV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FILE202</t>
        </is>
      </c>
      <c r="F524" s="2" t="inlineStr">
        <is>
          <t>ZZ2</t>
        </is>
      </c>
      <c r="G524" s="3" t="inlineStr">
        <is>
          <t>0081</t>
        </is>
      </c>
      <c r="H524" s="4" t="n">
        <v>45691</v>
      </c>
      <c r="I524" s="2" t="inlineStr">
        <is>
          <t>12:19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5" t="n">
        <v>0</v>
      </c>
      <c r="N524" s="6" t="n">
        <v>2025</v>
      </c>
      <c r="O524" s="5" t="inlineStr">
        <is>
          <t>2025-01</t>
        </is>
      </c>
    </row>
    <row r="525">
      <c r="A525" s="2" t="inlineStr">
        <is>
          <t>Z202_03A_012025_MASSENA.CSV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FILE202</t>
        </is>
      </c>
      <c r="F525" s="2" t="inlineStr">
        <is>
          <t>ZZ2</t>
        </is>
      </c>
      <c r="G525" s="3" t="inlineStr">
        <is>
          <t>0081</t>
        </is>
      </c>
      <c r="H525" s="4" t="n">
        <v>45691</v>
      </c>
      <c r="I525" s="2" t="inlineStr">
        <is>
          <t>12:19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5" t="n">
        <v>0</v>
      </c>
      <c r="N525" s="6" t="n">
        <v>2025</v>
      </c>
      <c r="O525" s="5" t="inlineStr">
        <is>
          <t>2025-01</t>
        </is>
      </c>
    </row>
    <row r="526">
      <c r="A526" s="2" t="inlineStr">
        <is>
          <t>Z202_03A_012025_MASSENA.CSV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FILE202</t>
        </is>
      </c>
      <c r="F526" s="2" t="inlineStr">
        <is>
          <t>ZZ2</t>
        </is>
      </c>
      <c r="G526" s="3" t="inlineStr">
        <is>
          <t>0081</t>
        </is>
      </c>
      <c r="H526" s="4" t="n">
        <v>45691</v>
      </c>
      <c r="I526" s="2" t="inlineStr">
        <is>
          <t>12:19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5" t="n">
        <v>0</v>
      </c>
      <c r="N526" s="6" t="n">
        <v>2025</v>
      </c>
      <c r="O526" s="5" t="inlineStr">
        <is>
          <t>2025-01</t>
        </is>
      </c>
    </row>
    <row r="527">
      <c r="A527" s="2" t="inlineStr">
        <is>
          <t>Z202_03A_012025_MASSENA.CSV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FILE202</t>
        </is>
      </c>
      <c r="F527" s="2" t="inlineStr">
        <is>
          <t>ZZ2</t>
        </is>
      </c>
      <c r="G527" s="3" t="inlineStr">
        <is>
          <t>0081</t>
        </is>
      </c>
      <c r="H527" s="4" t="n">
        <v>45691</v>
      </c>
      <c r="I527" s="2" t="inlineStr">
        <is>
          <t>12:19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5" t="n">
        <v>0</v>
      </c>
      <c r="N527" s="6" t="n">
        <v>2025</v>
      </c>
      <c r="O527" s="5" t="inlineStr">
        <is>
          <t>2025-01</t>
        </is>
      </c>
    </row>
    <row r="528">
      <c r="A528" s="2" t="inlineStr">
        <is>
          <t>Z202_03A_012025_MASSENA.CSV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FILE202</t>
        </is>
      </c>
      <c r="F528" s="2" t="inlineStr">
        <is>
          <t>ZZ2</t>
        </is>
      </c>
      <c r="G528" s="3" t="inlineStr">
        <is>
          <t>0081</t>
        </is>
      </c>
      <c r="H528" s="4" t="n">
        <v>45691</v>
      </c>
      <c r="I528" s="2" t="inlineStr">
        <is>
          <t>12:19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5" t="n">
        <v>0</v>
      </c>
      <c r="N528" s="6" t="n">
        <v>2025</v>
      </c>
      <c r="O528" s="5" t="inlineStr">
        <is>
          <t>2025-01</t>
        </is>
      </c>
    </row>
    <row r="529">
      <c r="A529" s="2" t="inlineStr">
        <is>
          <t>Z202_03A_012025_MASSENA.CSV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FILE202</t>
        </is>
      </c>
      <c r="F529" s="2" t="inlineStr">
        <is>
          <t>ZZ2</t>
        </is>
      </c>
      <c r="G529" s="3" t="inlineStr">
        <is>
          <t>0081</t>
        </is>
      </c>
      <c r="H529" s="4" t="n">
        <v>45691</v>
      </c>
      <c r="I529" s="2" t="inlineStr">
        <is>
          <t>12:19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5" t="n">
        <v>0</v>
      </c>
      <c r="N529" s="6" t="n">
        <v>2025</v>
      </c>
      <c r="O529" s="5" t="inlineStr">
        <is>
          <t>2025-01</t>
        </is>
      </c>
    </row>
    <row r="530">
      <c r="A530" s="2" t="inlineStr">
        <is>
          <t>Z202_03A_012025_MASSENA.CSV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FILE202</t>
        </is>
      </c>
      <c r="F530" s="2" t="inlineStr">
        <is>
          <t>ZZ2</t>
        </is>
      </c>
      <c r="G530" s="3" t="inlineStr">
        <is>
          <t>0081</t>
        </is>
      </c>
      <c r="H530" s="4" t="n">
        <v>45691</v>
      </c>
      <c r="I530" s="2" t="inlineStr">
        <is>
          <t>12:19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5" t="n">
        <v>0</v>
      </c>
      <c r="N530" s="6" t="n">
        <v>2025</v>
      </c>
      <c r="O530" s="5" t="inlineStr">
        <is>
          <t>2025-01</t>
        </is>
      </c>
    </row>
    <row r="531">
      <c r="A531" s="2" t="inlineStr">
        <is>
          <t>Z202_03A_012025_MASSENA.CSV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FILE202</t>
        </is>
      </c>
      <c r="F531" s="2" t="inlineStr">
        <is>
          <t>ZZ2</t>
        </is>
      </c>
      <c r="G531" s="3" t="inlineStr">
        <is>
          <t>0081</t>
        </is>
      </c>
      <c r="H531" s="4" t="n">
        <v>45691</v>
      </c>
      <c r="I531" s="2" t="inlineStr">
        <is>
          <t>12:19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5" t="n">
        <v>0</v>
      </c>
      <c r="N531" s="6" t="n">
        <v>2025</v>
      </c>
      <c r="O531" s="5" t="inlineStr">
        <is>
          <t>2025-01</t>
        </is>
      </c>
    </row>
    <row r="532">
      <c r="A532" s="2" t="inlineStr">
        <is>
          <t>Z202_03A_012025_MASSENA.CSV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FILE202</t>
        </is>
      </c>
      <c r="F532" s="2" t="inlineStr">
        <is>
          <t>ZZ2</t>
        </is>
      </c>
      <c r="G532" s="3" t="inlineStr">
        <is>
          <t>0081</t>
        </is>
      </c>
      <c r="H532" s="4" t="n">
        <v>45691</v>
      </c>
      <c r="I532" s="2" t="inlineStr">
        <is>
          <t>12:19</t>
        </is>
      </c>
      <c r="J532" s="3" t="inlineStr">
        <is>
          <t>0031</t>
        </is>
      </c>
      <c r="K532" s="2" t="inlineStr">
        <is>
          <t>REF./TIROIR</t>
        </is>
      </c>
      <c r="L532" s="5" t="n">
        <v>0</v>
      </c>
      <c r="M532" s="5" t="n">
        <v>0</v>
      </c>
      <c r="N532" s="6" t="n">
        <v>2025</v>
      </c>
      <c r="O532" s="5" t="inlineStr">
        <is>
          <t>2025-01</t>
        </is>
      </c>
    </row>
    <row r="533">
      <c r="A533" s="2" t="inlineStr">
        <is>
          <t>Z202_03A_012025_MASSENA.CSV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FILE202</t>
        </is>
      </c>
      <c r="F533" s="2" t="inlineStr">
        <is>
          <t>ZZ2</t>
        </is>
      </c>
      <c r="G533" s="3" t="inlineStr">
        <is>
          <t>0081</t>
        </is>
      </c>
      <c r="H533" s="4" t="n">
        <v>45691</v>
      </c>
      <c r="I533" s="2" t="inlineStr">
        <is>
          <t>12:19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5" t="n">
        <v>0</v>
      </c>
      <c r="N533" s="6" t="n">
        <v>2025</v>
      </c>
      <c r="O533" s="5" t="inlineStr">
        <is>
          <t>2025-01</t>
        </is>
      </c>
    </row>
    <row r="534">
      <c r="A534" s="2" t="inlineStr">
        <is>
          <t>Z202_03A_012025_MASSENA.CSV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FILE202</t>
        </is>
      </c>
      <c r="F534" s="2" t="inlineStr">
        <is>
          <t>ZZ2</t>
        </is>
      </c>
      <c r="G534" s="3" t="inlineStr">
        <is>
          <t>0081</t>
        </is>
      </c>
      <c r="H534" s="4" t="n">
        <v>45691</v>
      </c>
      <c r="I534" s="2" t="inlineStr">
        <is>
          <t>12:19</t>
        </is>
      </c>
      <c r="J534" s="3" t="inlineStr">
        <is>
          <t>0033</t>
        </is>
      </c>
      <c r="K534" s="2" t="inlineStr"/>
      <c r="L534" s="5" t="n">
        <v>0</v>
      </c>
      <c r="M534" s="5" t="n">
        <v>0</v>
      </c>
      <c r="N534" s="6" t="n">
        <v>2025</v>
      </c>
      <c r="O534" s="5" t="inlineStr">
        <is>
          <t>2025-01</t>
        </is>
      </c>
    </row>
    <row r="535">
      <c r="A535" s="2" t="inlineStr">
        <is>
          <t>Z202_03A_012025_MASSENA.CSV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FILE202</t>
        </is>
      </c>
      <c r="F535" s="2" t="inlineStr">
        <is>
          <t>ZZ2</t>
        </is>
      </c>
      <c r="G535" s="3" t="inlineStr">
        <is>
          <t>0081</t>
        </is>
      </c>
      <c r="H535" s="4" t="n">
        <v>45691</v>
      </c>
      <c r="I535" s="2" t="inlineStr">
        <is>
          <t>12:19</t>
        </is>
      </c>
      <c r="J535" s="3" t="inlineStr">
        <is>
          <t>0034</t>
        </is>
      </c>
      <c r="K535" s="2" t="inlineStr"/>
      <c r="L535" s="5" t="n">
        <v>0</v>
      </c>
      <c r="M535" s="5" t="n">
        <v>0</v>
      </c>
      <c r="N535" s="6" t="n">
        <v>2025</v>
      </c>
      <c r="O535" s="5" t="inlineStr">
        <is>
          <t>2025-01</t>
        </is>
      </c>
    </row>
    <row r="536">
      <c r="A536" s="2" t="inlineStr">
        <is>
          <t>Z202_03A_012025_MASSENA.CSV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FILE202</t>
        </is>
      </c>
      <c r="F536" s="2" t="inlineStr">
        <is>
          <t>ZZ2</t>
        </is>
      </c>
      <c r="G536" s="3" t="inlineStr">
        <is>
          <t>0081</t>
        </is>
      </c>
      <c r="H536" s="4" t="n">
        <v>45691</v>
      </c>
      <c r="I536" s="2" t="inlineStr">
        <is>
          <t>12:19</t>
        </is>
      </c>
      <c r="J536" s="3" t="inlineStr">
        <is>
          <t>0035</t>
        </is>
      </c>
      <c r="K536" s="2" t="inlineStr"/>
      <c r="L536" s="5" t="n">
        <v>0</v>
      </c>
      <c r="M536" s="5" t="n">
        <v>0</v>
      </c>
      <c r="N536" s="6" t="n">
        <v>2025</v>
      </c>
      <c r="O536" s="5" t="inlineStr">
        <is>
          <t>2025-01</t>
        </is>
      </c>
    </row>
    <row r="537">
      <c r="A537" s="2" t="inlineStr">
        <is>
          <t>Z202_03A_012025_MASSENA.CSV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FILE202</t>
        </is>
      </c>
      <c r="F537" s="2" t="inlineStr">
        <is>
          <t>ZZ2</t>
        </is>
      </c>
      <c r="G537" s="3" t="inlineStr">
        <is>
          <t>0081</t>
        </is>
      </c>
      <c r="H537" s="4" t="n">
        <v>45691</v>
      </c>
      <c r="I537" s="2" t="inlineStr">
        <is>
          <t>12:19</t>
        </is>
      </c>
      <c r="J537" s="3" t="inlineStr">
        <is>
          <t>0036</t>
        </is>
      </c>
      <c r="K537" s="2" t="inlineStr"/>
      <c r="L537" s="5" t="n">
        <v>0</v>
      </c>
      <c r="M537" s="5" t="n">
        <v>0</v>
      </c>
      <c r="N537" s="6" t="n">
        <v>2025</v>
      </c>
      <c r="O537" s="5" t="inlineStr">
        <is>
          <t>2025-01</t>
        </is>
      </c>
    </row>
    <row r="538">
      <c r="A538" s="2" t="inlineStr">
        <is>
          <t>Z202_03A_012025_MASSENA.CSV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FILE202</t>
        </is>
      </c>
      <c r="F538" s="2" t="inlineStr">
        <is>
          <t>ZZ2</t>
        </is>
      </c>
      <c r="G538" s="3" t="inlineStr">
        <is>
          <t>0081</t>
        </is>
      </c>
      <c r="H538" s="4" t="n">
        <v>45691</v>
      </c>
      <c r="I538" s="2" t="inlineStr">
        <is>
          <t>12:19</t>
        </is>
      </c>
      <c r="J538" s="3" t="inlineStr">
        <is>
          <t>0037</t>
        </is>
      </c>
      <c r="K538" s="2" t="inlineStr"/>
      <c r="L538" s="5" t="n">
        <v>0</v>
      </c>
      <c r="M538" s="5" t="n">
        <v>0</v>
      </c>
      <c r="N538" s="6" t="n">
        <v>2025</v>
      </c>
      <c r="O538" s="5" t="inlineStr">
        <is>
          <t>2025-01</t>
        </is>
      </c>
    </row>
    <row r="539">
      <c r="A539" s="2" t="inlineStr">
        <is>
          <t>Z202_03A_012025_MASSENA.CSV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FILE202</t>
        </is>
      </c>
      <c r="F539" s="2" t="inlineStr">
        <is>
          <t>ZZ2</t>
        </is>
      </c>
      <c r="G539" s="3" t="inlineStr">
        <is>
          <t>0081</t>
        </is>
      </c>
      <c r="H539" s="4" t="n">
        <v>45691</v>
      </c>
      <c r="I539" s="2" t="inlineStr">
        <is>
          <t>12:19</t>
        </is>
      </c>
      <c r="J539" s="3" t="inlineStr">
        <is>
          <t>0038</t>
        </is>
      </c>
      <c r="K539" s="2" t="inlineStr"/>
      <c r="L539" s="5" t="n">
        <v>0</v>
      </c>
      <c r="M539" s="5" t="n">
        <v>0</v>
      </c>
      <c r="N539" s="6" t="n">
        <v>2025</v>
      </c>
      <c r="O539" s="5" t="inlineStr">
        <is>
          <t>2025-01</t>
        </is>
      </c>
    </row>
    <row r="540">
      <c r="A540" s="2" t="inlineStr">
        <is>
          <t>Z202_03A_012025_MASSENA.CSV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FILE202</t>
        </is>
      </c>
      <c r="F540" s="2" t="inlineStr">
        <is>
          <t>ZZ2</t>
        </is>
      </c>
      <c r="G540" s="3" t="inlineStr">
        <is>
          <t>0081</t>
        </is>
      </c>
      <c r="H540" s="4" t="n">
        <v>45691</v>
      </c>
      <c r="I540" s="2" t="inlineStr">
        <is>
          <t>12:19</t>
        </is>
      </c>
      <c r="J540" s="3" t="inlineStr">
        <is>
          <t>0039</t>
        </is>
      </c>
      <c r="K540" s="2" t="inlineStr"/>
      <c r="L540" s="5" t="n">
        <v>0</v>
      </c>
      <c r="M540" s="5" t="n">
        <v>0</v>
      </c>
      <c r="N540" s="6" t="n">
        <v>2025</v>
      </c>
      <c r="O540" s="5" t="inlineStr">
        <is>
          <t>2025-01</t>
        </is>
      </c>
    </row>
    <row r="541">
      <c r="A541" s="2" t="inlineStr">
        <is>
          <t>Z202_03A_012025_MASSENA.CSV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FILE202</t>
        </is>
      </c>
      <c r="F541" s="2" t="inlineStr">
        <is>
          <t>ZZ2</t>
        </is>
      </c>
      <c r="G541" s="3" t="inlineStr">
        <is>
          <t>0081</t>
        </is>
      </c>
      <c r="H541" s="4" t="n">
        <v>45691</v>
      </c>
      <c r="I541" s="2" t="inlineStr">
        <is>
          <t>12:19</t>
        </is>
      </c>
      <c r="J541" s="3" t="inlineStr">
        <is>
          <t>0040</t>
        </is>
      </c>
      <c r="K541" s="2" t="inlineStr"/>
      <c r="L541" s="5" t="n">
        <v>0</v>
      </c>
      <c r="M541" s="5" t="n">
        <v>0</v>
      </c>
      <c r="N541" s="6" t="n">
        <v>2025</v>
      </c>
      <c r="O541" s="5" t="inlineStr">
        <is>
          <t>2025-01</t>
        </is>
      </c>
    </row>
    <row r="542">
      <c r="A542" s="2" t="inlineStr">
        <is>
          <t>Z202_03A_012025_MASSENA.CSV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FILE202</t>
        </is>
      </c>
      <c r="F542" s="2" t="inlineStr">
        <is>
          <t>ZZ2</t>
        </is>
      </c>
      <c r="G542" s="3" t="inlineStr">
        <is>
          <t>0081</t>
        </is>
      </c>
      <c r="H542" s="4" t="n">
        <v>45691</v>
      </c>
      <c r="I542" s="2" t="inlineStr">
        <is>
          <t>12:19</t>
        </is>
      </c>
      <c r="J542" s="3" t="inlineStr">
        <is>
          <t>0041</t>
        </is>
      </c>
      <c r="K542" s="2" t="inlineStr"/>
      <c r="L542" s="5" t="n">
        <v>0</v>
      </c>
      <c r="M542" s="5" t="n">
        <v>0</v>
      </c>
      <c r="N542" s="6" t="n">
        <v>2025</v>
      </c>
      <c r="O542" s="5" t="inlineStr">
        <is>
          <t>2025-01</t>
        </is>
      </c>
    </row>
    <row r="543">
      <c r="A543" s="2" t="inlineStr">
        <is>
          <t>Z202_03A_012025_MASSENA.CSV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FILE202</t>
        </is>
      </c>
      <c r="F543" s="2" t="inlineStr">
        <is>
          <t>ZZ2</t>
        </is>
      </c>
      <c r="G543" s="3" t="inlineStr">
        <is>
          <t>0081</t>
        </is>
      </c>
      <c r="H543" s="4" t="n">
        <v>45691</v>
      </c>
      <c r="I543" s="2" t="inlineStr">
        <is>
          <t>12:19</t>
        </is>
      </c>
      <c r="J543" s="3" t="inlineStr">
        <is>
          <t>0042</t>
        </is>
      </c>
      <c r="K543" s="2" t="inlineStr"/>
      <c r="L543" s="5" t="n">
        <v>0</v>
      </c>
      <c r="M543" s="5" t="n">
        <v>0</v>
      </c>
      <c r="N543" s="6" t="n">
        <v>2025</v>
      </c>
      <c r="O543" s="5" t="inlineStr">
        <is>
          <t>2025-01</t>
        </is>
      </c>
    </row>
    <row r="544">
      <c r="A544" s="2" t="inlineStr">
        <is>
          <t>Z202_03A_012025_MASSENA.CSV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FILE202</t>
        </is>
      </c>
      <c r="F544" s="2" t="inlineStr">
        <is>
          <t>ZZ2</t>
        </is>
      </c>
      <c r="G544" s="3" t="inlineStr">
        <is>
          <t>0081</t>
        </is>
      </c>
      <c r="H544" s="4" t="n">
        <v>45691</v>
      </c>
      <c r="I544" s="2" t="inlineStr">
        <is>
          <t>12:19</t>
        </is>
      </c>
      <c r="J544" s="3" t="inlineStr">
        <is>
          <t>0043</t>
        </is>
      </c>
      <c r="K544" s="2" t="inlineStr"/>
      <c r="L544" s="5" t="n">
        <v>0</v>
      </c>
      <c r="M544" s="5" t="n">
        <v>0</v>
      </c>
      <c r="N544" s="6" t="n">
        <v>2025</v>
      </c>
      <c r="O544" s="5" t="inlineStr">
        <is>
          <t>2025-01</t>
        </is>
      </c>
    </row>
    <row r="545">
      <c r="A545" s="2" t="inlineStr">
        <is>
          <t>Z202_03A_012025_MASSENA.CSV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FILE202</t>
        </is>
      </c>
      <c r="F545" s="2" t="inlineStr">
        <is>
          <t>ZZ2</t>
        </is>
      </c>
      <c r="G545" s="3" t="inlineStr">
        <is>
          <t>0081</t>
        </is>
      </c>
      <c r="H545" s="4" t="n">
        <v>45691</v>
      </c>
      <c r="I545" s="2" t="inlineStr">
        <is>
          <t>12:19</t>
        </is>
      </c>
      <c r="J545" s="3" t="inlineStr">
        <is>
          <t>0044</t>
        </is>
      </c>
      <c r="K545" s="2" t="inlineStr"/>
      <c r="L545" s="5" t="n">
        <v>0</v>
      </c>
      <c r="M545" s="5" t="n">
        <v>0</v>
      </c>
      <c r="N545" s="6" t="n">
        <v>2025</v>
      </c>
      <c r="O545" s="5" t="inlineStr">
        <is>
          <t>2025-01</t>
        </is>
      </c>
    </row>
    <row r="546">
      <c r="A546" s="2" t="inlineStr">
        <is>
          <t>Z202_03A_012025_MASSENA.CSV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FILE202</t>
        </is>
      </c>
      <c r="F546" s="2" t="inlineStr">
        <is>
          <t>ZZ2</t>
        </is>
      </c>
      <c r="G546" s="3" t="inlineStr">
        <is>
          <t>0081</t>
        </is>
      </c>
      <c r="H546" s="4" t="n">
        <v>45691</v>
      </c>
      <c r="I546" s="2" t="inlineStr">
        <is>
          <t>12:19</t>
        </is>
      </c>
      <c r="J546" s="3" t="inlineStr">
        <is>
          <t>0045</t>
        </is>
      </c>
      <c r="K546" s="2" t="inlineStr"/>
      <c r="L546" s="5" t="n">
        <v>0</v>
      </c>
      <c r="M546" s="5" t="n">
        <v>0</v>
      </c>
      <c r="N546" s="6" t="n">
        <v>2025</v>
      </c>
      <c r="O546" s="5" t="inlineStr">
        <is>
          <t>2025-01</t>
        </is>
      </c>
    </row>
    <row r="547">
      <c r="A547" s="2" t="inlineStr">
        <is>
          <t>Z202_03A_012025_MASSENA.CSV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FILE202</t>
        </is>
      </c>
      <c r="F547" s="2" t="inlineStr">
        <is>
          <t>ZZ2</t>
        </is>
      </c>
      <c r="G547" s="3" t="inlineStr">
        <is>
          <t>0081</t>
        </is>
      </c>
      <c r="H547" s="4" t="n">
        <v>45691</v>
      </c>
      <c r="I547" s="2" t="inlineStr">
        <is>
          <t>12:19</t>
        </is>
      </c>
      <c r="J547" s="3" t="inlineStr">
        <is>
          <t>0046</t>
        </is>
      </c>
      <c r="K547" s="2" t="inlineStr"/>
      <c r="L547" s="5" t="n">
        <v>0</v>
      </c>
      <c r="M547" s="5" t="n">
        <v>0</v>
      </c>
      <c r="N547" s="6" t="n">
        <v>2025</v>
      </c>
      <c r="O547" s="5" t="inlineStr">
        <is>
          <t>2025-01</t>
        </is>
      </c>
    </row>
    <row r="548">
      <c r="A548" s="2" t="inlineStr">
        <is>
          <t>Z202_03A_012025_MASSENA.CSV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FILE202</t>
        </is>
      </c>
      <c r="F548" s="2" t="inlineStr">
        <is>
          <t>ZZ2</t>
        </is>
      </c>
      <c r="G548" s="3" t="inlineStr">
        <is>
          <t>0081</t>
        </is>
      </c>
      <c r="H548" s="4" t="n">
        <v>45691</v>
      </c>
      <c r="I548" s="2" t="inlineStr">
        <is>
          <t>12:19</t>
        </is>
      </c>
      <c r="J548" s="3" t="inlineStr">
        <is>
          <t>0047</t>
        </is>
      </c>
      <c r="K548" s="2" t="inlineStr"/>
      <c r="L548" s="5" t="n">
        <v>0</v>
      </c>
      <c r="M548" s="5" t="n">
        <v>0</v>
      </c>
      <c r="N548" s="6" t="n">
        <v>2025</v>
      </c>
      <c r="O548" s="5" t="inlineStr">
        <is>
          <t>2025-01</t>
        </is>
      </c>
    </row>
    <row r="549">
      <c r="A549" s="2" t="inlineStr">
        <is>
          <t>Z202_03A_012025_MASSENA.CSV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FILE202</t>
        </is>
      </c>
      <c r="F549" s="2" t="inlineStr">
        <is>
          <t>ZZ2</t>
        </is>
      </c>
      <c r="G549" s="3" t="inlineStr">
        <is>
          <t>0081</t>
        </is>
      </c>
      <c r="H549" s="4" t="n">
        <v>45691</v>
      </c>
      <c r="I549" s="2" t="inlineStr">
        <is>
          <t>12:19</t>
        </is>
      </c>
      <c r="J549" s="3" t="inlineStr">
        <is>
          <t>0048</t>
        </is>
      </c>
      <c r="K549" s="2" t="inlineStr"/>
      <c r="L549" s="5" t="n">
        <v>0</v>
      </c>
      <c r="M549" s="5" t="n">
        <v>0</v>
      </c>
      <c r="N549" s="6" t="n">
        <v>2025</v>
      </c>
      <c r="O549" s="5" t="inlineStr">
        <is>
          <t>2025-01</t>
        </is>
      </c>
    </row>
    <row r="550">
      <c r="A550" s="2" t="inlineStr">
        <is>
          <t>Z202_03A_012025_MASSENA.CSV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FILE202</t>
        </is>
      </c>
      <c r="F550" s="2" t="inlineStr">
        <is>
          <t>ZZ2</t>
        </is>
      </c>
      <c r="G550" s="3" t="inlineStr">
        <is>
          <t>0081</t>
        </is>
      </c>
      <c r="H550" s="4" t="n">
        <v>45691</v>
      </c>
      <c r="I550" s="2" t="inlineStr">
        <is>
          <t>12:19</t>
        </is>
      </c>
      <c r="J550" s="3" t="inlineStr">
        <is>
          <t>0049</t>
        </is>
      </c>
      <c r="K550" s="2" t="inlineStr"/>
      <c r="L550" s="5" t="n">
        <v>0</v>
      </c>
      <c r="M550" s="5" t="n">
        <v>0</v>
      </c>
      <c r="N550" s="6" t="n">
        <v>2025</v>
      </c>
      <c r="O550" s="5" t="inlineStr">
        <is>
          <t>2025-01</t>
        </is>
      </c>
    </row>
    <row r="551">
      <c r="A551" s="2" t="inlineStr">
        <is>
          <t>Z202_03A_012025_MASSENA.CSV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FILE202</t>
        </is>
      </c>
      <c r="F551" s="2" t="inlineStr">
        <is>
          <t>ZZ2</t>
        </is>
      </c>
      <c r="G551" s="3" t="inlineStr">
        <is>
          <t>0081</t>
        </is>
      </c>
      <c r="H551" s="4" t="n">
        <v>45691</v>
      </c>
      <c r="I551" s="2" t="inlineStr">
        <is>
          <t>12:19</t>
        </is>
      </c>
      <c r="J551" s="3" t="inlineStr">
        <is>
          <t>0050</t>
        </is>
      </c>
      <c r="K551" s="2" t="inlineStr"/>
      <c r="L551" s="5" t="n">
        <v>0</v>
      </c>
      <c r="M551" s="5" t="n">
        <v>0</v>
      </c>
      <c r="N551" s="6" t="n">
        <v>2025</v>
      </c>
      <c r="O551" s="5" t="inlineStr">
        <is>
          <t>2025-01</t>
        </is>
      </c>
    </row>
    <row r="552">
      <c r="A552" s="2" t="inlineStr">
        <is>
          <t>Z202_29A_032025_MASSENA.CSV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FILE202</t>
        </is>
      </c>
      <c r="F552" s="2" t="inlineStr">
        <is>
          <t>ZZ2</t>
        </is>
      </c>
      <c r="G552" s="3" t="inlineStr">
        <is>
          <t>0083</t>
        </is>
      </c>
      <c r="H552" s="4" t="n">
        <v>45745</v>
      </c>
      <c r="I552" s="2" t="inlineStr">
        <is>
          <t>23:25</t>
        </is>
      </c>
      <c r="J552" s="3" t="inlineStr">
        <is>
          <t>0001</t>
        </is>
      </c>
      <c r="K552" s="2" t="inlineStr">
        <is>
          <t>ESPECES</t>
        </is>
      </c>
      <c r="L552" s="5" t="n">
        <v>21</v>
      </c>
      <c r="M552" s="5" t="n">
        <v>11051.7</v>
      </c>
      <c r="N552" s="6" t="n">
        <v>2025</v>
      </c>
      <c r="O552" s="5" t="inlineStr">
        <is>
          <t>2025-03</t>
        </is>
      </c>
    </row>
    <row r="553">
      <c r="A553" s="2" t="inlineStr">
        <is>
          <t>Z202_29A_032025_MASSENA.CSV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FILE202</t>
        </is>
      </c>
      <c r="F553" s="2" t="inlineStr">
        <is>
          <t>ZZ2</t>
        </is>
      </c>
      <c r="G553" s="3" t="inlineStr">
        <is>
          <t>0083</t>
        </is>
      </c>
      <c r="H553" s="4" t="n">
        <v>45745</v>
      </c>
      <c r="I553" s="2" t="inlineStr">
        <is>
          <t>23:25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5" t="n">
        <v>0</v>
      </c>
      <c r="N553" s="6" t="n">
        <v>2025</v>
      </c>
      <c r="O553" s="5" t="inlineStr">
        <is>
          <t>2025-03</t>
        </is>
      </c>
    </row>
    <row r="554">
      <c r="A554" s="2" t="inlineStr">
        <is>
          <t>Z202_29A_032025_MASSENA.CSV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FILE202</t>
        </is>
      </c>
      <c r="F554" s="2" t="inlineStr">
        <is>
          <t>ZZ2</t>
        </is>
      </c>
      <c r="G554" s="3" t="inlineStr">
        <is>
          <t>0083</t>
        </is>
      </c>
      <c r="H554" s="4" t="n">
        <v>45745</v>
      </c>
      <c r="I554" s="2" t="inlineStr">
        <is>
          <t>23:25</t>
        </is>
      </c>
      <c r="J554" s="3" t="inlineStr">
        <is>
          <t>0003</t>
        </is>
      </c>
      <c r="K554" s="2" t="inlineStr">
        <is>
          <t>CARTES</t>
        </is>
      </c>
      <c r="L554" s="5" t="n">
        <v>9</v>
      </c>
      <c r="M554" s="5" t="n">
        <v>9581</v>
      </c>
      <c r="N554" s="6" t="n">
        <v>2025</v>
      </c>
      <c r="O554" s="5" t="inlineStr">
        <is>
          <t>2025-03</t>
        </is>
      </c>
    </row>
    <row r="555">
      <c r="A555" s="2" t="inlineStr">
        <is>
          <t>Z202_29A_032025_MASSENA.CSV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FILE202</t>
        </is>
      </c>
      <c r="F555" s="2" t="inlineStr">
        <is>
          <t>ZZ2</t>
        </is>
      </c>
      <c r="G555" s="3" t="inlineStr">
        <is>
          <t>0083</t>
        </is>
      </c>
      <c r="H555" s="4" t="n">
        <v>45745</v>
      </c>
      <c r="I555" s="2" t="inlineStr">
        <is>
          <t>23:25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5" t="n">
        <v>0</v>
      </c>
      <c r="N555" s="6" t="n">
        <v>2025</v>
      </c>
      <c r="O555" s="5" t="inlineStr">
        <is>
          <t>2025-03</t>
        </is>
      </c>
    </row>
    <row r="556">
      <c r="A556" s="2" t="inlineStr">
        <is>
          <t>Z202_29A_032025_MASSENA.CSV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FILE202</t>
        </is>
      </c>
      <c r="F556" s="2" t="inlineStr">
        <is>
          <t>ZZ2</t>
        </is>
      </c>
      <c r="G556" s="3" t="inlineStr">
        <is>
          <t>0083</t>
        </is>
      </c>
      <c r="H556" s="4" t="n">
        <v>45745</v>
      </c>
      <c r="I556" s="2" t="inlineStr">
        <is>
          <t>23:25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5" t="n">
        <v>0</v>
      </c>
      <c r="N556" s="6" t="n">
        <v>2025</v>
      </c>
      <c r="O556" s="5" t="inlineStr">
        <is>
          <t>2025-03</t>
        </is>
      </c>
    </row>
    <row r="557">
      <c r="A557" s="2" t="inlineStr">
        <is>
          <t>Z202_29A_032025_MASSENA.CSV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FILE202</t>
        </is>
      </c>
      <c r="F557" s="2" t="inlineStr">
        <is>
          <t>ZZ2</t>
        </is>
      </c>
      <c r="G557" s="3" t="inlineStr">
        <is>
          <t>0083</t>
        </is>
      </c>
      <c r="H557" s="4" t="n">
        <v>45745</v>
      </c>
      <c r="I557" s="2" t="inlineStr">
        <is>
          <t>23:25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5" t="n">
        <v>0</v>
      </c>
      <c r="N557" s="6" t="n">
        <v>2025</v>
      </c>
      <c r="O557" s="5" t="inlineStr">
        <is>
          <t>2025-03</t>
        </is>
      </c>
    </row>
    <row r="558">
      <c r="A558" s="2" t="inlineStr">
        <is>
          <t>Z202_29A_032025_MASSENA.CSV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FILE202</t>
        </is>
      </c>
      <c r="F558" s="2" t="inlineStr">
        <is>
          <t>ZZ2</t>
        </is>
      </c>
      <c r="G558" s="3" t="inlineStr">
        <is>
          <t>0083</t>
        </is>
      </c>
      <c r="H558" s="4" t="n">
        <v>45745</v>
      </c>
      <c r="I558" s="2" t="inlineStr">
        <is>
          <t>23:25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5" t="n">
        <v>0</v>
      </c>
      <c r="N558" s="6" t="n">
        <v>2025</v>
      </c>
      <c r="O558" s="5" t="inlineStr">
        <is>
          <t>2025-03</t>
        </is>
      </c>
    </row>
    <row r="559">
      <c r="A559" s="2" t="inlineStr">
        <is>
          <t>Z202_29A_032025_MASSENA.CSV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FILE202</t>
        </is>
      </c>
      <c r="F559" s="2" t="inlineStr">
        <is>
          <t>ZZ2</t>
        </is>
      </c>
      <c r="G559" s="3" t="inlineStr">
        <is>
          <t>0083</t>
        </is>
      </c>
      <c r="H559" s="4" t="n">
        <v>45745</v>
      </c>
      <c r="I559" s="2" t="inlineStr">
        <is>
          <t>23:25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5" t="n">
        <v>0</v>
      </c>
      <c r="N559" s="6" t="n">
        <v>2025</v>
      </c>
      <c r="O559" s="5" t="inlineStr">
        <is>
          <t>2025-03</t>
        </is>
      </c>
    </row>
    <row r="560">
      <c r="A560" s="2" t="inlineStr">
        <is>
          <t>Z202_29A_032025_MASSENA.CSV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FILE202</t>
        </is>
      </c>
      <c r="F560" s="2" t="inlineStr">
        <is>
          <t>ZZ2</t>
        </is>
      </c>
      <c r="G560" s="3" t="inlineStr">
        <is>
          <t>0083</t>
        </is>
      </c>
      <c r="H560" s="4" t="n">
        <v>45745</v>
      </c>
      <c r="I560" s="2" t="inlineStr">
        <is>
          <t>23:25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5" t="n">
        <v>0</v>
      </c>
      <c r="N560" s="6" t="n">
        <v>2025</v>
      </c>
      <c r="O560" s="5" t="inlineStr">
        <is>
          <t>2025-03</t>
        </is>
      </c>
    </row>
    <row r="561">
      <c r="A561" s="2" t="inlineStr">
        <is>
          <t>Z202_29A_032025_MASSENA.CSV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FILE202</t>
        </is>
      </c>
      <c r="F561" s="2" t="inlineStr">
        <is>
          <t>ZZ2</t>
        </is>
      </c>
      <c r="G561" s="3" t="inlineStr">
        <is>
          <t>0083</t>
        </is>
      </c>
      <c r="H561" s="4" t="n">
        <v>45745</v>
      </c>
      <c r="I561" s="2" t="inlineStr">
        <is>
          <t>23:25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5" t="n">
        <v>0</v>
      </c>
      <c r="N561" s="6" t="n">
        <v>2025</v>
      </c>
      <c r="O561" s="5" t="inlineStr">
        <is>
          <t>2025-03</t>
        </is>
      </c>
    </row>
    <row r="562">
      <c r="A562" s="2" t="inlineStr">
        <is>
          <t>Z202_29A_032025_MASSENA.CSV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FILE202</t>
        </is>
      </c>
      <c r="F562" s="2" t="inlineStr">
        <is>
          <t>ZZ2</t>
        </is>
      </c>
      <c r="G562" s="3" t="inlineStr">
        <is>
          <t>0083</t>
        </is>
      </c>
      <c r="H562" s="4" t="n">
        <v>45745</v>
      </c>
      <c r="I562" s="2" t="inlineStr">
        <is>
          <t>23:25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5" t="n">
        <v>0</v>
      </c>
      <c r="N562" s="6" t="n">
        <v>2025</v>
      </c>
      <c r="O562" s="5" t="inlineStr">
        <is>
          <t>2025-03</t>
        </is>
      </c>
    </row>
    <row r="563">
      <c r="A563" s="2" t="inlineStr">
        <is>
          <t>Z202_29A_032025_MASSENA.CSV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FILE202</t>
        </is>
      </c>
      <c r="F563" s="2" t="inlineStr">
        <is>
          <t>ZZ2</t>
        </is>
      </c>
      <c r="G563" s="3" t="inlineStr">
        <is>
          <t>0083</t>
        </is>
      </c>
      <c r="H563" s="4" t="n">
        <v>45745</v>
      </c>
      <c r="I563" s="2" t="inlineStr">
        <is>
          <t>23:25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5" t="n">
        <v>0</v>
      </c>
      <c r="N563" s="6" t="n">
        <v>2025</v>
      </c>
      <c r="O563" s="5" t="inlineStr">
        <is>
          <t>2025-03</t>
        </is>
      </c>
    </row>
    <row r="564">
      <c r="A564" s="2" t="inlineStr">
        <is>
          <t>Z202_29A_032025_MASSENA.CSV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FILE202</t>
        </is>
      </c>
      <c r="F564" s="2" t="inlineStr">
        <is>
          <t>ZZ2</t>
        </is>
      </c>
      <c r="G564" s="3" t="inlineStr">
        <is>
          <t>0083</t>
        </is>
      </c>
      <c r="H564" s="4" t="n">
        <v>45745</v>
      </c>
      <c r="I564" s="2" t="inlineStr">
        <is>
          <t>23:25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5" t="n">
        <v>0</v>
      </c>
      <c r="N564" s="6" t="n">
        <v>2025</v>
      </c>
      <c r="O564" s="5" t="inlineStr">
        <is>
          <t>2025-03</t>
        </is>
      </c>
    </row>
    <row r="565">
      <c r="A565" s="2" t="inlineStr">
        <is>
          <t>Z202_29A_032025_MASSENA.CSV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FILE202</t>
        </is>
      </c>
      <c r="F565" s="2" t="inlineStr">
        <is>
          <t>ZZ2</t>
        </is>
      </c>
      <c r="G565" s="3" t="inlineStr">
        <is>
          <t>0083</t>
        </is>
      </c>
      <c r="H565" s="4" t="n">
        <v>45745</v>
      </c>
      <c r="I565" s="2" t="inlineStr">
        <is>
          <t>23:25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5" t="n">
        <v>0</v>
      </c>
      <c r="N565" s="6" t="n">
        <v>2025</v>
      </c>
      <c r="O565" s="5" t="inlineStr">
        <is>
          <t>2025-03</t>
        </is>
      </c>
    </row>
    <row r="566">
      <c r="A566" s="2" t="inlineStr">
        <is>
          <t>Z202_29A_032025_MASSENA.CSV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FILE202</t>
        </is>
      </c>
      <c r="F566" s="2" t="inlineStr">
        <is>
          <t>ZZ2</t>
        </is>
      </c>
      <c r="G566" s="3" t="inlineStr">
        <is>
          <t>0083</t>
        </is>
      </c>
      <c r="H566" s="4" t="n">
        <v>45745</v>
      </c>
      <c r="I566" s="2" t="inlineStr">
        <is>
          <t>23:25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5" t="n">
        <v>0</v>
      </c>
      <c r="N566" s="6" t="n">
        <v>2025</v>
      </c>
      <c r="O566" s="5" t="inlineStr">
        <is>
          <t>2025-03</t>
        </is>
      </c>
    </row>
    <row r="567">
      <c r="A567" s="2" t="inlineStr">
        <is>
          <t>Z202_29A_032025_MASSENA.CSV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FILE202</t>
        </is>
      </c>
      <c r="F567" s="2" t="inlineStr">
        <is>
          <t>ZZ2</t>
        </is>
      </c>
      <c r="G567" s="3" t="inlineStr">
        <is>
          <t>0083</t>
        </is>
      </c>
      <c r="H567" s="4" t="n">
        <v>45745</v>
      </c>
      <c r="I567" s="2" t="inlineStr">
        <is>
          <t>23:25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5" t="n">
        <v>0</v>
      </c>
      <c r="N567" s="6" t="n">
        <v>2025</v>
      </c>
      <c r="O567" s="5" t="inlineStr">
        <is>
          <t>2025-03</t>
        </is>
      </c>
    </row>
    <row r="568">
      <c r="A568" s="2" t="inlineStr">
        <is>
          <t>Z202_29A_032025_MASSENA.CSV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FILE202</t>
        </is>
      </c>
      <c r="F568" s="2" t="inlineStr">
        <is>
          <t>ZZ2</t>
        </is>
      </c>
      <c r="G568" s="3" t="inlineStr">
        <is>
          <t>0083</t>
        </is>
      </c>
      <c r="H568" s="4" t="n">
        <v>45745</v>
      </c>
      <c r="I568" s="2" t="inlineStr">
        <is>
          <t>23:25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5" t="n">
        <v>0</v>
      </c>
      <c r="N568" s="6" t="n">
        <v>2025</v>
      </c>
      <c r="O568" s="5" t="inlineStr">
        <is>
          <t>2025-03</t>
        </is>
      </c>
    </row>
    <row r="569">
      <c r="A569" s="2" t="inlineStr">
        <is>
          <t>Z202_29A_032025_MASSENA.CSV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FILE202</t>
        </is>
      </c>
      <c r="F569" s="2" t="inlineStr">
        <is>
          <t>ZZ2</t>
        </is>
      </c>
      <c r="G569" s="3" t="inlineStr">
        <is>
          <t>0083</t>
        </is>
      </c>
      <c r="H569" s="4" t="n">
        <v>45745</v>
      </c>
      <c r="I569" s="2" t="inlineStr">
        <is>
          <t>23:25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5" t="n">
        <v>0</v>
      </c>
      <c r="N569" s="6" t="n">
        <v>2025</v>
      </c>
      <c r="O569" s="5" t="inlineStr">
        <is>
          <t>2025-03</t>
        </is>
      </c>
    </row>
    <row r="570">
      <c r="A570" s="2" t="inlineStr">
        <is>
          <t>Z202_29A_032025_MASSENA.CSV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FILE202</t>
        </is>
      </c>
      <c r="F570" s="2" t="inlineStr">
        <is>
          <t>ZZ2</t>
        </is>
      </c>
      <c r="G570" s="3" t="inlineStr">
        <is>
          <t>0083</t>
        </is>
      </c>
      <c r="H570" s="4" t="n">
        <v>45745</v>
      </c>
      <c r="I570" s="2" t="inlineStr">
        <is>
          <t>23:25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5" t="n">
        <v>0</v>
      </c>
      <c r="N570" s="6" t="n">
        <v>2025</v>
      </c>
      <c r="O570" s="5" t="inlineStr">
        <is>
          <t>2025-03</t>
        </is>
      </c>
    </row>
    <row r="571">
      <c r="A571" s="2" t="inlineStr">
        <is>
          <t>Z202_29A_032025_MASSENA.CSV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FILE202</t>
        </is>
      </c>
      <c r="F571" s="2" t="inlineStr">
        <is>
          <t>ZZ2</t>
        </is>
      </c>
      <c r="G571" s="3" t="inlineStr">
        <is>
          <t>0083</t>
        </is>
      </c>
      <c r="H571" s="4" t="n">
        <v>45745</v>
      </c>
      <c r="I571" s="2" t="inlineStr">
        <is>
          <t>23:25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5" t="n">
        <v>0</v>
      </c>
      <c r="N571" s="6" t="n">
        <v>2025</v>
      </c>
      <c r="O571" s="5" t="inlineStr">
        <is>
          <t>2025-03</t>
        </is>
      </c>
    </row>
    <row r="572">
      <c r="A572" s="2" t="inlineStr">
        <is>
          <t>Z202_29A_032025_MASSENA.CSV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FILE202</t>
        </is>
      </c>
      <c r="F572" s="2" t="inlineStr">
        <is>
          <t>ZZ2</t>
        </is>
      </c>
      <c r="G572" s="3" t="inlineStr">
        <is>
          <t>0083</t>
        </is>
      </c>
      <c r="H572" s="4" t="n">
        <v>45745</v>
      </c>
      <c r="I572" s="2" t="inlineStr">
        <is>
          <t>23:25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5" t="n">
        <v>0</v>
      </c>
      <c r="N572" s="6" t="n">
        <v>2025</v>
      </c>
      <c r="O572" s="5" t="inlineStr">
        <is>
          <t>2025-03</t>
        </is>
      </c>
    </row>
    <row r="573">
      <c r="A573" s="2" t="inlineStr">
        <is>
          <t>Z202_29A_032025_MASSENA.CSV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FILE202</t>
        </is>
      </c>
      <c r="F573" s="2" t="inlineStr">
        <is>
          <t>ZZ2</t>
        </is>
      </c>
      <c r="G573" s="3" t="inlineStr">
        <is>
          <t>0083</t>
        </is>
      </c>
      <c r="H573" s="4" t="n">
        <v>45745</v>
      </c>
      <c r="I573" s="2" t="inlineStr">
        <is>
          <t>23:25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5" t="n">
        <v>0</v>
      </c>
      <c r="N573" s="6" t="n">
        <v>2025</v>
      </c>
      <c r="O573" s="5" t="inlineStr">
        <is>
          <t>2025-03</t>
        </is>
      </c>
    </row>
    <row r="574">
      <c r="A574" s="2" t="inlineStr">
        <is>
          <t>Z202_29A_032025_MASSENA.CSV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FILE202</t>
        </is>
      </c>
      <c r="F574" s="2" t="inlineStr">
        <is>
          <t>ZZ2</t>
        </is>
      </c>
      <c r="G574" s="3" t="inlineStr">
        <is>
          <t>0083</t>
        </is>
      </c>
      <c r="H574" s="4" t="n">
        <v>45745</v>
      </c>
      <c r="I574" s="2" t="inlineStr">
        <is>
          <t>23:25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5" t="n">
        <v>0</v>
      </c>
      <c r="N574" s="6" t="n">
        <v>2025</v>
      </c>
      <c r="O574" s="5" t="inlineStr">
        <is>
          <t>2025-03</t>
        </is>
      </c>
    </row>
    <row r="575">
      <c r="A575" s="2" t="inlineStr">
        <is>
          <t>Z202_29A_032025_MASSENA.CSV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FILE202</t>
        </is>
      </c>
      <c r="F575" s="2" t="inlineStr">
        <is>
          <t>ZZ2</t>
        </is>
      </c>
      <c r="G575" s="3" t="inlineStr">
        <is>
          <t>0083</t>
        </is>
      </c>
      <c r="H575" s="4" t="n">
        <v>45745</v>
      </c>
      <c r="I575" s="2" t="inlineStr">
        <is>
          <t>23:25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5" t="n">
        <v>0</v>
      </c>
      <c r="N575" s="6" t="n">
        <v>2025</v>
      </c>
      <c r="O575" s="5" t="inlineStr">
        <is>
          <t>2025-03</t>
        </is>
      </c>
    </row>
    <row r="576">
      <c r="A576" s="2" t="inlineStr">
        <is>
          <t>Z202_29A_032025_MASSENA.CSV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FILE202</t>
        </is>
      </c>
      <c r="F576" s="2" t="inlineStr">
        <is>
          <t>ZZ2</t>
        </is>
      </c>
      <c r="G576" s="3" t="inlineStr">
        <is>
          <t>0083</t>
        </is>
      </c>
      <c r="H576" s="4" t="n">
        <v>45745</v>
      </c>
      <c r="I576" s="2" t="inlineStr">
        <is>
          <t>23:25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5" t="n">
        <v>0</v>
      </c>
      <c r="N576" s="6" t="n">
        <v>2025</v>
      </c>
      <c r="O576" s="5" t="inlineStr">
        <is>
          <t>2025-03</t>
        </is>
      </c>
    </row>
    <row r="577">
      <c r="A577" s="2" t="inlineStr">
        <is>
          <t>Z202_29A_032025_MASSENA.CSV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FILE202</t>
        </is>
      </c>
      <c r="F577" s="2" t="inlineStr">
        <is>
          <t>ZZ2</t>
        </is>
      </c>
      <c r="G577" s="3" t="inlineStr">
        <is>
          <t>0083</t>
        </is>
      </c>
      <c r="H577" s="4" t="n">
        <v>45745</v>
      </c>
      <c r="I577" s="2" t="inlineStr">
        <is>
          <t>23:25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5" t="n">
        <v>0</v>
      </c>
      <c r="N577" s="6" t="n">
        <v>2025</v>
      </c>
      <c r="O577" s="5" t="inlineStr">
        <is>
          <t>2025-03</t>
        </is>
      </c>
    </row>
    <row r="578">
      <c r="A578" s="2" t="inlineStr">
        <is>
          <t>Z202_29A_032025_MASSENA.CSV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FILE202</t>
        </is>
      </c>
      <c r="F578" s="2" t="inlineStr">
        <is>
          <t>ZZ2</t>
        </is>
      </c>
      <c r="G578" s="3" t="inlineStr">
        <is>
          <t>0083</t>
        </is>
      </c>
      <c r="H578" s="4" t="n">
        <v>45745</v>
      </c>
      <c r="I578" s="2" t="inlineStr">
        <is>
          <t>23:25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5" t="n">
        <v>0</v>
      </c>
      <c r="N578" s="6" t="n">
        <v>2025</v>
      </c>
      <c r="O578" s="5" t="inlineStr">
        <is>
          <t>2025-03</t>
        </is>
      </c>
    </row>
    <row r="579">
      <c r="A579" s="2" t="inlineStr">
        <is>
          <t>Z202_29A_032025_MASSENA.CSV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FILE202</t>
        </is>
      </c>
      <c r="F579" s="2" t="inlineStr">
        <is>
          <t>ZZ2</t>
        </is>
      </c>
      <c r="G579" s="3" t="inlineStr">
        <is>
          <t>0083</t>
        </is>
      </c>
      <c r="H579" s="4" t="n">
        <v>45745</v>
      </c>
      <c r="I579" s="2" t="inlineStr">
        <is>
          <t>23:25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5" t="n">
        <v>0</v>
      </c>
      <c r="N579" s="6" t="n">
        <v>2025</v>
      </c>
      <c r="O579" s="5" t="inlineStr">
        <is>
          <t>2025-03</t>
        </is>
      </c>
    </row>
    <row r="580">
      <c r="A580" s="2" t="inlineStr">
        <is>
          <t>Z202_29A_032025_MASSENA.CSV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FILE202</t>
        </is>
      </c>
      <c r="F580" s="2" t="inlineStr">
        <is>
          <t>ZZ2</t>
        </is>
      </c>
      <c r="G580" s="3" t="inlineStr">
        <is>
          <t>0083</t>
        </is>
      </c>
      <c r="H580" s="4" t="n">
        <v>45745</v>
      </c>
      <c r="I580" s="2" t="inlineStr">
        <is>
          <t>23:25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5" t="n">
        <v>0</v>
      </c>
      <c r="N580" s="6" t="n">
        <v>2025</v>
      </c>
      <c r="O580" s="5" t="inlineStr">
        <is>
          <t>2025-03</t>
        </is>
      </c>
    </row>
    <row r="581">
      <c r="A581" s="2" t="inlineStr">
        <is>
          <t>Z202_29A_032025_MASSENA.CSV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FILE202</t>
        </is>
      </c>
      <c r="F581" s="2" t="inlineStr">
        <is>
          <t>ZZ2</t>
        </is>
      </c>
      <c r="G581" s="3" t="inlineStr">
        <is>
          <t>0083</t>
        </is>
      </c>
      <c r="H581" s="4" t="n">
        <v>45745</v>
      </c>
      <c r="I581" s="2" t="inlineStr">
        <is>
          <t>23:25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5" t="n">
        <v>0</v>
      </c>
      <c r="N581" s="6" t="n">
        <v>2025</v>
      </c>
      <c r="O581" s="5" t="inlineStr">
        <is>
          <t>2025-03</t>
        </is>
      </c>
    </row>
    <row r="582">
      <c r="A582" s="2" t="inlineStr">
        <is>
          <t>Z202_29A_032025_MASSENA.CSV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FILE202</t>
        </is>
      </c>
      <c r="F582" s="2" t="inlineStr">
        <is>
          <t>ZZ2</t>
        </is>
      </c>
      <c r="G582" s="3" t="inlineStr">
        <is>
          <t>0083</t>
        </is>
      </c>
      <c r="H582" s="4" t="n">
        <v>45745</v>
      </c>
      <c r="I582" s="2" t="inlineStr">
        <is>
          <t>23:25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5" t="n">
        <v>0</v>
      </c>
      <c r="N582" s="6" t="n">
        <v>2025</v>
      </c>
      <c r="O582" s="5" t="inlineStr">
        <is>
          <t>2025-03</t>
        </is>
      </c>
    </row>
    <row r="583">
      <c r="A583" s="2" t="inlineStr">
        <is>
          <t>Z202_29A_032025_MASSENA.CSV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FILE202</t>
        </is>
      </c>
      <c r="F583" s="2" t="inlineStr">
        <is>
          <t>ZZ2</t>
        </is>
      </c>
      <c r="G583" s="3" t="inlineStr">
        <is>
          <t>0083</t>
        </is>
      </c>
      <c r="H583" s="4" t="n">
        <v>45745</v>
      </c>
      <c r="I583" s="2" t="inlineStr">
        <is>
          <t>23:25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5" t="n">
        <v>0</v>
      </c>
      <c r="N583" s="6" t="n">
        <v>2025</v>
      </c>
      <c r="O583" s="5" t="inlineStr">
        <is>
          <t>2025-03</t>
        </is>
      </c>
    </row>
    <row r="584">
      <c r="A584" s="2" t="inlineStr">
        <is>
          <t>Z202_29A_032025_MASSENA.CSV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FILE202</t>
        </is>
      </c>
      <c r="F584" s="2" t="inlineStr">
        <is>
          <t>ZZ2</t>
        </is>
      </c>
      <c r="G584" s="3" t="inlineStr">
        <is>
          <t>0083</t>
        </is>
      </c>
      <c r="H584" s="4" t="n">
        <v>45745</v>
      </c>
      <c r="I584" s="2" t="inlineStr">
        <is>
          <t>23:25</t>
        </is>
      </c>
      <c r="J584" s="3" t="inlineStr">
        <is>
          <t>0033</t>
        </is>
      </c>
      <c r="K584" s="2" t="inlineStr"/>
      <c r="L584" s="5" t="n">
        <v>0</v>
      </c>
      <c r="M584" s="5" t="n">
        <v>0</v>
      </c>
      <c r="N584" s="6" t="n">
        <v>2025</v>
      </c>
      <c r="O584" s="5" t="inlineStr">
        <is>
          <t>2025-03</t>
        </is>
      </c>
    </row>
    <row r="585">
      <c r="A585" s="2" t="inlineStr">
        <is>
          <t>Z202_29A_032025_MASSENA.CSV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FILE202</t>
        </is>
      </c>
      <c r="F585" s="2" t="inlineStr">
        <is>
          <t>ZZ2</t>
        </is>
      </c>
      <c r="G585" s="3" t="inlineStr">
        <is>
          <t>0083</t>
        </is>
      </c>
      <c r="H585" s="4" t="n">
        <v>45745</v>
      </c>
      <c r="I585" s="2" t="inlineStr">
        <is>
          <t>23:25</t>
        </is>
      </c>
      <c r="J585" s="3" t="inlineStr">
        <is>
          <t>0034</t>
        </is>
      </c>
      <c r="K585" s="2" t="inlineStr"/>
      <c r="L585" s="5" t="n">
        <v>0</v>
      </c>
      <c r="M585" s="5" t="n">
        <v>0</v>
      </c>
      <c r="N585" s="6" t="n">
        <v>2025</v>
      </c>
      <c r="O585" s="5" t="inlineStr">
        <is>
          <t>2025-03</t>
        </is>
      </c>
    </row>
    <row r="586">
      <c r="A586" s="2" t="inlineStr">
        <is>
          <t>Z202_29A_032025_MASSENA.CSV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FILE202</t>
        </is>
      </c>
      <c r="F586" s="2" t="inlineStr">
        <is>
          <t>ZZ2</t>
        </is>
      </c>
      <c r="G586" s="3" t="inlineStr">
        <is>
          <t>0083</t>
        </is>
      </c>
      <c r="H586" s="4" t="n">
        <v>45745</v>
      </c>
      <c r="I586" s="2" t="inlineStr">
        <is>
          <t>23:25</t>
        </is>
      </c>
      <c r="J586" s="3" t="inlineStr">
        <is>
          <t>0035</t>
        </is>
      </c>
      <c r="K586" s="2" t="inlineStr"/>
      <c r="L586" s="5" t="n">
        <v>0</v>
      </c>
      <c r="M586" s="5" t="n">
        <v>0</v>
      </c>
      <c r="N586" s="6" t="n">
        <v>2025</v>
      </c>
      <c r="O586" s="5" t="inlineStr">
        <is>
          <t>2025-03</t>
        </is>
      </c>
    </row>
    <row r="587">
      <c r="A587" s="2" t="inlineStr">
        <is>
          <t>Z202_29A_032025_MASSENA.CSV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FILE202</t>
        </is>
      </c>
      <c r="F587" s="2" t="inlineStr">
        <is>
          <t>ZZ2</t>
        </is>
      </c>
      <c r="G587" s="3" t="inlineStr">
        <is>
          <t>0083</t>
        </is>
      </c>
      <c r="H587" s="4" t="n">
        <v>45745</v>
      </c>
      <c r="I587" s="2" t="inlineStr">
        <is>
          <t>23:25</t>
        </is>
      </c>
      <c r="J587" s="3" t="inlineStr">
        <is>
          <t>0036</t>
        </is>
      </c>
      <c r="K587" s="2" t="inlineStr"/>
      <c r="L587" s="5" t="n">
        <v>0</v>
      </c>
      <c r="M587" s="5" t="n">
        <v>0</v>
      </c>
      <c r="N587" s="6" t="n">
        <v>2025</v>
      </c>
      <c r="O587" s="5" t="inlineStr">
        <is>
          <t>2025-03</t>
        </is>
      </c>
    </row>
    <row r="588">
      <c r="A588" s="2" t="inlineStr">
        <is>
          <t>Z202_29A_032025_MASSENA.CSV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FILE202</t>
        </is>
      </c>
      <c r="F588" s="2" t="inlineStr">
        <is>
          <t>ZZ2</t>
        </is>
      </c>
      <c r="G588" s="3" t="inlineStr">
        <is>
          <t>0083</t>
        </is>
      </c>
      <c r="H588" s="4" t="n">
        <v>45745</v>
      </c>
      <c r="I588" s="2" t="inlineStr">
        <is>
          <t>23:25</t>
        </is>
      </c>
      <c r="J588" s="3" t="inlineStr">
        <is>
          <t>0037</t>
        </is>
      </c>
      <c r="K588" s="2" t="inlineStr"/>
      <c r="L588" s="5" t="n">
        <v>0</v>
      </c>
      <c r="M588" s="5" t="n">
        <v>0</v>
      </c>
      <c r="N588" s="6" t="n">
        <v>2025</v>
      </c>
      <c r="O588" s="5" t="inlineStr">
        <is>
          <t>2025-03</t>
        </is>
      </c>
    </row>
    <row r="589">
      <c r="A589" s="2" t="inlineStr">
        <is>
          <t>Z202_29A_032025_MASSENA.CSV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FILE202</t>
        </is>
      </c>
      <c r="F589" s="2" t="inlineStr">
        <is>
          <t>ZZ2</t>
        </is>
      </c>
      <c r="G589" s="3" t="inlineStr">
        <is>
          <t>0083</t>
        </is>
      </c>
      <c r="H589" s="4" t="n">
        <v>45745</v>
      </c>
      <c r="I589" s="2" t="inlineStr">
        <is>
          <t>23:25</t>
        </is>
      </c>
      <c r="J589" s="3" t="inlineStr">
        <is>
          <t>0038</t>
        </is>
      </c>
      <c r="K589" s="2" t="inlineStr"/>
      <c r="L589" s="5" t="n">
        <v>0</v>
      </c>
      <c r="M589" s="5" t="n">
        <v>0</v>
      </c>
      <c r="N589" s="6" t="n">
        <v>2025</v>
      </c>
      <c r="O589" s="5" t="inlineStr">
        <is>
          <t>2025-03</t>
        </is>
      </c>
    </row>
    <row r="590">
      <c r="A590" s="2" t="inlineStr">
        <is>
          <t>Z202_29A_032025_MASSENA.CSV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FILE202</t>
        </is>
      </c>
      <c r="F590" s="2" t="inlineStr">
        <is>
          <t>ZZ2</t>
        </is>
      </c>
      <c r="G590" s="3" t="inlineStr">
        <is>
          <t>0083</t>
        </is>
      </c>
      <c r="H590" s="4" t="n">
        <v>45745</v>
      </c>
      <c r="I590" s="2" t="inlineStr">
        <is>
          <t>23:25</t>
        </is>
      </c>
      <c r="J590" s="3" t="inlineStr">
        <is>
          <t>0039</t>
        </is>
      </c>
      <c r="K590" s="2" t="inlineStr"/>
      <c r="L590" s="5" t="n">
        <v>0</v>
      </c>
      <c r="M590" s="5" t="n">
        <v>0</v>
      </c>
      <c r="N590" s="6" t="n">
        <v>2025</v>
      </c>
      <c r="O590" s="5" t="inlineStr">
        <is>
          <t>2025-03</t>
        </is>
      </c>
    </row>
    <row r="591">
      <c r="A591" s="2" t="inlineStr">
        <is>
          <t>Z202_29A_032025_MASSENA.CSV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FILE202</t>
        </is>
      </c>
      <c r="F591" s="2" t="inlineStr">
        <is>
          <t>ZZ2</t>
        </is>
      </c>
      <c r="G591" s="3" t="inlineStr">
        <is>
          <t>0083</t>
        </is>
      </c>
      <c r="H591" s="4" t="n">
        <v>45745</v>
      </c>
      <c r="I591" s="2" t="inlineStr">
        <is>
          <t>23:25</t>
        </is>
      </c>
      <c r="J591" s="3" t="inlineStr">
        <is>
          <t>0040</t>
        </is>
      </c>
      <c r="K591" s="2" t="inlineStr"/>
      <c r="L591" s="5" t="n">
        <v>0</v>
      </c>
      <c r="M591" s="5" t="n">
        <v>0</v>
      </c>
      <c r="N591" s="6" t="n">
        <v>2025</v>
      </c>
      <c r="O591" s="5" t="inlineStr">
        <is>
          <t>2025-03</t>
        </is>
      </c>
    </row>
    <row r="592">
      <c r="A592" s="2" t="inlineStr">
        <is>
          <t>Z202_29A_032025_MASSENA.CSV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FILE202</t>
        </is>
      </c>
      <c r="F592" s="2" t="inlineStr">
        <is>
          <t>ZZ2</t>
        </is>
      </c>
      <c r="G592" s="3" t="inlineStr">
        <is>
          <t>0083</t>
        </is>
      </c>
      <c r="H592" s="4" t="n">
        <v>45745</v>
      </c>
      <c r="I592" s="2" t="inlineStr">
        <is>
          <t>23:25</t>
        </is>
      </c>
      <c r="J592" s="3" t="inlineStr">
        <is>
          <t>0041</t>
        </is>
      </c>
      <c r="K592" s="2" t="inlineStr"/>
      <c r="L592" s="5" t="n">
        <v>0</v>
      </c>
      <c r="M592" s="5" t="n">
        <v>0</v>
      </c>
      <c r="N592" s="6" t="n">
        <v>2025</v>
      </c>
      <c r="O592" s="5" t="inlineStr">
        <is>
          <t>2025-03</t>
        </is>
      </c>
    </row>
    <row r="593">
      <c r="A593" s="2" t="inlineStr">
        <is>
          <t>Z202_29A_032025_MASSENA.CSV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FILE202</t>
        </is>
      </c>
      <c r="F593" s="2" t="inlineStr">
        <is>
          <t>ZZ2</t>
        </is>
      </c>
      <c r="G593" s="3" t="inlineStr">
        <is>
          <t>0083</t>
        </is>
      </c>
      <c r="H593" s="4" t="n">
        <v>45745</v>
      </c>
      <c r="I593" s="2" t="inlineStr">
        <is>
          <t>23:25</t>
        </is>
      </c>
      <c r="J593" s="3" t="inlineStr">
        <is>
          <t>0042</t>
        </is>
      </c>
      <c r="K593" s="2" t="inlineStr"/>
      <c r="L593" s="5" t="n">
        <v>0</v>
      </c>
      <c r="M593" s="5" t="n">
        <v>0</v>
      </c>
      <c r="N593" s="6" t="n">
        <v>2025</v>
      </c>
      <c r="O593" s="5" t="inlineStr">
        <is>
          <t>2025-03</t>
        </is>
      </c>
    </row>
    <row r="594">
      <c r="A594" s="2" t="inlineStr">
        <is>
          <t>Z202_29A_032025_MASSENA.CSV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FILE202</t>
        </is>
      </c>
      <c r="F594" s="2" t="inlineStr">
        <is>
          <t>ZZ2</t>
        </is>
      </c>
      <c r="G594" s="3" t="inlineStr">
        <is>
          <t>0083</t>
        </is>
      </c>
      <c r="H594" s="4" t="n">
        <v>45745</v>
      </c>
      <c r="I594" s="2" t="inlineStr">
        <is>
          <t>23:25</t>
        </is>
      </c>
      <c r="J594" s="3" t="inlineStr">
        <is>
          <t>0043</t>
        </is>
      </c>
      <c r="K594" s="2" t="inlineStr"/>
      <c r="L594" s="5" t="n">
        <v>0</v>
      </c>
      <c r="M594" s="5" t="n">
        <v>0</v>
      </c>
      <c r="N594" s="6" t="n">
        <v>2025</v>
      </c>
      <c r="O594" s="5" t="inlineStr">
        <is>
          <t>2025-03</t>
        </is>
      </c>
    </row>
    <row r="595">
      <c r="A595" s="2" t="inlineStr">
        <is>
          <t>Z202_29A_032025_MASSENA.CSV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FILE202</t>
        </is>
      </c>
      <c r="F595" s="2" t="inlineStr">
        <is>
          <t>ZZ2</t>
        </is>
      </c>
      <c r="G595" s="3" t="inlineStr">
        <is>
          <t>0083</t>
        </is>
      </c>
      <c r="H595" s="4" t="n">
        <v>45745</v>
      </c>
      <c r="I595" s="2" t="inlineStr">
        <is>
          <t>23:25</t>
        </is>
      </c>
      <c r="J595" s="3" t="inlineStr">
        <is>
          <t>0044</t>
        </is>
      </c>
      <c r="K595" s="2" t="inlineStr"/>
      <c r="L595" s="5" t="n">
        <v>0</v>
      </c>
      <c r="M595" s="5" t="n">
        <v>0</v>
      </c>
      <c r="N595" s="6" t="n">
        <v>2025</v>
      </c>
      <c r="O595" s="5" t="inlineStr">
        <is>
          <t>2025-03</t>
        </is>
      </c>
    </row>
    <row r="596">
      <c r="A596" s="2" t="inlineStr">
        <is>
          <t>Z202_29A_032025_MASSENA.CSV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FILE202</t>
        </is>
      </c>
      <c r="F596" s="2" t="inlineStr">
        <is>
          <t>ZZ2</t>
        </is>
      </c>
      <c r="G596" s="3" t="inlineStr">
        <is>
          <t>0083</t>
        </is>
      </c>
      <c r="H596" s="4" t="n">
        <v>45745</v>
      </c>
      <c r="I596" s="2" t="inlineStr">
        <is>
          <t>23:25</t>
        </is>
      </c>
      <c r="J596" s="3" t="inlineStr">
        <is>
          <t>0045</t>
        </is>
      </c>
      <c r="K596" s="2" t="inlineStr"/>
      <c r="L596" s="5" t="n">
        <v>0</v>
      </c>
      <c r="M596" s="5" t="n">
        <v>0</v>
      </c>
      <c r="N596" s="6" t="n">
        <v>2025</v>
      </c>
      <c r="O596" s="5" t="inlineStr">
        <is>
          <t>2025-03</t>
        </is>
      </c>
    </row>
    <row r="597">
      <c r="A597" s="2" t="inlineStr">
        <is>
          <t>Z202_29A_032025_MASSENA.CSV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FILE202</t>
        </is>
      </c>
      <c r="F597" s="2" t="inlineStr">
        <is>
          <t>ZZ2</t>
        </is>
      </c>
      <c r="G597" s="3" t="inlineStr">
        <is>
          <t>0083</t>
        </is>
      </c>
      <c r="H597" s="4" t="n">
        <v>45745</v>
      </c>
      <c r="I597" s="2" t="inlineStr">
        <is>
          <t>23:25</t>
        </is>
      </c>
      <c r="J597" s="3" t="inlineStr">
        <is>
          <t>0046</t>
        </is>
      </c>
      <c r="K597" s="2" t="inlineStr"/>
      <c r="L597" s="5" t="n">
        <v>0</v>
      </c>
      <c r="M597" s="5" t="n">
        <v>0</v>
      </c>
      <c r="N597" s="6" t="n">
        <v>2025</v>
      </c>
      <c r="O597" s="5" t="inlineStr">
        <is>
          <t>2025-03</t>
        </is>
      </c>
    </row>
    <row r="598">
      <c r="A598" s="2" t="inlineStr">
        <is>
          <t>Z202_29A_032025_MASSENA.CSV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FILE202</t>
        </is>
      </c>
      <c r="F598" s="2" t="inlineStr">
        <is>
          <t>ZZ2</t>
        </is>
      </c>
      <c r="G598" s="3" t="inlineStr">
        <is>
          <t>0083</t>
        </is>
      </c>
      <c r="H598" s="4" t="n">
        <v>45745</v>
      </c>
      <c r="I598" s="2" t="inlineStr">
        <is>
          <t>23:25</t>
        </is>
      </c>
      <c r="J598" s="3" t="inlineStr">
        <is>
          <t>0047</t>
        </is>
      </c>
      <c r="K598" s="2" t="inlineStr"/>
      <c r="L598" s="5" t="n">
        <v>0</v>
      </c>
      <c r="M598" s="5" t="n">
        <v>0</v>
      </c>
      <c r="N598" s="6" t="n">
        <v>2025</v>
      </c>
      <c r="O598" s="5" t="inlineStr">
        <is>
          <t>2025-03</t>
        </is>
      </c>
    </row>
    <row r="599">
      <c r="A599" s="2" t="inlineStr">
        <is>
          <t>Z202_29A_032025_MASSENA.CSV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FILE202</t>
        </is>
      </c>
      <c r="F599" s="2" t="inlineStr">
        <is>
          <t>ZZ2</t>
        </is>
      </c>
      <c r="G599" s="3" t="inlineStr">
        <is>
          <t>0083</t>
        </is>
      </c>
      <c r="H599" s="4" t="n">
        <v>45745</v>
      </c>
      <c r="I599" s="2" t="inlineStr">
        <is>
          <t>23:25</t>
        </is>
      </c>
      <c r="J599" s="3" t="inlineStr">
        <is>
          <t>0048</t>
        </is>
      </c>
      <c r="K599" s="2" t="inlineStr"/>
      <c r="L599" s="5" t="n">
        <v>0</v>
      </c>
      <c r="M599" s="5" t="n">
        <v>0</v>
      </c>
      <c r="N599" s="6" t="n">
        <v>2025</v>
      </c>
      <c r="O599" s="5" t="inlineStr">
        <is>
          <t>2025-03</t>
        </is>
      </c>
    </row>
    <row r="600">
      <c r="A600" s="2" t="inlineStr">
        <is>
          <t>Z202_29A_032025_MASSENA.CSV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FILE202</t>
        </is>
      </c>
      <c r="F600" s="2" t="inlineStr">
        <is>
          <t>ZZ2</t>
        </is>
      </c>
      <c r="G600" s="3" t="inlineStr">
        <is>
          <t>0083</t>
        </is>
      </c>
      <c r="H600" s="4" t="n">
        <v>45745</v>
      </c>
      <c r="I600" s="2" t="inlineStr">
        <is>
          <t>23:25</t>
        </is>
      </c>
      <c r="J600" s="3" t="inlineStr">
        <is>
          <t>0049</t>
        </is>
      </c>
      <c r="K600" s="2" t="inlineStr"/>
      <c r="L600" s="5" t="n">
        <v>0</v>
      </c>
      <c r="M600" s="5" t="n">
        <v>0</v>
      </c>
      <c r="N600" s="6" t="n">
        <v>2025</v>
      </c>
      <c r="O600" s="5" t="inlineStr">
        <is>
          <t>2025-03</t>
        </is>
      </c>
    </row>
    <row r="601">
      <c r="A601" s="2" t="inlineStr">
        <is>
          <t>Z202_29A_032025_MASSENA.CSV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FILE202</t>
        </is>
      </c>
      <c r="F601" s="2" t="inlineStr">
        <is>
          <t>ZZ2</t>
        </is>
      </c>
      <c r="G601" s="3" t="inlineStr">
        <is>
          <t>0083</t>
        </is>
      </c>
      <c r="H601" s="4" t="n">
        <v>45745</v>
      </c>
      <c r="I601" s="2" t="inlineStr">
        <is>
          <t>23:25</t>
        </is>
      </c>
      <c r="J601" s="3" t="inlineStr">
        <is>
          <t>0050</t>
        </is>
      </c>
      <c r="K601" s="2" t="inlineStr"/>
      <c r="L601" s="5" t="n">
        <v>0</v>
      </c>
      <c r="M601" s="5" t="n">
        <v>0</v>
      </c>
      <c r="N601" s="6" t="n">
        <v>2025</v>
      </c>
      <c r="O601" s="5" t="inlineStr">
        <is>
          <t>2025-03</t>
        </is>
      </c>
    </row>
    <row r="602">
      <c r="A602" s="2" t="inlineStr">
        <is>
          <t>Z202_31A_072025_MASSENA.CSV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0085</t>
        </is>
      </c>
      <c r="H602" s="4" t="n">
        <v>45869</v>
      </c>
      <c r="I602" s="2" t="inlineStr">
        <is>
          <t>18:39</t>
        </is>
      </c>
      <c r="J602" s="3" t="inlineStr">
        <is>
          <t>0001</t>
        </is>
      </c>
      <c r="K602" s="2" t="inlineStr">
        <is>
          <t>ESPECES</t>
        </is>
      </c>
      <c r="L602" s="5" t="n">
        <v>23</v>
      </c>
      <c r="M602" s="5" t="n">
        <v>17603.9</v>
      </c>
      <c r="N602" s="6" t="n">
        <v>2025</v>
      </c>
      <c r="O602" s="5" t="inlineStr">
        <is>
          <t>2025-07</t>
        </is>
      </c>
    </row>
    <row r="603">
      <c r="A603" s="2" t="inlineStr">
        <is>
          <t>Z202_31A_072025_MASSENA.CSV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0085</t>
        </is>
      </c>
      <c r="H603" s="4" t="n">
        <v>45869</v>
      </c>
      <c r="I603" s="2" t="inlineStr">
        <is>
          <t>18:39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5" t="n">
        <v>0</v>
      </c>
      <c r="N603" s="6" t="n">
        <v>2025</v>
      </c>
      <c r="O603" s="5" t="inlineStr">
        <is>
          <t>2025-07</t>
        </is>
      </c>
    </row>
    <row r="604">
      <c r="A604" s="2" t="inlineStr">
        <is>
          <t>Z202_31A_072025_MASSENA.CSV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0085</t>
        </is>
      </c>
      <c r="H604" s="4" t="n">
        <v>45869</v>
      </c>
      <c r="I604" s="2" t="inlineStr">
        <is>
          <t>18:39</t>
        </is>
      </c>
      <c r="J604" s="3" t="inlineStr">
        <is>
          <t>0003</t>
        </is>
      </c>
      <c r="K604" s="2" t="inlineStr">
        <is>
          <t>CARTES</t>
        </is>
      </c>
      <c r="L604" s="5" t="n">
        <v>4</v>
      </c>
      <c r="M604" s="5" t="n">
        <v>2581</v>
      </c>
      <c r="N604" s="6" t="n">
        <v>2025</v>
      </c>
      <c r="O604" s="5" t="inlineStr">
        <is>
          <t>2025-07</t>
        </is>
      </c>
    </row>
    <row r="605">
      <c r="A605" s="2" t="inlineStr">
        <is>
          <t>Z202_31A_072025_MASSENA.CSV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0085</t>
        </is>
      </c>
      <c r="H605" s="4" t="n">
        <v>45869</v>
      </c>
      <c r="I605" s="2" t="inlineStr">
        <is>
          <t>18:39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5" t="n">
        <v>0</v>
      </c>
      <c r="N605" s="6" t="n">
        <v>2025</v>
      </c>
      <c r="O605" s="5" t="inlineStr">
        <is>
          <t>2025-07</t>
        </is>
      </c>
    </row>
    <row r="606">
      <c r="A606" s="2" t="inlineStr">
        <is>
          <t>Z202_31A_072025_MASSENA.CSV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0085</t>
        </is>
      </c>
      <c r="H606" s="4" t="n">
        <v>45869</v>
      </c>
      <c r="I606" s="2" t="inlineStr">
        <is>
          <t>18:39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5" t="n">
        <v>0</v>
      </c>
      <c r="N606" s="6" t="n">
        <v>2025</v>
      </c>
      <c r="O606" s="5" t="inlineStr">
        <is>
          <t>2025-07</t>
        </is>
      </c>
    </row>
    <row r="607">
      <c r="A607" s="2" t="inlineStr">
        <is>
          <t>Z202_31A_072025_MASSENA.CSV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0085</t>
        </is>
      </c>
      <c r="H607" s="4" t="n">
        <v>45869</v>
      </c>
      <c r="I607" s="2" t="inlineStr">
        <is>
          <t>18:39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5" t="n">
        <v>0</v>
      </c>
      <c r="N607" s="6" t="n">
        <v>2025</v>
      </c>
      <c r="O607" s="5" t="inlineStr">
        <is>
          <t>2025-07</t>
        </is>
      </c>
    </row>
    <row r="608">
      <c r="A608" s="2" t="inlineStr">
        <is>
          <t>Z202_31A_072025_MASSENA.CSV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0085</t>
        </is>
      </c>
      <c r="H608" s="4" t="n">
        <v>45869</v>
      </c>
      <c r="I608" s="2" t="inlineStr">
        <is>
          <t>18:39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5" t="n">
        <v>0</v>
      </c>
      <c r="N608" s="6" t="n">
        <v>2025</v>
      </c>
      <c r="O608" s="5" t="inlineStr">
        <is>
          <t>2025-07</t>
        </is>
      </c>
    </row>
    <row r="609">
      <c r="A609" s="2" t="inlineStr">
        <is>
          <t>Z202_31A_072025_MASSENA.CSV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0085</t>
        </is>
      </c>
      <c r="H609" s="4" t="n">
        <v>45869</v>
      </c>
      <c r="I609" s="2" t="inlineStr">
        <is>
          <t>18:39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5" t="n">
        <v>0</v>
      </c>
      <c r="N609" s="6" t="n">
        <v>2025</v>
      </c>
      <c r="O609" s="5" t="inlineStr">
        <is>
          <t>2025-07</t>
        </is>
      </c>
    </row>
    <row r="610">
      <c r="A610" s="2" t="inlineStr">
        <is>
          <t>Z202_31A_072025_MASSENA.CSV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0085</t>
        </is>
      </c>
      <c r="H610" s="4" t="n">
        <v>45869</v>
      </c>
      <c r="I610" s="2" t="inlineStr">
        <is>
          <t>18:39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5" t="n">
        <v>0</v>
      </c>
      <c r="N610" s="6" t="n">
        <v>2025</v>
      </c>
      <c r="O610" s="5" t="inlineStr">
        <is>
          <t>2025-07</t>
        </is>
      </c>
    </row>
    <row r="611">
      <c r="A611" s="2" t="inlineStr">
        <is>
          <t>Z202_31A_072025_MASSENA.CSV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0085</t>
        </is>
      </c>
      <c r="H611" s="4" t="n">
        <v>45869</v>
      </c>
      <c r="I611" s="2" t="inlineStr">
        <is>
          <t>18:39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5" t="n">
        <v>0</v>
      </c>
      <c r="N611" s="6" t="n">
        <v>2025</v>
      </c>
      <c r="O611" s="5" t="inlineStr">
        <is>
          <t>2025-07</t>
        </is>
      </c>
    </row>
    <row r="612">
      <c r="A612" s="2" t="inlineStr">
        <is>
          <t>Z202_31A_072025_MASSENA.CSV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0085</t>
        </is>
      </c>
      <c r="H612" s="4" t="n">
        <v>45869</v>
      </c>
      <c r="I612" s="2" t="inlineStr">
        <is>
          <t>18:39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5" t="n">
        <v>0</v>
      </c>
      <c r="N612" s="6" t="n">
        <v>2025</v>
      </c>
      <c r="O612" s="5" t="inlineStr">
        <is>
          <t>2025-07</t>
        </is>
      </c>
    </row>
    <row r="613">
      <c r="A613" s="2" t="inlineStr">
        <is>
          <t>Z202_31A_072025_MASSENA.CSV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0085</t>
        </is>
      </c>
      <c r="H613" s="4" t="n">
        <v>45869</v>
      </c>
      <c r="I613" s="2" t="inlineStr">
        <is>
          <t>18:39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5" t="n">
        <v>0</v>
      </c>
      <c r="N613" s="6" t="n">
        <v>2025</v>
      </c>
      <c r="O613" s="5" t="inlineStr">
        <is>
          <t>2025-07</t>
        </is>
      </c>
    </row>
    <row r="614">
      <c r="A614" s="2" t="inlineStr">
        <is>
          <t>Z202_31A_072025_MASSENA.CSV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0085</t>
        </is>
      </c>
      <c r="H614" s="4" t="n">
        <v>45869</v>
      </c>
      <c r="I614" s="2" t="inlineStr">
        <is>
          <t>18:39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5" t="n">
        <v>0</v>
      </c>
      <c r="N614" s="6" t="n">
        <v>2025</v>
      </c>
      <c r="O614" s="5" t="inlineStr">
        <is>
          <t>2025-07</t>
        </is>
      </c>
    </row>
    <row r="615">
      <c r="A615" s="2" t="inlineStr">
        <is>
          <t>Z202_31A_072025_MASSENA.CSV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0085</t>
        </is>
      </c>
      <c r="H615" s="4" t="n">
        <v>45869</v>
      </c>
      <c r="I615" s="2" t="inlineStr">
        <is>
          <t>18:39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5" t="n">
        <v>0</v>
      </c>
      <c r="N615" s="6" t="n">
        <v>2025</v>
      </c>
      <c r="O615" s="5" t="inlineStr">
        <is>
          <t>2025-07</t>
        </is>
      </c>
    </row>
    <row r="616">
      <c r="A616" s="2" t="inlineStr">
        <is>
          <t>Z202_31A_072025_MASSENA.CSV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0085</t>
        </is>
      </c>
      <c r="H616" s="4" t="n">
        <v>45869</v>
      </c>
      <c r="I616" s="2" t="inlineStr">
        <is>
          <t>18:39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5" t="n">
        <v>0</v>
      </c>
      <c r="N616" s="6" t="n">
        <v>2025</v>
      </c>
      <c r="O616" s="5" t="inlineStr">
        <is>
          <t>2025-07</t>
        </is>
      </c>
    </row>
    <row r="617">
      <c r="A617" s="2" t="inlineStr">
        <is>
          <t>Z202_31A_072025_MASSENA.CSV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0085</t>
        </is>
      </c>
      <c r="H617" s="4" t="n">
        <v>45869</v>
      </c>
      <c r="I617" s="2" t="inlineStr">
        <is>
          <t>18:39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5" t="n">
        <v>0</v>
      </c>
      <c r="N617" s="6" t="n">
        <v>2025</v>
      </c>
      <c r="O617" s="5" t="inlineStr">
        <is>
          <t>2025-07</t>
        </is>
      </c>
    </row>
    <row r="618">
      <c r="A618" s="2" t="inlineStr">
        <is>
          <t>Z202_31A_072025_MASSENA.CSV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0085</t>
        </is>
      </c>
      <c r="H618" s="4" t="n">
        <v>45869</v>
      </c>
      <c r="I618" s="2" t="inlineStr">
        <is>
          <t>18:39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5" t="n">
        <v>0</v>
      </c>
      <c r="N618" s="6" t="n">
        <v>2025</v>
      </c>
      <c r="O618" s="5" t="inlineStr">
        <is>
          <t>2025-07</t>
        </is>
      </c>
    </row>
    <row r="619">
      <c r="A619" s="2" t="inlineStr">
        <is>
          <t>Z202_31A_072025_MASSENA.CSV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0085</t>
        </is>
      </c>
      <c r="H619" s="4" t="n">
        <v>45869</v>
      </c>
      <c r="I619" s="2" t="inlineStr">
        <is>
          <t>18:39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5" t="n">
        <v>0</v>
      </c>
      <c r="N619" s="6" t="n">
        <v>2025</v>
      </c>
      <c r="O619" s="5" t="inlineStr">
        <is>
          <t>2025-07</t>
        </is>
      </c>
    </row>
    <row r="620">
      <c r="A620" s="2" t="inlineStr">
        <is>
          <t>Z202_31A_072025_MASSENA.CSV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0085</t>
        </is>
      </c>
      <c r="H620" s="4" t="n">
        <v>45869</v>
      </c>
      <c r="I620" s="2" t="inlineStr">
        <is>
          <t>18:39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5" t="n">
        <v>0</v>
      </c>
      <c r="N620" s="6" t="n">
        <v>2025</v>
      </c>
      <c r="O620" s="5" t="inlineStr">
        <is>
          <t>2025-07</t>
        </is>
      </c>
    </row>
    <row r="621">
      <c r="A621" s="2" t="inlineStr">
        <is>
          <t>Z202_31A_072025_MASSENA.CSV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0085</t>
        </is>
      </c>
      <c r="H621" s="4" t="n">
        <v>45869</v>
      </c>
      <c r="I621" s="2" t="inlineStr">
        <is>
          <t>18:39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5" t="n">
        <v>0</v>
      </c>
      <c r="N621" s="6" t="n">
        <v>2025</v>
      </c>
      <c r="O621" s="5" t="inlineStr">
        <is>
          <t>2025-07</t>
        </is>
      </c>
    </row>
    <row r="622">
      <c r="A622" s="2" t="inlineStr">
        <is>
          <t>Z202_31A_072025_MASSENA.CSV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0085</t>
        </is>
      </c>
      <c r="H622" s="4" t="n">
        <v>45869</v>
      </c>
      <c r="I622" s="2" t="inlineStr">
        <is>
          <t>18:39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5" t="n">
        <v>0</v>
      </c>
      <c r="N622" s="6" t="n">
        <v>2025</v>
      </c>
      <c r="O622" s="5" t="inlineStr">
        <is>
          <t>2025-07</t>
        </is>
      </c>
    </row>
    <row r="623">
      <c r="A623" s="2" t="inlineStr">
        <is>
          <t>Z202_31A_072025_MASSENA.CSV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0085</t>
        </is>
      </c>
      <c r="H623" s="4" t="n">
        <v>45869</v>
      </c>
      <c r="I623" s="2" t="inlineStr">
        <is>
          <t>18:39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5" t="n">
        <v>0</v>
      </c>
      <c r="N623" s="6" t="n">
        <v>2025</v>
      </c>
      <c r="O623" s="5" t="inlineStr">
        <is>
          <t>2025-07</t>
        </is>
      </c>
    </row>
    <row r="624">
      <c r="A624" s="2" t="inlineStr">
        <is>
          <t>Z202_31A_072025_MASSENA.CSV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0085</t>
        </is>
      </c>
      <c r="H624" s="4" t="n">
        <v>45869</v>
      </c>
      <c r="I624" s="2" t="inlineStr">
        <is>
          <t>18:39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5" t="n">
        <v>0</v>
      </c>
      <c r="N624" s="6" t="n">
        <v>2025</v>
      </c>
      <c r="O624" s="5" t="inlineStr">
        <is>
          <t>2025-07</t>
        </is>
      </c>
    </row>
    <row r="625">
      <c r="A625" s="2" t="inlineStr">
        <is>
          <t>Z202_31A_072025_MASSENA.CSV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0085</t>
        </is>
      </c>
      <c r="H625" s="4" t="n">
        <v>45869</v>
      </c>
      <c r="I625" s="2" t="inlineStr">
        <is>
          <t>18:39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5" t="n">
        <v>0</v>
      </c>
      <c r="N625" s="6" t="n">
        <v>2025</v>
      </c>
      <c r="O625" s="5" t="inlineStr">
        <is>
          <t>2025-07</t>
        </is>
      </c>
    </row>
    <row r="626">
      <c r="A626" s="2" t="inlineStr">
        <is>
          <t>Z202_31A_072025_MASSENA.CSV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0085</t>
        </is>
      </c>
      <c r="H626" s="4" t="n">
        <v>45869</v>
      </c>
      <c r="I626" s="2" t="inlineStr">
        <is>
          <t>18:39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5" t="n">
        <v>0</v>
      </c>
      <c r="N626" s="6" t="n">
        <v>2025</v>
      </c>
      <c r="O626" s="5" t="inlineStr">
        <is>
          <t>2025-07</t>
        </is>
      </c>
    </row>
    <row r="627">
      <c r="A627" s="2" t="inlineStr">
        <is>
          <t>Z202_31A_072025_MASSENA.CSV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0085</t>
        </is>
      </c>
      <c r="H627" s="4" t="n">
        <v>45869</v>
      </c>
      <c r="I627" s="2" t="inlineStr">
        <is>
          <t>18:39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5" t="n">
        <v>0</v>
      </c>
      <c r="N627" s="6" t="n">
        <v>2025</v>
      </c>
      <c r="O627" s="5" t="inlineStr">
        <is>
          <t>2025-07</t>
        </is>
      </c>
    </row>
    <row r="628">
      <c r="A628" s="2" t="inlineStr">
        <is>
          <t>Z202_31A_072025_MASSENA.CSV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0085</t>
        </is>
      </c>
      <c r="H628" s="4" t="n">
        <v>45869</v>
      </c>
      <c r="I628" s="2" t="inlineStr">
        <is>
          <t>18:39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5" t="n">
        <v>0</v>
      </c>
      <c r="N628" s="6" t="n">
        <v>2025</v>
      </c>
      <c r="O628" s="5" t="inlineStr">
        <is>
          <t>2025-07</t>
        </is>
      </c>
    </row>
    <row r="629">
      <c r="A629" s="2" t="inlineStr">
        <is>
          <t>Z202_31A_072025_MASSENA.CSV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0085</t>
        </is>
      </c>
      <c r="H629" s="4" t="n">
        <v>45869</v>
      </c>
      <c r="I629" s="2" t="inlineStr">
        <is>
          <t>18:39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5" t="n">
        <v>0</v>
      </c>
      <c r="N629" s="6" t="n">
        <v>2025</v>
      </c>
      <c r="O629" s="5" t="inlineStr">
        <is>
          <t>2025-07</t>
        </is>
      </c>
    </row>
    <row r="630">
      <c r="A630" s="2" t="inlineStr">
        <is>
          <t>Z202_31A_072025_MASSENA.CSV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0085</t>
        </is>
      </c>
      <c r="H630" s="4" t="n">
        <v>45869</v>
      </c>
      <c r="I630" s="2" t="inlineStr">
        <is>
          <t>18:39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5" t="n">
        <v>0</v>
      </c>
      <c r="N630" s="6" t="n">
        <v>2025</v>
      </c>
      <c r="O630" s="5" t="inlineStr">
        <is>
          <t>2025-07</t>
        </is>
      </c>
    </row>
    <row r="631">
      <c r="A631" s="2" t="inlineStr">
        <is>
          <t>Z202_31A_072025_MASSENA.CSV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0085</t>
        </is>
      </c>
      <c r="H631" s="4" t="n">
        <v>45869</v>
      </c>
      <c r="I631" s="2" t="inlineStr">
        <is>
          <t>18:39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5" t="n">
        <v>0</v>
      </c>
      <c r="N631" s="6" t="n">
        <v>2025</v>
      </c>
      <c r="O631" s="5" t="inlineStr">
        <is>
          <t>2025-07</t>
        </is>
      </c>
    </row>
    <row r="632">
      <c r="A632" s="2" t="inlineStr">
        <is>
          <t>Z202_31A_072025_MASSENA.CSV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0085</t>
        </is>
      </c>
      <c r="H632" s="4" t="n">
        <v>45869</v>
      </c>
      <c r="I632" s="2" t="inlineStr">
        <is>
          <t>18:39</t>
        </is>
      </c>
      <c r="J632" s="3" t="inlineStr">
        <is>
          <t>0031</t>
        </is>
      </c>
      <c r="K632" s="2" t="inlineStr">
        <is>
          <t>REF./TIROIR</t>
        </is>
      </c>
      <c r="L632" s="5" t="n">
        <v>0</v>
      </c>
      <c r="M632" s="5" t="n">
        <v>0</v>
      </c>
      <c r="N632" s="6" t="n">
        <v>2025</v>
      </c>
      <c r="O632" s="5" t="inlineStr">
        <is>
          <t>2025-07</t>
        </is>
      </c>
    </row>
    <row r="633">
      <c r="A633" s="2" t="inlineStr">
        <is>
          <t>Z202_31A_072025_MASSENA.CSV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0085</t>
        </is>
      </c>
      <c r="H633" s="4" t="n">
        <v>45869</v>
      </c>
      <c r="I633" s="2" t="inlineStr">
        <is>
          <t>18:39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5" t="n">
        <v>0</v>
      </c>
      <c r="N633" s="6" t="n">
        <v>2025</v>
      </c>
      <c r="O633" s="5" t="inlineStr">
        <is>
          <t>2025-07</t>
        </is>
      </c>
    </row>
    <row r="634">
      <c r="A634" s="2" t="inlineStr">
        <is>
          <t>Z202_31A_072025_MASSENA.CSV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0085</t>
        </is>
      </c>
      <c r="H634" s="4" t="n">
        <v>45869</v>
      </c>
      <c r="I634" s="2" t="inlineStr">
        <is>
          <t>18:39</t>
        </is>
      </c>
      <c r="J634" s="3" t="inlineStr">
        <is>
          <t>0033</t>
        </is>
      </c>
      <c r="K634" s="2" t="inlineStr"/>
      <c r="L634" s="5" t="n">
        <v>0</v>
      </c>
      <c r="M634" s="5" t="n">
        <v>0</v>
      </c>
      <c r="N634" s="6" t="n">
        <v>2025</v>
      </c>
      <c r="O634" s="5" t="inlineStr">
        <is>
          <t>2025-07</t>
        </is>
      </c>
    </row>
    <row r="635">
      <c r="A635" s="2" t="inlineStr">
        <is>
          <t>Z202_31A_072025_MASSENA.CSV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0085</t>
        </is>
      </c>
      <c r="H635" s="4" t="n">
        <v>45869</v>
      </c>
      <c r="I635" s="2" t="inlineStr">
        <is>
          <t>18:39</t>
        </is>
      </c>
      <c r="J635" s="3" t="inlineStr">
        <is>
          <t>0034</t>
        </is>
      </c>
      <c r="K635" s="2" t="inlineStr"/>
      <c r="L635" s="5" t="n">
        <v>0</v>
      </c>
      <c r="M635" s="5" t="n">
        <v>0</v>
      </c>
      <c r="N635" s="6" t="n">
        <v>2025</v>
      </c>
      <c r="O635" s="5" t="inlineStr">
        <is>
          <t>2025-07</t>
        </is>
      </c>
    </row>
    <row r="636">
      <c r="A636" s="2" t="inlineStr">
        <is>
          <t>Z202_31A_072025_MASSENA.CSV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0085</t>
        </is>
      </c>
      <c r="H636" s="4" t="n">
        <v>45869</v>
      </c>
      <c r="I636" s="2" t="inlineStr">
        <is>
          <t>18:39</t>
        </is>
      </c>
      <c r="J636" s="3" t="inlineStr">
        <is>
          <t>0035</t>
        </is>
      </c>
      <c r="K636" s="2" t="inlineStr"/>
      <c r="L636" s="5" t="n">
        <v>0</v>
      </c>
      <c r="M636" s="5" t="n">
        <v>0</v>
      </c>
      <c r="N636" s="6" t="n">
        <v>2025</v>
      </c>
      <c r="O636" s="5" t="inlineStr">
        <is>
          <t>2025-07</t>
        </is>
      </c>
    </row>
    <row r="637">
      <c r="A637" s="2" t="inlineStr">
        <is>
          <t>Z202_31A_072025_MASSENA.CSV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0085</t>
        </is>
      </c>
      <c r="H637" s="4" t="n">
        <v>45869</v>
      </c>
      <c r="I637" s="2" t="inlineStr">
        <is>
          <t>18:39</t>
        </is>
      </c>
      <c r="J637" s="3" t="inlineStr">
        <is>
          <t>0036</t>
        </is>
      </c>
      <c r="K637" s="2" t="inlineStr"/>
      <c r="L637" s="5" t="n">
        <v>0</v>
      </c>
      <c r="M637" s="5" t="n">
        <v>0</v>
      </c>
      <c r="N637" s="6" t="n">
        <v>2025</v>
      </c>
      <c r="O637" s="5" t="inlineStr">
        <is>
          <t>2025-07</t>
        </is>
      </c>
    </row>
    <row r="638">
      <c r="A638" s="2" t="inlineStr">
        <is>
          <t>Z202_31A_072025_MASSENA.CSV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0085</t>
        </is>
      </c>
      <c r="H638" s="4" t="n">
        <v>45869</v>
      </c>
      <c r="I638" s="2" t="inlineStr">
        <is>
          <t>18:39</t>
        </is>
      </c>
      <c r="J638" s="3" t="inlineStr">
        <is>
          <t>0037</t>
        </is>
      </c>
      <c r="K638" s="2" t="inlineStr"/>
      <c r="L638" s="5" t="n">
        <v>0</v>
      </c>
      <c r="M638" s="5" t="n">
        <v>0</v>
      </c>
      <c r="N638" s="6" t="n">
        <v>2025</v>
      </c>
      <c r="O638" s="5" t="inlineStr">
        <is>
          <t>2025-07</t>
        </is>
      </c>
    </row>
    <row r="639">
      <c r="A639" s="2" t="inlineStr">
        <is>
          <t>Z202_31A_072025_MASSENA.CSV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0085</t>
        </is>
      </c>
      <c r="H639" s="4" t="n">
        <v>45869</v>
      </c>
      <c r="I639" s="2" t="inlineStr">
        <is>
          <t>18:39</t>
        </is>
      </c>
      <c r="J639" s="3" t="inlineStr">
        <is>
          <t>0038</t>
        </is>
      </c>
      <c r="K639" s="2" t="inlineStr"/>
      <c r="L639" s="5" t="n">
        <v>0</v>
      </c>
      <c r="M639" s="5" t="n">
        <v>0</v>
      </c>
      <c r="N639" s="6" t="n">
        <v>2025</v>
      </c>
      <c r="O639" s="5" t="inlineStr">
        <is>
          <t>2025-07</t>
        </is>
      </c>
    </row>
    <row r="640">
      <c r="A640" s="2" t="inlineStr">
        <is>
          <t>Z202_31A_072025_MASSENA.CSV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0085</t>
        </is>
      </c>
      <c r="H640" s="4" t="n">
        <v>45869</v>
      </c>
      <c r="I640" s="2" t="inlineStr">
        <is>
          <t>18:39</t>
        </is>
      </c>
      <c r="J640" s="3" t="inlineStr">
        <is>
          <t>0039</t>
        </is>
      </c>
      <c r="K640" s="2" t="inlineStr"/>
      <c r="L640" s="5" t="n">
        <v>0</v>
      </c>
      <c r="M640" s="5" t="n">
        <v>0</v>
      </c>
      <c r="N640" s="6" t="n">
        <v>2025</v>
      </c>
      <c r="O640" s="5" t="inlineStr">
        <is>
          <t>2025-07</t>
        </is>
      </c>
    </row>
    <row r="641">
      <c r="A641" s="2" t="inlineStr">
        <is>
          <t>Z202_31A_072025_MASSENA.CSV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0085</t>
        </is>
      </c>
      <c r="H641" s="4" t="n">
        <v>45869</v>
      </c>
      <c r="I641" s="2" t="inlineStr">
        <is>
          <t>18:39</t>
        </is>
      </c>
      <c r="J641" s="3" t="inlineStr">
        <is>
          <t>0040</t>
        </is>
      </c>
      <c r="K641" s="2" t="inlineStr"/>
      <c r="L641" s="5" t="n">
        <v>0</v>
      </c>
      <c r="M641" s="5" t="n">
        <v>0</v>
      </c>
      <c r="N641" s="6" t="n">
        <v>2025</v>
      </c>
      <c r="O641" s="5" t="inlineStr">
        <is>
          <t>2025-07</t>
        </is>
      </c>
    </row>
    <row r="642">
      <c r="A642" s="2" t="inlineStr">
        <is>
          <t>Z202_31A_072025_MASSENA.CSV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0085</t>
        </is>
      </c>
      <c r="H642" s="4" t="n">
        <v>45869</v>
      </c>
      <c r="I642" s="2" t="inlineStr">
        <is>
          <t>18:39</t>
        </is>
      </c>
      <c r="J642" s="3" t="inlineStr">
        <is>
          <t>0041</t>
        </is>
      </c>
      <c r="K642" s="2" t="inlineStr"/>
      <c r="L642" s="5" t="n">
        <v>0</v>
      </c>
      <c r="M642" s="5" t="n">
        <v>0</v>
      </c>
      <c r="N642" s="6" t="n">
        <v>2025</v>
      </c>
      <c r="O642" s="5" t="inlineStr">
        <is>
          <t>2025-07</t>
        </is>
      </c>
    </row>
    <row r="643">
      <c r="A643" s="2" t="inlineStr">
        <is>
          <t>Z202_31A_072025_MASSENA.CSV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0085</t>
        </is>
      </c>
      <c r="H643" s="4" t="n">
        <v>45869</v>
      </c>
      <c r="I643" s="2" t="inlineStr">
        <is>
          <t>18:39</t>
        </is>
      </c>
      <c r="J643" s="3" t="inlineStr">
        <is>
          <t>0042</t>
        </is>
      </c>
      <c r="K643" s="2" t="inlineStr"/>
      <c r="L643" s="5" t="n">
        <v>0</v>
      </c>
      <c r="M643" s="5" t="n">
        <v>0</v>
      </c>
      <c r="N643" s="6" t="n">
        <v>2025</v>
      </c>
      <c r="O643" s="5" t="inlineStr">
        <is>
          <t>2025-07</t>
        </is>
      </c>
    </row>
    <row r="644">
      <c r="A644" s="2" t="inlineStr">
        <is>
          <t>Z202_31A_072025_MASSENA.CSV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0085</t>
        </is>
      </c>
      <c r="H644" s="4" t="n">
        <v>45869</v>
      </c>
      <c r="I644" s="2" t="inlineStr">
        <is>
          <t>18:39</t>
        </is>
      </c>
      <c r="J644" s="3" t="inlineStr">
        <is>
          <t>0043</t>
        </is>
      </c>
      <c r="K644" s="2" t="inlineStr"/>
      <c r="L644" s="5" t="n">
        <v>0</v>
      </c>
      <c r="M644" s="5" t="n">
        <v>0</v>
      </c>
      <c r="N644" s="6" t="n">
        <v>2025</v>
      </c>
      <c r="O644" s="5" t="inlineStr">
        <is>
          <t>2025-07</t>
        </is>
      </c>
    </row>
    <row r="645">
      <c r="A645" s="2" t="inlineStr">
        <is>
          <t>Z202_31A_072025_MASSENA.CSV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0085</t>
        </is>
      </c>
      <c r="H645" s="4" t="n">
        <v>45869</v>
      </c>
      <c r="I645" s="2" t="inlineStr">
        <is>
          <t>18:39</t>
        </is>
      </c>
      <c r="J645" s="3" t="inlineStr">
        <is>
          <t>0044</t>
        </is>
      </c>
      <c r="K645" s="2" t="inlineStr"/>
      <c r="L645" s="5" t="n">
        <v>0</v>
      </c>
      <c r="M645" s="5" t="n">
        <v>0</v>
      </c>
      <c r="N645" s="6" t="n">
        <v>2025</v>
      </c>
      <c r="O645" s="5" t="inlineStr">
        <is>
          <t>2025-07</t>
        </is>
      </c>
    </row>
    <row r="646">
      <c r="A646" s="2" t="inlineStr">
        <is>
          <t>Z202_31A_072025_MASSENA.CSV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0085</t>
        </is>
      </c>
      <c r="H646" s="4" t="n">
        <v>45869</v>
      </c>
      <c r="I646" s="2" t="inlineStr">
        <is>
          <t>18:39</t>
        </is>
      </c>
      <c r="J646" s="3" t="inlineStr">
        <is>
          <t>0045</t>
        </is>
      </c>
      <c r="K646" s="2" t="inlineStr"/>
      <c r="L646" s="5" t="n">
        <v>0</v>
      </c>
      <c r="M646" s="5" t="n">
        <v>0</v>
      </c>
      <c r="N646" s="6" t="n">
        <v>2025</v>
      </c>
      <c r="O646" s="5" t="inlineStr">
        <is>
          <t>2025-07</t>
        </is>
      </c>
    </row>
    <row r="647">
      <c r="A647" s="2" t="inlineStr">
        <is>
          <t>Z202_31A_072025_MASSENA.CSV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0085</t>
        </is>
      </c>
      <c r="H647" s="4" t="n">
        <v>45869</v>
      </c>
      <c r="I647" s="2" t="inlineStr">
        <is>
          <t>18:39</t>
        </is>
      </c>
      <c r="J647" s="3" t="inlineStr">
        <is>
          <t>0046</t>
        </is>
      </c>
      <c r="K647" s="2" t="inlineStr"/>
      <c r="L647" s="5" t="n">
        <v>0</v>
      </c>
      <c r="M647" s="5" t="n">
        <v>0</v>
      </c>
      <c r="N647" s="6" t="n">
        <v>2025</v>
      </c>
      <c r="O647" s="5" t="inlineStr">
        <is>
          <t>2025-07</t>
        </is>
      </c>
    </row>
    <row r="648">
      <c r="A648" s="2" t="inlineStr">
        <is>
          <t>Z202_31A_072025_MASSENA.CSV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0085</t>
        </is>
      </c>
      <c r="H648" s="4" t="n">
        <v>45869</v>
      </c>
      <c r="I648" s="2" t="inlineStr">
        <is>
          <t>18:39</t>
        </is>
      </c>
      <c r="J648" s="3" t="inlineStr">
        <is>
          <t>0047</t>
        </is>
      </c>
      <c r="K648" s="2" t="inlineStr"/>
      <c r="L648" s="5" t="n">
        <v>0</v>
      </c>
      <c r="M648" s="5" t="n">
        <v>0</v>
      </c>
      <c r="N648" s="6" t="n">
        <v>2025</v>
      </c>
      <c r="O648" s="5" t="inlineStr">
        <is>
          <t>2025-07</t>
        </is>
      </c>
    </row>
    <row r="649">
      <c r="A649" s="2" t="inlineStr">
        <is>
          <t>Z202_31A_072025_MASSENA.CSV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0085</t>
        </is>
      </c>
      <c r="H649" s="4" t="n">
        <v>45869</v>
      </c>
      <c r="I649" s="2" t="inlineStr">
        <is>
          <t>18:39</t>
        </is>
      </c>
      <c r="J649" s="3" t="inlineStr">
        <is>
          <t>0048</t>
        </is>
      </c>
      <c r="K649" s="2" t="inlineStr"/>
      <c r="L649" s="5" t="n">
        <v>0</v>
      </c>
      <c r="M649" s="5" t="n">
        <v>0</v>
      </c>
      <c r="N649" s="6" t="n">
        <v>2025</v>
      </c>
      <c r="O649" s="5" t="inlineStr">
        <is>
          <t>2025-07</t>
        </is>
      </c>
    </row>
    <row r="650">
      <c r="A650" s="2" t="inlineStr">
        <is>
          <t>Z202_31A_072025_MASSENA.CSV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0085</t>
        </is>
      </c>
      <c r="H650" s="4" t="n">
        <v>45869</v>
      </c>
      <c r="I650" s="2" t="inlineStr">
        <is>
          <t>18:39</t>
        </is>
      </c>
      <c r="J650" s="3" t="inlineStr">
        <is>
          <t>0049</t>
        </is>
      </c>
      <c r="K650" s="2" t="inlineStr"/>
      <c r="L650" s="5" t="n">
        <v>0</v>
      </c>
      <c r="M650" s="5" t="n">
        <v>0</v>
      </c>
      <c r="N650" s="6" t="n">
        <v>2025</v>
      </c>
      <c r="O650" s="5" t="inlineStr">
        <is>
          <t>2025-07</t>
        </is>
      </c>
    </row>
    <row r="651">
      <c r="A651" s="2" t="inlineStr">
        <is>
          <t>Z202_31A_072025_MASSENA.CSV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0085</t>
        </is>
      </c>
      <c r="H651" s="4" t="n">
        <v>45869</v>
      </c>
      <c r="I651" s="2" t="inlineStr">
        <is>
          <t>18:39</t>
        </is>
      </c>
      <c r="J651" s="3" t="inlineStr">
        <is>
          <t>0050</t>
        </is>
      </c>
      <c r="K651" s="2" t="inlineStr"/>
      <c r="L651" s="5" t="n">
        <v>0</v>
      </c>
      <c r="M651" s="5" t="n">
        <v>0</v>
      </c>
      <c r="N651" s="6" t="n">
        <v>2025</v>
      </c>
      <c r="O651" s="5" t="inlineStr">
        <is>
          <t>2025-07</t>
        </is>
      </c>
    </row>
  </sheetData>
  <autoFilter ref="A1:O6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6" t="n">
        <v>2025</v>
      </c>
      <c r="B2" s="5" t="inlineStr">
        <is>
          <t>2025-01</t>
        </is>
      </c>
      <c r="C2" s="2" t="inlineStr">
        <is>
          <t>Z</t>
        </is>
      </c>
      <c r="D2" s="2" t="inlineStr">
        <is>
          <t>CARTES</t>
        </is>
      </c>
      <c r="E2" s="5">
        <f>SUMIFS('Z2_CplteAnneeMois'!$L$2:$L$651,'Z2_CplteAnneeMois'!$O$2:$O$651,B2,'Z2_CplteAnneeMois'!$F$2:$F$651,C2,'Z2_CplteAnneeMois'!$K$2:$K$651,D2)</f>
        <v/>
      </c>
      <c r="F2" s="5">
        <f>SUMIFS('Z2_CplteAnneeMois'!$M$2:$M$651,'Z2_CplteAnneeMois'!$O$2:$O$651,B2,'Z2_CplteAnneeMois'!$F$2:$F$651,C2,'Z2_CplteAnneeMois'!$K$2:$K$651,D2)</f>
        <v/>
      </c>
    </row>
    <row r="3">
      <c r="A3" s="6" t="n">
        <v>2025</v>
      </c>
      <c r="B3" s="5" t="inlineStr">
        <is>
          <t>2025-01</t>
        </is>
      </c>
      <c r="C3" s="2" t="inlineStr">
        <is>
          <t>Z</t>
        </is>
      </c>
      <c r="D3" s="2" t="inlineStr">
        <is>
          <t>CHEQUES</t>
        </is>
      </c>
      <c r="E3" s="5">
        <f>SUMIFS('Z2_CplteAnneeMois'!$L$2:$L$651,'Z2_CplteAnneeMois'!$O$2:$O$651,B3,'Z2_CplteAnneeMois'!$F$2:$F$651,C3,'Z2_CplteAnneeMois'!$K$2:$K$651,D3)</f>
        <v/>
      </c>
      <c r="F3" s="5">
        <f>SUMIFS('Z2_CplteAnneeMois'!$M$2:$M$651,'Z2_CplteAnneeMois'!$O$2:$O$651,B3,'Z2_CplteAnneeMois'!$F$2:$F$651,C3,'Z2_CplteAnneeMois'!$K$2:$K$651,D3)</f>
        <v/>
      </c>
    </row>
    <row r="4">
      <c r="A4" s="6" t="n">
        <v>2025</v>
      </c>
      <c r="B4" s="5" t="inlineStr">
        <is>
          <t>2025-01</t>
        </is>
      </c>
      <c r="C4" s="2" t="inlineStr">
        <is>
          <t>Z</t>
        </is>
      </c>
      <c r="D4" s="2" t="inlineStr">
        <is>
          <t>CORRECTION</t>
        </is>
      </c>
      <c r="E4" s="5">
        <f>SUMIFS('Z2_CplteAnneeMois'!$L$2:$L$651,'Z2_CplteAnneeMois'!$O$2:$O$651,B4,'Z2_CplteAnneeMois'!$F$2:$F$651,C4,'Z2_CplteAnneeMois'!$K$2:$K$651,D4)</f>
        <v/>
      </c>
      <c r="F4" s="5">
        <f>SUMIFS('Z2_CplteAnneeMois'!$M$2:$M$651,'Z2_CplteAnneeMois'!$O$2:$O$651,B4,'Z2_CplteAnneeMois'!$F$2:$F$651,C4,'Z2_CplteAnneeMois'!$K$2:$K$651,D4)</f>
        <v/>
      </c>
    </row>
    <row r="5">
      <c r="A5" s="6" t="n">
        <v>2025</v>
      </c>
      <c r="B5" s="5" t="inlineStr">
        <is>
          <t>2025-01</t>
        </is>
      </c>
      <c r="C5" s="2" t="inlineStr">
        <is>
          <t>Z</t>
        </is>
      </c>
      <c r="D5" s="2" t="inlineStr">
        <is>
          <t>ESPECES</t>
        </is>
      </c>
      <c r="E5" s="5">
        <f>SUMIFS('Z2_CplteAnneeMois'!$L$2:$L$651,'Z2_CplteAnneeMois'!$O$2:$O$651,B5,'Z2_CplteAnneeMois'!$F$2:$F$651,C5,'Z2_CplteAnneeMois'!$K$2:$K$651,D5)</f>
        <v/>
      </c>
      <c r="F5" s="5">
        <f>SUMIFS('Z2_CplteAnneeMois'!$M$2:$M$651,'Z2_CplteAnneeMois'!$O$2:$O$651,B5,'Z2_CplteAnneeMois'!$F$2:$F$651,C5,'Z2_CplteAnneeMois'!$K$2:$K$651,D5)</f>
        <v/>
      </c>
    </row>
    <row r="6">
      <c r="A6" s="6" t="n">
        <v>2025</v>
      </c>
      <c r="B6" s="5" t="inlineStr">
        <is>
          <t>2025-01</t>
        </is>
      </c>
      <c r="C6" s="2" t="inlineStr">
        <is>
          <t>Z</t>
        </is>
      </c>
      <c r="D6" s="2" t="inlineStr">
        <is>
          <t>REF./TIROIR</t>
        </is>
      </c>
      <c r="E6" s="5">
        <f>SUMIFS('Z2_CplteAnneeMois'!$L$2:$L$651,'Z2_CplteAnneeMois'!$O$2:$O$651,B6,'Z2_CplteAnneeMois'!$F$2:$F$651,C6,'Z2_CplteAnneeMois'!$K$2:$K$651,D6)</f>
        <v/>
      </c>
      <c r="F6" s="5">
        <f>SUMIFS('Z2_CplteAnneeMois'!$M$2:$M$651,'Z2_CplteAnneeMois'!$O$2:$O$651,B6,'Z2_CplteAnneeMois'!$F$2:$F$651,C6,'Z2_CplteAnneeMois'!$K$2:$K$651,D6)</f>
        <v/>
      </c>
    </row>
    <row r="7">
      <c r="A7" s="6" t="n">
        <v>2025</v>
      </c>
      <c r="B7" s="5" t="inlineStr">
        <is>
          <t>2025-01</t>
        </is>
      </c>
      <c r="C7" s="2" t="inlineStr">
        <is>
          <t>ZZ1</t>
        </is>
      </c>
      <c r="D7" s="2" t="inlineStr">
        <is>
          <t>CARTES</t>
        </is>
      </c>
      <c r="E7" s="5">
        <f>SUMIFS('Z2_CplteAnneeMois'!$L$2:$L$651,'Z2_CplteAnneeMois'!$O$2:$O$651,B7,'Z2_CplteAnneeMois'!$F$2:$F$651,C7,'Z2_CplteAnneeMois'!$K$2:$K$651,D7)</f>
        <v/>
      </c>
      <c r="F7" s="5">
        <f>SUMIFS('Z2_CplteAnneeMois'!$M$2:$M$651,'Z2_CplteAnneeMois'!$O$2:$O$651,B7,'Z2_CplteAnneeMois'!$F$2:$F$651,C7,'Z2_CplteAnneeMois'!$K$2:$K$651,D7)</f>
        <v/>
      </c>
    </row>
    <row r="8">
      <c r="A8" s="6" t="n">
        <v>2025</v>
      </c>
      <c r="B8" s="5" t="inlineStr">
        <is>
          <t>2025-01</t>
        </is>
      </c>
      <c r="C8" s="2" t="inlineStr">
        <is>
          <t>ZZ1</t>
        </is>
      </c>
      <c r="D8" s="2" t="inlineStr">
        <is>
          <t>CHEQUES</t>
        </is>
      </c>
      <c r="E8" s="5">
        <f>SUMIFS('Z2_CplteAnneeMois'!$L$2:$L$651,'Z2_CplteAnneeMois'!$O$2:$O$651,B8,'Z2_CplteAnneeMois'!$F$2:$F$651,C8,'Z2_CplteAnneeMois'!$K$2:$K$651,D8)</f>
        <v/>
      </c>
      <c r="F8" s="5">
        <f>SUMIFS('Z2_CplteAnneeMois'!$M$2:$M$651,'Z2_CplteAnneeMois'!$O$2:$O$651,B8,'Z2_CplteAnneeMois'!$F$2:$F$651,C8,'Z2_CplteAnneeMois'!$K$2:$K$651,D8)</f>
        <v/>
      </c>
    </row>
    <row r="9">
      <c r="A9" s="6" t="n">
        <v>2025</v>
      </c>
      <c r="B9" s="5" t="inlineStr">
        <is>
          <t>2025-01</t>
        </is>
      </c>
      <c r="C9" s="2" t="inlineStr">
        <is>
          <t>ZZ1</t>
        </is>
      </c>
      <c r="D9" s="2" t="inlineStr">
        <is>
          <t>CORRECTION</t>
        </is>
      </c>
      <c r="E9" s="5">
        <f>SUMIFS('Z2_CplteAnneeMois'!$L$2:$L$651,'Z2_CplteAnneeMois'!$O$2:$O$651,B9,'Z2_CplteAnneeMois'!$F$2:$F$651,C9,'Z2_CplteAnneeMois'!$K$2:$K$651,D9)</f>
        <v/>
      </c>
      <c r="F9" s="5">
        <f>SUMIFS('Z2_CplteAnneeMois'!$M$2:$M$651,'Z2_CplteAnneeMois'!$O$2:$O$651,B9,'Z2_CplteAnneeMois'!$F$2:$F$651,C9,'Z2_CplteAnneeMois'!$K$2:$K$651,D9)</f>
        <v/>
      </c>
    </row>
    <row r="10">
      <c r="A10" s="6" t="n">
        <v>2025</v>
      </c>
      <c r="B10" s="5" t="inlineStr">
        <is>
          <t>2025-01</t>
        </is>
      </c>
      <c r="C10" s="2" t="inlineStr">
        <is>
          <t>ZZ1</t>
        </is>
      </c>
      <c r="D10" s="2" t="inlineStr">
        <is>
          <t>ESPECES</t>
        </is>
      </c>
      <c r="E10" s="5">
        <f>SUMIFS('Z2_CplteAnneeMois'!$L$2:$L$651,'Z2_CplteAnneeMois'!$O$2:$O$651,B10,'Z2_CplteAnneeMois'!$F$2:$F$651,C10,'Z2_CplteAnneeMois'!$K$2:$K$651,D10)</f>
        <v/>
      </c>
      <c r="F10" s="5">
        <f>SUMIFS('Z2_CplteAnneeMois'!$M$2:$M$651,'Z2_CplteAnneeMois'!$O$2:$O$651,B10,'Z2_CplteAnneeMois'!$F$2:$F$651,C10,'Z2_CplteAnneeMois'!$K$2:$K$651,D10)</f>
        <v/>
      </c>
    </row>
    <row r="11">
      <c r="A11" s="6" t="n">
        <v>2025</v>
      </c>
      <c r="B11" s="5" t="inlineStr">
        <is>
          <t>2025-01</t>
        </is>
      </c>
      <c r="C11" s="2" t="inlineStr">
        <is>
          <t>ZZ1</t>
        </is>
      </c>
      <c r="D11" s="2" t="inlineStr">
        <is>
          <t>REF./TIROIR</t>
        </is>
      </c>
      <c r="E11" s="5">
        <f>SUMIFS('Z2_CplteAnneeMois'!$L$2:$L$651,'Z2_CplteAnneeMois'!$O$2:$O$651,B11,'Z2_CplteAnneeMois'!$F$2:$F$651,C11,'Z2_CplteAnneeMois'!$K$2:$K$651,D11)</f>
        <v/>
      </c>
      <c r="F11" s="5">
        <f>SUMIFS('Z2_CplteAnneeMois'!$M$2:$M$651,'Z2_CplteAnneeMois'!$O$2:$O$651,B11,'Z2_CplteAnneeMois'!$F$2:$F$651,C11,'Z2_CplteAnneeMois'!$K$2:$K$651,D11)</f>
        <v/>
      </c>
    </row>
    <row r="12">
      <c r="A12" s="6" t="n">
        <v>2025</v>
      </c>
      <c r="B12" s="5" t="inlineStr">
        <is>
          <t>2025-01</t>
        </is>
      </c>
      <c r="C12" s="2" t="inlineStr">
        <is>
          <t>ZZ2</t>
        </is>
      </c>
      <c r="D12" s="2" t="inlineStr">
        <is>
          <t>CARTES</t>
        </is>
      </c>
      <c r="E12" s="5">
        <f>SUMIFS('Z2_CplteAnneeMois'!$L$2:$L$651,'Z2_CplteAnneeMois'!$O$2:$O$651,B12,'Z2_CplteAnneeMois'!$F$2:$F$651,C12,'Z2_CplteAnneeMois'!$K$2:$K$651,D12)</f>
        <v/>
      </c>
      <c r="F12" s="5">
        <f>SUMIFS('Z2_CplteAnneeMois'!$M$2:$M$651,'Z2_CplteAnneeMois'!$O$2:$O$651,B12,'Z2_CplteAnneeMois'!$F$2:$F$651,C12,'Z2_CplteAnneeMois'!$K$2:$K$651,D12)</f>
        <v/>
      </c>
    </row>
    <row r="13">
      <c r="A13" s="6" t="n">
        <v>2025</v>
      </c>
      <c r="B13" s="5" t="inlineStr">
        <is>
          <t>2025-01</t>
        </is>
      </c>
      <c r="C13" s="2" t="inlineStr">
        <is>
          <t>ZZ2</t>
        </is>
      </c>
      <c r="D13" s="2" t="inlineStr">
        <is>
          <t>CHEQUES</t>
        </is>
      </c>
      <c r="E13" s="5">
        <f>SUMIFS('Z2_CplteAnneeMois'!$L$2:$L$651,'Z2_CplteAnneeMois'!$O$2:$O$651,B13,'Z2_CplteAnneeMois'!$F$2:$F$651,C13,'Z2_CplteAnneeMois'!$K$2:$K$651,D13)</f>
        <v/>
      </c>
      <c r="F13" s="5">
        <f>SUMIFS('Z2_CplteAnneeMois'!$M$2:$M$651,'Z2_CplteAnneeMois'!$O$2:$O$651,B13,'Z2_CplteAnneeMois'!$F$2:$F$651,C13,'Z2_CplteAnneeMois'!$K$2:$K$651,D13)</f>
        <v/>
      </c>
    </row>
    <row r="14">
      <c r="A14" s="6" t="n">
        <v>2025</v>
      </c>
      <c r="B14" s="5" t="inlineStr">
        <is>
          <t>2025-01</t>
        </is>
      </c>
      <c r="C14" s="2" t="inlineStr">
        <is>
          <t>ZZ2</t>
        </is>
      </c>
      <c r="D14" s="2" t="inlineStr">
        <is>
          <t>CORRECTION</t>
        </is>
      </c>
      <c r="E14" s="5">
        <f>SUMIFS('Z2_CplteAnneeMois'!$L$2:$L$651,'Z2_CplteAnneeMois'!$O$2:$O$651,B14,'Z2_CplteAnneeMois'!$F$2:$F$651,C14,'Z2_CplteAnneeMois'!$K$2:$K$651,D14)</f>
        <v/>
      </c>
      <c r="F14" s="5">
        <f>SUMIFS('Z2_CplteAnneeMois'!$M$2:$M$651,'Z2_CplteAnneeMois'!$O$2:$O$651,B14,'Z2_CplteAnneeMois'!$F$2:$F$651,C14,'Z2_CplteAnneeMois'!$K$2:$K$651,D14)</f>
        <v/>
      </c>
    </row>
    <row r="15">
      <c r="A15" s="6" t="n">
        <v>2025</v>
      </c>
      <c r="B15" s="5" t="inlineStr">
        <is>
          <t>2025-01</t>
        </is>
      </c>
      <c r="C15" s="2" t="inlineStr">
        <is>
          <t>ZZ2</t>
        </is>
      </c>
      <c r="D15" s="2" t="inlineStr">
        <is>
          <t>ESPECES</t>
        </is>
      </c>
      <c r="E15" s="5">
        <f>SUMIFS('Z2_CplteAnneeMois'!$L$2:$L$651,'Z2_CplteAnneeMois'!$O$2:$O$651,B15,'Z2_CplteAnneeMois'!$F$2:$F$651,C15,'Z2_CplteAnneeMois'!$K$2:$K$651,D15)</f>
        <v/>
      </c>
      <c r="F15" s="5">
        <f>SUMIFS('Z2_CplteAnneeMois'!$M$2:$M$651,'Z2_CplteAnneeMois'!$O$2:$O$651,B15,'Z2_CplteAnneeMois'!$F$2:$F$651,C15,'Z2_CplteAnneeMois'!$K$2:$K$651,D15)</f>
        <v/>
      </c>
    </row>
    <row r="16">
      <c r="A16" s="6" t="n">
        <v>2025</v>
      </c>
      <c r="B16" s="5" t="inlineStr">
        <is>
          <t>2025-01</t>
        </is>
      </c>
      <c r="C16" s="2" t="inlineStr">
        <is>
          <t>ZZ2</t>
        </is>
      </c>
      <c r="D16" s="2" t="inlineStr">
        <is>
          <t>REF./TIROIR</t>
        </is>
      </c>
      <c r="E16" s="5">
        <f>SUMIFS('Z2_CplteAnneeMois'!$L$2:$L$651,'Z2_CplteAnneeMois'!$O$2:$O$651,B16,'Z2_CplteAnneeMois'!$F$2:$F$651,C16,'Z2_CplteAnneeMois'!$K$2:$K$651,D16)</f>
        <v/>
      </c>
      <c r="F16" s="5">
        <f>SUMIFS('Z2_CplteAnneeMois'!$M$2:$M$651,'Z2_CplteAnneeMois'!$O$2:$O$651,B16,'Z2_CplteAnneeMois'!$F$2:$F$651,C16,'Z2_CplteAnneeMois'!$K$2:$K$651,D16)</f>
        <v/>
      </c>
    </row>
    <row r="17">
      <c r="A17" s="6" t="n">
        <v>2025</v>
      </c>
      <c r="B17" s="5" t="inlineStr">
        <is>
          <t>2025-02</t>
        </is>
      </c>
      <c r="C17" s="2" t="inlineStr">
        <is>
          <t>Z</t>
        </is>
      </c>
      <c r="D17" s="2" t="inlineStr">
        <is>
          <t>CARTES</t>
        </is>
      </c>
      <c r="E17" s="5">
        <f>SUMIFS('Z2_CplteAnneeMois'!$L$2:$L$651,'Z2_CplteAnneeMois'!$O$2:$O$651,B17,'Z2_CplteAnneeMois'!$F$2:$F$651,C17,'Z2_CplteAnneeMois'!$K$2:$K$651,D17)</f>
        <v/>
      </c>
      <c r="F17" s="5">
        <f>SUMIFS('Z2_CplteAnneeMois'!$M$2:$M$651,'Z2_CplteAnneeMois'!$O$2:$O$651,B17,'Z2_CplteAnneeMois'!$F$2:$F$651,C17,'Z2_CplteAnneeMois'!$K$2:$K$651,D17)</f>
        <v/>
      </c>
    </row>
    <row r="18">
      <c r="A18" s="6" t="n">
        <v>2025</v>
      </c>
      <c r="B18" s="5" t="inlineStr">
        <is>
          <t>2025-02</t>
        </is>
      </c>
      <c r="C18" s="2" t="inlineStr">
        <is>
          <t>Z</t>
        </is>
      </c>
      <c r="D18" s="2" t="inlineStr">
        <is>
          <t>CHEQUES</t>
        </is>
      </c>
      <c r="E18" s="5">
        <f>SUMIFS('Z2_CplteAnneeMois'!$L$2:$L$651,'Z2_CplteAnneeMois'!$O$2:$O$651,B18,'Z2_CplteAnneeMois'!$F$2:$F$651,C18,'Z2_CplteAnneeMois'!$K$2:$K$651,D18)</f>
        <v/>
      </c>
      <c r="F18" s="5">
        <f>SUMIFS('Z2_CplteAnneeMois'!$M$2:$M$651,'Z2_CplteAnneeMois'!$O$2:$O$651,B18,'Z2_CplteAnneeMois'!$F$2:$F$651,C18,'Z2_CplteAnneeMois'!$K$2:$K$651,D18)</f>
        <v/>
      </c>
    </row>
    <row r="19">
      <c r="A19" s="6" t="n">
        <v>2025</v>
      </c>
      <c r="B19" s="5" t="inlineStr">
        <is>
          <t>2025-02</t>
        </is>
      </c>
      <c r="C19" s="2" t="inlineStr">
        <is>
          <t>Z</t>
        </is>
      </c>
      <c r="D19" s="2" t="inlineStr">
        <is>
          <t>CORRECTION</t>
        </is>
      </c>
      <c r="E19" s="5">
        <f>SUMIFS('Z2_CplteAnneeMois'!$L$2:$L$651,'Z2_CplteAnneeMois'!$O$2:$O$651,B19,'Z2_CplteAnneeMois'!$F$2:$F$651,C19,'Z2_CplteAnneeMois'!$K$2:$K$651,D19)</f>
        <v/>
      </c>
      <c r="F19" s="5">
        <f>SUMIFS('Z2_CplteAnneeMois'!$M$2:$M$651,'Z2_CplteAnneeMois'!$O$2:$O$651,B19,'Z2_CplteAnneeMois'!$F$2:$F$651,C19,'Z2_CplteAnneeMois'!$K$2:$K$651,D19)</f>
        <v/>
      </c>
    </row>
    <row r="20">
      <c r="A20" s="6" t="n">
        <v>2025</v>
      </c>
      <c r="B20" s="5" t="inlineStr">
        <is>
          <t>2025-02</t>
        </is>
      </c>
      <c r="C20" s="2" t="inlineStr">
        <is>
          <t>Z</t>
        </is>
      </c>
      <c r="D20" s="2" t="inlineStr">
        <is>
          <t>ESPECES</t>
        </is>
      </c>
      <c r="E20" s="5">
        <f>SUMIFS('Z2_CplteAnneeMois'!$L$2:$L$651,'Z2_CplteAnneeMois'!$O$2:$O$651,B20,'Z2_CplteAnneeMois'!$F$2:$F$651,C20,'Z2_CplteAnneeMois'!$K$2:$K$651,D20)</f>
        <v/>
      </c>
      <c r="F20" s="5">
        <f>SUMIFS('Z2_CplteAnneeMois'!$M$2:$M$651,'Z2_CplteAnneeMois'!$O$2:$O$651,B20,'Z2_CplteAnneeMois'!$F$2:$F$651,C20,'Z2_CplteAnneeMois'!$K$2:$K$651,D20)</f>
        <v/>
      </c>
    </row>
    <row r="21">
      <c r="A21" s="6" t="n">
        <v>2025</v>
      </c>
      <c r="B21" s="5" t="inlineStr">
        <is>
          <t>2025-02</t>
        </is>
      </c>
      <c r="C21" s="2" t="inlineStr">
        <is>
          <t>Z</t>
        </is>
      </c>
      <c r="D21" s="2" t="inlineStr">
        <is>
          <t>REF./TIROIR</t>
        </is>
      </c>
      <c r="E21" s="5">
        <f>SUMIFS('Z2_CplteAnneeMois'!$L$2:$L$651,'Z2_CplteAnneeMois'!$O$2:$O$651,B21,'Z2_CplteAnneeMois'!$F$2:$F$651,C21,'Z2_CplteAnneeMois'!$K$2:$K$651,D21)</f>
        <v/>
      </c>
      <c r="F21" s="5">
        <f>SUMIFS('Z2_CplteAnneeMois'!$M$2:$M$651,'Z2_CplteAnneeMois'!$O$2:$O$651,B21,'Z2_CplteAnneeMois'!$F$2:$F$651,C21,'Z2_CplteAnneeMois'!$K$2:$K$651,D21)</f>
        <v/>
      </c>
    </row>
    <row r="22">
      <c r="A22" s="6" t="n">
        <v>2025</v>
      </c>
      <c r="B22" s="5" t="inlineStr">
        <is>
          <t>2025-02</t>
        </is>
      </c>
      <c r="C22" s="2" t="inlineStr">
        <is>
          <t>ZZ1</t>
        </is>
      </c>
      <c r="D22" s="2" t="inlineStr">
        <is>
          <t>CARTES</t>
        </is>
      </c>
      <c r="E22" s="5">
        <f>SUMIFS('Z2_CplteAnneeMois'!$L$2:$L$651,'Z2_CplteAnneeMois'!$O$2:$O$651,B22,'Z2_CplteAnneeMois'!$F$2:$F$651,C22,'Z2_CplteAnneeMois'!$K$2:$K$651,D22)</f>
        <v/>
      </c>
      <c r="F22" s="5">
        <f>SUMIFS('Z2_CplteAnneeMois'!$M$2:$M$651,'Z2_CplteAnneeMois'!$O$2:$O$651,B22,'Z2_CplteAnneeMois'!$F$2:$F$651,C22,'Z2_CplteAnneeMois'!$K$2:$K$651,D22)</f>
        <v/>
      </c>
    </row>
    <row r="23">
      <c r="A23" s="6" t="n">
        <v>2025</v>
      </c>
      <c r="B23" s="5" t="inlineStr">
        <is>
          <t>2025-02</t>
        </is>
      </c>
      <c r="C23" s="2" t="inlineStr">
        <is>
          <t>ZZ1</t>
        </is>
      </c>
      <c r="D23" s="2" t="inlineStr">
        <is>
          <t>CHEQUES</t>
        </is>
      </c>
      <c r="E23" s="5">
        <f>SUMIFS('Z2_CplteAnneeMois'!$L$2:$L$651,'Z2_CplteAnneeMois'!$O$2:$O$651,B23,'Z2_CplteAnneeMois'!$F$2:$F$651,C23,'Z2_CplteAnneeMois'!$K$2:$K$651,D23)</f>
        <v/>
      </c>
      <c r="F23" s="5">
        <f>SUMIFS('Z2_CplteAnneeMois'!$M$2:$M$651,'Z2_CplteAnneeMois'!$O$2:$O$651,B23,'Z2_CplteAnneeMois'!$F$2:$F$651,C23,'Z2_CplteAnneeMois'!$K$2:$K$651,D23)</f>
        <v/>
      </c>
    </row>
    <row r="24">
      <c r="A24" s="6" t="n">
        <v>2025</v>
      </c>
      <c r="B24" s="5" t="inlineStr">
        <is>
          <t>2025-02</t>
        </is>
      </c>
      <c r="C24" s="2" t="inlineStr">
        <is>
          <t>ZZ1</t>
        </is>
      </c>
      <c r="D24" s="2" t="inlineStr">
        <is>
          <t>CORRECTION</t>
        </is>
      </c>
      <c r="E24" s="5">
        <f>SUMIFS('Z2_CplteAnneeMois'!$L$2:$L$651,'Z2_CplteAnneeMois'!$O$2:$O$651,B24,'Z2_CplteAnneeMois'!$F$2:$F$651,C24,'Z2_CplteAnneeMois'!$K$2:$K$651,D24)</f>
        <v/>
      </c>
      <c r="F24" s="5">
        <f>SUMIFS('Z2_CplteAnneeMois'!$M$2:$M$651,'Z2_CplteAnneeMois'!$O$2:$O$651,B24,'Z2_CplteAnneeMois'!$F$2:$F$651,C24,'Z2_CplteAnneeMois'!$K$2:$K$651,D24)</f>
        <v/>
      </c>
    </row>
    <row r="25">
      <c r="A25" s="6" t="n">
        <v>2025</v>
      </c>
      <c r="B25" s="5" t="inlineStr">
        <is>
          <t>2025-02</t>
        </is>
      </c>
      <c r="C25" s="2" t="inlineStr">
        <is>
          <t>ZZ1</t>
        </is>
      </c>
      <c r="D25" s="2" t="inlineStr">
        <is>
          <t>ESPECES</t>
        </is>
      </c>
      <c r="E25" s="5">
        <f>SUMIFS('Z2_CplteAnneeMois'!$L$2:$L$651,'Z2_CplteAnneeMois'!$O$2:$O$651,B25,'Z2_CplteAnneeMois'!$F$2:$F$651,C25,'Z2_CplteAnneeMois'!$K$2:$K$651,D25)</f>
        <v/>
      </c>
      <c r="F25" s="5">
        <f>SUMIFS('Z2_CplteAnneeMois'!$M$2:$M$651,'Z2_CplteAnneeMois'!$O$2:$O$651,B25,'Z2_CplteAnneeMois'!$F$2:$F$651,C25,'Z2_CplteAnneeMois'!$K$2:$K$651,D25)</f>
        <v/>
      </c>
    </row>
    <row r="26">
      <c r="A26" s="6" t="n">
        <v>2025</v>
      </c>
      <c r="B26" s="5" t="inlineStr">
        <is>
          <t>2025-02</t>
        </is>
      </c>
      <c r="C26" s="2" t="inlineStr">
        <is>
          <t>ZZ1</t>
        </is>
      </c>
      <c r="D26" s="2" t="inlineStr">
        <is>
          <t>REF./TIROIR</t>
        </is>
      </c>
      <c r="E26" s="5">
        <f>SUMIFS('Z2_CplteAnneeMois'!$L$2:$L$651,'Z2_CplteAnneeMois'!$O$2:$O$651,B26,'Z2_CplteAnneeMois'!$F$2:$F$651,C26,'Z2_CplteAnneeMois'!$K$2:$K$651,D26)</f>
        <v/>
      </c>
      <c r="F26" s="5">
        <f>SUMIFS('Z2_CplteAnneeMois'!$M$2:$M$651,'Z2_CplteAnneeMois'!$O$2:$O$651,B26,'Z2_CplteAnneeMois'!$F$2:$F$651,C26,'Z2_CplteAnneeMois'!$K$2:$K$651,D26)</f>
        <v/>
      </c>
    </row>
    <row r="27">
      <c r="A27" s="6" t="n">
        <v>2025</v>
      </c>
      <c r="B27" s="5" t="inlineStr">
        <is>
          <t>2025-02</t>
        </is>
      </c>
      <c r="C27" s="2" t="inlineStr">
        <is>
          <t>ZZ2</t>
        </is>
      </c>
      <c r="D27" s="2" t="inlineStr">
        <is>
          <t>CARTES</t>
        </is>
      </c>
      <c r="E27" s="5">
        <f>SUMIFS('Z2_CplteAnneeMois'!$L$2:$L$651,'Z2_CplteAnneeMois'!$O$2:$O$651,B27,'Z2_CplteAnneeMois'!$F$2:$F$651,C27,'Z2_CplteAnneeMois'!$K$2:$K$651,D27)</f>
        <v/>
      </c>
      <c r="F27" s="5">
        <f>SUMIFS('Z2_CplteAnneeMois'!$M$2:$M$651,'Z2_CplteAnneeMois'!$O$2:$O$651,B27,'Z2_CplteAnneeMois'!$F$2:$F$651,C27,'Z2_CplteAnneeMois'!$K$2:$K$651,D27)</f>
        <v/>
      </c>
    </row>
    <row r="28">
      <c r="A28" s="6" t="n">
        <v>2025</v>
      </c>
      <c r="B28" s="5" t="inlineStr">
        <is>
          <t>2025-02</t>
        </is>
      </c>
      <c r="C28" s="2" t="inlineStr">
        <is>
          <t>ZZ2</t>
        </is>
      </c>
      <c r="D28" s="2" t="inlineStr">
        <is>
          <t>CHEQUES</t>
        </is>
      </c>
      <c r="E28" s="5">
        <f>SUMIFS('Z2_CplteAnneeMois'!$L$2:$L$651,'Z2_CplteAnneeMois'!$O$2:$O$651,B28,'Z2_CplteAnneeMois'!$F$2:$F$651,C28,'Z2_CplteAnneeMois'!$K$2:$K$651,D28)</f>
        <v/>
      </c>
      <c r="F28" s="5">
        <f>SUMIFS('Z2_CplteAnneeMois'!$M$2:$M$651,'Z2_CplteAnneeMois'!$O$2:$O$651,B28,'Z2_CplteAnneeMois'!$F$2:$F$651,C28,'Z2_CplteAnneeMois'!$K$2:$K$651,D28)</f>
        <v/>
      </c>
    </row>
    <row r="29">
      <c r="A29" s="6" t="n">
        <v>2025</v>
      </c>
      <c r="B29" s="5" t="inlineStr">
        <is>
          <t>2025-02</t>
        </is>
      </c>
      <c r="C29" s="2" t="inlineStr">
        <is>
          <t>ZZ2</t>
        </is>
      </c>
      <c r="D29" s="2" t="inlineStr">
        <is>
          <t>CORRECTION</t>
        </is>
      </c>
      <c r="E29" s="5">
        <f>SUMIFS('Z2_CplteAnneeMois'!$L$2:$L$651,'Z2_CplteAnneeMois'!$O$2:$O$651,B29,'Z2_CplteAnneeMois'!$F$2:$F$651,C29,'Z2_CplteAnneeMois'!$K$2:$K$651,D29)</f>
        <v/>
      </c>
      <c r="F29" s="5">
        <f>SUMIFS('Z2_CplteAnneeMois'!$M$2:$M$651,'Z2_CplteAnneeMois'!$O$2:$O$651,B29,'Z2_CplteAnneeMois'!$F$2:$F$651,C29,'Z2_CplteAnneeMois'!$K$2:$K$651,D29)</f>
        <v/>
      </c>
    </row>
    <row r="30">
      <c r="A30" s="6" t="n">
        <v>2025</v>
      </c>
      <c r="B30" s="5" t="inlineStr">
        <is>
          <t>2025-02</t>
        </is>
      </c>
      <c r="C30" s="2" t="inlineStr">
        <is>
          <t>ZZ2</t>
        </is>
      </c>
      <c r="D30" s="2" t="inlineStr">
        <is>
          <t>ESPECES</t>
        </is>
      </c>
      <c r="E30" s="5">
        <f>SUMIFS('Z2_CplteAnneeMois'!$L$2:$L$651,'Z2_CplteAnneeMois'!$O$2:$O$651,B30,'Z2_CplteAnneeMois'!$F$2:$F$651,C30,'Z2_CplteAnneeMois'!$K$2:$K$651,D30)</f>
        <v/>
      </c>
      <c r="F30" s="5">
        <f>SUMIFS('Z2_CplteAnneeMois'!$M$2:$M$651,'Z2_CplteAnneeMois'!$O$2:$O$651,B30,'Z2_CplteAnneeMois'!$F$2:$F$651,C30,'Z2_CplteAnneeMois'!$K$2:$K$651,D30)</f>
        <v/>
      </c>
    </row>
    <row r="31">
      <c r="A31" s="6" t="n">
        <v>2025</v>
      </c>
      <c r="B31" s="5" t="inlineStr">
        <is>
          <t>2025-02</t>
        </is>
      </c>
      <c r="C31" s="2" t="inlineStr">
        <is>
          <t>ZZ2</t>
        </is>
      </c>
      <c r="D31" s="2" t="inlineStr">
        <is>
          <t>REF./TIROIR</t>
        </is>
      </c>
      <c r="E31" s="5">
        <f>SUMIFS('Z2_CplteAnneeMois'!$L$2:$L$651,'Z2_CplteAnneeMois'!$O$2:$O$651,B31,'Z2_CplteAnneeMois'!$F$2:$F$651,C31,'Z2_CplteAnneeMois'!$K$2:$K$651,D31)</f>
        <v/>
      </c>
      <c r="F31" s="5">
        <f>SUMIFS('Z2_CplteAnneeMois'!$M$2:$M$651,'Z2_CplteAnneeMois'!$O$2:$O$651,B31,'Z2_CplteAnneeMois'!$F$2:$F$651,C31,'Z2_CplteAnneeMois'!$K$2:$K$651,D31)</f>
        <v/>
      </c>
    </row>
    <row r="32">
      <c r="A32" s="6" t="n">
        <v>2025</v>
      </c>
      <c r="B32" s="5" t="inlineStr">
        <is>
          <t>2025-03</t>
        </is>
      </c>
      <c r="C32" s="2" t="inlineStr">
        <is>
          <t>Z</t>
        </is>
      </c>
      <c r="D32" s="2" t="inlineStr">
        <is>
          <t>CARTES</t>
        </is>
      </c>
      <c r="E32" s="5">
        <f>SUMIFS('Z2_CplteAnneeMois'!$L$2:$L$651,'Z2_CplteAnneeMois'!$O$2:$O$651,B32,'Z2_CplteAnneeMois'!$F$2:$F$651,C32,'Z2_CplteAnneeMois'!$K$2:$K$651,D32)</f>
        <v/>
      </c>
      <c r="F32" s="5">
        <f>SUMIFS('Z2_CplteAnneeMois'!$M$2:$M$651,'Z2_CplteAnneeMois'!$O$2:$O$651,B32,'Z2_CplteAnneeMois'!$F$2:$F$651,C32,'Z2_CplteAnneeMois'!$K$2:$K$651,D32)</f>
        <v/>
      </c>
    </row>
    <row r="33">
      <c r="A33" s="6" t="n">
        <v>2025</v>
      </c>
      <c r="B33" s="5" t="inlineStr">
        <is>
          <t>2025-03</t>
        </is>
      </c>
      <c r="C33" s="2" t="inlineStr">
        <is>
          <t>Z</t>
        </is>
      </c>
      <c r="D33" s="2" t="inlineStr">
        <is>
          <t>CHEQUES</t>
        </is>
      </c>
      <c r="E33" s="5">
        <f>SUMIFS('Z2_CplteAnneeMois'!$L$2:$L$651,'Z2_CplteAnneeMois'!$O$2:$O$651,B33,'Z2_CplteAnneeMois'!$F$2:$F$651,C33,'Z2_CplteAnneeMois'!$K$2:$K$651,D33)</f>
        <v/>
      </c>
      <c r="F33" s="5">
        <f>SUMIFS('Z2_CplteAnneeMois'!$M$2:$M$651,'Z2_CplteAnneeMois'!$O$2:$O$651,B33,'Z2_CplteAnneeMois'!$F$2:$F$651,C33,'Z2_CplteAnneeMois'!$K$2:$K$651,D33)</f>
        <v/>
      </c>
    </row>
    <row r="34">
      <c r="A34" s="6" t="n">
        <v>2025</v>
      </c>
      <c r="B34" s="5" t="inlineStr">
        <is>
          <t>2025-03</t>
        </is>
      </c>
      <c r="C34" s="2" t="inlineStr">
        <is>
          <t>Z</t>
        </is>
      </c>
      <c r="D34" s="2" t="inlineStr">
        <is>
          <t>CORRECTION</t>
        </is>
      </c>
      <c r="E34" s="5">
        <f>SUMIFS('Z2_CplteAnneeMois'!$L$2:$L$651,'Z2_CplteAnneeMois'!$O$2:$O$651,B34,'Z2_CplteAnneeMois'!$F$2:$F$651,C34,'Z2_CplteAnneeMois'!$K$2:$K$651,D34)</f>
        <v/>
      </c>
      <c r="F34" s="5">
        <f>SUMIFS('Z2_CplteAnneeMois'!$M$2:$M$651,'Z2_CplteAnneeMois'!$O$2:$O$651,B34,'Z2_CplteAnneeMois'!$F$2:$F$651,C34,'Z2_CplteAnneeMois'!$K$2:$K$651,D34)</f>
        <v/>
      </c>
    </row>
    <row r="35">
      <c r="A35" s="6" t="n">
        <v>2025</v>
      </c>
      <c r="B35" s="5" t="inlineStr">
        <is>
          <t>2025-03</t>
        </is>
      </c>
      <c r="C35" s="2" t="inlineStr">
        <is>
          <t>Z</t>
        </is>
      </c>
      <c r="D35" s="2" t="inlineStr">
        <is>
          <t>ESPECES</t>
        </is>
      </c>
      <c r="E35" s="5">
        <f>SUMIFS('Z2_CplteAnneeMois'!$L$2:$L$651,'Z2_CplteAnneeMois'!$O$2:$O$651,B35,'Z2_CplteAnneeMois'!$F$2:$F$651,C35,'Z2_CplteAnneeMois'!$K$2:$K$651,D35)</f>
        <v/>
      </c>
      <c r="F35" s="5">
        <f>SUMIFS('Z2_CplteAnneeMois'!$M$2:$M$651,'Z2_CplteAnneeMois'!$O$2:$O$651,B35,'Z2_CplteAnneeMois'!$F$2:$F$651,C35,'Z2_CplteAnneeMois'!$K$2:$K$651,D35)</f>
        <v/>
      </c>
    </row>
    <row r="36">
      <c r="A36" s="6" t="n">
        <v>2025</v>
      </c>
      <c r="B36" s="5" t="inlineStr">
        <is>
          <t>2025-03</t>
        </is>
      </c>
      <c r="C36" s="2" t="inlineStr">
        <is>
          <t>Z</t>
        </is>
      </c>
      <c r="D36" s="2" t="inlineStr">
        <is>
          <t>REF./TIROIR</t>
        </is>
      </c>
      <c r="E36" s="5">
        <f>SUMIFS('Z2_CplteAnneeMois'!$L$2:$L$651,'Z2_CplteAnneeMois'!$O$2:$O$651,B36,'Z2_CplteAnneeMois'!$F$2:$F$651,C36,'Z2_CplteAnneeMois'!$K$2:$K$651,D36)</f>
        <v/>
      </c>
      <c r="F36" s="5">
        <f>SUMIFS('Z2_CplteAnneeMois'!$M$2:$M$651,'Z2_CplteAnneeMois'!$O$2:$O$651,B36,'Z2_CplteAnneeMois'!$F$2:$F$651,C36,'Z2_CplteAnneeMois'!$K$2:$K$651,D36)</f>
        <v/>
      </c>
    </row>
    <row r="37">
      <c r="A37" s="6" t="n">
        <v>2025</v>
      </c>
      <c r="B37" s="5" t="inlineStr">
        <is>
          <t>2025-03</t>
        </is>
      </c>
      <c r="C37" s="2" t="inlineStr">
        <is>
          <t>ZZ1</t>
        </is>
      </c>
      <c r="D37" s="2" t="inlineStr">
        <is>
          <t>CARTES</t>
        </is>
      </c>
      <c r="E37" s="5">
        <f>SUMIFS('Z2_CplteAnneeMois'!$L$2:$L$651,'Z2_CplteAnneeMois'!$O$2:$O$651,B37,'Z2_CplteAnneeMois'!$F$2:$F$651,C37,'Z2_CplteAnneeMois'!$K$2:$K$651,D37)</f>
        <v/>
      </c>
      <c r="F37" s="5">
        <f>SUMIFS('Z2_CplteAnneeMois'!$M$2:$M$651,'Z2_CplteAnneeMois'!$O$2:$O$651,B37,'Z2_CplteAnneeMois'!$F$2:$F$651,C37,'Z2_CplteAnneeMois'!$K$2:$K$651,D37)</f>
        <v/>
      </c>
    </row>
    <row r="38">
      <c r="A38" s="6" t="n">
        <v>2025</v>
      </c>
      <c r="B38" s="5" t="inlineStr">
        <is>
          <t>2025-03</t>
        </is>
      </c>
      <c r="C38" s="2" t="inlineStr">
        <is>
          <t>ZZ1</t>
        </is>
      </c>
      <c r="D38" s="2" t="inlineStr">
        <is>
          <t>CHEQUES</t>
        </is>
      </c>
      <c r="E38" s="5">
        <f>SUMIFS('Z2_CplteAnneeMois'!$L$2:$L$651,'Z2_CplteAnneeMois'!$O$2:$O$651,B38,'Z2_CplteAnneeMois'!$F$2:$F$651,C38,'Z2_CplteAnneeMois'!$K$2:$K$651,D38)</f>
        <v/>
      </c>
      <c r="F38" s="5">
        <f>SUMIFS('Z2_CplteAnneeMois'!$M$2:$M$651,'Z2_CplteAnneeMois'!$O$2:$O$651,B38,'Z2_CplteAnneeMois'!$F$2:$F$651,C38,'Z2_CplteAnneeMois'!$K$2:$K$651,D38)</f>
        <v/>
      </c>
    </row>
    <row r="39">
      <c r="A39" s="6" t="n">
        <v>2025</v>
      </c>
      <c r="B39" s="5" t="inlineStr">
        <is>
          <t>2025-03</t>
        </is>
      </c>
      <c r="C39" s="2" t="inlineStr">
        <is>
          <t>ZZ1</t>
        </is>
      </c>
      <c r="D39" s="2" t="inlineStr">
        <is>
          <t>CORRECTION</t>
        </is>
      </c>
      <c r="E39" s="5">
        <f>SUMIFS('Z2_CplteAnneeMois'!$L$2:$L$651,'Z2_CplteAnneeMois'!$O$2:$O$651,B39,'Z2_CplteAnneeMois'!$F$2:$F$651,C39,'Z2_CplteAnneeMois'!$K$2:$K$651,D39)</f>
        <v/>
      </c>
      <c r="F39" s="5">
        <f>SUMIFS('Z2_CplteAnneeMois'!$M$2:$M$651,'Z2_CplteAnneeMois'!$O$2:$O$651,B39,'Z2_CplteAnneeMois'!$F$2:$F$651,C39,'Z2_CplteAnneeMois'!$K$2:$K$651,D39)</f>
        <v/>
      </c>
    </row>
    <row r="40">
      <c r="A40" s="6" t="n">
        <v>2025</v>
      </c>
      <c r="B40" s="5" t="inlineStr">
        <is>
          <t>2025-03</t>
        </is>
      </c>
      <c r="C40" s="2" t="inlineStr">
        <is>
          <t>ZZ1</t>
        </is>
      </c>
      <c r="D40" s="2" t="inlineStr">
        <is>
          <t>ESPECES</t>
        </is>
      </c>
      <c r="E40" s="5">
        <f>SUMIFS('Z2_CplteAnneeMois'!$L$2:$L$651,'Z2_CplteAnneeMois'!$O$2:$O$651,B40,'Z2_CplteAnneeMois'!$F$2:$F$651,C40,'Z2_CplteAnneeMois'!$K$2:$K$651,D40)</f>
        <v/>
      </c>
      <c r="F40" s="5">
        <f>SUMIFS('Z2_CplteAnneeMois'!$M$2:$M$651,'Z2_CplteAnneeMois'!$O$2:$O$651,B40,'Z2_CplteAnneeMois'!$F$2:$F$651,C40,'Z2_CplteAnneeMois'!$K$2:$K$651,D40)</f>
        <v/>
      </c>
    </row>
    <row r="41">
      <c r="A41" s="6" t="n">
        <v>2025</v>
      </c>
      <c r="B41" s="5" t="inlineStr">
        <is>
          <t>2025-03</t>
        </is>
      </c>
      <c r="C41" s="2" t="inlineStr">
        <is>
          <t>ZZ1</t>
        </is>
      </c>
      <c r="D41" s="2" t="inlineStr">
        <is>
          <t>REF./TIROIR</t>
        </is>
      </c>
      <c r="E41" s="5">
        <f>SUMIFS('Z2_CplteAnneeMois'!$L$2:$L$651,'Z2_CplteAnneeMois'!$O$2:$O$651,B41,'Z2_CplteAnneeMois'!$F$2:$F$651,C41,'Z2_CplteAnneeMois'!$K$2:$K$651,D41)</f>
        <v/>
      </c>
      <c r="F41" s="5">
        <f>SUMIFS('Z2_CplteAnneeMois'!$M$2:$M$651,'Z2_CplteAnneeMois'!$O$2:$O$651,B41,'Z2_CplteAnneeMois'!$F$2:$F$651,C41,'Z2_CplteAnneeMois'!$K$2:$K$651,D41)</f>
        <v/>
      </c>
    </row>
    <row r="42">
      <c r="A42" s="6" t="n">
        <v>2025</v>
      </c>
      <c r="B42" s="5" t="inlineStr">
        <is>
          <t>2025-03</t>
        </is>
      </c>
      <c r="C42" s="2" t="inlineStr">
        <is>
          <t>ZZ2</t>
        </is>
      </c>
      <c r="D42" s="2" t="inlineStr">
        <is>
          <t>CARTES</t>
        </is>
      </c>
      <c r="E42" s="5">
        <f>SUMIFS('Z2_CplteAnneeMois'!$L$2:$L$651,'Z2_CplteAnneeMois'!$O$2:$O$651,B42,'Z2_CplteAnneeMois'!$F$2:$F$651,C42,'Z2_CplteAnneeMois'!$K$2:$K$651,D42)</f>
        <v/>
      </c>
      <c r="F42" s="5">
        <f>SUMIFS('Z2_CplteAnneeMois'!$M$2:$M$651,'Z2_CplteAnneeMois'!$O$2:$O$651,B42,'Z2_CplteAnneeMois'!$F$2:$F$651,C42,'Z2_CplteAnneeMois'!$K$2:$K$651,D42)</f>
        <v/>
      </c>
    </row>
    <row r="43">
      <c r="A43" s="6" t="n">
        <v>2025</v>
      </c>
      <c r="B43" s="5" t="inlineStr">
        <is>
          <t>2025-03</t>
        </is>
      </c>
      <c r="C43" s="2" t="inlineStr">
        <is>
          <t>ZZ2</t>
        </is>
      </c>
      <c r="D43" s="2" t="inlineStr">
        <is>
          <t>CHEQUES</t>
        </is>
      </c>
      <c r="E43" s="5">
        <f>SUMIFS('Z2_CplteAnneeMois'!$L$2:$L$651,'Z2_CplteAnneeMois'!$O$2:$O$651,B43,'Z2_CplteAnneeMois'!$F$2:$F$651,C43,'Z2_CplteAnneeMois'!$K$2:$K$651,D43)</f>
        <v/>
      </c>
      <c r="F43" s="5">
        <f>SUMIFS('Z2_CplteAnneeMois'!$M$2:$M$651,'Z2_CplteAnneeMois'!$O$2:$O$651,B43,'Z2_CplteAnneeMois'!$F$2:$F$651,C43,'Z2_CplteAnneeMois'!$K$2:$K$651,D43)</f>
        <v/>
      </c>
    </row>
    <row r="44">
      <c r="A44" s="6" t="n">
        <v>2025</v>
      </c>
      <c r="B44" s="5" t="inlineStr">
        <is>
          <t>2025-03</t>
        </is>
      </c>
      <c r="C44" s="2" t="inlineStr">
        <is>
          <t>ZZ2</t>
        </is>
      </c>
      <c r="D44" s="2" t="inlineStr">
        <is>
          <t>CORRECTION</t>
        </is>
      </c>
      <c r="E44" s="5">
        <f>SUMIFS('Z2_CplteAnneeMois'!$L$2:$L$651,'Z2_CplteAnneeMois'!$O$2:$O$651,B44,'Z2_CplteAnneeMois'!$F$2:$F$651,C44,'Z2_CplteAnneeMois'!$K$2:$K$651,D44)</f>
        <v/>
      </c>
      <c r="F44" s="5">
        <f>SUMIFS('Z2_CplteAnneeMois'!$M$2:$M$651,'Z2_CplteAnneeMois'!$O$2:$O$651,B44,'Z2_CplteAnneeMois'!$F$2:$F$651,C44,'Z2_CplteAnneeMois'!$K$2:$K$651,D44)</f>
        <v/>
      </c>
    </row>
    <row r="45">
      <c r="A45" s="6" t="n">
        <v>2025</v>
      </c>
      <c r="B45" s="5" t="inlineStr">
        <is>
          <t>2025-03</t>
        </is>
      </c>
      <c r="C45" s="2" t="inlineStr">
        <is>
          <t>ZZ2</t>
        </is>
      </c>
      <c r="D45" s="2" t="inlineStr">
        <is>
          <t>ESPECES</t>
        </is>
      </c>
      <c r="E45" s="5">
        <f>SUMIFS('Z2_CplteAnneeMois'!$L$2:$L$651,'Z2_CplteAnneeMois'!$O$2:$O$651,B45,'Z2_CplteAnneeMois'!$F$2:$F$651,C45,'Z2_CplteAnneeMois'!$K$2:$K$651,D45)</f>
        <v/>
      </c>
      <c r="F45" s="5">
        <f>SUMIFS('Z2_CplteAnneeMois'!$M$2:$M$651,'Z2_CplteAnneeMois'!$O$2:$O$651,B45,'Z2_CplteAnneeMois'!$F$2:$F$651,C45,'Z2_CplteAnneeMois'!$K$2:$K$651,D45)</f>
        <v/>
      </c>
    </row>
    <row r="46">
      <c r="A46" s="6" t="n">
        <v>2025</v>
      </c>
      <c r="B46" s="5" t="inlineStr">
        <is>
          <t>2025-03</t>
        </is>
      </c>
      <c r="C46" s="2" t="inlineStr">
        <is>
          <t>ZZ2</t>
        </is>
      </c>
      <c r="D46" s="2" t="inlineStr">
        <is>
          <t>REF./TIROIR</t>
        </is>
      </c>
      <c r="E46" s="5">
        <f>SUMIFS('Z2_CplteAnneeMois'!$L$2:$L$651,'Z2_CplteAnneeMois'!$O$2:$O$651,B46,'Z2_CplteAnneeMois'!$F$2:$F$651,C46,'Z2_CplteAnneeMois'!$K$2:$K$651,D46)</f>
        <v/>
      </c>
      <c r="F46" s="5">
        <f>SUMIFS('Z2_CplteAnneeMois'!$M$2:$M$651,'Z2_CplteAnneeMois'!$O$2:$O$651,B46,'Z2_CplteAnneeMois'!$F$2:$F$651,C46,'Z2_CplteAnneeMois'!$K$2:$K$651,D46)</f>
        <v/>
      </c>
    </row>
    <row r="47">
      <c r="A47" s="6" t="n">
        <v>2025</v>
      </c>
      <c r="B47" s="5" t="inlineStr">
        <is>
          <t>2025-04|2025-05|2025-06</t>
        </is>
      </c>
      <c r="C47" s="2" t="inlineStr">
        <is>
          <t>Z</t>
        </is>
      </c>
      <c r="D47" s="2" t="inlineStr">
        <is>
          <t>CARTES</t>
        </is>
      </c>
      <c r="E47" s="5">
        <f>SUMIFS('Z2_CplteAnneeMois'!$L$2:$L$651,'Z2_CplteAnneeMois'!$O$2:$O$651,B47,'Z2_CplteAnneeMois'!$F$2:$F$651,C47,'Z2_CplteAnneeMois'!$K$2:$K$651,D47)</f>
        <v/>
      </c>
      <c r="F47" s="5">
        <f>SUMIFS('Z2_CplteAnneeMois'!$M$2:$M$651,'Z2_CplteAnneeMois'!$O$2:$O$651,B47,'Z2_CplteAnneeMois'!$F$2:$F$651,C47,'Z2_CplteAnneeMois'!$K$2:$K$651,D47)</f>
        <v/>
      </c>
    </row>
    <row r="48">
      <c r="A48" s="6" t="n">
        <v>2025</v>
      </c>
      <c r="B48" s="5" t="inlineStr">
        <is>
          <t>2025-04|2025-05|2025-06</t>
        </is>
      </c>
      <c r="C48" s="2" t="inlineStr">
        <is>
          <t>Z</t>
        </is>
      </c>
      <c r="D48" s="2" t="inlineStr">
        <is>
          <t>CHEQUES</t>
        </is>
      </c>
      <c r="E48" s="5">
        <f>SUMIFS('Z2_CplteAnneeMois'!$L$2:$L$651,'Z2_CplteAnneeMois'!$O$2:$O$651,B48,'Z2_CplteAnneeMois'!$F$2:$F$651,C48,'Z2_CplteAnneeMois'!$K$2:$K$651,D48)</f>
        <v/>
      </c>
      <c r="F48" s="5">
        <f>SUMIFS('Z2_CplteAnneeMois'!$M$2:$M$651,'Z2_CplteAnneeMois'!$O$2:$O$651,B48,'Z2_CplteAnneeMois'!$F$2:$F$651,C48,'Z2_CplteAnneeMois'!$K$2:$K$651,D48)</f>
        <v/>
      </c>
    </row>
    <row r="49">
      <c r="A49" s="6" t="n">
        <v>2025</v>
      </c>
      <c r="B49" s="5" t="inlineStr">
        <is>
          <t>2025-04|2025-05|2025-06</t>
        </is>
      </c>
      <c r="C49" s="2" t="inlineStr">
        <is>
          <t>Z</t>
        </is>
      </c>
      <c r="D49" s="2" t="inlineStr">
        <is>
          <t>CORRECTION</t>
        </is>
      </c>
      <c r="E49" s="5">
        <f>SUMIFS('Z2_CplteAnneeMois'!$L$2:$L$651,'Z2_CplteAnneeMois'!$O$2:$O$651,B49,'Z2_CplteAnneeMois'!$F$2:$F$651,C49,'Z2_CplteAnneeMois'!$K$2:$K$651,D49)</f>
        <v/>
      </c>
      <c r="F49" s="5">
        <f>SUMIFS('Z2_CplteAnneeMois'!$M$2:$M$651,'Z2_CplteAnneeMois'!$O$2:$O$651,B49,'Z2_CplteAnneeMois'!$F$2:$F$651,C49,'Z2_CplteAnneeMois'!$K$2:$K$651,D49)</f>
        <v/>
      </c>
    </row>
    <row r="50">
      <c r="A50" s="6" t="n">
        <v>2025</v>
      </c>
      <c r="B50" s="5" t="inlineStr">
        <is>
          <t>2025-04|2025-05|2025-06</t>
        </is>
      </c>
      <c r="C50" s="2" t="inlineStr">
        <is>
          <t>Z</t>
        </is>
      </c>
      <c r="D50" s="2" t="inlineStr">
        <is>
          <t>ESPECES</t>
        </is>
      </c>
      <c r="E50" s="5">
        <f>SUMIFS('Z2_CplteAnneeMois'!$L$2:$L$651,'Z2_CplteAnneeMois'!$O$2:$O$651,B50,'Z2_CplteAnneeMois'!$F$2:$F$651,C50,'Z2_CplteAnneeMois'!$K$2:$K$651,D50)</f>
        <v/>
      </c>
      <c r="F50" s="5">
        <f>SUMIFS('Z2_CplteAnneeMois'!$M$2:$M$651,'Z2_CplteAnneeMois'!$O$2:$O$651,B50,'Z2_CplteAnneeMois'!$F$2:$F$651,C50,'Z2_CplteAnneeMois'!$K$2:$K$651,D50)</f>
        <v/>
      </c>
    </row>
    <row r="51">
      <c r="A51" s="6" t="n">
        <v>2025</v>
      </c>
      <c r="B51" s="5" t="inlineStr">
        <is>
          <t>2025-04|2025-05|2025-06</t>
        </is>
      </c>
      <c r="C51" s="2" t="inlineStr">
        <is>
          <t>Z</t>
        </is>
      </c>
      <c r="D51" s="2" t="inlineStr">
        <is>
          <t>REF./TIROIR</t>
        </is>
      </c>
      <c r="E51" s="5">
        <f>SUMIFS('Z2_CplteAnneeMois'!$L$2:$L$651,'Z2_CplteAnneeMois'!$O$2:$O$651,B51,'Z2_CplteAnneeMois'!$F$2:$F$651,C51,'Z2_CplteAnneeMois'!$K$2:$K$651,D51)</f>
        <v/>
      </c>
      <c r="F51" s="5">
        <f>SUMIFS('Z2_CplteAnneeMois'!$M$2:$M$651,'Z2_CplteAnneeMois'!$O$2:$O$651,B51,'Z2_CplteAnneeMois'!$F$2:$F$651,C51,'Z2_CplteAnneeMois'!$K$2:$K$651,D51)</f>
        <v/>
      </c>
    </row>
    <row r="52">
      <c r="A52" s="6" t="n">
        <v>2025</v>
      </c>
      <c r="B52" s="5" t="inlineStr">
        <is>
          <t>2025-04|2025-05|2025-06</t>
        </is>
      </c>
      <c r="C52" s="2" t="inlineStr">
        <is>
          <t>ZZ1</t>
        </is>
      </c>
      <c r="D52" s="2" t="inlineStr">
        <is>
          <t>CARTES</t>
        </is>
      </c>
      <c r="E52" s="5">
        <f>SUMIFS('Z2_CplteAnneeMois'!$L$2:$L$651,'Z2_CplteAnneeMois'!$O$2:$O$651,B52,'Z2_CplteAnneeMois'!$F$2:$F$651,C52,'Z2_CplteAnneeMois'!$K$2:$K$651,D52)</f>
        <v/>
      </c>
      <c r="F52" s="5">
        <f>SUMIFS('Z2_CplteAnneeMois'!$M$2:$M$651,'Z2_CplteAnneeMois'!$O$2:$O$651,B52,'Z2_CplteAnneeMois'!$F$2:$F$651,C52,'Z2_CplteAnneeMois'!$K$2:$K$651,D52)</f>
        <v/>
      </c>
    </row>
    <row r="53">
      <c r="A53" s="6" t="n">
        <v>2025</v>
      </c>
      <c r="B53" s="5" t="inlineStr">
        <is>
          <t>2025-04|2025-05|2025-06</t>
        </is>
      </c>
      <c r="C53" s="2" t="inlineStr">
        <is>
          <t>ZZ1</t>
        </is>
      </c>
      <c r="D53" s="2" t="inlineStr">
        <is>
          <t>CHEQUES</t>
        </is>
      </c>
      <c r="E53" s="5">
        <f>SUMIFS('Z2_CplteAnneeMois'!$L$2:$L$651,'Z2_CplteAnneeMois'!$O$2:$O$651,B53,'Z2_CplteAnneeMois'!$F$2:$F$651,C53,'Z2_CplteAnneeMois'!$K$2:$K$651,D53)</f>
        <v/>
      </c>
      <c r="F53" s="5">
        <f>SUMIFS('Z2_CplteAnneeMois'!$M$2:$M$651,'Z2_CplteAnneeMois'!$O$2:$O$651,B53,'Z2_CplteAnneeMois'!$F$2:$F$651,C53,'Z2_CplteAnneeMois'!$K$2:$K$651,D53)</f>
        <v/>
      </c>
    </row>
    <row r="54">
      <c r="A54" s="6" t="n">
        <v>2025</v>
      </c>
      <c r="B54" s="5" t="inlineStr">
        <is>
          <t>2025-04|2025-05|2025-06</t>
        </is>
      </c>
      <c r="C54" s="2" t="inlineStr">
        <is>
          <t>ZZ1</t>
        </is>
      </c>
      <c r="D54" s="2" t="inlineStr">
        <is>
          <t>CORRECTION</t>
        </is>
      </c>
      <c r="E54" s="5">
        <f>SUMIFS('Z2_CplteAnneeMois'!$L$2:$L$651,'Z2_CplteAnneeMois'!$O$2:$O$651,B54,'Z2_CplteAnneeMois'!$F$2:$F$651,C54,'Z2_CplteAnneeMois'!$K$2:$K$651,D54)</f>
        <v/>
      </c>
      <c r="F54" s="5">
        <f>SUMIFS('Z2_CplteAnneeMois'!$M$2:$M$651,'Z2_CplteAnneeMois'!$O$2:$O$651,B54,'Z2_CplteAnneeMois'!$F$2:$F$651,C54,'Z2_CplteAnneeMois'!$K$2:$K$651,D54)</f>
        <v/>
      </c>
    </row>
    <row r="55">
      <c r="A55" s="6" t="n">
        <v>2025</v>
      </c>
      <c r="B55" s="5" t="inlineStr">
        <is>
          <t>2025-04|2025-05|2025-06</t>
        </is>
      </c>
      <c r="C55" s="2" t="inlineStr">
        <is>
          <t>ZZ1</t>
        </is>
      </c>
      <c r="D55" s="2" t="inlineStr">
        <is>
          <t>ESPECES</t>
        </is>
      </c>
      <c r="E55" s="5">
        <f>SUMIFS('Z2_CplteAnneeMois'!$L$2:$L$651,'Z2_CplteAnneeMois'!$O$2:$O$651,B55,'Z2_CplteAnneeMois'!$F$2:$F$651,C55,'Z2_CplteAnneeMois'!$K$2:$K$651,D55)</f>
        <v/>
      </c>
      <c r="F55" s="5">
        <f>SUMIFS('Z2_CplteAnneeMois'!$M$2:$M$651,'Z2_CplteAnneeMois'!$O$2:$O$651,B55,'Z2_CplteAnneeMois'!$F$2:$F$651,C55,'Z2_CplteAnneeMois'!$K$2:$K$651,D55)</f>
        <v/>
      </c>
    </row>
    <row r="56">
      <c r="A56" s="6" t="n">
        <v>2025</v>
      </c>
      <c r="B56" s="5" t="inlineStr">
        <is>
          <t>2025-04|2025-05|2025-06</t>
        </is>
      </c>
      <c r="C56" s="2" t="inlineStr">
        <is>
          <t>ZZ1</t>
        </is>
      </c>
      <c r="D56" s="2" t="inlineStr">
        <is>
          <t>REF./TIROIR</t>
        </is>
      </c>
      <c r="E56" s="5">
        <f>SUMIFS('Z2_CplteAnneeMois'!$L$2:$L$651,'Z2_CplteAnneeMois'!$O$2:$O$651,B56,'Z2_CplteAnneeMois'!$F$2:$F$651,C56,'Z2_CplteAnneeMois'!$K$2:$K$651,D56)</f>
        <v/>
      </c>
      <c r="F56" s="5">
        <f>SUMIFS('Z2_CplteAnneeMois'!$M$2:$M$651,'Z2_CplteAnneeMois'!$O$2:$O$651,B56,'Z2_CplteAnneeMois'!$F$2:$F$651,C56,'Z2_CplteAnneeMois'!$K$2:$K$651,D56)</f>
        <v/>
      </c>
    </row>
    <row r="57">
      <c r="A57" s="6" t="n">
        <v>2025</v>
      </c>
      <c r="B57" s="5" t="inlineStr">
        <is>
          <t>2025-04|2025-05|2025-06</t>
        </is>
      </c>
      <c r="C57" s="2" t="inlineStr">
        <is>
          <t>ZZ2</t>
        </is>
      </c>
      <c r="D57" s="2" t="inlineStr">
        <is>
          <t>CARTES</t>
        </is>
      </c>
      <c r="E57" s="5">
        <f>SUMIFS('Z2_CplteAnneeMois'!$L$2:$L$651,'Z2_CplteAnneeMois'!$O$2:$O$651,B57,'Z2_CplteAnneeMois'!$F$2:$F$651,C57,'Z2_CplteAnneeMois'!$K$2:$K$651,D57)</f>
        <v/>
      </c>
      <c r="F57" s="5">
        <f>SUMIFS('Z2_CplteAnneeMois'!$M$2:$M$651,'Z2_CplteAnneeMois'!$O$2:$O$651,B57,'Z2_CplteAnneeMois'!$F$2:$F$651,C57,'Z2_CplteAnneeMois'!$K$2:$K$651,D57)</f>
        <v/>
      </c>
    </row>
    <row r="58">
      <c r="A58" s="6" t="n">
        <v>2025</v>
      </c>
      <c r="B58" s="5" t="inlineStr">
        <is>
          <t>2025-04|2025-05|2025-06</t>
        </is>
      </c>
      <c r="C58" s="2" t="inlineStr">
        <is>
          <t>ZZ2</t>
        </is>
      </c>
      <c r="D58" s="2" t="inlineStr">
        <is>
          <t>CHEQUES</t>
        </is>
      </c>
      <c r="E58" s="5">
        <f>SUMIFS('Z2_CplteAnneeMois'!$L$2:$L$651,'Z2_CplteAnneeMois'!$O$2:$O$651,B58,'Z2_CplteAnneeMois'!$F$2:$F$651,C58,'Z2_CplteAnneeMois'!$K$2:$K$651,D58)</f>
        <v/>
      </c>
      <c r="F58" s="5">
        <f>SUMIFS('Z2_CplteAnneeMois'!$M$2:$M$651,'Z2_CplteAnneeMois'!$O$2:$O$651,B58,'Z2_CplteAnneeMois'!$F$2:$F$651,C58,'Z2_CplteAnneeMois'!$K$2:$K$651,D58)</f>
        <v/>
      </c>
    </row>
    <row r="59">
      <c r="A59" s="6" t="n">
        <v>2025</v>
      </c>
      <c r="B59" s="5" t="inlineStr">
        <is>
          <t>2025-04|2025-05|2025-06</t>
        </is>
      </c>
      <c r="C59" s="2" t="inlineStr">
        <is>
          <t>ZZ2</t>
        </is>
      </c>
      <c r="D59" s="2" t="inlineStr">
        <is>
          <t>CORRECTION</t>
        </is>
      </c>
      <c r="E59" s="5">
        <f>SUMIFS('Z2_CplteAnneeMois'!$L$2:$L$651,'Z2_CplteAnneeMois'!$O$2:$O$651,B59,'Z2_CplteAnneeMois'!$F$2:$F$651,C59,'Z2_CplteAnneeMois'!$K$2:$K$651,D59)</f>
        <v/>
      </c>
      <c r="F59" s="5">
        <f>SUMIFS('Z2_CplteAnneeMois'!$M$2:$M$651,'Z2_CplteAnneeMois'!$O$2:$O$651,B59,'Z2_CplteAnneeMois'!$F$2:$F$651,C59,'Z2_CplteAnneeMois'!$K$2:$K$651,D59)</f>
        <v/>
      </c>
    </row>
    <row r="60">
      <c r="A60" s="6" t="n">
        <v>2025</v>
      </c>
      <c r="B60" s="5" t="inlineStr">
        <is>
          <t>2025-04|2025-05|2025-06</t>
        </is>
      </c>
      <c r="C60" s="2" t="inlineStr">
        <is>
          <t>ZZ2</t>
        </is>
      </c>
      <c r="D60" s="2" t="inlineStr">
        <is>
          <t>ESPECES</t>
        </is>
      </c>
      <c r="E60" s="5">
        <f>SUMIFS('Z2_CplteAnneeMois'!$L$2:$L$651,'Z2_CplteAnneeMois'!$O$2:$O$651,B60,'Z2_CplteAnneeMois'!$F$2:$F$651,C60,'Z2_CplteAnneeMois'!$K$2:$K$651,D60)</f>
        <v/>
      </c>
      <c r="F60" s="5">
        <f>SUMIFS('Z2_CplteAnneeMois'!$M$2:$M$651,'Z2_CplteAnneeMois'!$O$2:$O$651,B60,'Z2_CplteAnneeMois'!$F$2:$F$651,C60,'Z2_CplteAnneeMois'!$K$2:$K$651,D60)</f>
        <v/>
      </c>
    </row>
    <row r="61">
      <c r="A61" s="6" t="n">
        <v>2025</v>
      </c>
      <c r="B61" s="5" t="inlineStr">
        <is>
          <t>2025-04|2025-05|2025-06</t>
        </is>
      </c>
      <c r="C61" s="2" t="inlineStr">
        <is>
          <t>ZZ2</t>
        </is>
      </c>
      <c r="D61" s="2" t="inlineStr">
        <is>
          <t>REF./TIROIR</t>
        </is>
      </c>
      <c r="E61" s="5">
        <f>SUMIFS('Z2_CplteAnneeMois'!$L$2:$L$651,'Z2_CplteAnneeMois'!$O$2:$O$651,B61,'Z2_CplteAnneeMois'!$F$2:$F$651,C61,'Z2_CplteAnneeMois'!$K$2:$K$651,D61)</f>
        <v/>
      </c>
      <c r="F61" s="5">
        <f>SUMIFS('Z2_CplteAnneeMois'!$M$2:$M$651,'Z2_CplteAnneeMois'!$O$2:$O$651,B61,'Z2_CplteAnneeMois'!$F$2:$F$651,C61,'Z2_CplteAnneeMois'!$K$2:$K$651,D61)</f>
        <v/>
      </c>
    </row>
    <row r="62">
      <c r="A62" s="6" t="n">
        <v>2025</v>
      </c>
      <c r="B62" s="5" t="inlineStr">
        <is>
          <t>2025-07</t>
        </is>
      </c>
      <c r="C62" s="2" t="inlineStr">
        <is>
          <t>Z</t>
        </is>
      </c>
      <c r="D62" s="2" t="inlineStr">
        <is>
          <t>CARTES</t>
        </is>
      </c>
      <c r="E62" s="5">
        <f>SUMIFS('Z2_CplteAnneeMois'!$L$2:$L$651,'Z2_CplteAnneeMois'!$O$2:$O$651,B62,'Z2_CplteAnneeMois'!$F$2:$F$651,C62,'Z2_CplteAnneeMois'!$K$2:$K$651,D62)</f>
        <v/>
      </c>
      <c r="F62" s="5">
        <f>SUMIFS('Z2_CplteAnneeMois'!$M$2:$M$651,'Z2_CplteAnneeMois'!$O$2:$O$651,B62,'Z2_CplteAnneeMois'!$F$2:$F$651,C62,'Z2_CplteAnneeMois'!$K$2:$K$651,D62)</f>
        <v/>
      </c>
    </row>
    <row r="63">
      <c r="A63" s="6" t="n">
        <v>2025</v>
      </c>
      <c r="B63" s="5" t="inlineStr">
        <is>
          <t>2025-07</t>
        </is>
      </c>
      <c r="C63" s="2" t="inlineStr">
        <is>
          <t>Z</t>
        </is>
      </c>
      <c r="D63" s="2" t="inlineStr">
        <is>
          <t>CHEQUES</t>
        </is>
      </c>
      <c r="E63" s="5">
        <f>SUMIFS('Z2_CplteAnneeMois'!$L$2:$L$651,'Z2_CplteAnneeMois'!$O$2:$O$651,B63,'Z2_CplteAnneeMois'!$F$2:$F$651,C63,'Z2_CplteAnneeMois'!$K$2:$K$651,D63)</f>
        <v/>
      </c>
      <c r="F63" s="5">
        <f>SUMIFS('Z2_CplteAnneeMois'!$M$2:$M$651,'Z2_CplteAnneeMois'!$O$2:$O$651,B63,'Z2_CplteAnneeMois'!$F$2:$F$651,C63,'Z2_CplteAnneeMois'!$K$2:$K$651,D63)</f>
        <v/>
      </c>
    </row>
    <row r="64">
      <c r="A64" s="6" t="n">
        <v>2025</v>
      </c>
      <c r="B64" s="5" t="inlineStr">
        <is>
          <t>2025-07</t>
        </is>
      </c>
      <c r="C64" s="2" t="inlineStr">
        <is>
          <t>Z</t>
        </is>
      </c>
      <c r="D64" s="2" t="inlineStr">
        <is>
          <t>CORRECTION</t>
        </is>
      </c>
      <c r="E64" s="5">
        <f>SUMIFS('Z2_CplteAnneeMois'!$L$2:$L$651,'Z2_CplteAnneeMois'!$O$2:$O$651,B64,'Z2_CplteAnneeMois'!$F$2:$F$651,C64,'Z2_CplteAnneeMois'!$K$2:$K$651,D64)</f>
        <v/>
      </c>
      <c r="F64" s="5">
        <f>SUMIFS('Z2_CplteAnneeMois'!$M$2:$M$651,'Z2_CplteAnneeMois'!$O$2:$O$651,B64,'Z2_CplteAnneeMois'!$F$2:$F$651,C64,'Z2_CplteAnneeMois'!$K$2:$K$651,D64)</f>
        <v/>
      </c>
    </row>
    <row r="65">
      <c r="A65" s="6" t="n">
        <v>2025</v>
      </c>
      <c r="B65" s="5" t="inlineStr">
        <is>
          <t>2025-07</t>
        </is>
      </c>
      <c r="C65" s="2" t="inlineStr">
        <is>
          <t>Z</t>
        </is>
      </c>
      <c r="D65" s="2" t="inlineStr">
        <is>
          <t>ESPECES</t>
        </is>
      </c>
      <c r="E65" s="5">
        <f>SUMIFS('Z2_CplteAnneeMois'!$L$2:$L$651,'Z2_CplteAnneeMois'!$O$2:$O$651,B65,'Z2_CplteAnneeMois'!$F$2:$F$651,C65,'Z2_CplteAnneeMois'!$K$2:$K$651,D65)</f>
        <v/>
      </c>
      <c r="F65" s="5">
        <f>SUMIFS('Z2_CplteAnneeMois'!$M$2:$M$651,'Z2_CplteAnneeMois'!$O$2:$O$651,B65,'Z2_CplteAnneeMois'!$F$2:$F$651,C65,'Z2_CplteAnneeMois'!$K$2:$K$651,D65)</f>
        <v/>
      </c>
    </row>
    <row r="66">
      <c r="A66" s="6" t="n">
        <v>2025</v>
      </c>
      <c r="B66" s="5" t="inlineStr">
        <is>
          <t>2025-07</t>
        </is>
      </c>
      <c r="C66" s="2" t="inlineStr">
        <is>
          <t>Z</t>
        </is>
      </c>
      <c r="D66" s="2" t="inlineStr">
        <is>
          <t>REF./TIROIR</t>
        </is>
      </c>
      <c r="E66" s="5">
        <f>SUMIFS('Z2_CplteAnneeMois'!$L$2:$L$651,'Z2_CplteAnneeMois'!$O$2:$O$651,B66,'Z2_CplteAnneeMois'!$F$2:$F$651,C66,'Z2_CplteAnneeMois'!$K$2:$K$651,D66)</f>
        <v/>
      </c>
      <c r="F66" s="5">
        <f>SUMIFS('Z2_CplteAnneeMois'!$M$2:$M$651,'Z2_CplteAnneeMois'!$O$2:$O$651,B66,'Z2_CplteAnneeMois'!$F$2:$F$651,C66,'Z2_CplteAnneeMois'!$K$2:$K$651,D66)</f>
        <v/>
      </c>
    </row>
    <row r="67">
      <c r="A67" s="6" t="n">
        <v>2025</v>
      </c>
      <c r="B67" s="5" t="inlineStr">
        <is>
          <t>2025-07</t>
        </is>
      </c>
      <c r="C67" s="2" t="inlineStr">
        <is>
          <t>ZZ1</t>
        </is>
      </c>
      <c r="D67" s="2" t="inlineStr">
        <is>
          <t>CARTES</t>
        </is>
      </c>
      <c r="E67" s="5">
        <f>SUMIFS('Z2_CplteAnneeMois'!$L$2:$L$651,'Z2_CplteAnneeMois'!$O$2:$O$651,B67,'Z2_CplteAnneeMois'!$F$2:$F$651,C67,'Z2_CplteAnneeMois'!$K$2:$K$651,D67)</f>
        <v/>
      </c>
      <c r="F67" s="5">
        <f>SUMIFS('Z2_CplteAnneeMois'!$M$2:$M$651,'Z2_CplteAnneeMois'!$O$2:$O$651,B67,'Z2_CplteAnneeMois'!$F$2:$F$651,C67,'Z2_CplteAnneeMois'!$K$2:$K$651,D67)</f>
        <v/>
      </c>
    </row>
    <row r="68">
      <c r="A68" s="6" t="n">
        <v>2025</v>
      </c>
      <c r="B68" s="5" t="inlineStr">
        <is>
          <t>2025-07</t>
        </is>
      </c>
      <c r="C68" s="2" t="inlineStr">
        <is>
          <t>ZZ1</t>
        </is>
      </c>
      <c r="D68" s="2" t="inlineStr">
        <is>
          <t>CHEQUES</t>
        </is>
      </c>
      <c r="E68" s="5">
        <f>SUMIFS('Z2_CplteAnneeMois'!$L$2:$L$651,'Z2_CplteAnneeMois'!$O$2:$O$651,B68,'Z2_CplteAnneeMois'!$F$2:$F$651,C68,'Z2_CplteAnneeMois'!$K$2:$K$651,D68)</f>
        <v/>
      </c>
      <c r="F68" s="5">
        <f>SUMIFS('Z2_CplteAnneeMois'!$M$2:$M$651,'Z2_CplteAnneeMois'!$O$2:$O$651,B68,'Z2_CplteAnneeMois'!$F$2:$F$651,C68,'Z2_CplteAnneeMois'!$K$2:$K$651,D68)</f>
        <v/>
      </c>
    </row>
    <row r="69">
      <c r="A69" s="6" t="n">
        <v>2025</v>
      </c>
      <c r="B69" s="5" t="inlineStr">
        <is>
          <t>2025-07</t>
        </is>
      </c>
      <c r="C69" s="2" t="inlineStr">
        <is>
          <t>ZZ1</t>
        </is>
      </c>
      <c r="D69" s="2" t="inlineStr">
        <is>
          <t>CORRECTION</t>
        </is>
      </c>
      <c r="E69" s="5">
        <f>SUMIFS('Z2_CplteAnneeMois'!$L$2:$L$651,'Z2_CplteAnneeMois'!$O$2:$O$651,B69,'Z2_CplteAnneeMois'!$F$2:$F$651,C69,'Z2_CplteAnneeMois'!$K$2:$K$651,D69)</f>
        <v/>
      </c>
      <c r="F69" s="5">
        <f>SUMIFS('Z2_CplteAnneeMois'!$M$2:$M$651,'Z2_CplteAnneeMois'!$O$2:$O$651,B69,'Z2_CplteAnneeMois'!$F$2:$F$651,C69,'Z2_CplteAnneeMois'!$K$2:$K$651,D69)</f>
        <v/>
      </c>
    </row>
    <row r="70">
      <c r="A70" s="6" t="n">
        <v>2025</v>
      </c>
      <c r="B70" s="5" t="inlineStr">
        <is>
          <t>2025-07</t>
        </is>
      </c>
      <c r="C70" s="2" t="inlineStr">
        <is>
          <t>ZZ1</t>
        </is>
      </c>
      <c r="D70" s="2" t="inlineStr">
        <is>
          <t>ESPECES</t>
        </is>
      </c>
      <c r="E70" s="5">
        <f>SUMIFS('Z2_CplteAnneeMois'!$L$2:$L$651,'Z2_CplteAnneeMois'!$O$2:$O$651,B70,'Z2_CplteAnneeMois'!$F$2:$F$651,C70,'Z2_CplteAnneeMois'!$K$2:$K$651,D70)</f>
        <v/>
      </c>
      <c r="F70" s="5">
        <f>SUMIFS('Z2_CplteAnneeMois'!$M$2:$M$651,'Z2_CplteAnneeMois'!$O$2:$O$651,B70,'Z2_CplteAnneeMois'!$F$2:$F$651,C70,'Z2_CplteAnneeMois'!$K$2:$K$651,D70)</f>
        <v/>
      </c>
    </row>
    <row r="71">
      <c r="A71" s="6" t="n">
        <v>2025</v>
      </c>
      <c r="B71" s="5" t="inlineStr">
        <is>
          <t>2025-07</t>
        </is>
      </c>
      <c r="C71" s="2" t="inlineStr">
        <is>
          <t>ZZ1</t>
        </is>
      </c>
      <c r="D71" s="2" t="inlineStr">
        <is>
          <t>REF./TIROIR</t>
        </is>
      </c>
      <c r="E71" s="5">
        <f>SUMIFS('Z2_CplteAnneeMois'!$L$2:$L$651,'Z2_CplteAnneeMois'!$O$2:$O$651,B71,'Z2_CplteAnneeMois'!$F$2:$F$651,C71,'Z2_CplteAnneeMois'!$K$2:$K$651,D71)</f>
        <v/>
      </c>
      <c r="F71" s="5">
        <f>SUMIFS('Z2_CplteAnneeMois'!$M$2:$M$651,'Z2_CplteAnneeMois'!$O$2:$O$651,B71,'Z2_CplteAnneeMois'!$F$2:$F$651,C71,'Z2_CplteAnneeMois'!$K$2:$K$651,D71)</f>
        <v/>
      </c>
    </row>
    <row r="72">
      <c r="A72" s="6" t="n">
        <v>2025</v>
      </c>
      <c r="B72" s="5" t="inlineStr">
        <is>
          <t>2025-07</t>
        </is>
      </c>
      <c r="C72" s="2" t="inlineStr">
        <is>
          <t>ZZ2</t>
        </is>
      </c>
      <c r="D72" s="2" t="inlineStr">
        <is>
          <t>CARTES</t>
        </is>
      </c>
      <c r="E72" s="5">
        <f>SUMIFS('Z2_CplteAnneeMois'!$L$2:$L$651,'Z2_CplteAnneeMois'!$O$2:$O$651,B72,'Z2_CplteAnneeMois'!$F$2:$F$651,C72,'Z2_CplteAnneeMois'!$K$2:$K$651,D72)</f>
        <v/>
      </c>
      <c r="F72" s="5">
        <f>SUMIFS('Z2_CplteAnneeMois'!$M$2:$M$651,'Z2_CplteAnneeMois'!$O$2:$O$651,B72,'Z2_CplteAnneeMois'!$F$2:$F$651,C72,'Z2_CplteAnneeMois'!$K$2:$K$651,D72)</f>
        <v/>
      </c>
    </row>
    <row r="73">
      <c r="A73" s="6" t="n">
        <v>2025</v>
      </c>
      <c r="B73" s="5" t="inlineStr">
        <is>
          <t>2025-07</t>
        </is>
      </c>
      <c r="C73" s="2" t="inlineStr">
        <is>
          <t>ZZ2</t>
        </is>
      </c>
      <c r="D73" s="2" t="inlineStr">
        <is>
          <t>CHEQUES</t>
        </is>
      </c>
      <c r="E73" s="5">
        <f>SUMIFS('Z2_CplteAnneeMois'!$L$2:$L$651,'Z2_CplteAnneeMois'!$O$2:$O$651,B73,'Z2_CplteAnneeMois'!$F$2:$F$651,C73,'Z2_CplteAnneeMois'!$K$2:$K$651,D73)</f>
        <v/>
      </c>
      <c r="F73" s="5">
        <f>SUMIFS('Z2_CplteAnneeMois'!$M$2:$M$651,'Z2_CplteAnneeMois'!$O$2:$O$651,B73,'Z2_CplteAnneeMois'!$F$2:$F$651,C73,'Z2_CplteAnneeMois'!$K$2:$K$651,D73)</f>
        <v/>
      </c>
    </row>
    <row r="74">
      <c r="A74" s="6" t="n">
        <v>2025</v>
      </c>
      <c r="B74" s="5" t="inlineStr">
        <is>
          <t>2025-07</t>
        </is>
      </c>
      <c r="C74" s="2" t="inlineStr">
        <is>
          <t>ZZ2</t>
        </is>
      </c>
      <c r="D74" s="2" t="inlineStr">
        <is>
          <t>CORRECTION</t>
        </is>
      </c>
      <c r="E74" s="5">
        <f>SUMIFS('Z2_CplteAnneeMois'!$L$2:$L$651,'Z2_CplteAnneeMois'!$O$2:$O$651,B74,'Z2_CplteAnneeMois'!$F$2:$F$651,C74,'Z2_CplteAnneeMois'!$K$2:$K$651,D74)</f>
        <v/>
      </c>
      <c r="F74" s="5">
        <f>SUMIFS('Z2_CplteAnneeMois'!$M$2:$M$651,'Z2_CplteAnneeMois'!$O$2:$O$651,B74,'Z2_CplteAnneeMois'!$F$2:$F$651,C74,'Z2_CplteAnneeMois'!$K$2:$K$651,D74)</f>
        <v/>
      </c>
    </row>
    <row r="75">
      <c r="A75" s="6" t="n">
        <v>2025</v>
      </c>
      <c r="B75" s="5" t="inlineStr">
        <is>
          <t>2025-07</t>
        </is>
      </c>
      <c r="C75" s="2" t="inlineStr">
        <is>
          <t>ZZ2</t>
        </is>
      </c>
      <c r="D75" s="2" t="inlineStr">
        <is>
          <t>ESPECES</t>
        </is>
      </c>
      <c r="E75" s="5">
        <f>SUMIFS('Z2_CplteAnneeMois'!$L$2:$L$651,'Z2_CplteAnneeMois'!$O$2:$O$651,B75,'Z2_CplteAnneeMois'!$F$2:$F$651,C75,'Z2_CplteAnneeMois'!$K$2:$K$651,D75)</f>
        <v/>
      </c>
      <c r="F75" s="5">
        <f>SUMIFS('Z2_CplteAnneeMois'!$M$2:$M$651,'Z2_CplteAnneeMois'!$O$2:$O$651,B75,'Z2_CplteAnneeMois'!$F$2:$F$651,C75,'Z2_CplteAnneeMois'!$K$2:$K$651,D75)</f>
        <v/>
      </c>
    </row>
    <row r="76">
      <c r="A76" s="6" t="n">
        <v>2025</v>
      </c>
      <c r="B76" s="5" t="inlineStr">
        <is>
          <t>2025-07</t>
        </is>
      </c>
      <c r="C76" s="2" t="inlineStr">
        <is>
          <t>ZZ2</t>
        </is>
      </c>
      <c r="D76" s="2" t="inlineStr">
        <is>
          <t>REF./TIROIR</t>
        </is>
      </c>
      <c r="E76" s="5">
        <f>SUMIFS('Z2_CplteAnneeMois'!$L$2:$L$651,'Z2_CplteAnneeMois'!$O$2:$O$651,B76,'Z2_CplteAnneeMois'!$F$2:$F$651,C76,'Z2_CplteAnneeMois'!$K$2:$K$651,D76)</f>
        <v/>
      </c>
      <c r="F76" s="5">
        <f>SUMIFS('Z2_CplteAnneeMois'!$M$2:$M$651,'Z2_CplteAnneeMois'!$O$2:$O$651,B76,'Z2_CplteAnneeMois'!$F$2:$F$651,C76,'Z2_CplteAnneeMois'!$K$2:$K$651,D76)</f>
        <v/>
      </c>
    </row>
    <row r="77">
      <c r="A77" s="6" t="n">
        <v>2025</v>
      </c>
      <c r="B77" s="5" t="inlineStr">
        <is>
          <t>2025-08</t>
        </is>
      </c>
      <c r="C77" s="2" t="inlineStr">
        <is>
          <t>Z</t>
        </is>
      </c>
      <c r="D77" s="2" t="inlineStr">
        <is>
          <t>CARTES</t>
        </is>
      </c>
      <c r="E77" s="5">
        <f>SUMIFS('Z2_CplteAnneeMois'!$L$2:$L$651,'Z2_CplteAnneeMois'!$O$2:$O$651,B77,'Z2_CplteAnneeMois'!$F$2:$F$651,C77,'Z2_CplteAnneeMois'!$K$2:$K$651,D77)</f>
        <v/>
      </c>
      <c r="F77" s="5">
        <f>SUMIFS('Z2_CplteAnneeMois'!$M$2:$M$651,'Z2_CplteAnneeMois'!$O$2:$O$651,B77,'Z2_CplteAnneeMois'!$F$2:$F$651,C77,'Z2_CplteAnneeMois'!$K$2:$K$651,D77)</f>
        <v/>
      </c>
    </row>
    <row r="78">
      <c r="A78" s="6" t="n">
        <v>2025</v>
      </c>
      <c r="B78" s="5" t="inlineStr">
        <is>
          <t>2025-08</t>
        </is>
      </c>
      <c r="C78" s="2" t="inlineStr">
        <is>
          <t>Z</t>
        </is>
      </c>
      <c r="D78" s="2" t="inlineStr">
        <is>
          <t>CHEQUES</t>
        </is>
      </c>
      <c r="E78" s="5">
        <f>SUMIFS('Z2_CplteAnneeMois'!$L$2:$L$651,'Z2_CplteAnneeMois'!$O$2:$O$651,B78,'Z2_CplteAnneeMois'!$F$2:$F$651,C78,'Z2_CplteAnneeMois'!$K$2:$K$651,D78)</f>
        <v/>
      </c>
      <c r="F78" s="5">
        <f>SUMIFS('Z2_CplteAnneeMois'!$M$2:$M$651,'Z2_CplteAnneeMois'!$O$2:$O$651,B78,'Z2_CplteAnneeMois'!$F$2:$F$651,C78,'Z2_CplteAnneeMois'!$K$2:$K$651,D78)</f>
        <v/>
      </c>
    </row>
    <row r="79">
      <c r="A79" s="6" t="n">
        <v>2025</v>
      </c>
      <c r="B79" s="5" t="inlineStr">
        <is>
          <t>2025-08</t>
        </is>
      </c>
      <c r="C79" s="2" t="inlineStr">
        <is>
          <t>Z</t>
        </is>
      </c>
      <c r="D79" s="2" t="inlineStr">
        <is>
          <t>CORRECTION</t>
        </is>
      </c>
      <c r="E79" s="5">
        <f>SUMIFS('Z2_CplteAnneeMois'!$L$2:$L$651,'Z2_CplteAnneeMois'!$O$2:$O$651,B79,'Z2_CplteAnneeMois'!$F$2:$F$651,C79,'Z2_CplteAnneeMois'!$K$2:$K$651,D79)</f>
        <v/>
      </c>
      <c r="F79" s="5">
        <f>SUMIFS('Z2_CplteAnneeMois'!$M$2:$M$651,'Z2_CplteAnneeMois'!$O$2:$O$651,B79,'Z2_CplteAnneeMois'!$F$2:$F$651,C79,'Z2_CplteAnneeMois'!$K$2:$K$651,D79)</f>
        <v/>
      </c>
    </row>
    <row r="80">
      <c r="A80" s="6" t="n">
        <v>2025</v>
      </c>
      <c r="B80" s="5" t="inlineStr">
        <is>
          <t>2025-08</t>
        </is>
      </c>
      <c r="C80" s="2" t="inlineStr">
        <is>
          <t>Z</t>
        </is>
      </c>
      <c r="D80" s="2" t="inlineStr">
        <is>
          <t>ESPECES</t>
        </is>
      </c>
      <c r="E80" s="5">
        <f>SUMIFS('Z2_CplteAnneeMois'!$L$2:$L$651,'Z2_CplteAnneeMois'!$O$2:$O$651,B80,'Z2_CplteAnneeMois'!$F$2:$F$651,C80,'Z2_CplteAnneeMois'!$K$2:$K$651,D80)</f>
        <v/>
      </c>
      <c r="F80" s="5">
        <f>SUMIFS('Z2_CplteAnneeMois'!$M$2:$M$651,'Z2_CplteAnneeMois'!$O$2:$O$651,B80,'Z2_CplteAnneeMois'!$F$2:$F$651,C80,'Z2_CplteAnneeMois'!$K$2:$K$651,D80)</f>
        <v/>
      </c>
    </row>
    <row r="81">
      <c r="A81" s="6" t="n">
        <v>2025</v>
      </c>
      <c r="B81" s="5" t="inlineStr">
        <is>
          <t>2025-08</t>
        </is>
      </c>
      <c r="C81" s="2" t="inlineStr">
        <is>
          <t>Z</t>
        </is>
      </c>
      <c r="D81" s="2" t="inlineStr">
        <is>
          <t>REF./TIROIR</t>
        </is>
      </c>
      <c r="E81" s="5">
        <f>SUMIFS('Z2_CplteAnneeMois'!$L$2:$L$651,'Z2_CplteAnneeMois'!$O$2:$O$651,B81,'Z2_CplteAnneeMois'!$F$2:$F$651,C81,'Z2_CplteAnneeMois'!$K$2:$K$651,D81)</f>
        <v/>
      </c>
      <c r="F81" s="5">
        <f>SUMIFS('Z2_CplteAnneeMois'!$M$2:$M$651,'Z2_CplteAnneeMois'!$O$2:$O$651,B81,'Z2_CplteAnneeMois'!$F$2:$F$651,C81,'Z2_CplteAnneeMois'!$K$2:$K$651,D81)</f>
        <v/>
      </c>
    </row>
    <row r="82">
      <c r="A82" s="6" t="n">
        <v>2025</v>
      </c>
      <c r="B82" s="5" t="inlineStr">
        <is>
          <t>2025-08</t>
        </is>
      </c>
      <c r="C82" s="2" t="inlineStr">
        <is>
          <t>ZZ1</t>
        </is>
      </c>
      <c r="D82" s="2" t="inlineStr">
        <is>
          <t>CARTES</t>
        </is>
      </c>
      <c r="E82" s="5">
        <f>SUMIFS('Z2_CplteAnneeMois'!$L$2:$L$651,'Z2_CplteAnneeMois'!$O$2:$O$651,B82,'Z2_CplteAnneeMois'!$F$2:$F$651,C82,'Z2_CplteAnneeMois'!$K$2:$K$651,D82)</f>
        <v/>
      </c>
      <c r="F82" s="5">
        <f>SUMIFS('Z2_CplteAnneeMois'!$M$2:$M$651,'Z2_CplteAnneeMois'!$O$2:$O$651,B82,'Z2_CplteAnneeMois'!$F$2:$F$651,C82,'Z2_CplteAnneeMois'!$K$2:$K$651,D82)</f>
        <v/>
      </c>
    </row>
    <row r="83">
      <c r="A83" s="6" t="n">
        <v>2025</v>
      </c>
      <c r="B83" s="5" t="inlineStr">
        <is>
          <t>2025-08</t>
        </is>
      </c>
      <c r="C83" s="2" t="inlineStr">
        <is>
          <t>ZZ1</t>
        </is>
      </c>
      <c r="D83" s="2" t="inlineStr">
        <is>
          <t>CHEQUES</t>
        </is>
      </c>
      <c r="E83" s="5">
        <f>SUMIFS('Z2_CplteAnneeMois'!$L$2:$L$651,'Z2_CplteAnneeMois'!$O$2:$O$651,B83,'Z2_CplteAnneeMois'!$F$2:$F$651,C83,'Z2_CplteAnneeMois'!$K$2:$K$651,D83)</f>
        <v/>
      </c>
      <c r="F83" s="5">
        <f>SUMIFS('Z2_CplteAnneeMois'!$M$2:$M$651,'Z2_CplteAnneeMois'!$O$2:$O$651,B83,'Z2_CplteAnneeMois'!$F$2:$F$651,C83,'Z2_CplteAnneeMois'!$K$2:$K$651,D83)</f>
        <v/>
      </c>
    </row>
    <row r="84">
      <c r="A84" s="6" t="n">
        <v>2025</v>
      </c>
      <c r="B84" s="5" t="inlineStr">
        <is>
          <t>2025-08</t>
        </is>
      </c>
      <c r="C84" s="2" t="inlineStr">
        <is>
          <t>ZZ1</t>
        </is>
      </c>
      <c r="D84" s="2" t="inlineStr">
        <is>
          <t>CORRECTION</t>
        </is>
      </c>
      <c r="E84" s="5">
        <f>SUMIFS('Z2_CplteAnneeMois'!$L$2:$L$651,'Z2_CplteAnneeMois'!$O$2:$O$651,B84,'Z2_CplteAnneeMois'!$F$2:$F$651,C84,'Z2_CplteAnneeMois'!$K$2:$K$651,D84)</f>
        <v/>
      </c>
      <c r="F84" s="5">
        <f>SUMIFS('Z2_CplteAnneeMois'!$M$2:$M$651,'Z2_CplteAnneeMois'!$O$2:$O$651,B84,'Z2_CplteAnneeMois'!$F$2:$F$651,C84,'Z2_CplteAnneeMois'!$K$2:$K$651,D84)</f>
        <v/>
      </c>
    </row>
    <row r="85">
      <c r="A85" s="6" t="n">
        <v>2025</v>
      </c>
      <c r="B85" s="5" t="inlineStr">
        <is>
          <t>2025-08</t>
        </is>
      </c>
      <c r="C85" s="2" t="inlineStr">
        <is>
          <t>ZZ1</t>
        </is>
      </c>
      <c r="D85" s="2" t="inlineStr">
        <is>
          <t>ESPECES</t>
        </is>
      </c>
      <c r="E85" s="5">
        <f>SUMIFS('Z2_CplteAnneeMois'!$L$2:$L$651,'Z2_CplteAnneeMois'!$O$2:$O$651,B85,'Z2_CplteAnneeMois'!$F$2:$F$651,C85,'Z2_CplteAnneeMois'!$K$2:$K$651,D85)</f>
        <v/>
      </c>
      <c r="F85" s="5">
        <f>SUMIFS('Z2_CplteAnneeMois'!$M$2:$M$651,'Z2_CplteAnneeMois'!$O$2:$O$651,B85,'Z2_CplteAnneeMois'!$F$2:$F$651,C85,'Z2_CplteAnneeMois'!$K$2:$K$651,D85)</f>
        <v/>
      </c>
    </row>
    <row r="86">
      <c r="A86" s="6" t="n">
        <v>2025</v>
      </c>
      <c r="B86" s="5" t="inlineStr">
        <is>
          <t>2025-08</t>
        </is>
      </c>
      <c r="C86" s="2" t="inlineStr">
        <is>
          <t>ZZ1</t>
        </is>
      </c>
      <c r="D86" s="2" t="inlineStr">
        <is>
          <t>REF./TIROIR</t>
        </is>
      </c>
      <c r="E86" s="5">
        <f>SUMIFS('Z2_CplteAnneeMois'!$L$2:$L$651,'Z2_CplteAnneeMois'!$O$2:$O$651,B86,'Z2_CplteAnneeMois'!$F$2:$F$651,C86,'Z2_CplteAnneeMois'!$K$2:$K$651,D86)</f>
        <v/>
      </c>
      <c r="F86" s="5">
        <f>SUMIFS('Z2_CplteAnneeMois'!$M$2:$M$651,'Z2_CplteAnneeMois'!$O$2:$O$651,B86,'Z2_CplteAnneeMois'!$F$2:$F$651,C86,'Z2_CplteAnneeMois'!$K$2:$K$651,D86)</f>
        <v/>
      </c>
    </row>
    <row r="87">
      <c r="A87" s="6" t="n">
        <v>2025</v>
      </c>
      <c r="B87" s="5" t="inlineStr">
        <is>
          <t>2025-08</t>
        </is>
      </c>
      <c r="C87" s="2" t="inlineStr">
        <is>
          <t>ZZ2</t>
        </is>
      </c>
      <c r="D87" s="2" t="inlineStr">
        <is>
          <t>CARTES</t>
        </is>
      </c>
      <c r="E87" s="5">
        <f>SUMIFS('Z2_CplteAnneeMois'!$L$2:$L$651,'Z2_CplteAnneeMois'!$O$2:$O$651,B87,'Z2_CplteAnneeMois'!$F$2:$F$651,C87,'Z2_CplteAnneeMois'!$K$2:$K$651,D87)</f>
        <v/>
      </c>
      <c r="F87" s="5">
        <f>SUMIFS('Z2_CplteAnneeMois'!$M$2:$M$651,'Z2_CplteAnneeMois'!$O$2:$O$651,B87,'Z2_CplteAnneeMois'!$F$2:$F$651,C87,'Z2_CplteAnneeMois'!$K$2:$K$651,D87)</f>
        <v/>
      </c>
    </row>
    <row r="88">
      <c r="A88" s="6" t="n">
        <v>2025</v>
      </c>
      <c r="B88" s="5" t="inlineStr">
        <is>
          <t>2025-08</t>
        </is>
      </c>
      <c r="C88" s="2" t="inlineStr">
        <is>
          <t>ZZ2</t>
        </is>
      </c>
      <c r="D88" s="2" t="inlineStr">
        <is>
          <t>CHEQUES</t>
        </is>
      </c>
      <c r="E88" s="5">
        <f>SUMIFS('Z2_CplteAnneeMois'!$L$2:$L$651,'Z2_CplteAnneeMois'!$O$2:$O$651,B88,'Z2_CplteAnneeMois'!$F$2:$F$651,C88,'Z2_CplteAnneeMois'!$K$2:$K$651,D88)</f>
        <v/>
      </c>
      <c r="F88" s="5">
        <f>SUMIFS('Z2_CplteAnneeMois'!$M$2:$M$651,'Z2_CplteAnneeMois'!$O$2:$O$651,B88,'Z2_CplteAnneeMois'!$F$2:$F$651,C88,'Z2_CplteAnneeMois'!$K$2:$K$651,D88)</f>
        <v/>
      </c>
    </row>
    <row r="89">
      <c r="A89" s="6" t="n">
        <v>2025</v>
      </c>
      <c r="B89" s="5" t="inlineStr">
        <is>
          <t>2025-08</t>
        </is>
      </c>
      <c r="C89" s="2" t="inlineStr">
        <is>
          <t>ZZ2</t>
        </is>
      </c>
      <c r="D89" s="2" t="inlineStr">
        <is>
          <t>CORRECTION</t>
        </is>
      </c>
      <c r="E89" s="5">
        <f>SUMIFS('Z2_CplteAnneeMois'!$L$2:$L$651,'Z2_CplteAnneeMois'!$O$2:$O$651,B89,'Z2_CplteAnneeMois'!$F$2:$F$651,C89,'Z2_CplteAnneeMois'!$K$2:$K$651,D89)</f>
        <v/>
      </c>
      <c r="F89" s="5">
        <f>SUMIFS('Z2_CplteAnneeMois'!$M$2:$M$651,'Z2_CplteAnneeMois'!$O$2:$O$651,B89,'Z2_CplteAnneeMois'!$F$2:$F$651,C89,'Z2_CplteAnneeMois'!$K$2:$K$651,D89)</f>
        <v/>
      </c>
    </row>
    <row r="90">
      <c r="A90" s="6" t="n">
        <v>2025</v>
      </c>
      <c r="B90" s="5" t="inlineStr">
        <is>
          <t>2025-08</t>
        </is>
      </c>
      <c r="C90" s="2" t="inlineStr">
        <is>
          <t>ZZ2</t>
        </is>
      </c>
      <c r="D90" s="2" t="inlineStr">
        <is>
          <t>ESPECES</t>
        </is>
      </c>
      <c r="E90" s="5">
        <f>SUMIFS('Z2_CplteAnneeMois'!$L$2:$L$651,'Z2_CplteAnneeMois'!$O$2:$O$651,B90,'Z2_CplteAnneeMois'!$F$2:$F$651,C90,'Z2_CplteAnneeMois'!$K$2:$K$651,D90)</f>
        <v/>
      </c>
      <c r="F90" s="5">
        <f>SUMIFS('Z2_CplteAnneeMois'!$M$2:$M$651,'Z2_CplteAnneeMois'!$O$2:$O$651,B90,'Z2_CplteAnneeMois'!$F$2:$F$651,C90,'Z2_CplteAnneeMois'!$K$2:$K$651,D90)</f>
        <v/>
      </c>
    </row>
    <row r="91">
      <c r="A91" s="6" t="n">
        <v>2025</v>
      </c>
      <c r="B91" s="5" t="inlineStr">
        <is>
          <t>2025-08</t>
        </is>
      </c>
      <c r="C91" s="2" t="inlineStr">
        <is>
          <t>ZZ2</t>
        </is>
      </c>
      <c r="D91" s="2" t="inlineStr">
        <is>
          <t>REF./TIROIR</t>
        </is>
      </c>
      <c r="E91" s="5">
        <f>SUMIFS('Z2_CplteAnneeMois'!$L$2:$L$651,'Z2_CplteAnneeMois'!$O$2:$O$651,B91,'Z2_CplteAnneeMois'!$F$2:$F$651,C91,'Z2_CplteAnneeMois'!$K$2:$K$651,D91)</f>
        <v/>
      </c>
      <c r="F91" s="5">
        <f>SUMIFS('Z2_CplteAnneeMois'!$M$2:$M$651,'Z2_CplteAnneeMois'!$O$2:$O$651,B91,'Z2_CplteAnneeMois'!$F$2:$F$651,C91,'Z2_CplteAnneeMois'!$K$2:$K$651,D91)</f>
        <v/>
      </c>
    </row>
  </sheetData>
  <autoFilter ref="A1:F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2025</v>
      </c>
      <c r="B2" s="5" t="inlineStr">
        <is>
          <t>2025-01</t>
        </is>
      </c>
      <c r="C2" s="5">
        <f>SUMIFS('TD_TotalNatureTransac'!$E$2:$E$91,'TD_TotalNatureTransac'!$B$2:$B$91,B2,'TD_TotalNatureTransac'!$C$2:$C$91,"ZZ1",'TD_TotalNatureTransac'!$D$2:$D$91,"CARTES")</f>
        <v/>
      </c>
      <c r="D2" s="5">
        <f>SUMIFS('TD_TotalNatureTransac'!$F$2:$F$91,'TD_TotalNatureTransac'!$B$2:$B$91,B2,'TD_TotalNatureTransac'!$C$2:$C$91,"ZZ1",'TD_TotalNatureTransac'!$D$2:$D$91,"CARTES")</f>
        <v/>
      </c>
      <c r="E2" s="5">
        <f>SUMIFS('TD_TotalNatureTransac'!$E$2:$E$91,'TD_TotalNatureTransac'!$B$2:$B$91,B2,'TD_TotalNatureTransac'!$C$2:$C$91,"ZZ1",'TD_TotalNatureTransac'!$D$2:$D$91,"CHEQUES")</f>
        <v/>
      </c>
      <c r="F2" s="5">
        <f>SUMIFS('TD_TotalNatureTransac'!$F$2:$F$91,'TD_TotalNatureTransac'!$B$2:$B$91,B2,'TD_TotalNatureTransac'!$C$2:$C$91,"ZZ1",'TD_TotalNatureTransac'!$D$2:$D$91,"CHEQUES")</f>
        <v/>
      </c>
      <c r="G2" s="5">
        <f>SUMIFS('TD_TotalNatureTransac'!$E$2:$E$91,'TD_TotalNatureTransac'!$B$2:$B$91,B2,'TD_TotalNatureTransac'!$C$2:$C$91,"ZZ1",'TD_TotalNatureTransac'!$D$2:$D$91,"CORRECTION")</f>
        <v/>
      </c>
      <c r="H2" s="5">
        <f>SUMIFS('TD_TotalNatureTransac'!$F$2:$F$91,'TD_TotalNatureTransac'!$B$2:$B$91,B2,'TD_TotalNatureTransac'!$C$2:$C$91,"ZZ1",'TD_TotalNatureTransac'!$D$2:$D$91,"CORRECTION")</f>
        <v/>
      </c>
      <c r="I2" s="5">
        <f>SUMIFS('TD_TotalNatureTransac'!$E$2:$E$91,'TD_TotalNatureTransac'!$B$2:$B$91,B2,'TD_TotalNatureTransac'!$C$2:$C$91,"ZZ1",'TD_TotalNatureTransac'!$D$2:$D$91,"ESPECES")</f>
        <v/>
      </c>
      <c r="J2" s="5">
        <f>SUMIFS('TD_TotalNatureTransac'!$F$2:$F$91,'TD_TotalNatureTransac'!$B$2:$B$91,B2,'TD_TotalNatureTransac'!$C$2:$C$91,"ZZ1",'TD_TotalNatureTransac'!$D$2:$D$91,"ESPECES")</f>
        <v/>
      </c>
      <c r="K2" s="5">
        <f>SUMIFS('TD_TotalNatureTransac'!$E$2:$E$91,'TD_TotalNatureTransac'!$B$2:$B$91,B2,'TD_TotalNatureTransac'!$C$2:$C$91,"ZZ1",'TD_TotalNatureTransac'!$D$2:$D$91,"REF./TIROIR")</f>
        <v/>
      </c>
      <c r="L2" s="5">
        <f>SUMIFS('TD_TotalNatureTransac'!$F$2:$F$91,'TD_TotalNatureTransac'!$B$2:$B$91,B2,'TD_TotalNatureTransac'!$C$2:$C$91,"ZZ1",'TD_TotalNatureTransac'!$D$2:$D$91,"REF./TIROIR")</f>
        <v/>
      </c>
    </row>
    <row r="3">
      <c r="A3" s="6" t="n">
        <v>2025</v>
      </c>
      <c r="B3" s="5" t="inlineStr">
        <is>
          <t>2025-02</t>
        </is>
      </c>
      <c r="C3" s="5">
        <f>SUMIFS('TD_TotalNatureTransac'!$E$2:$E$91,'TD_TotalNatureTransac'!$B$2:$B$91,B3,'TD_TotalNatureTransac'!$C$2:$C$91,"ZZ1",'TD_TotalNatureTransac'!$D$2:$D$91,"CARTES")</f>
        <v/>
      </c>
      <c r="D3" s="5">
        <f>SUMIFS('TD_TotalNatureTransac'!$F$2:$F$91,'TD_TotalNatureTransac'!$B$2:$B$91,B3,'TD_TotalNatureTransac'!$C$2:$C$91,"ZZ1",'TD_TotalNatureTransac'!$D$2:$D$91,"CARTES")</f>
        <v/>
      </c>
      <c r="E3" s="5">
        <f>SUMIFS('TD_TotalNatureTransac'!$E$2:$E$91,'TD_TotalNatureTransac'!$B$2:$B$91,B3,'TD_TotalNatureTransac'!$C$2:$C$91,"ZZ1",'TD_TotalNatureTransac'!$D$2:$D$91,"CHEQUES")</f>
        <v/>
      </c>
      <c r="F3" s="5">
        <f>SUMIFS('TD_TotalNatureTransac'!$F$2:$F$91,'TD_TotalNatureTransac'!$B$2:$B$91,B3,'TD_TotalNatureTransac'!$C$2:$C$91,"ZZ1",'TD_TotalNatureTransac'!$D$2:$D$91,"CHEQUES")</f>
        <v/>
      </c>
      <c r="G3" s="5">
        <f>SUMIFS('TD_TotalNatureTransac'!$E$2:$E$91,'TD_TotalNatureTransac'!$B$2:$B$91,B3,'TD_TotalNatureTransac'!$C$2:$C$91,"ZZ1",'TD_TotalNatureTransac'!$D$2:$D$91,"CORRECTION")</f>
        <v/>
      </c>
      <c r="H3" s="5">
        <f>SUMIFS('TD_TotalNatureTransac'!$F$2:$F$91,'TD_TotalNatureTransac'!$B$2:$B$91,B3,'TD_TotalNatureTransac'!$C$2:$C$91,"ZZ1",'TD_TotalNatureTransac'!$D$2:$D$91,"CORRECTION")</f>
        <v/>
      </c>
      <c r="I3" s="5">
        <f>SUMIFS('TD_TotalNatureTransac'!$E$2:$E$91,'TD_TotalNatureTransac'!$B$2:$B$91,B3,'TD_TotalNatureTransac'!$C$2:$C$91,"ZZ1",'TD_TotalNatureTransac'!$D$2:$D$91,"ESPECES")</f>
        <v/>
      </c>
      <c r="J3" s="5">
        <f>SUMIFS('TD_TotalNatureTransac'!$F$2:$F$91,'TD_TotalNatureTransac'!$B$2:$B$91,B3,'TD_TotalNatureTransac'!$C$2:$C$91,"ZZ1",'TD_TotalNatureTransac'!$D$2:$D$91,"ESPECES")</f>
        <v/>
      </c>
      <c r="K3" s="5">
        <f>SUMIFS('TD_TotalNatureTransac'!$E$2:$E$91,'TD_TotalNatureTransac'!$B$2:$B$91,B3,'TD_TotalNatureTransac'!$C$2:$C$91,"ZZ1",'TD_TotalNatureTransac'!$D$2:$D$91,"REF./TIROIR")</f>
        <v/>
      </c>
      <c r="L3" s="5">
        <f>SUMIFS('TD_TotalNatureTransac'!$F$2:$F$91,'TD_TotalNatureTransac'!$B$2:$B$91,B3,'TD_TotalNatureTransac'!$C$2:$C$91,"ZZ1",'TD_TotalNatureTransac'!$D$2:$D$91,"REF./TIROIR")</f>
        <v/>
      </c>
    </row>
    <row r="4">
      <c r="A4" s="6" t="n">
        <v>2025</v>
      </c>
      <c r="B4" s="5" t="inlineStr">
        <is>
          <t>2025-03</t>
        </is>
      </c>
      <c r="C4" s="5">
        <f>SUMIFS('TD_TotalNatureTransac'!$E$2:$E$91,'TD_TotalNatureTransac'!$B$2:$B$91,B4,'TD_TotalNatureTransac'!$C$2:$C$91,"ZZ1",'TD_TotalNatureTransac'!$D$2:$D$91,"CARTES")</f>
        <v/>
      </c>
      <c r="D4" s="5">
        <f>SUMIFS('TD_TotalNatureTransac'!$F$2:$F$91,'TD_TotalNatureTransac'!$B$2:$B$91,B4,'TD_TotalNatureTransac'!$C$2:$C$91,"ZZ1",'TD_TotalNatureTransac'!$D$2:$D$91,"CARTES")</f>
        <v/>
      </c>
      <c r="E4" s="5">
        <f>SUMIFS('TD_TotalNatureTransac'!$E$2:$E$91,'TD_TotalNatureTransac'!$B$2:$B$91,B4,'TD_TotalNatureTransac'!$C$2:$C$91,"ZZ1",'TD_TotalNatureTransac'!$D$2:$D$91,"CHEQUES")</f>
        <v/>
      </c>
      <c r="F4" s="5">
        <f>SUMIFS('TD_TotalNatureTransac'!$F$2:$F$91,'TD_TotalNatureTransac'!$B$2:$B$91,B4,'TD_TotalNatureTransac'!$C$2:$C$91,"ZZ1",'TD_TotalNatureTransac'!$D$2:$D$91,"CHEQUES")</f>
        <v/>
      </c>
      <c r="G4" s="5">
        <f>SUMIFS('TD_TotalNatureTransac'!$E$2:$E$91,'TD_TotalNatureTransac'!$B$2:$B$91,B4,'TD_TotalNatureTransac'!$C$2:$C$91,"ZZ1",'TD_TotalNatureTransac'!$D$2:$D$91,"CORRECTION")</f>
        <v/>
      </c>
      <c r="H4" s="5">
        <f>SUMIFS('TD_TotalNatureTransac'!$F$2:$F$91,'TD_TotalNatureTransac'!$B$2:$B$91,B4,'TD_TotalNatureTransac'!$C$2:$C$91,"ZZ1",'TD_TotalNatureTransac'!$D$2:$D$91,"CORRECTION")</f>
        <v/>
      </c>
      <c r="I4" s="5">
        <f>SUMIFS('TD_TotalNatureTransac'!$E$2:$E$91,'TD_TotalNatureTransac'!$B$2:$B$91,B4,'TD_TotalNatureTransac'!$C$2:$C$91,"ZZ1",'TD_TotalNatureTransac'!$D$2:$D$91,"ESPECES")</f>
        <v/>
      </c>
      <c r="J4" s="5">
        <f>SUMIFS('TD_TotalNatureTransac'!$F$2:$F$91,'TD_TotalNatureTransac'!$B$2:$B$91,B4,'TD_TotalNatureTransac'!$C$2:$C$91,"ZZ1",'TD_TotalNatureTransac'!$D$2:$D$91,"ESPECES")</f>
        <v/>
      </c>
      <c r="K4" s="5">
        <f>SUMIFS('TD_TotalNatureTransac'!$E$2:$E$91,'TD_TotalNatureTransac'!$B$2:$B$91,B4,'TD_TotalNatureTransac'!$C$2:$C$91,"ZZ1",'TD_TotalNatureTransac'!$D$2:$D$91,"REF./TIROIR")</f>
        <v/>
      </c>
      <c r="L4" s="5">
        <f>SUMIFS('TD_TotalNatureTransac'!$F$2:$F$91,'TD_TotalNatureTransac'!$B$2:$B$91,B4,'TD_TotalNatureTransac'!$C$2:$C$91,"ZZ1",'TD_TotalNatureTransac'!$D$2:$D$91,"REF./TIROIR")</f>
        <v/>
      </c>
    </row>
    <row r="5">
      <c r="A5" s="6" t="n">
        <v>2025</v>
      </c>
      <c r="B5" s="5" t="inlineStr">
        <is>
          <t>2025-04|2025-05|2025-06</t>
        </is>
      </c>
      <c r="C5" s="5">
        <f>SUMIFS('TD_TotalNatureTransac'!$E$2:$E$91,'TD_TotalNatureTransac'!$B$2:$B$91,B5,'TD_TotalNatureTransac'!$C$2:$C$91,"ZZ1",'TD_TotalNatureTransac'!$D$2:$D$91,"CARTES")</f>
        <v/>
      </c>
      <c r="D5" s="5">
        <f>SUMIFS('TD_TotalNatureTransac'!$F$2:$F$91,'TD_TotalNatureTransac'!$B$2:$B$91,B5,'TD_TotalNatureTransac'!$C$2:$C$91,"ZZ1",'TD_TotalNatureTransac'!$D$2:$D$91,"CARTES")</f>
        <v/>
      </c>
      <c r="E5" s="5">
        <f>SUMIFS('TD_TotalNatureTransac'!$E$2:$E$91,'TD_TotalNatureTransac'!$B$2:$B$91,B5,'TD_TotalNatureTransac'!$C$2:$C$91,"ZZ1",'TD_TotalNatureTransac'!$D$2:$D$91,"CHEQUES")</f>
        <v/>
      </c>
      <c r="F5" s="5">
        <f>SUMIFS('TD_TotalNatureTransac'!$F$2:$F$91,'TD_TotalNatureTransac'!$B$2:$B$91,B5,'TD_TotalNatureTransac'!$C$2:$C$91,"ZZ1",'TD_TotalNatureTransac'!$D$2:$D$91,"CHEQUES")</f>
        <v/>
      </c>
      <c r="G5" s="5">
        <f>SUMIFS('TD_TotalNatureTransac'!$E$2:$E$91,'TD_TotalNatureTransac'!$B$2:$B$91,B5,'TD_TotalNatureTransac'!$C$2:$C$91,"ZZ1",'TD_TotalNatureTransac'!$D$2:$D$91,"CORRECTION")</f>
        <v/>
      </c>
      <c r="H5" s="5">
        <f>SUMIFS('TD_TotalNatureTransac'!$F$2:$F$91,'TD_TotalNatureTransac'!$B$2:$B$91,B5,'TD_TotalNatureTransac'!$C$2:$C$91,"ZZ1",'TD_TotalNatureTransac'!$D$2:$D$91,"CORRECTION")</f>
        <v/>
      </c>
      <c r="I5" s="5">
        <f>SUMIFS('TD_TotalNatureTransac'!$E$2:$E$91,'TD_TotalNatureTransac'!$B$2:$B$91,B5,'TD_TotalNatureTransac'!$C$2:$C$91,"ZZ1",'TD_TotalNatureTransac'!$D$2:$D$91,"ESPECES")</f>
        <v/>
      </c>
      <c r="J5" s="5">
        <f>SUMIFS('TD_TotalNatureTransac'!$F$2:$F$91,'TD_TotalNatureTransac'!$B$2:$B$91,B5,'TD_TotalNatureTransac'!$C$2:$C$91,"ZZ1",'TD_TotalNatureTransac'!$D$2:$D$91,"ESPECES")</f>
        <v/>
      </c>
      <c r="K5" s="5">
        <f>SUMIFS('TD_TotalNatureTransac'!$E$2:$E$91,'TD_TotalNatureTransac'!$B$2:$B$91,B5,'TD_TotalNatureTransac'!$C$2:$C$91,"ZZ1",'TD_TotalNatureTransac'!$D$2:$D$91,"REF./TIROIR")</f>
        <v/>
      </c>
      <c r="L5" s="5">
        <f>SUMIFS('TD_TotalNatureTransac'!$F$2:$F$91,'TD_TotalNatureTransac'!$B$2:$B$91,B5,'TD_TotalNatureTransac'!$C$2:$C$91,"ZZ1",'TD_TotalNatureTransac'!$D$2:$D$91,"REF./TIROIR")</f>
        <v/>
      </c>
    </row>
    <row r="6">
      <c r="A6" s="6" t="n">
        <v>2025</v>
      </c>
      <c r="B6" s="5" t="inlineStr">
        <is>
          <t>2025-07</t>
        </is>
      </c>
      <c r="C6" s="5">
        <f>SUMIFS('TD_TotalNatureTransac'!$E$2:$E$91,'TD_TotalNatureTransac'!$B$2:$B$91,B6,'TD_TotalNatureTransac'!$C$2:$C$91,"ZZ1",'TD_TotalNatureTransac'!$D$2:$D$91,"CARTES")</f>
        <v/>
      </c>
      <c r="D6" s="5">
        <f>SUMIFS('TD_TotalNatureTransac'!$F$2:$F$91,'TD_TotalNatureTransac'!$B$2:$B$91,B6,'TD_TotalNatureTransac'!$C$2:$C$91,"ZZ1",'TD_TotalNatureTransac'!$D$2:$D$91,"CARTES")</f>
        <v/>
      </c>
      <c r="E6" s="5">
        <f>SUMIFS('TD_TotalNatureTransac'!$E$2:$E$91,'TD_TotalNatureTransac'!$B$2:$B$91,B6,'TD_TotalNatureTransac'!$C$2:$C$91,"ZZ1",'TD_TotalNatureTransac'!$D$2:$D$91,"CHEQUES")</f>
        <v/>
      </c>
      <c r="F6" s="5">
        <f>SUMIFS('TD_TotalNatureTransac'!$F$2:$F$91,'TD_TotalNatureTransac'!$B$2:$B$91,B6,'TD_TotalNatureTransac'!$C$2:$C$91,"ZZ1",'TD_TotalNatureTransac'!$D$2:$D$91,"CHEQUES")</f>
        <v/>
      </c>
      <c r="G6" s="5">
        <f>SUMIFS('TD_TotalNatureTransac'!$E$2:$E$91,'TD_TotalNatureTransac'!$B$2:$B$91,B6,'TD_TotalNatureTransac'!$C$2:$C$91,"ZZ1",'TD_TotalNatureTransac'!$D$2:$D$91,"CORRECTION")</f>
        <v/>
      </c>
      <c r="H6" s="5">
        <f>SUMIFS('TD_TotalNatureTransac'!$F$2:$F$91,'TD_TotalNatureTransac'!$B$2:$B$91,B6,'TD_TotalNatureTransac'!$C$2:$C$91,"ZZ1",'TD_TotalNatureTransac'!$D$2:$D$91,"CORRECTION")</f>
        <v/>
      </c>
      <c r="I6" s="5">
        <f>SUMIFS('TD_TotalNatureTransac'!$E$2:$E$91,'TD_TotalNatureTransac'!$B$2:$B$91,B6,'TD_TotalNatureTransac'!$C$2:$C$91,"ZZ1",'TD_TotalNatureTransac'!$D$2:$D$91,"ESPECES")</f>
        <v/>
      </c>
      <c r="J6" s="5">
        <f>SUMIFS('TD_TotalNatureTransac'!$F$2:$F$91,'TD_TotalNatureTransac'!$B$2:$B$91,B6,'TD_TotalNatureTransac'!$C$2:$C$91,"ZZ1",'TD_TotalNatureTransac'!$D$2:$D$91,"ESPECES")</f>
        <v/>
      </c>
      <c r="K6" s="5">
        <f>SUMIFS('TD_TotalNatureTransac'!$E$2:$E$91,'TD_TotalNatureTransac'!$B$2:$B$91,B6,'TD_TotalNatureTransac'!$C$2:$C$91,"ZZ1",'TD_TotalNatureTransac'!$D$2:$D$91,"REF./TIROIR")</f>
        <v/>
      </c>
      <c r="L6" s="5">
        <f>SUMIFS('TD_TotalNatureTransac'!$F$2:$F$91,'TD_TotalNatureTransac'!$B$2:$B$91,B6,'TD_TotalNatureTransac'!$C$2:$C$91,"ZZ1",'TD_TotalNatureTransac'!$D$2:$D$91,"REF./TIROIR")</f>
        <v/>
      </c>
    </row>
    <row r="7">
      <c r="A7" s="6" t="n">
        <v>2025</v>
      </c>
      <c r="B7" s="5" t="inlineStr">
        <is>
          <t>2025-08</t>
        </is>
      </c>
      <c r="C7" s="5">
        <f>SUMIFS('TD_TotalNatureTransac'!$E$2:$E$91,'TD_TotalNatureTransac'!$B$2:$B$91,B7,'TD_TotalNatureTransac'!$C$2:$C$91,"ZZ1",'TD_TotalNatureTransac'!$D$2:$D$91,"CARTES")</f>
        <v/>
      </c>
      <c r="D7" s="5">
        <f>SUMIFS('TD_TotalNatureTransac'!$F$2:$F$91,'TD_TotalNatureTransac'!$B$2:$B$91,B7,'TD_TotalNatureTransac'!$C$2:$C$91,"ZZ1",'TD_TotalNatureTransac'!$D$2:$D$91,"CARTES")</f>
        <v/>
      </c>
      <c r="E7" s="5">
        <f>SUMIFS('TD_TotalNatureTransac'!$E$2:$E$91,'TD_TotalNatureTransac'!$B$2:$B$91,B7,'TD_TotalNatureTransac'!$C$2:$C$91,"ZZ1",'TD_TotalNatureTransac'!$D$2:$D$91,"CHEQUES")</f>
        <v/>
      </c>
      <c r="F7" s="5">
        <f>SUMIFS('TD_TotalNatureTransac'!$F$2:$F$91,'TD_TotalNatureTransac'!$B$2:$B$91,B7,'TD_TotalNatureTransac'!$C$2:$C$91,"ZZ1",'TD_TotalNatureTransac'!$D$2:$D$91,"CHEQUES")</f>
        <v/>
      </c>
      <c r="G7" s="5">
        <f>SUMIFS('TD_TotalNatureTransac'!$E$2:$E$91,'TD_TotalNatureTransac'!$B$2:$B$91,B7,'TD_TotalNatureTransac'!$C$2:$C$91,"ZZ1",'TD_TotalNatureTransac'!$D$2:$D$91,"CORRECTION")</f>
        <v/>
      </c>
      <c r="H7" s="5">
        <f>SUMIFS('TD_TotalNatureTransac'!$F$2:$F$91,'TD_TotalNatureTransac'!$B$2:$B$91,B7,'TD_TotalNatureTransac'!$C$2:$C$91,"ZZ1",'TD_TotalNatureTransac'!$D$2:$D$91,"CORRECTION")</f>
        <v/>
      </c>
      <c r="I7" s="5">
        <f>SUMIFS('TD_TotalNatureTransac'!$E$2:$E$91,'TD_TotalNatureTransac'!$B$2:$B$91,B7,'TD_TotalNatureTransac'!$C$2:$C$91,"ZZ1",'TD_TotalNatureTransac'!$D$2:$D$91,"ESPECES")</f>
        <v/>
      </c>
      <c r="J7" s="5">
        <f>SUMIFS('TD_TotalNatureTransac'!$F$2:$F$91,'TD_TotalNatureTransac'!$B$2:$B$91,B7,'TD_TotalNatureTransac'!$C$2:$C$91,"ZZ1",'TD_TotalNatureTransac'!$D$2:$D$91,"ESPECES")</f>
        <v/>
      </c>
      <c r="K7" s="5">
        <f>SUMIFS('TD_TotalNatureTransac'!$E$2:$E$91,'TD_TotalNatureTransac'!$B$2:$B$91,B7,'TD_TotalNatureTransac'!$C$2:$C$91,"ZZ1",'TD_TotalNatureTransac'!$D$2:$D$91,"REF./TIROIR")</f>
        <v/>
      </c>
      <c r="L7" s="5">
        <f>SUMIFS('TD_TotalNatureTransac'!$F$2:$F$91,'TD_TotalNatureTransac'!$B$2:$B$91,B7,'TD_TotalNatureTransac'!$C$2:$C$91,"ZZ1",'TD_TotalNatureTransac'!$D$2:$D$91,"REF./TIROIR")</f>
        <v/>
      </c>
    </row>
  </sheetData>
  <autoFilter ref="A1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2025</v>
      </c>
      <c r="B2" s="5" t="inlineStr">
        <is>
          <t>2025-01</t>
        </is>
      </c>
      <c r="C2" s="5">
        <f>SUMIFS('TD_TotalNatureTransac'!$E$2:$E$91,'TD_TotalNatureTransac'!$B$2:$B$91,B2,'TD_TotalNatureTransac'!$C$2:$C$91,"ZZ2",'TD_TotalNatureTransac'!$D$2:$D$91,"CARTES")</f>
        <v/>
      </c>
      <c r="D2" s="5">
        <f>SUMIFS('TD_TotalNatureTransac'!$F$2:$F$91,'TD_TotalNatureTransac'!$B$2:$B$91,B2,'TD_TotalNatureTransac'!$C$2:$C$91,"ZZ2",'TD_TotalNatureTransac'!$D$2:$D$91,"CARTES")</f>
        <v/>
      </c>
      <c r="E2" s="5">
        <f>SUMIFS('TD_TotalNatureTransac'!$E$2:$E$91,'TD_TotalNatureTransac'!$B$2:$B$91,B2,'TD_TotalNatureTransac'!$C$2:$C$91,"ZZ2",'TD_TotalNatureTransac'!$D$2:$D$91,"CHEQUES")</f>
        <v/>
      </c>
      <c r="F2" s="5">
        <f>SUMIFS('TD_TotalNatureTransac'!$F$2:$F$91,'TD_TotalNatureTransac'!$B$2:$B$91,B2,'TD_TotalNatureTransac'!$C$2:$C$91,"ZZ2",'TD_TotalNatureTransac'!$D$2:$D$91,"CHEQUES")</f>
        <v/>
      </c>
      <c r="G2" s="5">
        <f>SUMIFS('TD_TotalNatureTransac'!$E$2:$E$91,'TD_TotalNatureTransac'!$B$2:$B$91,B2,'TD_TotalNatureTransac'!$C$2:$C$91,"ZZ2",'TD_TotalNatureTransac'!$D$2:$D$91,"CORRECTION")</f>
        <v/>
      </c>
      <c r="H2" s="5">
        <f>SUMIFS('TD_TotalNatureTransac'!$F$2:$F$91,'TD_TotalNatureTransac'!$B$2:$B$91,B2,'TD_TotalNatureTransac'!$C$2:$C$91,"ZZ2",'TD_TotalNatureTransac'!$D$2:$D$91,"CORRECTION")</f>
        <v/>
      </c>
      <c r="I2" s="5">
        <f>SUMIFS('TD_TotalNatureTransac'!$E$2:$E$91,'TD_TotalNatureTransac'!$B$2:$B$91,B2,'TD_TotalNatureTransac'!$C$2:$C$91,"ZZ2",'TD_TotalNatureTransac'!$D$2:$D$91,"ESPECES")</f>
        <v/>
      </c>
      <c r="J2" s="5">
        <f>SUMIFS('TD_TotalNatureTransac'!$F$2:$F$91,'TD_TotalNatureTransac'!$B$2:$B$91,B2,'TD_TotalNatureTransac'!$C$2:$C$91,"ZZ2",'TD_TotalNatureTransac'!$D$2:$D$91,"ESPECES")</f>
        <v/>
      </c>
      <c r="K2" s="5">
        <f>SUMIFS('TD_TotalNatureTransac'!$E$2:$E$91,'TD_TotalNatureTransac'!$B$2:$B$91,B2,'TD_TotalNatureTransac'!$C$2:$C$91,"ZZ2",'TD_TotalNatureTransac'!$D$2:$D$91,"REF./TIROIR")</f>
        <v/>
      </c>
      <c r="L2" s="5">
        <f>SUMIFS('TD_TotalNatureTransac'!$F$2:$F$91,'TD_TotalNatureTransac'!$B$2:$B$91,B2,'TD_TotalNatureTransac'!$C$2:$C$91,"ZZ2",'TD_TotalNatureTransac'!$D$2:$D$91,"REF./TIROIR")</f>
        <v/>
      </c>
    </row>
    <row r="3">
      <c r="A3" s="6" t="n">
        <v>2025</v>
      </c>
      <c r="B3" s="5" t="inlineStr">
        <is>
          <t>2025-02</t>
        </is>
      </c>
      <c r="C3" s="5">
        <f>SUMIFS('TD_TotalNatureTransac'!$E$2:$E$91,'TD_TotalNatureTransac'!$B$2:$B$91,B3,'TD_TotalNatureTransac'!$C$2:$C$91,"ZZ2",'TD_TotalNatureTransac'!$D$2:$D$91,"CARTES")</f>
        <v/>
      </c>
      <c r="D3" s="5">
        <f>SUMIFS('TD_TotalNatureTransac'!$F$2:$F$91,'TD_TotalNatureTransac'!$B$2:$B$91,B3,'TD_TotalNatureTransac'!$C$2:$C$91,"ZZ2",'TD_TotalNatureTransac'!$D$2:$D$91,"CARTES")</f>
        <v/>
      </c>
      <c r="E3" s="5">
        <f>SUMIFS('TD_TotalNatureTransac'!$E$2:$E$91,'TD_TotalNatureTransac'!$B$2:$B$91,B3,'TD_TotalNatureTransac'!$C$2:$C$91,"ZZ2",'TD_TotalNatureTransac'!$D$2:$D$91,"CHEQUES")</f>
        <v/>
      </c>
      <c r="F3" s="5">
        <f>SUMIFS('TD_TotalNatureTransac'!$F$2:$F$91,'TD_TotalNatureTransac'!$B$2:$B$91,B3,'TD_TotalNatureTransac'!$C$2:$C$91,"ZZ2",'TD_TotalNatureTransac'!$D$2:$D$91,"CHEQUES")</f>
        <v/>
      </c>
      <c r="G3" s="5">
        <f>SUMIFS('TD_TotalNatureTransac'!$E$2:$E$91,'TD_TotalNatureTransac'!$B$2:$B$91,B3,'TD_TotalNatureTransac'!$C$2:$C$91,"ZZ2",'TD_TotalNatureTransac'!$D$2:$D$91,"CORRECTION")</f>
        <v/>
      </c>
      <c r="H3" s="5">
        <f>SUMIFS('TD_TotalNatureTransac'!$F$2:$F$91,'TD_TotalNatureTransac'!$B$2:$B$91,B3,'TD_TotalNatureTransac'!$C$2:$C$91,"ZZ2",'TD_TotalNatureTransac'!$D$2:$D$91,"CORRECTION")</f>
        <v/>
      </c>
      <c r="I3" s="5">
        <f>SUMIFS('TD_TotalNatureTransac'!$E$2:$E$91,'TD_TotalNatureTransac'!$B$2:$B$91,B3,'TD_TotalNatureTransac'!$C$2:$C$91,"ZZ2",'TD_TotalNatureTransac'!$D$2:$D$91,"ESPECES")</f>
        <v/>
      </c>
      <c r="J3" s="5">
        <f>SUMIFS('TD_TotalNatureTransac'!$F$2:$F$91,'TD_TotalNatureTransac'!$B$2:$B$91,B3,'TD_TotalNatureTransac'!$C$2:$C$91,"ZZ2",'TD_TotalNatureTransac'!$D$2:$D$91,"ESPECES")</f>
        <v/>
      </c>
      <c r="K3" s="5">
        <f>SUMIFS('TD_TotalNatureTransac'!$E$2:$E$91,'TD_TotalNatureTransac'!$B$2:$B$91,B3,'TD_TotalNatureTransac'!$C$2:$C$91,"ZZ2",'TD_TotalNatureTransac'!$D$2:$D$91,"REF./TIROIR")</f>
        <v/>
      </c>
      <c r="L3" s="5">
        <f>SUMIFS('TD_TotalNatureTransac'!$F$2:$F$91,'TD_TotalNatureTransac'!$B$2:$B$91,B3,'TD_TotalNatureTransac'!$C$2:$C$91,"ZZ2",'TD_TotalNatureTransac'!$D$2:$D$91,"REF./TIROIR")</f>
        <v/>
      </c>
    </row>
    <row r="4">
      <c r="A4" s="6" t="n">
        <v>2025</v>
      </c>
      <c r="B4" s="5" t="inlineStr">
        <is>
          <t>2025-03</t>
        </is>
      </c>
      <c r="C4" s="5">
        <f>SUMIFS('TD_TotalNatureTransac'!$E$2:$E$91,'TD_TotalNatureTransac'!$B$2:$B$91,B4,'TD_TotalNatureTransac'!$C$2:$C$91,"ZZ2",'TD_TotalNatureTransac'!$D$2:$D$91,"CARTES")</f>
        <v/>
      </c>
      <c r="D4" s="5">
        <f>SUMIFS('TD_TotalNatureTransac'!$F$2:$F$91,'TD_TotalNatureTransac'!$B$2:$B$91,B4,'TD_TotalNatureTransac'!$C$2:$C$91,"ZZ2",'TD_TotalNatureTransac'!$D$2:$D$91,"CARTES")</f>
        <v/>
      </c>
      <c r="E4" s="5">
        <f>SUMIFS('TD_TotalNatureTransac'!$E$2:$E$91,'TD_TotalNatureTransac'!$B$2:$B$91,B4,'TD_TotalNatureTransac'!$C$2:$C$91,"ZZ2",'TD_TotalNatureTransac'!$D$2:$D$91,"CHEQUES")</f>
        <v/>
      </c>
      <c r="F4" s="5">
        <f>SUMIFS('TD_TotalNatureTransac'!$F$2:$F$91,'TD_TotalNatureTransac'!$B$2:$B$91,B4,'TD_TotalNatureTransac'!$C$2:$C$91,"ZZ2",'TD_TotalNatureTransac'!$D$2:$D$91,"CHEQUES")</f>
        <v/>
      </c>
      <c r="G4" s="5">
        <f>SUMIFS('TD_TotalNatureTransac'!$E$2:$E$91,'TD_TotalNatureTransac'!$B$2:$B$91,B4,'TD_TotalNatureTransac'!$C$2:$C$91,"ZZ2",'TD_TotalNatureTransac'!$D$2:$D$91,"CORRECTION")</f>
        <v/>
      </c>
      <c r="H4" s="5">
        <f>SUMIFS('TD_TotalNatureTransac'!$F$2:$F$91,'TD_TotalNatureTransac'!$B$2:$B$91,B4,'TD_TotalNatureTransac'!$C$2:$C$91,"ZZ2",'TD_TotalNatureTransac'!$D$2:$D$91,"CORRECTION")</f>
        <v/>
      </c>
      <c r="I4" s="5">
        <f>SUMIFS('TD_TotalNatureTransac'!$E$2:$E$91,'TD_TotalNatureTransac'!$B$2:$B$91,B4,'TD_TotalNatureTransac'!$C$2:$C$91,"ZZ2",'TD_TotalNatureTransac'!$D$2:$D$91,"ESPECES")</f>
        <v/>
      </c>
      <c r="J4" s="5">
        <f>SUMIFS('TD_TotalNatureTransac'!$F$2:$F$91,'TD_TotalNatureTransac'!$B$2:$B$91,B4,'TD_TotalNatureTransac'!$C$2:$C$91,"ZZ2",'TD_TotalNatureTransac'!$D$2:$D$91,"ESPECES")</f>
        <v/>
      </c>
      <c r="K4" s="5">
        <f>SUMIFS('TD_TotalNatureTransac'!$E$2:$E$91,'TD_TotalNatureTransac'!$B$2:$B$91,B4,'TD_TotalNatureTransac'!$C$2:$C$91,"ZZ2",'TD_TotalNatureTransac'!$D$2:$D$91,"REF./TIROIR")</f>
        <v/>
      </c>
      <c r="L4" s="5">
        <f>SUMIFS('TD_TotalNatureTransac'!$F$2:$F$91,'TD_TotalNatureTransac'!$B$2:$B$91,B4,'TD_TotalNatureTransac'!$C$2:$C$91,"ZZ2",'TD_TotalNatureTransac'!$D$2:$D$91,"REF./TIROIR")</f>
        <v/>
      </c>
    </row>
    <row r="5">
      <c r="A5" s="6" t="n">
        <v>2025</v>
      </c>
      <c r="B5" s="5" t="inlineStr">
        <is>
          <t>2025-04|2025-05|2025-06</t>
        </is>
      </c>
      <c r="C5" s="5">
        <f>SUMIFS('TD_TotalNatureTransac'!$E$2:$E$91,'TD_TotalNatureTransac'!$B$2:$B$91,B5,'TD_TotalNatureTransac'!$C$2:$C$91,"ZZ2",'TD_TotalNatureTransac'!$D$2:$D$91,"CARTES")</f>
        <v/>
      </c>
      <c r="D5" s="5">
        <f>SUMIFS('TD_TotalNatureTransac'!$F$2:$F$91,'TD_TotalNatureTransac'!$B$2:$B$91,B5,'TD_TotalNatureTransac'!$C$2:$C$91,"ZZ2",'TD_TotalNatureTransac'!$D$2:$D$91,"CARTES")</f>
        <v/>
      </c>
      <c r="E5" s="5">
        <f>SUMIFS('TD_TotalNatureTransac'!$E$2:$E$91,'TD_TotalNatureTransac'!$B$2:$B$91,B5,'TD_TotalNatureTransac'!$C$2:$C$91,"ZZ2",'TD_TotalNatureTransac'!$D$2:$D$91,"CHEQUES")</f>
        <v/>
      </c>
      <c r="F5" s="5">
        <f>SUMIFS('TD_TotalNatureTransac'!$F$2:$F$91,'TD_TotalNatureTransac'!$B$2:$B$91,B5,'TD_TotalNatureTransac'!$C$2:$C$91,"ZZ2",'TD_TotalNatureTransac'!$D$2:$D$91,"CHEQUES")</f>
        <v/>
      </c>
      <c r="G5" s="5">
        <f>SUMIFS('TD_TotalNatureTransac'!$E$2:$E$91,'TD_TotalNatureTransac'!$B$2:$B$91,B5,'TD_TotalNatureTransac'!$C$2:$C$91,"ZZ2",'TD_TotalNatureTransac'!$D$2:$D$91,"CORRECTION")</f>
        <v/>
      </c>
      <c r="H5" s="5">
        <f>SUMIFS('TD_TotalNatureTransac'!$F$2:$F$91,'TD_TotalNatureTransac'!$B$2:$B$91,B5,'TD_TotalNatureTransac'!$C$2:$C$91,"ZZ2",'TD_TotalNatureTransac'!$D$2:$D$91,"CORRECTION")</f>
        <v/>
      </c>
      <c r="I5" s="5">
        <f>SUMIFS('TD_TotalNatureTransac'!$E$2:$E$91,'TD_TotalNatureTransac'!$B$2:$B$91,B5,'TD_TotalNatureTransac'!$C$2:$C$91,"ZZ2",'TD_TotalNatureTransac'!$D$2:$D$91,"ESPECES")</f>
        <v/>
      </c>
      <c r="J5" s="5">
        <f>SUMIFS('TD_TotalNatureTransac'!$F$2:$F$91,'TD_TotalNatureTransac'!$B$2:$B$91,B5,'TD_TotalNatureTransac'!$C$2:$C$91,"ZZ2",'TD_TotalNatureTransac'!$D$2:$D$91,"ESPECES")</f>
        <v/>
      </c>
      <c r="K5" s="5">
        <f>SUMIFS('TD_TotalNatureTransac'!$E$2:$E$91,'TD_TotalNatureTransac'!$B$2:$B$91,B5,'TD_TotalNatureTransac'!$C$2:$C$91,"ZZ2",'TD_TotalNatureTransac'!$D$2:$D$91,"REF./TIROIR")</f>
        <v/>
      </c>
      <c r="L5" s="5">
        <f>SUMIFS('TD_TotalNatureTransac'!$F$2:$F$91,'TD_TotalNatureTransac'!$B$2:$B$91,B5,'TD_TotalNatureTransac'!$C$2:$C$91,"ZZ2",'TD_TotalNatureTransac'!$D$2:$D$91,"REF./TIROIR")</f>
        <v/>
      </c>
    </row>
    <row r="6">
      <c r="A6" s="6" t="n">
        <v>2025</v>
      </c>
      <c r="B6" s="5" t="inlineStr">
        <is>
          <t>2025-07</t>
        </is>
      </c>
      <c r="C6" s="5">
        <f>SUMIFS('TD_TotalNatureTransac'!$E$2:$E$91,'TD_TotalNatureTransac'!$B$2:$B$91,B6,'TD_TotalNatureTransac'!$C$2:$C$91,"ZZ2",'TD_TotalNatureTransac'!$D$2:$D$91,"CARTES")</f>
        <v/>
      </c>
      <c r="D6" s="5">
        <f>SUMIFS('TD_TotalNatureTransac'!$F$2:$F$91,'TD_TotalNatureTransac'!$B$2:$B$91,B6,'TD_TotalNatureTransac'!$C$2:$C$91,"ZZ2",'TD_TotalNatureTransac'!$D$2:$D$91,"CARTES")</f>
        <v/>
      </c>
      <c r="E6" s="5">
        <f>SUMIFS('TD_TotalNatureTransac'!$E$2:$E$91,'TD_TotalNatureTransac'!$B$2:$B$91,B6,'TD_TotalNatureTransac'!$C$2:$C$91,"ZZ2",'TD_TotalNatureTransac'!$D$2:$D$91,"CHEQUES")</f>
        <v/>
      </c>
      <c r="F6" s="5">
        <f>SUMIFS('TD_TotalNatureTransac'!$F$2:$F$91,'TD_TotalNatureTransac'!$B$2:$B$91,B6,'TD_TotalNatureTransac'!$C$2:$C$91,"ZZ2",'TD_TotalNatureTransac'!$D$2:$D$91,"CHEQUES")</f>
        <v/>
      </c>
      <c r="G6" s="5">
        <f>SUMIFS('TD_TotalNatureTransac'!$E$2:$E$91,'TD_TotalNatureTransac'!$B$2:$B$91,B6,'TD_TotalNatureTransac'!$C$2:$C$91,"ZZ2",'TD_TotalNatureTransac'!$D$2:$D$91,"CORRECTION")</f>
        <v/>
      </c>
      <c r="H6" s="5">
        <f>SUMIFS('TD_TotalNatureTransac'!$F$2:$F$91,'TD_TotalNatureTransac'!$B$2:$B$91,B6,'TD_TotalNatureTransac'!$C$2:$C$91,"ZZ2",'TD_TotalNatureTransac'!$D$2:$D$91,"CORRECTION")</f>
        <v/>
      </c>
      <c r="I6" s="5">
        <f>SUMIFS('TD_TotalNatureTransac'!$E$2:$E$91,'TD_TotalNatureTransac'!$B$2:$B$91,B6,'TD_TotalNatureTransac'!$C$2:$C$91,"ZZ2",'TD_TotalNatureTransac'!$D$2:$D$91,"ESPECES")</f>
        <v/>
      </c>
      <c r="J6" s="5">
        <f>SUMIFS('TD_TotalNatureTransac'!$F$2:$F$91,'TD_TotalNatureTransac'!$B$2:$B$91,B6,'TD_TotalNatureTransac'!$C$2:$C$91,"ZZ2",'TD_TotalNatureTransac'!$D$2:$D$91,"ESPECES")</f>
        <v/>
      </c>
      <c r="K6" s="5">
        <f>SUMIFS('TD_TotalNatureTransac'!$E$2:$E$91,'TD_TotalNatureTransac'!$B$2:$B$91,B6,'TD_TotalNatureTransac'!$C$2:$C$91,"ZZ2",'TD_TotalNatureTransac'!$D$2:$D$91,"REF./TIROIR")</f>
        <v/>
      </c>
      <c r="L6" s="5">
        <f>SUMIFS('TD_TotalNatureTransac'!$F$2:$F$91,'TD_TotalNatureTransac'!$B$2:$B$91,B6,'TD_TotalNatureTransac'!$C$2:$C$91,"ZZ2",'TD_TotalNatureTransac'!$D$2:$D$91,"REF./TIROIR")</f>
        <v/>
      </c>
    </row>
    <row r="7">
      <c r="A7" s="6" t="n">
        <v>2025</v>
      </c>
      <c r="B7" s="5" t="inlineStr">
        <is>
          <t>2025-08</t>
        </is>
      </c>
      <c r="C7" s="5">
        <f>SUMIFS('TD_TotalNatureTransac'!$E$2:$E$91,'TD_TotalNatureTransac'!$B$2:$B$91,B7,'TD_TotalNatureTransac'!$C$2:$C$91,"ZZ2",'TD_TotalNatureTransac'!$D$2:$D$91,"CARTES")</f>
        <v/>
      </c>
      <c r="D7" s="5">
        <f>SUMIFS('TD_TotalNatureTransac'!$F$2:$F$91,'TD_TotalNatureTransac'!$B$2:$B$91,B7,'TD_TotalNatureTransac'!$C$2:$C$91,"ZZ2",'TD_TotalNatureTransac'!$D$2:$D$91,"CARTES")</f>
        <v/>
      </c>
      <c r="E7" s="5">
        <f>SUMIFS('TD_TotalNatureTransac'!$E$2:$E$91,'TD_TotalNatureTransac'!$B$2:$B$91,B7,'TD_TotalNatureTransac'!$C$2:$C$91,"ZZ2",'TD_TotalNatureTransac'!$D$2:$D$91,"CHEQUES")</f>
        <v/>
      </c>
      <c r="F7" s="5">
        <f>SUMIFS('TD_TotalNatureTransac'!$F$2:$F$91,'TD_TotalNatureTransac'!$B$2:$B$91,B7,'TD_TotalNatureTransac'!$C$2:$C$91,"ZZ2",'TD_TotalNatureTransac'!$D$2:$D$91,"CHEQUES")</f>
        <v/>
      </c>
      <c r="G7" s="5">
        <f>SUMIFS('TD_TotalNatureTransac'!$E$2:$E$91,'TD_TotalNatureTransac'!$B$2:$B$91,B7,'TD_TotalNatureTransac'!$C$2:$C$91,"ZZ2",'TD_TotalNatureTransac'!$D$2:$D$91,"CORRECTION")</f>
        <v/>
      </c>
      <c r="H7" s="5">
        <f>SUMIFS('TD_TotalNatureTransac'!$F$2:$F$91,'TD_TotalNatureTransac'!$B$2:$B$91,B7,'TD_TotalNatureTransac'!$C$2:$C$91,"ZZ2",'TD_TotalNatureTransac'!$D$2:$D$91,"CORRECTION")</f>
        <v/>
      </c>
      <c r="I7" s="5">
        <f>SUMIFS('TD_TotalNatureTransac'!$E$2:$E$91,'TD_TotalNatureTransac'!$B$2:$B$91,B7,'TD_TotalNatureTransac'!$C$2:$C$91,"ZZ2",'TD_TotalNatureTransac'!$D$2:$D$91,"ESPECES")</f>
        <v/>
      </c>
      <c r="J7" s="5">
        <f>SUMIFS('TD_TotalNatureTransac'!$F$2:$F$91,'TD_TotalNatureTransac'!$B$2:$B$91,B7,'TD_TotalNatureTransac'!$C$2:$C$91,"ZZ2",'TD_TotalNatureTransac'!$D$2:$D$91,"ESPECES")</f>
        <v/>
      </c>
      <c r="K7" s="5">
        <f>SUMIFS('TD_TotalNatureTransac'!$E$2:$E$91,'TD_TotalNatureTransac'!$B$2:$B$91,B7,'TD_TotalNatureTransac'!$C$2:$C$91,"ZZ2",'TD_TotalNatureTransac'!$D$2:$D$91,"REF./TIROIR")</f>
        <v/>
      </c>
      <c r="L7" s="5">
        <f>SUMIFS('TD_TotalNatureTransac'!$F$2:$F$91,'TD_TotalNatureTransac'!$B$2:$B$91,B7,'TD_TotalNatureTransac'!$C$2:$C$91,"ZZ2",'TD_TotalNatureTransac'!$D$2:$D$91,"REF./TIROIR")</f>
        <v/>
      </c>
    </row>
  </sheetData>
  <autoFilter ref="A1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2025</v>
      </c>
      <c r="B2" s="5" t="inlineStr">
        <is>
          <t>2025-01</t>
        </is>
      </c>
      <c r="C2" s="5">
        <f>SUMIFS('TD_TotalNatureTransac'!$E$2:$E$91,'TD_TotalNatureTransac'!$B$2:$B$91,B2,'TD_TotalNatureTransac'!$C$2:$C$91,"Z",'TD_TotalNatureTransac'!$D$2:$D$91,"CARTES")</f>
        <v/>
      </c>
      <c r="D2" s="5">
        <f>SUMIFS('TD_TotalNatureTransac'!$F$2:$F$91,'TD_TotalNatureTransac'!$B$2:$B$91,B2,'TD_TotalNatureTransac'!$C$2:$C$91,"Z",'TD_TotalNatureTransac'!$D$2:$D$91,"CARTES")</f>
        <v/>
      </c>
      <c r="E2" s="5">
        <f>SUMIFS('TD_TotalNatureTransac'!$E$2:$E$91,'TD_TotalNatureTransac'!$B$2:$B$91,B2,'TD_TotalNatureTransac'!$C$2:$C$91,"Z",'TD_TotalNatureTransac'!$D$2:$D$91,"CHEQUES")</f>
        <v/>
      </c>
      <c r="F2" s="5">
        <f>SUMIFS('TD_TotalNatureTransac'!$F$2:$F$91,'TD_TotalNatureTransac'!$B$2:$B$91,B2,'TD_TotalNatureTransac'!$C$2:$C$91,"Z",'TD_TotalNatureTransac'!$D$2:$D$91,"CHEQUES")</f>
        <v/>
      </c>
      <c r="G2" s="5">
        <f>SUMIFS('TD_TotalNatureTransac'!$E$2:$E$91,'TD_TotalNatureTransac'!$B$2:$B$91,B2,'TD_TotalNatureTransac'!$C$2:$C$91,"Z",'TD_TotalNatureTransac'!$D$2:$D$91,"CORRECTION")</f>
        <v/>
      </c>
      <c r="H2" s="5">
        <f>SUMIFS('TD_TotalNatureTransac'!$F$2:$F$91,'TD_TotalNatureTransac'!$B$2:$B$91,B2,'TD_TotalNatureTransac'!$C$2:$C$91,"Z",'TD_TotalNatureTransac'!$D$2:$D$91,"CORRECTION")</f>
        <v/>
      </c>
      <c r="I2" s="5">
        <f>SUMIFS('TD_TotalNatureTransac'!$E$2:$E$91,'TD_TotalNatureTransac'!$B$2:$B$91,B2,'TD_TotalNatureTransac'!$C$2:$C$91,"Z",'TD_TotalNatureTransac'!$D$2:$D$91,"ESPECES")</f>
        <v/>
      </c>
      <c r="J2" s="5">
        <f>SUMIFS('TD_TotalNatureTransac'!$F$2:$F$91,'TD_TotalNatureTransac'!$B$2:$B$91,B2,'TD_TotalNatureTransac'!$C$2:$C$91,"Z",'TD_TotalNatureTransac'!$D$2:$D$91,"ESPECES")</f>
        <v/>
      </c>
      <c r="K2" s="5">
        <f>SUMIFS('TD_TotalNatureTransac'!$E$2:$E$91,'TD_TotalNatureTransac'!$B$2:$B$91,B2,'TD_TotalNatureTransac'!$C$2:$C$91,"Z",'TD_TotalNatureTransac'!$D$2:$D$91,"REF./TIROIR")</f>
        <v/>
      </c>
      <c r="L2" s="5">
        <f>SUMIFS('TD_TotalNatureTransac'!$F$2:$F$91,'TD_TotalNatureTransac'!$B$2:$B$91,B2,'TD_TotalNatureTransac'!$C$2:$C$91,"Z",'TD_TotalNatureTransac'!$D$2:$D$91,"REF./TIROIR")</f>
        <v/>
      </c>
    </row>
    <row r="3">
      <c r="A3" s="6" t="n">
        <v>2025</v>
      </c>
      <c r="B3" s="5" t="inlineStr">
        <is>
          <t>2025-02</t>
        </is>
      </c>
      <c r="C3" s="5">
        <f>SUMIFS('TD_TotalNatureTransac'!$E$2:$E$91,'TD_TotalNatureTransac'!$B$2:$B$91,B3,'TD_TotalNatureTransac'!$C$2:$C$91,"Z",'TD_TotalNatureTransac'!$D$2:$D$91,"CARTES")</f>
        <v/>
      </c>
      <c r="D3" s="5">
        <f>SUMIFS('TD_TotalNatureTransac'!$F$2:$F$91,'TD_TotalNatureTransac'!$B$2:$B$91,B3,'TD_TotalNatureTransac'!$C$2:$C$91,"Z",'TD_TotalNatureTransac'!$D$2:$D$91,"CARTES")</f>
        <v/>
      </c>
      <c r="E3" s="5">
        <f>SUMIFS('TD_TotalNatureTransac'!$E$2:$E$91,'TD_TotalNatureTransac'!$B$2:$B$91,B3,'TD_TotalNatureTransac'!$C$2:$C$91,"Z",'TD_TotalNatureTransac'!$D$2:$D$91,"CHEQUES")</f>
        <v/>
      </c>
      <c r="F3" s="5">
        <f>SUMIFS('TD_TotalNatureTransac'!$F$2:$F$91,'TD_TotalNatureTransac'!$B$2:$B$91,B3,'TD_TotalNatureTransac'!$C$2:$C$91,"Z",'TD_TotalNatureTransac'!$D$2:$D$91,"CHEQUES")</f>
        <v/>
      </c>
      <c r="G3" s="5">
        <f>SUMIFS('TD_TotalNatureTransac'!$E$2:$E$91,'TD_TotalNatureTransac'!$B$2:$B$91,B3,'TD_TotalNatureTransac'!$C$2:$C$91,"Z",'TD_TotalNatureTransac'!$D$2:$D$91,"CORRECTION")</f>
        <v/>
      </c>
      <c r="H3" s="5">
        <f>SUMIFS('TD_TotalNatureTransac'!$F$2:$F$91,'TD_TotalNatureTransac'!$B$2:$B$91,B3,'TD_TotalNatureTransac'!$C$2:$C$91,"Z",'TD_TotalNatureTransac'!$D$2:$D$91,"CORRECTION")</f>
        <v/>
      </c>
      <c r="I3" s="5">
        <f>SUMIFS('TD_TotalNatureTransac'!$E$2:$E$91,'TD_TotalNatureTransac'!$B$2:$B$91,B3,'TD_TotalNatureTransac'!$C$2:$C$91,"Z",'TD_TotalNatureTransac'!$D$2:$D$91,"ESPECES")</f>
        <v/>
      </c>
      <c r="J3" s="5">
        <f>SUMIFS('TD_TotalNatureTransac'!$F$2:$F$91,'TD_TotalNatureTransac'!$B$2:$B$91,B3,'TD_TotalNatureTransac'!$C$2:$C$91,"Z",'TD_TotalNatureTransac'!$D$2:$D$91,"ESPECES")</f>
        <v/>
      </c>
      <c r="K3" s="5">
        <f>SUMIFS('TD_TotalNatureTransac'!$E$2:$E$91,'TD_TotalNatureTransac'!$B$2:$B$91,B3,'TD_TotalNatureTransac'!$C$2:$C$91,"Z",'TD_TotalNatureTransac'!$D$2:$D$91,"REF./TIROIR")</f>
        <v/>
      </c>
      <c r="L3" s="5">
        <f>SUMIFS('TD_TotalNatureTransac'!$F$2:$F$91,'TD_TotalNatureTransac'!$B$2:$B$91,B3,'TD_TotalNatureTransac'!$C$2:$C$91,"Z",'TD_TotalNatureTransac'!$D$2:$D$91,"REF./TIROIR")</f>
        <v/>
      </c>
    </row>
    <row r="4">
      <c r="A4" s="6" t="n">
        <v>2025</v>
      </c>
      <c r="B4" s="5" t="inlineStr">
        <is>
          <t>2025-03</t>
        </is>
      </c>
      <c r="C4" s="5">
        <f>SUMIFS('TD_TotalNatureTransac'!$E$2:$E$91,'TD_TotalNatureTransac'!$B$2:$B$91,B4,'TD_TotalNatureTransac'!$C$2:$C$91,"Z",'TD_TotalNatureTransac'!$D$2:$D$91,"CARTES")</f>
        <v/>
      </c>
      <c r="D4" s="5">
        <f>SUMIFS('TD_TotalNatureTransac'!$F$2:$F$91,'TD_TotalNatureTransac'!$B$2:$B$91,B4,'TD_TotalNatureTransac'!$C$2:$C$91,"Z",'TD_TotalNatureTransac'!$D$2:$D$91,"CARTES")</f>
        <v/>
      </c>
      <c r="E4" s="5">
        <f>SUMIFS('TD_TotalNatureTransac'!$E$2:$E$91,'TD_TotalNatureTransac'!$B$2:$B$91,B4,'TD_TotalNatureTransac'!$C$2:$C$91,"Z",'TD_TotalNatureTransac'!$D$2:$D$91,"CHEQUES")</f>
        <v/>
      </c>
      <c r="F4" s="5">
        <f>SUMIFS('TD_TotalNatureTransac'!$F$2:$F$91,'TD_TotalNatureTransac'!$B$2:$B$91,B4,'TD_TotalNatureTransac'!$C$2:$C$91,"Z",'TD_TotalNatureTransac'!$D$2:$D$91,"CHEQUES")</f>
        <v/>
      </c>
      <c r="G4" s="5">
        <f>SUMIFS('TD_TotalNatureTransac'!$E$2:$E$91,'TD_TotalNatureTransac'!$B$2:$B$91,B4,'TD_TotalNatureTransac'!$C$2:$C$91,"Z",'TD_TotalNatureTransac'!$D$2:$D$91,"CORRECTION")</f>
        <v/>
      </c>
      <c r="H4" s="5">
        <f>SUMIFS('TD_TotalNatureTransac'!$F$2:$F$91,'TD_TotalNatureTransac'!$B$2:$B$91,B4,'TD_TotalNatureTransac'!$C$2:$C$91,"Z",'TD_TotalNatureTransac'!$D$2:$D$91,"CORRECTION")</f>
        <v/>
      </c>
      <c r="I4" s="5">
        <f>SUMIFS('TD_TotalNatureTransac'!$E$2:$E$91,'TD_TotalNatureTransac'!$B$2:$B$91,B4,'TD_TotalNatureTransac'!$C$2:$C$91,"Z",'TD_TotalNatureTransac'!$D$2:$D$91,"ESPECES")</f>
        <v/>
      </c>
      <c r="J4" s="5">
        <f>SUMIFS('TD_TotalNatureTransac'!$F$2:$F$91,'TD_TotalNatureTransac'!$B$2:$B$91,B4,'TD_TotalNatureTransac'!$C$2:$C$91,"Z",'TD_TotalNatureTransac'!$D$2:$D$91,"ESPECES")</f>
        <v/>
      </c>
      <c r="K4" s="5">
        <f>SUMIFS('TD_TotalNatureTransac'!$E$2:$E$91,'TD_TotalNatureTransac'!$B$2:$B$91,B4,'TD_TotalNatureTransac'!$C$2:$C$91,"Z",'TD_TotalNatureTransac'!$D$2:$D$91,"REF./TIROIR")</f>
        <v/>
      </c>
      <c r="L4" s="5">
        <f>SUMIFS('TD_TotalNatureTransac'!$F$2:$F$91,'TD_TotalNatureTransac'!$B$2:$B$91,B4,'TD_TotalNatureTransac'!$C$2:$C$91,"Z",'TD_TotalNatureTransac'!$D$2:$D$91,"REF./TIROIR")</f>
        <v/>
      </c>
    </row>
    <row r="5">
      <c r="A5" s="6" t="n">
        <v>2025</v>
      </c>
      <c r="B5" s="5" t="inlineStr">
        <is>
          <t>2025-04|2025-05|2025-06</t>
        </is>
      </c>
      <c r="C5" s="5">
        <f>SUMIFS('TD_TotalNatureTransac'!$E$2:$E$91,'TD_TotalNatureTransac'!$B$2:$B$91,B5,'TD_TotalNatureTransac'!$C$2:$C$91,"Z",'TD_TotalNatureTransac'!$D$2:$D$91,"CARTES")</f>
        <v/>
      </c>
      <c r="D5" s="5">
        <f>SUMIFS('TD_TotalNatureTransac'!$F$2:$F$91,'TD_TotalNatureTransac'!$B$2:$B$91,B5,'TD_TotalNatureTransac'!$C$2:$C$91,"Z",'TD_TotalNatureTransac'!$D$2:$D$91,"CARTES")</f>
        <v/>
      </c>
      <c r="E5" s="5">
        <f>SUMIFS('TD_TotalNatureTransac'!$E$2:$E$91,'TD_TotalNatureTransac'!$B$2:$B$91,B5,'TD_TotalNatureTransac'!$C$2:$C$91,"Z",'TD_TotalNatureTransac'!$D$2:$D$91,"CHEQUES")</f>
        <v/>
      </c>
      <c r="F5" s="5">
        <f>SUMIFS('TD_TotalNatureTransac'!$F$2:$F$91,'TD_TotalNatureTransac'!$B$2:$B$91,B5,'TD_TotalNatureTransac'!$C$2:$C$91,"Z",'TD_TotalNatureTransac'!$D$2:$D$91,"CHEQUES")</f>
        <v/>
      </c>
      <c r="G5" s="5">
        <f>SUMIFS('TD_TotalNatureTransac'!$E$2:$E$91,'TD_TotalNatureTransac'!$B$2:$B$91,B5,'TD_TotalNatureTransac'!$C$2:$C$91,"Z",'TD_TotalNatureTransac'!$D$2:$D$91,"CORRECTION")</f>
        <v/>
      </c>
      <c r="H5" s="5">
        <f>SUMIFS('TD_TotalNatureTransac'!$F$2:$F$91,'TD_TotalNatureTransac'!$B$2:$B$91,B5,'TD_TotalNatureTransac'!$C$2:$C$91,"Z",'TD_TotalNatureTransac'!$D$2:$D$91,"CORRECTION")</f>
        <v/>
      </c>
      <c r="I5" s="5">
        <f>SUMIFS('TD_TotalNatureTransac'!$E$2:$E$91,'TD_TotalNatureTransac'!$B$2:$B$91,B5,'TD_TotalNatureTransac'!$C$2:$C$91,"Z",'TD_TotalNatureTransac'!$D$2:$D$91,"ESPECES")</f>
        <v/>
      </c>
      <c r="J5" s="5">
        <f>SUMIFS('TD_TotalNatureTransac'!$F$2:$F$91,'TD_TotalNatureTransac'!$B$2:$B$91,B5,'TD_TotalNatureTransac'!$C$2:$C$91,"Z",'TD_TotalNatureTransac'!$D$2:$D$91,"ESPECES")</f>
        <v/>
      </c>
      <c r="K5" s="5">
        <f>SUMIFS('TD_TotalNatureTransac'!$E$2:$E$91,'TD_TotalNatureTransac'!$B$2:$B$91,B5,'TD_TotalNatureTransac'!$C$2:$C$91,"Z",'TD_TotalNatureTransac'!$D$2:$D$91,"REF./TIROIR")</f>
        <v/>
      </c>
      <c r="L5" s="5">
        <f>SUMIFS('TD_TotalNatureTransac'!$F$2:$F$91,'TD_TotalNatureTransac'!$B$2:$B$91,B5,'TD_TotalNatureTransac'!$C$2:$C$91,"Z",'TD_TotalNatureTransac'!$D$2:$D$91,"REF./TIROIR")</f>
        <v/>
      </c>
    </row>
    <row r="6">
      <c r="A6" s="6" t="n">
        <v>2025</v>
      </c>
      <c r="B6" s="5" t="inlineStr">
        <is>
          <t>2025-07</t>
        </is>
      </c>
      <c r="C6" s="5">
        <f>SUMIFS('TD_TotalNatureTransac'!$E$2:$E$91,'TD_TotalNatureTransac'!$B$2:$B$91,B6,'TD_TotalNatureTransac'!$C$2:$C$91,"Z",'TD_TotalNatureTransac'!$D$2:$D$91,"CARTES")</f>
        <v/>
      </c>
      <c r="D6" s="5">
        <f>SUMIFS('TD_TotalNatureTransac'!$F$2:$F$91,'TD_TotalNatureTransac'!$B$2:$B$91,B6,'TD_TotalNatureTransac'!$C$2:$C$91,"Z",'TD_TotalNatureTransac'!$D$2:$D$91,"CARTES")</f>
        <v/>
      </c>
      <c r="E6" s="5">
        <f>SUMIFS('TD_TotalNatureTransac'!$E$2:$E$91,'TD_TotalNatureTransac'!$B$2:$B$91,B6,'TD_TotalNatureTransac'!$C$2:$C$91,"Z",'TD_TotalNatureTransac'!$D$2:$D$91,"CHEQUES")</f>
        <v/>
      </c>
      <c r="F6" s="5">
        <f>SUMIFS('TD_TotalNatureTransac'!$F$2:$F$91,'TD_TotalNatureTransac'!$B$2:$B$91,B6,'TD_TotalNatureTransac'!$C$2:$C$91,"Z",'TD_TotalNatureTransac'!$D$2:$D$91,"CHEQUES")</f>
        <v/>
      </c>
      <c r="G6" s="5">
        <f>SUMIFS('TD_TotalNatureTransac'!$E$2:$E$91,'TD_TotalNatureTransac'!$B$2:$B$91,B6,'TD_TotalNatureTransac'!$C$2:$C$91,"Z",'TD_TotalNatureTransac'!$D$2:$D$91,"CORRECTION")</f>
        <v/>
      </c>
      <c r="H6" s="5">
        <f>SUMIFS('TD_TotalNatureTransac'!$F$2:$F$91,'TD_TotalNatureTransac'!$B$2:$B$91,B6,'TD_TotalNatureTransac'!$C$2:$C$91,"Z",'TD_TotalNatureTransac'!$D$2:$D$91,"CORRECTION")</f>
        <v/>
      </c>
      <c r="I6" s="5">
        <f>SUMIFS('TD_TotalNatureTransac'!$E$2:$E$91,'TD_TotalNatureTransac'!$B$2:$B$91,B6,'TD_TotalNatureTransac'!$C$2:$C$91,"Z",'TD_TotalNatureTransac'!$D$2:$D$91,"ESPECES")</f>
        <v/>
      </c>
      <c r="J6" s="5">
        <f>SUMIFS('TD_TotalNatureTransac'!$F$2:$F$91,'TD_TotalNatureTransac'!$B$2:$B$91,B6,'TD_TotalNatureTransac'!$C$2:$C$91,"Z",'TD_TotalNatureTransac'!$D$2:$D$91,"ESPECES")</f>
        <v/>
      </c>
      <c r="K6" s="5">
        <f>SUMIFS('TD_TotalNatureTransac'!$E$2:$E$91,'TD_TotalNatureTransac'!$B$2:$B$91,B6,'TD_TotalNatureTransac'!$C$2:$C$91,"Z",'TD_TotalNatureTransac'!$D$2:$D$91,"REF./TIROIR")</f>
        <v/>
      </c>
      <c r="L6" s="5">
        <f>SUMIFS('TD_TotalNatureTransac'!$F$2:$F$91,'TD_TotalNatureTransac'!$B$2:$B$91,B6,'TD_TotalNatureTransac'!$C$2:$C$91,"Z",'TD_TotalNatureTransac'!$D$2:$D$91,"REF./TIROIR")</f>
        <v/>
      </c>
    </row>
    <row r="7">
      <c r="A7" s="6" t="n">
        <v>2025</v>
      </c>
      <c r="B7" s="5" t="inlineStr">
        <is>
          <t>2025-08</t>
        </is>
      </c>
      <c r="C7" s="5">
        <f>SUMIFS('TD_TotalNatureTransac'!$E$2:$E$91,'TD_TotalNatureTransac'!$B$2:$B$91,B7,'TD_TotalNatureTransac'!$C$2:$C$91,"Z",'TD_TotalNatureTransac'!$D$2:$D$91,"CARTES")</f>
        <v/>
      </c>
      <c r="D7" s="5">
        <f>SUMIFS('TD_TotalNatureTransac'!$F$2:$F$91,'TD_TotalNatureTransac'!$B$2:$B$91,B7,'TD_TotalNatureTransac'!$C$2:$C$91,"Z",'TD_TotalNatureTransac'!$D$2:$D$91,"CARTES")</f>
        <v/>
      </c>
      <c r="E7" s="5">
        <f>SUMIFS('TD_TotalNatureTransac'!$E$2:$E$91,'TD_TotalNatureTransac'!$B$2:$B$91,B7,'TD_TotalNatureTransac'!$C$2:$C$91,"Z",'TD_TotalNatureTransac'!$D$2:$D$91,"CHEQUES")</f>
        <v/>
      </c>
      <c r="F7" s="5">
        <f>SUMIFS('TD_TotalNatureTransac'!$F$2:$F$91,'TD_TotalNatureTransac'!$B$2:$B$91,B7,'TD_TotalNatureTransac'!$C$2:$C$91,"Z",'TD_TotalNatureTransac'!$D$2:$D$91,"CHEQUES")</f>
        <v/>
      </c>
      <c r="G7" s="5">
        <f>SUMIFS('TD_TotalNatureTransac'!$E$2:$E$91,'TD_TotalNatureTransac'!$B$2:$B$91,B7,'TD_TotalNatureTransac'!$C$2:$C$91,"Z",'TD_TotalNatureTransac'!$D$2:$D$91,"CORRECTION")</f>
        <v/>
      </c>
      <c r="H7" s="5">
        <f>SUMIFS('TD_TotalNatureTransac'!$F$2:$F$91,'TD_TotalNatureTransac'!$B$2:$B$91,B7,'TD_TotalNatureTransac'!$C$2:$C$91,"Z",'TD_TotalNatureTransac'!$D$2:$D$91,"CORRECTION")</f>
        <v/>
      </c>
      <c r="I7" s="5">
        <f>SUMIFS('TD_TotalNatureTransac'!$E$2:$E$91,'TD_TotalNatureTransac'!$B$2:$B$91,B7,'TD_TotalNatureTransac'!$C$2:$C$91,"Z",'TD_TotalNatureTransac'!$D$2:$D$91,"ESPECES")</f>
        <v/>
      </c>
      <c r="J7" s="5">
        <f>SUMIFS('TD_TotalNatureTransac'!$F$2:$F$91,'TD_TotalNatureTransac'!$B$2:$B$91,B7,'TD_TotalNatureTransac'!$C$2:$C$91,"Z",'TD_TotalNatureTransac'!$D$2:$D$91,"ESPECES")</f>
        <v/>
      </c>
      <c r="K7" s="5">
        <f>SUMIFS('TD_TotalNatureTransac'!$E$2:$E$91,'TD_TotalNatureTransac'!$B$2:$B$91,B7,'TD_TotalNatureTransac'!$C$2:$C$91,"Z",'TD_TotalNatureTransac'!$D$2:$D$91,"REF./TIROIR")</f>
        <v/>
      </c>
      <c r="L7" s="5">
        <f>SUMIFS('TD_TotalNatureTransac'!$F$2:$F$91,'TD_TotalNatureTransac'!$B$2:$B$91,B7,'TD_TotalNatureTransac'!$C$2:$C$91,"Z",'TD_TotalNatureTransac'!$D$2:$D$91,"REF./TIROIR")</f>
        <v/>
      </c>
    </row>
  </sheetData>
  <autoFilter ref="A1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CARTES_AJ_ECART_QTE</t>
        </is>
      </c>
      <c r="D1" s="1" t="inlineStr">
        <is>
          <t>CARTES_AJ_ECART_MONTANT</t>
        </is>
      </c>
      <c r="E1" s="1" t="inlineStr">
        <is>
          <t>CHEQUES_AJ_ECART_QTE</t>
        </is>
      </c>
      <c r="F1" s="1" t="inlineStr">
        <is>
          <t>CHEQUES_AJ_ECART_MONTANT</t>
        </is>
      </c>
      <c r="G1" s="1" t="inlineStr">
        <is>
          <t>CORRECTION_AJ_ECART_QTE</t>
        </is>
      </c>
      <c r="H1" s="1" t="inlineStr">
        <is>
          <t>CORRECTION_AJ_ECART_MONTANT</t>
        </is>
      </c>
      <c r="I1" s="1" t="inlineStr">
        <is>
          <t>ESPECES_AJ_ECART_QTE</t>
        </is>
      </c>
      <c r="J1" s="1" t="inlineStr">
        <is>
          <t>ESPECES_AJ_ECART_MONTANT</t>
        </is>
      </c>
      <c r="K1" s="1" t="inlineStr">
        <is>
          <t>REF__TIROIR_AJ_ECART_QTE</t>
        </is>
      </c>
      <c r="L1" s="1" t="inlineStr">
        <is>
          <t>REF__TIROIR_AJ_ECART_MONTANT</t>
        </is>
      </c>
    </row>
    <row r="2">
      <c r="A2" s="6" t="n">
        <v>2025</v>
      </c>
      <c r="B2" s="5" t="inlineStr">
        <is>
          <t>2025-01</t>
        </is>
      </c>
      <c r="C2" s="2">
        <f>'Z2_Total_ModeZZ1'!C2-'Z2_Total_ModeZZ2'!C2</f>
        <v/>
      </c>
      <c r="D2" s="5">
        <f>'Z2_Total_ModeZZ1'!D2-'Z2_Total_ModeZZ2'!D2</f>
        <v/>
      </c>
      <c r="E2" s="2">
        <f>'Z2_Total_ModeZZ1'!E2-'Z2_Total_ModeZZ2'!E2</f>
        <v/>
      </c>
      <c r="F2" s="5">
        <f>'Z2_Total_ModeZZ1'!F2-'Z2_Total_ModeZZ2'!F2</f>
        <v/>
      </c>
      <c r="G2" s="2">
        <f>'Z2_Total_ModeZZ1'!G2-'Z2_Total_ModeZZ2'!G2</f>
        <v/>
      </c>
      <c r="H2" s="5">
        <f>'Z2_Total_ModeZZ1'!H2-'Z2_Total_ModeZZ2'!H2</f>
        <v/>
      </c>
      <c r="I2" s="2">
        <f>'Z2_Total_ModeZZ1'!I2-'Z2_Total_ModeZZ2'!I2</f>
        <v/>
      </c>
      <c r="J2" s="5">
        <f>'Z2_Total_ModeZZ1'!J2-'Z2_Total_ModeZZ2'!J2</f>
        <v/>
      </c>
      <c r="K2" s="2">
        <f>'Z2_Total_ModeZZ1'!K2-'Z2_Total_ModeZZ2'!K2</f>
        <v/>
      </c>
      <c r="L2" s="5">
        <f>'Z2_Total_ModeZZ1'!L2-'Z2_Total_ModeZZ2'!L2</f>
        <v/>
      </c>
    </row>
    <row r="3">
      <c r="A3" s="6" t="n">
        <v>2025</v>
      </c>
      <c r="B3" s="5" t="inlineStr">
        <is>
          <t>2025-02</t>
        </is>
      </c>
      <c r="C3" s="2">
        <f>'Z2_Total_ModeZZ1'!C3-'Z2_Total_ModeZZ2'!C3</f>
        <v/>
      </c>
      <c r="D3" s="5">
        <f>'Z2_Total_ModeZZ1'!D3-'Z2_Total_ModeZZ2'!D3</f>
        <v/>
      </c>
      <c r="E3" s="2">
        <f>'Z2_Total_ModeZZ1'!E3-'Z2_Total_ModeZZ2'!E3</f>
        <v/>
      </c>
      <c r="F3" s="5">
        <f>'Z2_Total_ModeZZ1'!F3-'Z2_Total_ModeZZ2'!F3</f>
        <v/>
      </c>
      <c r="G3" s="2">
        <f>'Z2_Total_ModeZZ1'!G3-'Z2_Total_ModeZZ2'!G3</f>
        <v/>
      </c>
      <c r="H3" s="5">
        <f>'Z2_Total_ModeZZ1'!H3-'Z2_Total_ModeZZ2'!H3</f>
        <v/>
      </c>
      <c r="I3" s="2">
        <f>'Z2_Total_ModeZZ1'!I3-'Z2_Total_ModeZZ2'!I3</f>
        <v/>
      </c>
      <c r="J3" s="5">
        <f>'Z2_Total_ModeZZ1'!J3-'Z2_Total_ModeZZ2'!J3</f>
        <v/>
      </c>
      <c r="K3" s="2">
        <f>'Z2_Total_ModeZZ1'!K3-'Z2_Total_ModeZZ2'!K3</f>
        <v/>
      </c>
      <c r="L3" s="5">
        <f>'Z2_Total_ModeZZ1'!L3-'Z2_Total_ModeZZ2'!L3</f>
        <v/>
      </c>
    </row>
    <row r="4">
      <c r="A4" s="6" t="n">
        <v>2025</v>
      </c>
      <c r="B4" s="5" t="inlineStr">
        <is>
          <t>2025-03</t>
        </is>
      </c>
      <c r="C4" s="2">
        <f>'Z2_Total_ModeZZ1'!C4-'Z2_Total_ModeZZ2'!C4</f>
        <v/>
      </c>
      <c r="D4" s="5">
        <f>'Z2_Total_ModeZZ1'!D4-'Z2_Total_ModeZZ2'!D4</f>
        <v/>
      </c>
      <c r="E4" s="2">
        <f>'Z2_Total_ModeZZ1'!E4-'Z2_Total_ModeZZ2'!E4</f>
        <v/>
      </c>
      <c r="F4" s="5">
        <f>'Z2_Total_ModeZZ1'!F4-'Z2_Total_ModeZZ2'!F4</f>
        <v/>
      </c>
      <c r="G4" s="2">
        <f>'Z2_Total_ModeZZ1'!G4-'Z2_Total_ModeZZ2'!G4</f>
        <v/>
      </c>
      <c r="H4" s="5">
        <f>'Z2_Total_ModeZZ1'!H4-'Z2_Total_ModeZZ2'!H4</f>
        <v/>
      </c>
      <c r="I4" s="2">
        <f>'Z2_Total_ModeZZ1'!I4-'Z2_Total_ModeZZ2'!I4</f>
        <v/>
      </c>
      <c r="J4" s="5">
        <f>'Z2_Total_ModeZZ1'!J4-'Z2_Total_ModeZZ2'!J4</f>
        <v/>
      </c>
      <c r="K4" s="2">
        <f>'Z2_Total_ModeZZ1'!K4-'Z2_Total_ModeZZ2'!K4</f>
        <v/>
      </c>
      <c r="L4" s="5">
        <f>'Z2_Total_ModeZZ1'!L4-'Z2_Total_ModeZZ2'!L4</f>
        <v/>
      </c>
    </row>
    <row r="5">
      <c r="A5" s="6" t="n">
        <v>2025</v>
      </c>
      <c r="B5" s="5" t="inlineStr">
        <is>
          <t>2025-04|2025-05|2025-06</t>
        </is>
      </c>
      <c r="C5" s="2">
        <f>'Z2_Total_ModeZZ1'!C5-'Z2_Total_ModeZZ2'!C5</f>
        <v/>
      </c>
      <c r="D5" s="5">
        <f>'Z2_Total_ModeZZ1'!D5-'Z2_Total_ModeZZ2'!D5</f>
        <v/>
      </c>
      <c r="E5" s="2">
        <f>'Z2_Total_ModeZZ1'!E5-'Z2_Total_ModeZZ2'!E5</f>
        <v/>
      </c>
      <c r="F5" s="5">
        <f>'Z2_Total_ModeZZ1'!F5-'Z2_Total_ModeZZ2'!F5</f>
        <v/>
      </c>
      <c r="G5" s="2">
        <f>'Z2_Total_ModeZZ1'!G5-'Z2_Total_ModeZZ2'!G5</f>
        <v/>
      </c>
      <c r="H5" s="5">
        <f>'Z2_Total_ModeZZ1'!H5-'Z2_Total_ModeZZ2'!H5</f>
        <v/>
      </c>
      <c r="I5" s="2">
        <f>'Z2_Total_ModeZZ1'!I5-'Z2_Total_ModeZZ2'!I5</f>
        <v/>
      </c>
      <c r="J5" s="5">
        <f>'Z2_Total_ModeZZ1'!J5-'Z2_Total_ModeZZ2'!J5</f>
        <v/>
      </c>
      <c r="K5" s="2">
        <f>'Z2_Total_ModeZZ1'!K5-'Z2_Total_ModeZZ2'!K5</f>
        <v/>
      </c>
      <c r="L5" s="5">
        <f>'Z2_Total_ModeZZ1'!L5-'Z2_Total_ModeZZ2'!L5</f>
        <v/>
      </c>
    </row>
    <row r="6">
      <c r="A6" s="6" t="n">
        <v>2025</v>
      </c>
      <c r="B6" s="5" t="inlineStr">
        <is>
          <t>2025-07</t>
        </is>
      </c>
      <c r="C6" s="2">
        <f>'Z2_Total_ModeZZ1'!C6-'Z2_Total_ModeZZ2'!C6</f>
        <v/>
      </c>
      <c r="D6" s="5">
        <f>'Z2_Total_ModeZZ1'!D6-'Z2_Total_ModeZZ2'!D6</f>
        <v/>
      </c>
      <c r="E6" s="2">
        <f>'Z2_Total_ModeZZ1'!E6-'Z2_Total_ModeZZ2'!E6</f>
        <v/>
      </c>
      <c r="F6" s="5">
        <f>'Z2_Total_ModeZZ1'!F6-'Z2_Total_ModeZZ2'!F6</f>
        <v/>
      </c>
      <c r="G6" s="2">
        <f>'Z2_Total_ModeZZ1'!G6-'Z2_Total_ModeZZ2'!G6</f>
        <v/>
      </c>
      <c r="H6" s="5">
        <f>'Z2_Total_ModeZZ1'!H6-'Z2_Total_ModeZZ2'!H6</f>
        <v/>
      </c>
      <c r="I6" s="2">
        <f>'Z2_Total_ModeZZ1'!I6-'Z2_Total_ModeZZ2'!I6</f>
        <v/>
      </c>
      <c r="J6" s="5">
        <f>'Z2_Total_ModeZZ1'!J6-'Z2_Total_ModeZZ2'!J6</f>
        <v/>
      </c>
      <c r="K6" s="2">
        <f>'Z2_Total_ModeZZ1'!K6-'Z2_Total_ModeZZ2'!K6</f>
        <v/>
      </c>
      <c r="L6" s="5">
        <f>'Z2_Total_ModeZZ1'!L6-'Z2_Total_ModeZZ2'!L6</f>
        <v/>
      </c>
    </row>
    <row r="7">
      <c r="A7" s="6" t="n">
        <v>2025</v>
      </c>
      <c r="B7" s="5" t="inlineStr">
        <is>
          <t>2025-08</t>
        </is>
      </c>
      <c r="C7" s="2">
        <f>'Z2_Total_ModeZZ1'!C7-'Z2_Total_ModeZZ2'!C7</f>
        <v/>
      </c>
      <c r="D7" s="5">
        <f>'Z2_Total_ModeZZ1'!D7-'Z2_Total_ModeZZ2'!D7</f>
        <v/>
      </c>
      <c r="E7" s="2">
        <f>'Z2_Total_ModeZZ1'!E7-'Z2_Total_ModeZZ2'!E7</f>
        <v/>
      </c>
      <c r="F7" s="5">
        <f>'Z2_Total_ModeZZ1'!F7-'Z2_Total_ModeZZ2'!F7</f>
        <v/>
      </c>
      <c r="G7" s="2">
        <f>'Z2_Total_ModeZZ1'!G7-'Z2_Total_ModeZZ2'!G7</f>
        <v/>
      </c>
      <c r="H7" s="5">
        <f>'Z2_Total_ModeZZ1'!H7-'Z2_Total_ModeZZ2'!H7</f>
        <v/>
      </c>
      <c r="I7" s="2">
        <f>'Z2_Total_ModeZZ1'!I7-'Z2_Total_ModeZZ2'!I7</f>
        <v/>
      </c>
      <c r="J7" s="5">
        <f>'Z2_Total_ModeZZ1'!J7-'Z2_Total_ModeZZ2'!J7</f>
        <v/>
      </c>
      <c r="K7" s="2">
        <f>'Z2_Total_ModeZZ1'!K7-'Z2_Total_ModeZZ2'!K7</f>
        <v/>
      </c>
      <c r="L7" s="5">
        <f>'Z2_Total_ModeZZ1'!L7-'Z2_Total_ModeZZ2'!L7</f>
        <v/>
      </c>
    </row>
  </sheetData>
  <autoFilter ref="A1:L7"/>
  <conditionalFormatting sqref="D2:D7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F2:F7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H2:H7">
    <cfRule type="cellIs" priority="5" operator="greaterThan" dxfId="0">
      <formula>0.02</formula>
    </cfRule>
    <cfRule type="cellIs" priority="6" operator="lessThan" dxfId="0">
      <formula>-0.02</formula>
    </cfRule>
  </conditionalFormatting>
  <conditionalFormatting sqref="J2:J7">
    <cfRule type="cellIs" priority="7" operator="greaterThan" dxfId="0">
      <formula>0.02</formula>
    </cfRule>
    <cfRule type="cellIs" priority="8" operator="lessThan" dxfId="0">
      <formula>-0.02</formula>
    </cfRule>
  </conditionalFormatting>
  <conditionalFormatting sqref="L2:L7">
    <cfRule type="cellIs" priority="9" operator="greaterThan" dxfId="0">
      <formula>0.02</formula>
    </cfRule>
    <cfRule type="cellIs" priority="10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6" t="n">
        <v>2025</v>
      </c>
      <c r="B2" s="5" t="inlineStr">
        <is>
          <t>2025-01</t>
        </is>
      </c>
      <c r="C2" s="2">
        <f>'Z2_Total_ModeZZ1'!D2</f>
        <v/>
      </c>
      <c r="D2" s="2" t="n">
        <v>3089.5</v>
      </c>
      <c r="E2" s="5">
        <f>C2-D2</f>
        <v/>
      </c>
      <c r="F2" s="2">
        <f>'Z2_Total_ModeZZ1'!F2</f>
        <v/>
      </c>
      <c r="G2" s="2" t="n">
        <v>0</v>
      </c>
      <c r="H2" s="5">
        <f>F2-G2</f>
        <v/>
      </c>
      <c r="I2" s="2">
        <f>'Z2_Total_ModeZZ1'!J2</f>
        <v/>
      </c>
      <c r="J2" s="2" t="n">
        <v>6334.7</v>
      </c>
      <c r="K2" s="5">
        <f>I2-J2</f>
        <v/>
      </c>
    </row>
    <row r="3">
      <c r="A3" s="6" t="n">
        <v>2025</v>
      </c>
      <c r="B3" s="5" t="inlineStr">
        <is>
          <t>2025-02</t>
        </is>
      </c>
      <c r="C3" s="2">
        <f>'Z2_Total_ModeZZ1'!D3</f>
        <v/>
      </c>
      <c r="D3" s="2" t="n">
        <v>7497</v>
      </c>
      <c r="E3" s="5">
        <f>C3-D3</f>
        <v/>
      </c>
      <c r="F3" s="2">
        <f>'Z2_Total_ModeZZ1'!F3</f>
        <v/>
      </c>
      <c r="G3" s="2" t="n">
        <v>0</v>
      </c>
      <c r="H3" s="5">
        <f>F3-G3</f>
        <v/>
      </c>
      <c r="I3" s="2">
        <f>'Z2_Total_ModeZZ1'!J3</f>
        <v/>
      </c>
      <c r="J3" s="2" t="n">
        <v>10332.8</v>
      </c>
      <c r="K3" s="5">
        <f>I3-J3</f>
        <v/>
      </c>
    </row>
    <row r="4">
      <c r="A4" s="6" t="n">
        <v>2025</v>
      </c>
      <c r="B4" s="5" t="inlineStr">
        <is>
          <t>2025-03</t>
        </is>
      </c>
      <c r="C4" s="2">
        <f>'Z2_Total_ModeZZ1'!D4</f>
        <v/>
      </c>
      <c r="D4" s="2" t="n">
        <v>9581</v>
      </c>
      <c r="E4" s="5">
        <f>C4-D4</f>
        <v/>
      </c>
      <c r="F4" s="2">
        <f>'Z2_Total_ModeZZ1'!F4</f>
        <v/>
      </c>
      <c r="G4" s="2" t="n">
        <v>0</v>
      </c>
      <c r="H4" s="5">
        <f>F4-G4</f>
        <v/>
      </c>
      <c r="I4" s="2">
        <f>'Z2_Total_ModeZZ1'!J4</f>
        <v/>
      </c>
      <c r="J4" s="2" t="n">
        <v>11051.7</v>
      </c>
      <c r="K4" s="5">
        <f>I4-J4</f>
        <v/>
      </c>
    </row>
    <row r="5">
      <c r="A5" s="6" t="n">
        <v>2025</v>
      </c>
      <c r="B5" s="5" t="inlineStr">
        <is>
          <t>2025-04|2025-05|2025-06</t>
        </is>
      </c>
      <c r="C5" s="2">
        <f>'Z2_Total_ModeZZ1'!D5</f>
        <v/>
      </c>
      <c r="D5" s="2" t="n">
        <v>5642.4</v>
      </c>
      <c r="E5" s="5">
        <f>C5-D5</f>
        <v/>
      </c>
      <c r="F5" s="2">
        <f>'Z2_Total_ModeZZ1'!F5</f>
        <v/>
      </c>
      <c r="G5" s="2" t="n">
        <v>0</v>
      </c>
      <c r="H5" s="5">
        <f>F5-G5</f>
        <v/>
      </c>
      <c r="I5" s="2">
        <f>'Z2_Total_ModeZZ1'!J5</f>
        <v/>
      </c>
      <c r="J5" s="2" t="n">
        <v>6815.7</v>
      </c>
      <c r="K5" s="5">
        <f>I5-J5</f>
        <v/>
      </c>
    </row>
    <row r="6">
      <c r="A6" s="6" t="n">
        <v>2025</v>
      </c>
      <c r="B6" s="5" t="inlineStr">
        <is>
          <t>2025-07</t>
        </is>
      </c>
      <c r="C6" s="2">
        <f>'Z2_Total_ModeZZ1'!D6</f>
        <v/>
      </c>
      <c r="D6" s="2" t="n">
        <v>2581</v>
      </c>
      <c r="E6" s="5">
        <f>C6-D6</f>
        <v/>
      </c>
      <c r="F6" s="2">
        <f>'Z2_Total_ModeZZ1'!F6</f>
        <v/>
      </c>
      <c r="G6" s="2" t="n">
        <v>0</v>
      </c>
      <c r="H6" s="5">
        <f>F6-G6</f>
        <v/>
      </c>
      <c r="I6" s="2">
        <f>'Z2_Total_ModeZZ1'!J6</f>
        <v/>
      </c>
      <c r="J6" s="2" t="n">
        <v>17603.9</v>
      </c>
      <c r="K6" s="5">
        <f>I6-J6</f>
        <v/>
      </c>
    </row>
    <row r="7">
      <c r="A7" s="6" t="n">
        <v>2025</v>
      </c>
      <c r="B7" s="5" t="inlineStr">
        <is>
          <t>2025-08</t>
        </is>
      </c>
      <c r="C7" s="2">
        <f>'Z2_Total_ModeZZ1'!D7</f>
        <v/>
      </c>
      <c r="D7" s="2" t="n">
        <v>2072</v>
      </c>
      <c r="E7" s="5">
        <f>C7-D7</f>
        <v/>
      </c>
      <c r="F7" s="2">
        <f>'Z2_Total_ModeZZ1'!F7</f>
        <v/>
      </c>
      <c r="G7" s="2" t="n">
        <v>0</v>
      </c>
      <c r="H7" s="5">
        <f>F7-G7</f>
        <v/>
      </c>
      <c r="I7" s="2">
        <f>'Z2_Total_ModeZZ1'!J7</f>
        <v/>
      </c>
      <c r="J7" s="2" t="n">
        <v>1914</v>
      </c>
      <c r="K7" s="5">
        <f>I7-J7</f>
        <v/>
      </c>
    </row>
  </sheetData>
  <autoFilter ref="A1:K7"/>
  <conditionalFormatting sqref="E2:E7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7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7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2026-08-14T12:21:19Z</dcterms:created>
  <dcterms:modified xsi:type="dcterms:W3CDTF">2026-08-14T12:21:20Z</dcterms:modified>
</cp:coreProperties>
</file>